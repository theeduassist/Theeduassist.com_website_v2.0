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Dashboard" sheetId="1" r:id="rId5"/>
    <sheet state="visible" name="01 Task Board" sheetId="2" r:id="rId6"/>
    <sheet state="visible" name="02 Keyword Map" sheetId="3" r:id="rId7"/>
    <sheet state="visible" name="03 Content Pipeline" sheetId="4" r:id="rId8"/>
    <sheet state="visible" name="04 Technical Issues" sheetId="5" r:id="rId9"/>
    <sheet state="visible" name="05 Performance" sheetId="6" r:id="rId10"/>
    <sheet state="visible" name="06 Competitors" sheetId="7" r:id="rId11"/>
    <sheet state="visible" name="07 Link Opportunities" sheetId="8" r:id="rId12"/>
    <sheet state="visible" name="08 AI Visibility" sheetId="9" r:id="rId13"/>
    <sheet state="visible" name="09 SOP Checklists" sheetId="10" r:id="rId14"/>
    <sheet state="visible" name="One Page - Full Strategy" sheetId="11" r:id="rId15"/>
    <sheet state="visible" name="RAW Ai Prompts" sheetId="12" r:id="rId16"/>
    <sheet state="visible" name="RAW Website Issues" sheetId="13" r:id="rId17"/>
    <sheet state="visible" name="RAW Kajabi Keywords" sheetId="14" r:id="rId18"/>
    <sheet state="visible" name="RAW Website Metrics" sheetId="15" r:id="rId19"/>
    <sheet state="visible" name="RAW Competitors" sheetId="16" r:id="rId20"/>
    <sheet state="visible" name="RAW Keyword Research" sheetId="17" r:id="rId21"/>
    <sheet state="visible" name="RAW Blog Keywords" sheetId="18" r:id="rId22"/>
    <sheet state="visible" name="RAW April Keywords" sheetId="19" r:id="rId23"/>
    <sheet state="visible" name="RAW Backlinks" sheetId="20" r:id="rId24"/>
    <sheet state="visible" name="RAW LLM Tracking" sheetId="21" r:id="rId25"/>
    <sheet state="visible" name="RAW Issues" sheetId="22" r:id="rId26"/>
    <sheet state="visible" name="RAW Service Pages" sheetId="23" r:id="rId27"/>
    <sheet state="visible" name="RAW Clusters" sheetId="24" r:id="rId28"/>
    <sheet state="visible" name="99 Team Guide" sheetId="25" r:id="rId29"/>
  </sheets>
  <definedNames/>
  <calcPr/>
</workbook>
</file>

<file path=xl/sharedStrings.xml><?xml version="1.0" encoding="utf-8"?>
<sst xmlns="http://schemas.openxmlformats.org/spreadsheetml/2006/main" count="18606" uniqueCount="9571">
  <si>
    <t>TheEduAssist SEO Operations Dashboard</t>
  </si>
  <si>
    <t>Professional team workspace | Canonical site: https://www.theeduassist.com/ | Update task and performance tabs, not this dashboard.</t>
  </si>
  <si>
    <t>Work Queue</t>
  </si>
  <si>
    <t>Performance Snapshot</t>
  </si>
  <si>
    <t>This Week's Operating Rules</t>
  </si>
  <si>
    <t>Open tasks</t>
  </si>
  <si>
    <t>SEO Daily Task Board</t>
  </si>
  <si>
    <t>Latest organic traffic</t>
  </si>
  <si>
    <t>One source of truth for daily work. Add every SEO action here, attach evidence, then send it through QA.</t>
  </si>
  <si>
    <t>Task ID</t>
  </si>
  <si>
    <t>Date Added</t>
  </si>
  <si>
    <t>Keyword-to-Page Map</t>
  </si>
  <si>
    <t>Due Date</t>
  </si>
  <si>
    <t>Frequency</t>
  </si>
  <si>
    <t>Content and Page Production Pipeline</t>
  </si>
  <si>
    <t>Workstream</t>
  </si>
  <si>
    <t>1</t>
  </si>
  <si>
    <t>Task</t>
  </si>
  <si>
    <t>Page / URL</t>
  </si>
  <si>
    <t>Every task must have an owner, due date and evidence link.</t>
  </si>
  <si>
    <t>Priority</t>
  </si>
  <si>
    <t>Owner</t>
  </si>
  <si>
    <t>Status</t>
  </si>
  <si>
    <t>Critical open tasks</t>
  </si>
  <si>
    <t>Dependency / Blocker</t>
  </si>
  <si>
    <t>Evidence / Work Link</t>
  </si>
  <si>
    <t>Result / Notes</t>
  </si>
  <si>
    <t>Use one primary keyword per page, group close variants, and avoid assigning the same intent to multiple pages.</t>
  </si>
  <si>
    <t>QA Owner</t>
  </si>
  <si>
    <t>Track service pages, articles, comparisons, case studies and resources from brief through indexing and refresh.</t>
  </si>
  <si>
    <t>QA Status</t>
  </si>
  <si>
    <t>Completed Date</t>
  </si>
  <si>
    <t>Days Open</t>
  </si>
  <si>
    <t>SLA</t>
  </si>
  <si>
    <t>Content ID</t>
  </si>
  <si>
    <t>Keyword ID</t>
  </si>
  <si>
    <t>SEO-001</t>
  </si>
  <si>
    <t>Content / Page</t>
  </si>
  <si>
    <t>Keyword</t>
  </si>
  <si>
    <t>Local Volume</t>
  </si>
  <si>
    <t>Type</t>
  </si>
  <si>
    <t>Global Volume</t>
  </si>
  <si>
    <t>Cluster</t>
  </si>
  <si>
    <t>KD</t>
  </si>
  <si>
    <t>Primary Keyword</t>
  </si>
  <si>
    <t>Intent</t>
  </si>
  <si>
    <t>One-time</t>
  </si>
  <si>
    <t>Cluster / Service</t>
  </si>
  <si>
    <t>Funnel Stage</t>
  </si>
  <si>
    <t>Target Page</t>
  </si>
  <si>
    <t>Latest organic keywords</t>
  </si>
  <si>
    <t>Current URL</t>
  </si>
  <si>
    <t>Page Type</t>
  </si>
  <si>
    <t>Technical SEO</t>
  </si>
  <si>
    <t>Keyword Role</t>
  </si>
  <si>
    <t>Draft / Brief Link</t>
  </si>
  <si>
    <t>Validate canonical, redirect and sitemap consistency for www domain</t>
  </si>
  <si>
    <t>https://www.theeduassist.com/</t>
  </si>
  <si>
    <t>Mapping Status</t>
  </si>
  <si>
    <t>Critical</t>
  </si>
  <si>
    <t>Opportunity Score</t>
  </si>
  <si>
    <t>Developer</t>
  </si>
  <si>
    <t>Suggested Title / Brief</t>
  </si>
  <si>
    <t>Publish Date</t>
  </si>
  <si>
    <t>Meta Description</t>
  </si>
  <si>
    <t>Not Started</t>
  </si>
  <si>
    <t>Primary CTA</t>
  </si>
  <si>
    <t>Source</t>
  </si>
  <si>
    <t>Internal Links to Add</t>
  </si>
  <si>
    <t>Schema</t>
  </si>
  <si>
    <t>Last Reviewed</t>
  </si>
  <si>
    <t>Next Action</t>
  </si>
  <si>
    <t>SEO Manager</t>
  </si>
  <si>
    <t>Index Status</t>
  </si>
  <si>
    <t>Last Refresh</t>
  </si>
  <si>
    <t>Not Reviewed</t>
  </si>
  <si>
    <t>Notes</t>
  </si>
  <si>
    <t>2</t>
  </si>
  <si>
    <t>Use www.theeduassist.com URLs in all active tabs.</t>
  </si>
  <si>
    <t>CNT-001</t>
  </si>
  <si>
    <t>KW-001</t>
  </si>
  <si>
    <t>Overdue tasks</t>
  </si>
  <si>
    <t>Homepage</t>
  </si>
  <si>
    <t>designing an online course</t>
  </si>
  <si>
    <t>Core Page</t>
  </si>
  <si>
    <t>Brand / E-learning Agency</t>
  </si>
  <si>
    <t>eLearning development company</t>
  </si>
  <si>
    <t>Commercial</t>
  </si>
  <si>
    <t>Decision</t>
  </si>
  <si>
    <t>Latest authority score</t>
  </si>
  <si>
    <t>Published</t>
  </si>
  <si>
    <t>Informational</t>
  </si>
  <si>
    <t>How We Build High-Impact Online Courses</t>
  </si>
  <si>
    <t>Get a 24–48 Hour Review</t>
  </si>
  <si>
    <t>Services; Kajabi; Case Studies; Pricing; Insights</t>
  </si>
  <si>
    <t>Service / Pillar</t>
  </si>
  <si>
    <t>Organization; WebSite; Breadcrumb</t>
  </si>
  <si>
    <t>Secondary Keyword</t>
  </si>
  <si>
    <t>Indexed</t>
  </si>
  <si>
    <t>Monitor CTR and conversions</t>
  </si>
  <si>
    <t>3</t>
  </si>
  <si>
    <t>Mapped</t>
  </si>
  <si>
    <t>CNT-002</t>
  </si>
  <si>
    <t>Do not create or chase irrelevant backlinks just because authority is high.</t>
  </si>
  <si>
    <t>Services Hub</t>
  </si>
  <si>
    <t>Open technical issues</t>
  </si>
  <si>
    <t>Services</t>
  </si>
  <si>
    <t>eLearning services</t>
  </si>
  <si>
    <t>Consideration</t>
  </si>
  <si>
    <t>https://www.theeduassist.com/services/</t>
  </si>
  <si>
    <t>All service pages; case studies</t>
  </si>
  <si>
    <t>ItemList; Service; Breadcrumb</t>
  </si>
  <si>
    <t>Needs Review</t>
  </si>
  <si>
    <t>Confirm current canonical</t>
  </si>
  <si>
    <t>CNT-003</t>
  </si>
  <si>
    <t>Kajabi Services Hub</t>
  </si>
  <si>
    <t>Latest referring domains</t>
  </si>
  <si>
    <t>Kajabi</t>
  </si>
  <si>
    <t>Kajabi services</t>
  </si>
  <si>
    <t>https://www.theeduassist.com/kajabi-services/</t>
  </si>
  <si>
    <t>High</t>
  </si>
  <si>
    <t>Get a Kajabi Review</t>
  </si>
  <si>
    <t>SEO-002</t>
  </si>
  <si>
    <t>Kajabi service pages; case studies</t>
  </si>
  <si>
    <t>Service; Breadcrumb</t>
  </si>
  <si>
    <t>CNT-004</t>
  </si>
  <si>
    <t>Case Studies Hub</t>
  </si>
  <si>
    <t>Revalidate legacy 404 case-study URLs and remove any broken homepage links</t>
  </si>
  <si>
    <t>Proof / Results</t>
  </si>
  <si>
    <t>eLearning case studies</t>
  </si>
  <si>
    <t>https://www.theeduassist.com/case-studies/</t>
  </si>
  <si>
    <t>4</t>
  </si>
  <si>
    <t>Track clicks, impressions, leads and conversions, not rankings alone.</t>
  </si>
  <si>
    <t>Content items published</t>
  </si>
  <si>
    <t>QA</t>
  </si>
  <si>
    <t>Content Lead</t>
  </si>
  <si>
    <t>Discuss a Project</t>
  </si>
  <si>
    <t>Relevant services; review CTA</t>
  </si>
  <si>
    <t>CollectionPage; Breadcrumb</t>
  </si>
  <si>
    <t>CNT-005</t>
  </si>
  <si>
    <t>Pricing</t>
  </si>
  <si>
    <t>eLearning development pricing</t>
  </si>
  <si>
    <t>SEO-003</t>
  </si>
  <si>
    <t>https://www.theeduassist.com/pricing/</t>
  </si>
  <si>
    <t>On-page SEO</t>
  </si>
  <si>
    <t>Review Contact page H1, title, meta, Organization/ContactPage schema, internal links and conversion tracking</t>
  </si>
  <si>
    <t>https://www.theeduassist.com/contact/</t>
  </si>
  <si>
    <t>Request Review</t>
  </si>
  <si>
    <t>Services; case studies; contact</t>
  </si>
  <si>
    <t>Latest GSC clicks</t>
  </si>
  <si>
    <t>CNT-006</t>
  </si>
  <si>
    <t>About Us</t>
  </si>
  <si>
    <t>Trust</t>
  </si>
  <si>
    <t>TheEduAssist</t>
  </si>
  <si>
    <t>Navigational</t>
  </si>
  <si>
    <t>https://www.theeduassist.com/about/</t>
  </si>
  <si>
    <t>SEO-004</t>
  </si>
  <si>
    <t>Review About page for company story, team proof, credentials, internal links and CTA</t>
  </si>
  <si>
    <t>5</t>
  </si>
  <si>
    <t>Mark old workbook findings as Needs Revalidation before acting.</t>
  </si>
  <si>
    <t>Latest organic leads</t>
  </si>
  <si>
    <t>SEO-005</t>
  </si>
  <si>
    <t>Talk to Our Team</t>
  </si>
  <si>
    <t>Contact; case studies; careers</t>
  </si>
  <si>
    <t>AboutPage; Organization; Breadcrumb</t>
  </si>
  <si>
    <t>Weekly</t>
  </si>
  <si>
    <t>Needs Revalidation</t>
  </si>
  <si>
    <t>Search Console</t>
  </si>
  <si>
    <t>Export query and page data; flag high-impression low-CTR opportunities</t>
  </si>
  <si>
    <t>Revalidate live page before editing</t>
  </si>
  <si>
    <t>https://search.google.com/search-console/</t>
  </si>
  <si>
    <t>CNT-007</t>
  </si>
  <si>
    <t>Contact Us</t>
  </si>
  <si>
    <t>Conversion</t>
  </si>
  <si>
    <t>contact TheEduAssist</t>
  </si>
  <si>
    <t>Management</t>
  </si>
  <si>
    <t>6</t>
  </si>
  <si>
    <t>AR/VR legacy ideas are archived and excluded from the active SEO plan.</t>
  </si>
  <si>
    <t>Submit Enquiry</t>
  </si>
  <si>
    <t>Latest conversion rate</t>
  </si>
  <si>
    <t>SEO-006</t>
  </si>
  <si>
    <t>Services; review pathway</t>
  </si>
  <si>
    <t>How to build a course that actually gets results</t>
  </si>
  <si>
    <t>ContactPage; Organization; Breadcrumb</t>
  </si>
  <si>
    <t>Build a course that actually gets results with our proven guide. Learn to design lessons that work. Start creating your high-impact program today.</t>
  </si>
  <si>
    <t>Confirm form completion and key event tracking</t>
  </si>
  <si>
    <t>Kajabi Service Page keywords</t>
  </si>
  <si>
    <t>CNT-008</t>
  </si>
  <si>
    <t>Content SEO</t>
  </si>
  <si>
    <t>24–48 Hour Review</t>
  </si>
  <si>
    <t>Map unmapped primary keywords to service or pillar pages</t>
  </si>
  <si>
    <t>See 02 Keyword Map</t>
  </si>
  <si>
    <t>Conversion Page</t>
  </si>
  <si>
    <t>Confirm current canonical URL and search intent</t>
  </si>
  <si>
    <t>Lead Generation</t>
  </si>
  <si>
    <t>eLearning project review</t>
  </si>
  <si>
    <t>KW-002</t>
  </si>
  <si>
    <t>online course design best practices</t>
  </si>
  <si>
    <t>https://www.theeduassist.com/book-free-audit/</t>
  </si>
  <si>
    <t>Submit Review</t>
  </si>
  <si>
    <t>Services; pricing; proof</t>
  </si>
  <si>
    <t>Priority Focus</t>
  </si>
  <si>
    <t>SEO-007</t>
  </si>
  <si>
    <t>Track form conversion</t>
  </si>
  <si>
    <t>CNT-009</t>
  </si>
  <si>
    <t>Quality Assurance &amp; Testing</t>
  </si>
  <si>
    <t>Internal Linking</t>
  </si>
  <si>
    <t>Add contextual links from new/updated articles to relevant service and case-study pages</t>
  </si>
  <si>
    <t>Service Page</t>
  </si>
  <si>
    <t>See 03 Content Pipeline</t>
  </si>
  <si>
    <t>Medium</t>
  </si>
  <si>
    <t>Content Writer</t>
  </si>
  <si>
    <t>https://docs.google.com/document/d/1f56qgIxvQ8BxjrmBfliB3yKROdXTLpazw-3e6_4kuHQ/edit?tab=t.yg0q4iabl9v4</t>
  </si>
  <si>
    <t>Action</t>
  </si>
  <si>
    <t>Brief Available</t>
  </si>
  <si>
    <t>Why it matters</t>
  </si>
  <si>
    <t>Due</t>
  </si>
  <si>
    <t>Evidence</t>
  </si>
  <si>
    <t>Homepage; Services; relevant case study</t>
  </si>
  <si>
    <t>KW-003</t>
  </si>
  <si>
    <t>SEO-008</t>
  </si>
  <si>
    <t>Expected result</t>
  </si>
  <si>
    <t>Not Checked</t>
  </si>
  <si>
    <t>Impact</t>
  </si>
  <si>
    <t>online course launch</t>
  </si>
  <si>
    <t>Legacy source data. Confirm whether page remains in current scope.</t>
  </si>
  <si>
    <t>CNT-010</t>
  </si>
  <si>
    <t>custom elearning Content Development</t>
  </si>
  <si>
    <t>Review coverage/indexing, Core Web Vitals and enhancement reports</t>
  </si>
  <si>
    <t>Search Console / PageSpeed</t>
  </si>
  <si>
    <t>P1</t>
  </si>
  <si>
    <t>Technical</t>
  </si>
  <si>
    <t>https://docs.google.com/document/d/1f56qgIxvQ8BxjrmBfliB3yKROdXTLpazw-3e6_4kuHQ/edit?tab=t.5lutc4nxjx8</t>
  </si>
  <si>
    <t>Validate www canonical, redirect chain and sitemap URLs</t>
  </si>
  <si>
    <t>Prevents duplicate/canonical confusion</t>
  </si>
  <si>
    <t>SEO-009</t>
  </si>
  <si>
    <t>Only canonical URLs index</t>
  </si>
  <si>
    <t>AI Visibility</t>
  </si>
  <si>
    <t>CNT-011</t>
  </si>
  <si>
    <t>Check priority questions in Google AI features, ChatGPT, Gemini and Perplexity</t>
  </si>
  <si>
    <t>Audio &amp; Video Production for eLearning</t>
  </si>
  <si>
    <t>See 08 AI Visibility</t>
  </si>
  <si>
    <t>Revalidate legacy 404 case-study URLs and homepage links</t>
  </si>
  <si>
    <t>Removes broken user journeys and crawl waste</t>
  </si>
  <si>
    <t>No broken featured-project links</t>
  </si>
  <si>
    <t>https://docs.google.com/document/d/1f56qgIxvQ8BxjrmBfliB3yKROdXTLpazw-3e6_4kuHQ/edit?tab=t.js459uanpi6m#heading=h.go603l3bm2g</t>
  </si>
  <si>
    <t>KW-004</t>
  </si>
  <si>
    <t>how to create elearning courses</t>
  </si>
  <si>
    <t>Content</t>
  </si>
  <si>
    <t>Map each important service page to one primary keyword</t>
  </si>
  <si>
    <t>Stops keyword cannibalization and speeds briefs</t>
  </si>
  <si>
    <t>SEO-010</t>
  </si>
  <si>
    <t>Clear keyword-to-page ownership</t>
  </si>
  <si>
    <t>P2</t>
  </si>
  <si>
    <t>Backlinks</t>
  </si>
  <si>
    <t>Reporting</t>
  </si>
  <si>
    <t>CNT-012</t>
  </si>
  <si>
    <t>Qualify 20 relevant link opportunities; reject irrelevant/high-risk domains</t>
  </si>
  <si>
    <t>Add GSC and GA4 leads/conversions to weekly reporting</t>
  </si>
  <si>
    <t>Learning Strategy &amp; Consulting</t>
  </si>
  <si>
    <t>Connects SEO activity to business outcomes</t>
  </si>
  <si>
    <t>See 07 Link Opportunities</t>
  </si>
  <si>
    <t>Outreach</t>
  </si>
  <si>
    <t>Lead-focused SEO decisions</t>
  </si>
  <si>
    <t>https://docs.google.com/document/d/1f56qgIxvQ8BxjrmBfliB3yKROdXTLpazw-3e6_4kuHQ/edit?tab=t.ovptwam8j30h#heading=h.d3vlvgz8zawx</t>
  </si>
  <si>
    <t>SEO-011</t>
  </si>
  <si>
    <t>Monthly</t>
  </si>
  <si>
    <t>CNT-013</t>
  </si>
  <si>
    <t>LMS implementation and migration</t>
  </si>
  <si>
    <t>Update organic traffic, keywords, GSC metrics, leads, conversion rate and CWV</t>
  </si>
  <si>
    <t>See 05 Performance</t>
  </si>
  <si>
    <t>KW-005</t>
  </si>
  <si>
    <t>building elearning courses</t>
  </si>
  <si>
    <t>https://docs.google.com/document/d/1f56qgIxvQ8BxjrmBfliB3yKROdXTLpazw-3e6_4kuHQ/edit?tab=t.tohiqah9td47#heading=h.kd718vxvhsby</t>
  </si>
  <si>
    <t>SEO-012</t>
  </si>
  <si>
    <t>Content Governance</t>
  </si>
  <si>
    <t>Remove AR/VR items from active content and keyword planning; retain only in archive</t>
  </si>
  <si>
    <t>See raw archive tabs</t>
  </si>
  <si>
    <t>Done</t>
  </si>
  <si>
    <t>Workbook redesign</t>
  </si>
  <si>
    <t>Deprecated scope removed</t>
  </si>
  <si>
    <t>CNT-014</t>
  </si>
  <si>
    <t>Legacy Content Conversion Services</t>
  </si>
  <si>
    <t>Approved</t>
  </si>
  <si>
    <t>KW-006</t>
  </si>
  <si>
    <t>how to make training interactive</t>
  </si>
  <si>
    <t>SEO-013</t>
  </si>
  <si>
    <t>https://docs.google.com/document/d/1f56qgIxvQ8BxjrmBfliB3yKROdXTLpazw-3e6_4kuHQ/edit?tab=t.o5zfykc0ue96#heading=h.yzndcpkh5oz9</t>
  </si>
  <si>
    <t>Clean existing backlink list into relevant, realistic and policy-safe opportunities</t>
  </si>
  <si>
    <t>In Progress</t>
  </si>
  <si>
    <t>CNT-015</t>
  </si>
  <si>
    <t>Dashboard and Analytics</t>
  </si>
  <si>
    <t>https://docs.google.com/document/d/1f56qgIxvQ8BxjrmBfliB3yKROdXTLpazw-3e6_4kuHQ/edit?tab=t.kzfnsxwralxw</t>
  </si>
  <si>
    <t>SEO-014</t>
  </si>
  <si>
    <t>KW-007</t>
  </si>
  <si>
    <t>done for you course creation</t>
  </si>
  <si>
    <t>Analytics</t>
  </si>
  <si>
    <t>Confirm GA4 key events for review form, contact form and consultation/RFP submissions</t>
  </si>
  <si>
    <t>GA4</t>
  </si>
  <si>
    <t>CNT-016</t>
  </si>
  <si>
    <t>Instructional &amp; UI/UX Design</t>
  </si>
  <si>
    <t>https://theeduassist.com/2508-2/</t>
  </si>
  <si>
    <t>SEO-015</t>
  </si>
  <si>
    <t>Validate Organization, Service, Article, Breadcrumb and applicable FAQ markup</t>
  </si>
  <si>
    <t>KW-008</t>
  </si>
  <si>
    <t>Rich Results Test</t>
  </si>
  <si>
    <t>how to create and sell online courses</t>
  </si>
  <si>
    <t>CNT-017</t>
  </si>
  <si>
    <t>Microlearning &amp; Microsimulations</t>
  </si>
  <si>
    <t>https://docs.google.com/document/d/1f56qgIxvQ8BxjrmBfliB3yKROdXTLpazw-3e6_4kuHQ/edit?tab=t.ux8re1anxvxk</t>
  </si>
  <si>
    <t>CNT-018</t>
  </si>
  <si>
    <t>Gamification</t>
  </si>
  <si>
    <t>KW-009</t>
  </si>
  <si>
    <t>how to create an online course pdf</t>
  </si>
  <si>
    <t>https://docs.google.com/document/d/1f56qgIxvQ8BxjrmBfliB3yKROdXTLpazw-3e6_4kuHQ/edit?tab=t.cxbuvw6ey5v5</t>
  </si>
  <si>
    <t>CNT-019</t>
  </si>
  <si>
    <t>Scenario-Based Learning</t>
  </si>
  <si>
    <t>https://docs.google.com/document/d/1f56qgIxvQ8BxjrmBfliB3yKROdXTLpazw-3e6_4kuHQ/edit?tab=t.kb09wkbrauul</t>
  </si>
  <si>
    <t>CNT-020</t>
  </si>
  <si>
    <t>K-12 Education Services</t>
  </si>
  <si>
    <t>KW-010</t>
  </si>
  <si>
    <t>how to create an online course that sells</t>
  </si>
  <si>
    <t>https://docs.google.com/document/d/1f56qgIxvQ8BxjrmBfliB3yKROdXTLpazw-3e6_4kuHQ/edit?tab=t.79y8aqx5j6vf</t>
  </si>
  <si>
    <t>CNT-021</t>
  </si>
  <si>
    <t>Localization Services</t>
  </si>
  <si>
    <t>https://docs.google.com/document/d/1f56qgIxvQ8BxjrmBfliB3yKROdXTLpazw-3e6_4kuHQ/edit?tab=t.jn7jmx5yzdvy</t>
  </si>
  <si>
    <t>KW-011</t>
  </si>
  <si>
    <t>best selling online courses</t>
  </si>
  <si>
    <t>CNT-022</t>
  </si>
  <si>
    <t>AI-Powered eLearning/AI powered learning and development solution</t>
  </si>
  <si>
    <t>https://docs.google.com/document/d/1f56qgIxvQ8BxjrmBfliB3yKROdXTLpazw-3e6_4kuHQ/edit?tab=t.h7j6bw3izkxj</t>
  </si>
  <si>
    <t>CNT-023</t>
  </si>
  <si>
    <t>FLASH TO HTML5 CONVERSION</t>
  </si>
  <si>
    <t>KW-012</t>
  </si>
  <si>
    <t>best platform to create and sell online courses</t>
  </si>
  <si>
    <t>https://docs.google.com/document/d/1f56qgIxvQ8BxjrmBfliB3yKROdXTLpazw-3e6_4kuHQ/edit?tab=t.ddwmi83vgf1l</t>
  </si>
  <si>
    <t>CNT-024</t>
  </si>
  <si>
    <t>Off the Shelf eLearning</t>
  </si>
  <si>
    <t>KW-013</t>
  </si>
  <si>
    <t>how to create a course to sell</t>
  </si>
  <si>
    <t>https://docs.google.com/document/d/1f56qgIxvQ8BxjrmBfliB3yKROdXTLpazw-3e6_4kuHQ/edit?tab=t.lw91gx7mljhm</t>
  </si>
  <si>
    <t>CNT-025</t>
  </si>
  <si>
    <t>Academic &amp; L&amp;D Staffing Solutions</t>
  </si>
  <si>
    <t>KW-014</t>
  </si>
  <si>
    <t>online training delivery methods</t>
  </si>
  <si>
    <t>How We Deliver course</t>
  </si>
  <si>
    <t>How We Deliver Professional Courses With Speed and Precision</t>
  </si>
  <si>
    <t>CNT-026</t>
  </si>
  <si>
    <t>Get courses delivered with precision and speed. We handle the hard work so you don't have to. See how our professional team gets it done right. Learn more now.</t>
  </si>
  <si>
    <t>Rapid eLearning</t>
  </si>
  <si>
    <t>KW-015</t>
  </si>
  <si>
    <t>e-learning delivery methods</t>
  </si>
  <si>
    <t>https://docs.google.com/document/d/1f56qgIxvQ8BxjrmBfliB3yKROdXTLpazw-3e6_4kuHQ/edit?tab=t.omyv11lgc4a2#heading=h.bzibde1emqqm</t>
  </si>
  <si>
    <t>Commercial+Informational</t>
  </si>
  <si>
    <t>Unmapped</t>
  </si>
  <si>
    <t>Needs Mapping</t>
  </si>
  <si>
    <t>CNT-027</t>
  </si>
  <si>
    <t>Software Simulations</t>
  </si>
  <si>
    <t>https://docs.google.com/document/d/1f56qgIxvQ8BxjrmBfliB3yKROdXTLpazw-3e6_4kuHQ/edit?tab=t.r3tx94tyuyr8</t>
  </si>
  <si>
    <t>Assign to a suitable existing or new page</t>
  </si>
  <si>
    <t>KW-016</t>
  </si>
  <si>
    <t>best service delivery courses</t>
  </si>
  <si>
    <t>CNT-028</t>
  </si>
  <si>
    <t>AI Tutor Solution</t>
  </si>
  <si>
    <t>https://docs.google.com/document/d/1f56qgIxvQ8BxjrmBfliB3yKROdXTLpazw-3e6_4kuHQ/edit?tab=t.pidrf84ynrga</t>
  </si>
  <si>
    <t>KW-017</t>
  </si>
  <si>
    <t>deliver a course</t>
  </si>
  <si>
    <t>CNT-029</t>
  </si>
  <si>
    <t>Free ebooks service</t>
  </si>
  <si>
    <t>https://stratbeans.com/ebooks/</t>
  </si>
  <si>
    <t>KW-018</t>
  </si>
  <si>
    <t>elearning delivery</t>
  </si>
  <si>
    <t>CNT-030</t>
  </si>
  <si>
    <t>AI Student Support Chatbot</t>
  </si>
  <si>
    <t>https://docs.google.com/document/d/1f56qgIxvQ8BxjrmBfliB3yKROdXTLpazw-3e6_4kuHQ/edit?tab=t.71qfpgs68z3g</t>
  </si>
  <si>
    <t>KW-019</t>
  </si>
  <si>
    <t>KEYWORD</t>
  </si>
  <si>
    <t>CNT-031</t>
  </si>
  <si>
    <t>MLearning</t>
  </si>
  <si>
    <t>https://docs.google.com/document/d/1f56qgIxvQ8BxjrmBfliB3yKROdXTLpazw-3e6_4kuHQ/edit?tab=t.9sjf9h2c4hyd#heading=h.3aylpaiph9ja</t>
  </si>
  <si>
    <t>CNT-032</t>
  </si>
  <si>
    <t>Interactive Learning &amp; Branching Scenarios</t>
  </si>
  <si>
    <t>INTENT</t>
  </si>
  <si>
    <t>https://docs.google.com/document/d/1f56qgIxvQ8BxjrmBfliB3yKROdXTLpazw-3e6_4kuHQ/edit?tab=t.wc33h6usj6kx</t>
  </si>
  <si>
    <t>WORD TYPE</t>
  </si>
  <si>
    <t>Title</t>
  </si>
  <si>
    <t>CNT-033</t>
  </si>
  <si>
    <t>L&amp;D Consulting &amp; Advisory</t>
  </si>
  <si>
    <t>https://docs.google.com/document/d/1f56qgIxvQ8BxjrmBfliB3yKROdXTLpazw-3e6_4kuHQ/edit?tab=t.1r05ojcv3l2d</t>
  </si>
  <si>
    <t>Description</t>
  </si>
  <si>
    <t>Linking page</t>
  </si>
  <si>
    <t>KW-020</t>
  </si>
  <si>
    <t>kajabi online course platform</t>
  </si>
  <si>
    <t>CNT-034</t>
  </si>
  <si>
    <t>Off-the-Shelf Corporate Courses/Ecourses OFF the shelf</t>
  </si>
  <si>
    <t>https://www.tuvsud.com/en-in/store/academy-in/corporate-subscription-customized-content-solutions/customised-content-creation</t>
  </si>
  <si>
    <t>KW-021</t>
  </si>
  <si>
    <t>kajabi online courses</t>
  </si>
  <si>
    <t>Expert Kajabi Course Setup to Scale Your Business-theEduAssist</t>
  </si>
  <si>
    <t>Scale your business with pro Kajabi course setup. theEduAssist handles the tech so you can teach. Book your setup call and launch your offer now.</t>
  </si>
  <si>
    <t>https://theeduassist.com/blog/7-powerful-kajabi-course-creation-services/</t>
  </si>
  <si>
    <t>KW-022</t>
  </si>
  <si>
    <t>kajabi online course setup</t>
  </si>
  <si>
    <t>https://theeduassist.com/blog/kajabi-online-course-setup/</t>
  </si>
  <si>
    <t>KW-023</t>
  </si>
  <si>
    <t>setup online course kajabi</t>
  </si>
  <si>
    <t>https://theeduassist.com/blog/kajabi-course-design-explained-how-to-create-online-course-in-2026/</t>
  </si>
  <si>
    <t>KW-024</t>
  </si>
  <si>
    <t>kajabi course setup</t>
  </si>
  <si>
    <t>https://theeduassist.com/blog/kajabi-course-design/</t>
  </si>
  <si>
    <t>KW-025</t>
  </si>
  <si>
    <t>online course setup</t>
  </si>
  <si>
    <t>https://theeduassist.com/blog/kajabi-drip-course-setup/</t>
  </si>
  <si>
    <t>KW-026</t>
  </si>
  <si>
    <t>how to create a course on kajabi</t>
  </si>
  <si>
    <t>KW-027</t>
  </si>
  <si>
    <t>how to create a course in kajabi</t>
  </si>
  <si>
    <t>KW-028</t>
  </si>
  <si>
    <t>how to create a kajabi course</t>
  </si>
  <si>
    <t>KW-029</t>
  </si>
  <si>
    <t>Kajabi Course Setup Service</t>
  </si>
  <si>
    <t>KW-030</t>
  </si>
  <si>
    <t>KW-031</t>
  </si>
  <si>
    <t>kajabi funnels</t>
  </si>
  <si>
    <t>Expert Kajabi Website &amp; Funnel Setup for More Sales</t>
  </si>
  <si>
    <t>Your Kajabi site should work for you. We build high-converting funnels that boost your revenue. Book your setup call now.</t>
  </si>
  <si>
    <t>https://theeduassist.com/blog/kajabi-website-funnel-services/</t>
  </si>
  <si>
    <t>KW-032</t>
  </si>
  <si>
    <t>kajabi website</t>
  </si>
  <si>
    <t>KW-033</t>
  </si>
  <si>
    <t>kajabi website expert</t>
  </si>
  <si>
    <t>KW-034</t>
  </si>
  <si>
    <t>kajabi sales funnel</t>
  </si>
  <si>
    <t>KW-035</t>
  </si>
  <si>
    <t>best funnels to use on kajabi</t>
  </si>
  <si>
    <t>Technical SEO Issue Log</t>
  </si>
  <si>
    <t>Log verified issues only. Old findings are marked Needs Revalidation until checked against the current www deployment.</t>
  </si>
  <si>
    <t>Issue ID</t>
  </si>
  <si>
    <t>KW-036</t>
  </si>
  <si>
    <t>kajabi course upload services</t>
  </si>
  <si>
    <t>Detected Date</t>
  </si>
  <si>
    <t>Severity</t>
  </si>
  <si>
    <t>Category</t>
  </si>
  <si>
    <t>URL</t>
  </si>
  <si>
    <t>Professional Kajabi Course Upload Service | We Value Your Time</t>
  </si>
  <si>
    <t>Issue</t>
  </si>
  <si>
    <t>SEO / Business Impact</t>
  </si>
  <si>
    <t>Recommended Fix</t>
  </si>
  <si>
    <t>Need your course live? Our professional Kajabi course upload service takes the stress away. We build it right the first time. Hire our experts here.</t>
  </si>
  <si>
    <t>Validation Method</t>
  </si>
  <si>
    <t>Resolved Date</t>
  </si>
  <si>
    <t>Recurrence</t>
  </si>
  <si>
    <t>KW-037</t>
  </si>
  <si>
    <t>kajabi.services</t>
  </si>
  <si>
    <t>ISS-001</t>
  </si>
  <si>
    <t>Legacy workbook</t>
  </si>
  <si>
    <t>Canonical / Redirects</t>
  </si>
  <si>
    <t>Active workbook contained many non-www URLs; current canonical is www</t>
  </si>
  <si>
    <t>Duplicate signals and incorrect reporting if legacy URLs remain in operations</t>
  </si>
  <si>
    <t>Verify one-hop redirects, canonical tags, sitemap and internal links use www</t>
  </si>
  <si>
    <t>KW-038</t>
  </si>
  <si>
    <t>kajabi customer service</t>
  </si>
  <si>
    <t>URL Inspection + curl + sitemap review</t>
  </si>
  <si>
    <t>ISS-002</t>
  </si>
  <si>
    <t>Broken Links</t>
  </si>
  <si>
    <t>https://theeduassist.com/case-study-1/</t>
  </si>
  <si>
    <t>Legacy case study URL previously reported as 404 and visible on homepage</t>
  </si>
  <si>
    <t>Broken user journey and crawl waste</t>
  </si>
  <si>
    <t>Revalidate current featured-project cards; fix links or redirects</t>
  </si>
  <si>
    <t>KW-039</t>
  </si>
  <si>
    <t>kajabi help</t>
  </si>
  <si>
    <t>Crawler + manual click test</t>
  </si>
  <si>
    <t>Navigational+Commercial</t>
  </si>
  <si>
    <t>Also check case-study-2 and case-study-3</t>
  </si>
  <si>
    <t>ISS-003</t>
  </si>
  <si>
    <t>On-page / Conversion</t>
  </si>
  <si>
    <t>Legacy report mentioned missing schema, weak internal linking and no post-submit redirect</t>
  </si>
  <si>
    <t>May weaken trust, tracking and conversion measurement</t>
  </si>
  <si>
    <t>Check live page; add appropriate schema, internal links, confirmation state and GA4 key event if missing</t>
  </si>
  <si>
    <t>Manual test + Rich Results Test + GA4 DebugView</t>
  </si>
  <si>
    <t>KW-040</t>
  </si>
  <si>
    <t>kajabi support</t>
  </si>
  <si>
    <t>Quarterly</t>
  </si>
  <si>
    <t>ISS-004</t>
  </si>
  <si>
    <t>Trust / On-page</t>
  </si>
  <si>
    <t>Legacy report mentioned weak H1, company story, team proof and credentials</t>
  </si>
  <si>
    <t>Reduced trust and weaker decision-stage support</t>
  </si>
  <si>
    <t>Review live page and strengthen verifiable company information, team disciplines, proof and CTA</t>
  </si>
  <si>
    <t>Manual content QA + URL Inspection</t>
  </si>
  <si>
    <t>ISS-005</t>
  </si>
  <si>
    <t>Workbook audit</t>
  </si>
  <si>
    <t>Active keyword plan</t>
  </si>
  <si>
    <t>AR/VR keywords remained in old active research although service scope removed</t>
  </si>
  <si>
    <t>Wastes team time and creates irrelevant content plans</t>
  </si>
  <si>
    <t>Keep AR/VR only in raw archive; do not create active tasks or pages</t>
  </si>
  <si>
    <t>Resolved</t>
  </si>
  <si>
    <t>Redesigned workbook</t>
  </si>
  <si>
    <t>Review active keyword and content tabs</t>
  </si>
  <si>
    <t>ISS-006</t>
  </si>
  <si>
    <t>KW-041</t>
  </si>
  <si>
    <t>Legacy backlink export</t>
  </si>
  <si>
    <t>Kajabi Migration</t>
  </si>
  <si>
    <t>Raw list contains many high-authority but irrelevant/unrealistic domains</t>
  </si>
  <si>
    <t>Can cause wasted outreach and link-spam risk</t>
  </si>
  <si>
    <t>Qualify for topical relevance, editorial fit, realistic route and policy safety before outreach</t>
  </si>
  <si>
    <t>Open</t>
  </si>
  <si>
    <t>Manual relevance and risk review</t>
  </si>
  <si>
    <t>Move to Kajabi: Expert Migration for Your Growth</t>
  </si>
  <si>
    <t>ISS-007</t>
  </si>
  <si>
    <t>Recommended control</t>
  </si>
  <si>
    <t>GA4 / forms</t>
  </si>
  <si>
    <t>SEO reporting does not yet include verified leads and conversion rate in the legacy data</t>
  </si>
  <si>
    <t>Team may optimize vanity metrics instead of business outcomes</t>
  </si>
  <si>
    <t>Track review form, contact, consultation and RFP key events; add to monthly performance sheet</t>
  </si>
  <si>
    <t>Ready to move to Kajabi? Get a clean migration that saves you time. We move your courses and emails fast. Scale your business without the headaches. Call us.</t>
  </si>
  <si>
    <t>GA4 DebugView + form test</t>
  </si>
  <si>
    <t>ISS-008</t>
  </si>
  <si>
    <t>KW-042</t>
  </si>
  <si>
    <t>Kajabi Migration Services</t>
  </si>
  <si>
    <t>Structured Data</t>
  </si>
  <si>
    <t>Site templates</t>
  </si>
  <si>
    <t>Schema must match visible page content and be monitored after deployment</t>
  </si>
  <si>
    <t>Incorrect markup can lose rich-result eligibility</t>
  </si>
  <si>
    <t>Validate applicable Organization, Service, Article and Breadcrumb markup; do not mark hidden or irrelevant content</t>
  </si>
  <si>
    <t>Rich Results Test + Search Console enhancements</t>
  </si>
  <si>
    <t>On deploy</t>
  </si>
  <si>
    <t>ISS-009</t>
  </si>
  <si>
    <t>Indexing</t>
  </si>
  <si>
    <t>XML sitemap</t>
  </si>
  <si>
    <t>Sitemap should contain only canonical, indexable URLs intended for search</t>
  </si>
  <si>
    <t>Noncanonical or obsolete URLs slow QA and confuse reporting</t>
  </si>
  <si>
    <t>Validate sitemap after every routing/content migration; submit in GSC and Bing</t>
  </si>
  <si>
    <t>KW-043</t>
  </si>
  <si>
    <t>migrate from kajabi</t>
  </si>
  <si>
    <t>Sitemap validation + URL inspection</t>
  </si>
  <si>
    <t>ISS-010</t>
  </si>
  <si>
    <t>Core Web Vitals</t>
  </si>
  <si>
    <t>Key templates</t>
  </si>
  <si>
    <t>LCP, INP and CLS are not recorded in the legacy performance tracker</t>
  </si>
  <si>
    <t>Performance regressions may go unnoticed</t>
  </si>
  <si>
    <t>Record field data monthly and create tasks for poor URL groups</t>
  </si>
  <si>
    <t>Search Console CWV + PageSpeed Insights</t>
  </si>
  <si>
    <t>KW-044</t>
  </si>
  <si>
    <t>migrate from kajabi to wordpress</t>
  </si>
  <si>
    <t>KW-045</t>
  </si>
  <si>
    <t>migrate from kajabi to teachable</t>
  </si>
  <si>
    <t>KW-046</t>
  </si>
  <si>
    <t>migrate wordpress to kajabi</t>
  </si>
  <si>
    <t>KW-047</t>
  </si>
  <si>
    <t>migrating from kajabi</t>
  </si>
  <si>
    <t>KW-048</t>
  </si>
  <si>
    <t>kajabi va</t>
  </si>
  <si>
    <t>Hire a Kajabi VA for Reliable Monthly Management</t>
  </si>
  <si>
    <t>Stop wasting hours on tech. Hire a Kajabi VA for reliable monthly management. We fix the bugs and automate your site. Start your easy growth plan now.</t>
  </si>
  <si>
    <t>KW-049</t>
  </si>
  <si>
    <t>hire kajabi experts</t>
  </si>
  <si>
    <t>KW-050</t>
  </si>
  <si>
    <t>virtual teammate client playbook</t>
  </si>
  <si>
    <t>KW-051</t>
  </si>
  <si>
    <t>kajabi virtual assistant</t>
  </si>
  <si>
    <t>KW-052</t>
  </si>
  <si>
    <t>kajabi virtual assistants</t>
  </si>
  <si>
    <t>KW-053</t>
  </si>
  <si>
    <t>virtual assistant kajabi</t>
  </si>
  <si>
    <t>KW-054</t>
  </si>
  <si>
    <t>kajabi virtual assistant for sales page</t>
  </si>
  <si>
    <t>KW-055</t>
  </si>
  <si>
    <t>kajabi virtual assistant for product launch</t>
  </si>
  <si>
    <t>KW-056</t>
  </si>
  <si>
    <t>kajabi packages for the virtual assistant</t>
  </si>
  <si>
    <t>KW-057</t>
  </si>
  <si>
    <t>Kajabi VA services</t>
  </si>
  <si>
    <t>KW-058</t>
  </si>
  <si>
    <t>Kajabi virtual assistant services</t>
  </si>
  <si>
    <t>KW-059</t>
  </si>
  <si>
    <t>Custom e-learning Development Services</t>
  </si>
  <si>
    <t>Custom elearnig Development</t>
  </si>
  <si>
    <t>Keywords Research April 2026</t>
  </si>
  <si>
    <t>KW-060</t>
  </si>
  <si>
    <t>Custom elearning development</t>
  </si>
  <si>
    <t>KW-061</t>
  </si>
  <si>
    <t>custom elearning solutions</t>
  </si>
  <si>
    <t>KW-062</t>
  </si>
  <si>
    <t>custom elearning</t>
  </si>
  <si>
    <t>KW-063</t>
  </si>
  <si>
    <t>custom elearning content development</t>
  </si>
  <si>
    <t>KW-064</t>
  </si>
  <si>
    <t>elearning development</t>
  </si>
  <si>
    <t>KW-065</t>
  </si>
  <si>
    <t>custom elearning course development</t>
  </si>
  <si>
    <t>KW-066</t>
  </si>
  <si>
    <t>elearning localization services</t>
  </si>
  <si>
    <t>E-learning Localization Services</t>
  </si>
  <si>
    <t>KW-067</t>
  </si>
  <si>
    <t>ai powered learning solutions</t>
  </si>
  <si>
    <t>AI Powered learning and development Solutions</t>
  </si>
  <si>
    <t>KW-068</t>
  </si>
  <si>
    <t>e-learning solutions</t>
  </si>
  <si>
    <t>KW-069</t>
  </si>
  <si>
    <t>managed learning environment</t>
  </si>
  <si>
    <t>LMS Implementation &amp; Integration</t>
  </si>
  <si>
    <t>KW-070</t>
  </si>
  <si>
    <t>training management software</t>
  </si>
  <si>
    <t>KW-071</t>
  </si>
  <si>
    <t>lms implementation</t>
  </si>
  <si>
    <t>KW-072</t>
  </si>
  <si>
    <t>lms integration</t>
  </si>
  <si>
    <t>KW-073</t>
  </si>
  <si>
    <t>learning management system integration</t>
  </si>
  <si>
    <t>KW-074</t>
  </si>
  <si>
    <t>lms migration</t>
  </si>
  <si>
    <t>KW-075</t>
  </si>
  <si>
    <t>lms migration services</t>
  </si>
  <si>
    <t>KW-076</t>
  </si>
  <si>
    <t>audio production</t>
  </si>
  <si>
    <t>KW-077</t>
  </si>
  <si>
    <t>audio and video production</t>
  </si>
  <si>
    <t>KW-078</t>
  </si>
  <si>
    <t>voiceover production</t>
  </si>
  <si>
    <t>KW-079</t>
  </si>
  <si>
    <t>3d animation video production</t>
  </si>
  <si>
    <t>KW-080</t>
  </si>
  <si>
    <t>animated videos for elearning</t>
  </si>
  <si>
    <t>Informational+Transational</t>
  </si>
  <si>
    <t>KW-081</t>
  </si>
  <si>
    <t>elearning video production services</t>
  </si>
  <si>
    <t>KW-082</t>
  </si>
  <si>
    <t>audio in elearning</t>
  </si>
  <si>
    <t>KW-083</t>
  </si>
  <si>
    <t>legacy content conversions</t>
  </si>
  <si>
    <t>Legacy Content Conversion</t>
  </si>
  <si>
    <t>KW-084</t>
  </si>
  <si>
    <t>legacy content conversion services</t>
  </si>
  <si>
    <t>KW-085</t>
  </si>
  <si>
    <t>eLearning content conversion</t>
  </si>
  <si>
    <t>KW-086</t>
  </si>
  <si>
    <t>convert flash to html5</t>
  </si>
  <si>
    <t>KW-087</t>
  </si>
  <si>
    <t>ppt to elearning conversion</t>
  </si>
  <si>
    <t>KW-088</t>
  </si>
  <si>
    <t>create interactive elearning</t>
  </si>
  <si>
    <t>KW-089</t>
  </si>
  <si>
    <t>how to make powerpoint interactive</t>
  </si>
  <si>
    <t>For Blog Post(not to include)</t>
  </si>
  <si>
    <t>KW-090</t>
  </si>
  <si>
    <t>how to convert legacy content to eLearning</t>
  </si>
  <si>
    <t>KW-091</t>
  </si>
  <si>
    <t>e learning instructional design</t>
  </si>
  <si>
    <t>KW-092</t>
  </si>
  <si>
    <t>elearning and instructional design</t>
  </si>
  <si>
    <t>KW-093</t>
  </si>
  <si>
    <t>instructional design for e learning</t>
  </si>
  <si>
    <t>KW-094</t>
  </si>
  <si>
    <t>elearning design</t>
  </si>
  <si>
    <t>KW-095</t>
  </si>
  <si>
    <t>custom e learning design</t>
  </si>
  <si>
    <t>KW-096</t>
  </si>
  <si>
    <t>Instructional Design services</t>
  </si>
  <si>
    <t>KW-097</t>
  </si>
  <si>
    <t>elearning ui/ux design services</t>
  </si>
  <si>
    <t>KW-098</t>
  </si>
  <si>
    <t>rapid learning</t>
  </si>
  <si>
    <t>Rapid eLearning Development</t>
  </si>
  <si>
    <t>KW-099</t>
  </si>
  <si>
    <t>rapid elearning</t>
  </si>
  <si>
    <t>KW-100</t>
  </si>
  <si>
    <t>rapid elearning development</t>
  </si>
  <si>
    <t>KW-101</t>
  </si>
  <si>
    <t>rapid elearning services</t>
  </si>
  <si>
    <t>KW-102</t>
  </si>
  <si>
    <t>best rapid elearning services</t>
  </si>
  <si>
    <t>KW-103</t>
  </si>
  <si>
    <t>rapid elearning development company</t>
  </si>
  <si>
    <t>KW-104</t>
  </si>
  <si>
    <t>rapid elearning content development services</t>
  </si>
  <si>
    <t>KW-105</t>
  </si>
  <si>
    <t>rapid elearning development services</t>
  </si>
  <si>
    <t>KW-106</t>
  </si>
  <si>
    <t>elearning analytics</t>
  </si>
  <si>
    <t>KW-107</t>
  </si>
  <si>
    <t>elearning analytics services</t>
  </si>
  <si>
    <t>KW-108</t>
  </si>
  <si>
    <t>elearning data analytics</t>
  </si>
  <si>
    <t>KW-109</t>
  </si>
  <si>
    <t>data analytics in elearning</t>
  </si>
  <si>
    <t>KW-110</t>
  </si>
  <si>
    <t>lms analytics dashboard</t>
  </si>
  <si>
    <t>KW-111</t>
  </si>
  <si>
    <t>learning analytics platform</t>
  </si>
  <si>
    <t>KW-112</t>
  </si>
  <si>
    <t>analytical training solutions</t>
  </si>
  <si>
    <t>KW-113</t>
  </si>
  <si>
    <t>elearning gamification</t>
  </si>
  <si>
    <t>Gamified eLearning</t>
  </si>
  <si>
    <t>KW-114</t>
  </si>
  <si>
    <t>gamified elearning</t>
  </si>
  <si>
    <t>KW-115</t>
  </si>
  <si>
    <t>gamification in e learning</t>
  </si>
  <si>
    <t>KW-116</t>
  </si>
  <si>
    <t>gamification elearning services</t>
  </si>
  <si>
    <t>KW-117</t>
  </si>
  <si>
    <t>gamification in elearning</t>
  </si>
  <si>
    <t>KW-118</t>
  </si>
  <si>
    <t>gamification in training</t>
  </si>
  <si>
    <t>KW-119</t>
  </si>
  <si>
    <t>gamification in employee training</t>
  </si>
  <si>
    <t>KW-120</t>
  </si>
  <si>
    <t>learning and development consulting</t>
  </si>
  <si>
    <t>L&amp;D Consulting &amp; Advisory Services</t>
  </si>
  <si>
    <t>KW-121</t>
  </si>
  <si>
    <t>learning and development consultant</t>
  </si>
  <si>
    <t>KW-122</t>
  </si>
  <si>
    <t>learning &amp; development consultant</t>
  </si>
  <si>
    <t>KW-123</t>
  </si>
  <si>
    <t>learning and development consulting services</t>
  </si>
  <si>
    <t>KW-124</t>
  </si>
  <si>
    <t>l&amp;d consultation services</t>
  </si>
  <si>
    <t>KW-125</t>
  </si>
  <si>
    <t>l&amp;d advisory services</t>
  </si>
  <si>
    <t>KW-126</t>
  </si>
  <si>
    <t>learning strategy consulting</t>
  </si>
  <si>
    <t>KW-127</t>
  </si>
  <si>
    <t>corporate training strategies</t>
  </si>
  <si>
    <t>KW-128</t>
  </si>
  <si>
    <t>corporate training strategy</t>
  </si>
  <si>
    <t>KW-129</t>
  </si>
  <si>
    <t>managed learning transformation services</t>
  </si>
  <si>
    <t>KW-130</t>
  </si>
  <si>
    <t>elearning localization</t>
  </si>
  <si>
    <t>KW-131</t>
  </si>
  <si>
    <t>elearning content localization</t>
  </si>
  <si>
    <t>KW-132</t>
  </si>
  <si>
    <t>elearning translation and localization</t>
  </si>
  <si>
    <t>KW-133</t>
  </si>
  <si>
    <t>elearning translation and localization services</t>
  </si>
  <si>
    <t>KW-134</t>
  </si>
  <si>
    <t>elearning localization service</t>
  </si>
  <si>
    <t>KW-135</t>
  </si>
  <si>
    <t>localizing elearning and translation</t>
  </si>
  <si>
    <t>KW-136</t>
  </si>
  <si>
    <t>microlearning services</t>
  </si>
  <si>
    <t>KW-137</t>
  </si>
  <si>
    <t>microlearning</t>
  </si>
  <si>
    <t>KW-138</t>
  </si>
  <si>
    <t>microlearning solution</t>
  </si>
  <si>
    <t>KW-139</t>
  </si>
  <si>
    <t>microlearning training</t>
  </si>
  <si>
    <t>KW-140</t>
  </si>
  <si>
    <t>microlearning training solutions</t>
  </si>
  <si>
    <t>KW-141</t>
  </si>
  <si>
    <t>microlearning in corporate training</t>
  </si>
  <si>
    <t>KW-142</t>
  </si>
  <si>
    <t>microsimulation in elearning</t>
  </si>
  <si>
    <t>KW-143</t>
  </si>
  <si>
    <t>microsimulation</t>
  </si>
  <si>
    <t>KW-144</t>
  </si>
  <si>
    <t>mobile learning</t>
  </si>
  <si>
    <t>Mobile Learning Solutions</t>
  </si>
  <si>
    <t>KW-145</t>
  </si>
  <si>
    <t>mlearning</t>
  </si>
  <si>
    <t>KW-146</t>
  </si>
  <si>
    <t>mlearning services</t>
  </si>
  <si>
    <t>KW-147</t>
  </si>
  <si>
    <t>mobile learning services</t>
  </si>
  <si>
    <t>KW-148</t>
  </si>
  <si>
    <t>mobile learning solutions</t>
  </si>
  <si>
    <t>KW-149</t>
  </si>
  <si>
    <t>custom mobile learning solutions</t>
  </si>
  <si>
    <t>KW-150</t>
  </si>
  <si>
    <t>mlearning solutions</t>
  </si>
  <si>
    <t>KW-151</t>
  </si>
  <si>
    <t>off the shelf training courses</t>
  </si>
  <si>
    <t>KW-152</t>
  </si>
  <si>
    <t>off the shelf elearning</t>
  </si>
  <si>
    <t>KW-153</t>
  </si>
  <si>
    <t>off-the-shelf training courses</t>
  </si>
  <si>
    <t>KW-154</t>
  </si>
  <si>
    <t>ready-made elearning courses for employees</t>
  </si>
  <si>
    <t>KW-155</t>
  </si>
  <si>
    <t>ready to use training courses</t>
  </si>
  <si>
    <t>KW-156</t>
  </si>
  <si>
    <t>scenario based training</t>
  </si>
  <si>
    <t>KW-157</t>
  </si>
  <si>
    <t>scenario-based learning</t>
  </si>
  <si>
    <t>KW-158</t>
  </si>
  <si>
    <t>scenario based learning</t>
  </si>
  <si>
    <t>KW-159</t>
  </si>
  <si>
    <t>scenario learning</t>
  </si>
  <si>
    <t>KW-160</t>
  </si>
  <si>
    <t>scenario-based training</t>
  </si>
  <si>
    <t>KW-161</t>
  </si>
  <si>
    <t>scenario training</t>
  </si>
  <si>
    <t>KW-162</t>
  </si>
  <si>
    <t>problem based learning scenarios</t>
  </si>
  <si>
    <t>KW-163</t>
  </si>
  <si>
    <t>k 12 education curriculum</t>
  </si>
  <si>
    <t>KW-164</t>
  </si>
  <si>
    <t>k-12 elearning</t>
  </si>
  <si>
    <t>KW-165</t>
  </si>
  <si>
    <t>k 12 learning management systems</t>
  </si>
  <si>
    <t>KW-166</t>
  </si>
  <si>
    <t>project-based learning k-12 online</t>
  </si>
  <si>
    <t>KW-167</t>
  </si>
  <si>
    <t>k 12 learning solutions</t>
  </si>
  <si>
    <t>KW-168</t>
  </si>
  <si>
    <t>k 12 learning services</t>
  </si>
  <si>
    <t>KW-169</t>
  </si>
  <si>
    <t>what is audio in elearning</t>
  </si>
  <si>
    <t>Blog / Guide</t>
  </si>
  <si>
    <t>Blog keyword</t>
  </si>
  <si>
    <t>Blog title related Keywords</t>
  </si>
  <si>
    <t>KW-170</t>
  </si>
  <si>
    <t>how to create animated elearning videos</t>
  </si>
  <si>
    <t>KW-171</t>
  </si>
  <si>
    <t>key lms features</t>
  </si>
  <si>
    <t>KW-172</t>
  </si>
  <si>
    <t>benefits of lms</t>
  </si>
  <si>
    <t>KW-173</t>
  </si>
  <si>
    <t>what does lms mean</t>
  </si>
  <si>
    <t>KW-174</t>
  </si>
  <si>
    <t>lms implementation checklist</t>
  </si>
  <si>
    <t>KW-175</t>
  </si>
  <si>
    <t>Thinkific</t>
  </si>
  <si>
    <t>Commercial+Navigational</t>
  </si>
  <si>
    <t>KW-176</t>
  </si>
  <si>
    <t>thinkific pricing</t>
  </si>
  <si>
    <t>Navigational+Transational</t>
  </si>
  <si>
    <t>KW-177</t>
  </si>
  <si>
    <t>thinkific review</t>
  </si>
  <si>
    <t>KW-178</t>
  </si>
  <si>
    <t>thinkific pricing plans</t>
  </si>
  <si>
    <t>KW-179</t>
  </si>
  <si>
    <t>thinkific plus pricing</t>
  </si>
  <si>
    <t>KW-180</t>
  </si>
  <si>
    <t>thinkific basic plan</t>
  </si>
  <si>
    <t>KW-181</t>
  </si>
  <si>
    <t>how much does thinkific cost</t>
  </si>
  <si>
    <t>SEO Performance and Business Outcomes</t>
  </si>
  <si>
    <t>Enter one row per reporting period. Use the same data source and date range each time. Record leads and conversion rate alongside visibility metrics.</t>
  </si>
  <si>
    <t>KW-182</t>
  </si>
  <si>
    <t>how to create a thinkific course</t>
  </si>
  <si>
    <t>Date</t>
  </si>
  <si>
    <t>Organic Traffic</t>
  </si>
  <si>
    <t>Organic Keywords</t>
  </si>
  <si>
    <t>Authority</t>
  </si>
  <si>
    <t>Referring Domains</t>
  </si>
  <si>
    <t>Dofollow</t>
  </si>
  <si>
    <t>Nofollow</t>
  </si>
  <si>
    <t>AI Mentions</t>
  </si>
  <si>
    <t>Cited Pages</t>
  </si>
  <si>
    <t>KW-183</t>
  </si>
  <si>
    <t>GSC Clicks</t>
  </si>
  <si>
    <t>what is thinkific</t>
  </si>
  <si>
    <t>GSC Impressions</t>
  </si>
  <si>
    <t>GSC CTR</t>
  </si>
  <si>
    <t>Average Position</t>
  </si>
  <si>
    <t>GA4 Organic Sessions</t>
  </si>
  <si>
    <t>Organic Leads</t>
  </si>
  <si>
    <t>Conversion Rate</t>
  </si>
  <si>
    <t>LCP (s)</t>
  </si>
  <si>
    <t>INP (ms)</t>
  </si>
  <si>
    <t>CLS</t>
  </si>
  <si>
    <t>KW-184</t>
  </si>
  <si>
    <t>thinkific vs. teachable</t>
  </si>
  <si>
    <t>Legacy snapshot; source details not recorded</t>
  </si>
  <si>
    <t>Competitor Benchmark and Gap Tracker</t>
  </si>
  <si>
    <t>Metrics below are an April 2026 legacy snapshot. Refresh before making decisions and record a concrete content or link gap, not only numbers.</t>
  </si>
  <si>
    <t>Competitor ID</t>
  </si>
  <si>
    <t>Competitor</t>
  </si>
  <si>
    <t>Snapshot Date</t>
  </si>
  <si>
    <t>Refresh Status</t>
  </si>
  <si>
    <t>Top Strength</t>
  </si>
  <si>
    <t>Content Gap for TheEduAssist</t>
  </si>
  <si>
    <t>Link Gap / Source</t>
  </si>
  <si>
    <t>Last Checked</t>
  </si>
  <si>
    <t>COM-01</t>
  </si>
  <si>
    <t>https://elearning.folio3.com</t>
  </si>
  <si>
    <t>Refresh Needed</t>
  </si>
  <si>
    <t>Refresh metrics and identify one replicable content advantage</t>
  </si>
  <si>
    <t>COM-02</t>
  </si>
  <si>
    <t>https://www.kytewayelearning.com/</t>
  </si>
  <si>
    <t>COM-03</t>
  </si>
  <si>
    <t>https://www.eidesign.net/</t>
  </si>
  <si>
    <t>COM-04</t>
  </si>
  <si>
    <t>https://bluecarrot.io/</t>
  </si>
  <si>
    <t>COM-05</t>
  </si>
  <si>
    <t>https://elearning.company/</t>
  </si>
  <si>
    <t>COM-06</t>
  </si>
  <si>
    <t>https://www.acadecraft.com/</t>
  </si>
  <si>
    <t>COM-07</t>
  </si>
  <si>
    <t>https://qquench.ai/our-services/e-learning/</t>
  </si>
  <si>
    <t>COM-08</t>
  </si>
  <si>
    <t>https://redchipsolutions.com/</t>
  </si>
  <si>
    <t>COM-09</t>
  </si>
  <si>
    <t>https://piogroup.net/</t>
  </si>
  <si>
    <t>COM-10</t>
  </si>
  <si>
    <t>https://www.learningeverest.com/</t>
  </si>
  <si>
    <t>COM-11</t>
  </si>
  <si>
    <t>https://stratbeans.com/</t>
  </si>
  <si>
    <t>COM-12</t>
  </si>
  <si>
    <t>https://www.swiftelearningservices.com/</t>
  </si>
  <si>
    <t>COM-13</t>
  </si>
  <si>
    <t>https://www.allencomm.com/</t>
  </si>
  <si>
    <t>COM-14</t>
  </si>
  <si>
    <t>https://www.gpstrategies.com/</t>
  </si>
  <si>
    <t>COM-15</t>
  </si>
  <si>
    <t>https://flearningstudio.com/</t>
  </si>
  <si>
    <t>COM-16</t>
  </si>
  <si>
    <t>http://www.jupiter2000.com/training</t>
  </si>
  <si>
    <t>COM-17</t>
  </si>
  <si>
    <t>https://legacylearningconsultingllc.com/</t>
  </si>
  <si>
    <t>COM-18</t>
  </si>
  <si>
    <t>https://www.chameleon-agency.com/</t>
  </si>
  <si>
    <t>COM-19</t>
  </si>
  <si>
    <t>https://www.vivifysol.com/</t>
  </si>
  <si>
    <t>COM-20</t>
  </si>
  <si>
    <t>https://5kwebtech.com/</t>
  </si>
  <si>
    <t>COM-21</t>
  </si>
  <si>
    <t>https://thelearningedge.eu/</t>
  </si>
  <si>
    <t>COM-22</t>
  </si>
  <si>
    <t>https://tidalvisuals.com/</t>
  </si>
  <si>
    <t>COM-23</t>
  </si>
  <si>
    <t>https://esparkconsultants.com/</t>
  </si>
  <si>
    <t>COM-24</t>
  </si>
  <si>
    <t>https://kaizenlearningservices.com/</t>
  </si>
  <si>
    <t>COM-25</t>
  </si>
  <si>
    <t>https://elearn-experts.com/</t>
  </si>
  <si>
    <t>COM-26</t>
  </si>
  <si>
    <t>https://cozyartzmedia.com/</t>
  </si>
  <si>
    <t>COM-27</t>
  </si>
  <si>
    <t>https://ga-training.com/</t>
  </si>
  <si>
    <t>COM-28</t>
  </si>
  <si>
    <t>http://palinfocom.com/</t>
  </si>
  <si>
    <t>COM-29</t>
  </si>
  <si>
    <t>https://www.brewersassociation.org/edu/online-courses/</t>
  </si>
  <si>
    <t>COM-30</t>
  </si>
  <si>
    <t>https://maplecollabconsulting.com/</t>
  </si>
  <si>
    <t>COM-31</t>
  </si>
  <si>
    <t>https://sdlcorp.in/</t>
  </si>
  <si>
    <t>COM-32</t>
  </si>
  <si>
    <t>https://joyoptions.org/joy-e-learning-courses/</t>
  </si>
  <si>
    <t>COM-33</t>
  </si>
  <si>
    <t>https://wizcabin.com/</t>
  </si>
  <si>
    <t>COM-34</t>
  </si>
  <si>
    <t>https://jupitered.com/</t>
  </si>
  <si>
    <t>Link Opportunity Qualification</t>
  </si>
  <si>
    <t>Raw domains are not outreach targets until they pass relevance, realism and risk checks. Avoid link exchanges, paid ranking links and low-quality directories.</t>
  </si>
  <si>
    <t>Opportunity ID</t>
  </si>
  <si>
    <t>Domain</t>
  </si>
  <si>
    <t>Example URL</t>
  </si>
  <si>
    <t>Monthly Visits</t>
  </si>
  <si>
    <t>Why Relevant</t>
  </si>
  <si>
    <t>Opportunity Type</t>
  </si>
  <si>
    <t>Contact / Submission Route</t>
  </si>
  <si>
    <t>Risk Check</t>
  </si>
  <si>
    <t>Next Step</t>
  </si>
  <si>
    <t>LNK-001</t>
  </si>
  <si>
    <t>medium.com</t>
  </si>
  <si>
    <t>https://medium.com/</t>
  </si>
  <si>
    <t>Needs manual topical review</t>
  </si>
  <si>
    <t>Editorial contribution / resource inclusion</t>
  </si>
  <si>
    <t>Manual review required</t>
  </si>
  <si>
    <t>Unqualified</t>
  </si>
  <si>
    <t>Confirm relevance and realistic outreach path</t>
  </si>
  <si>
    <t>Legacy competitor/export source</t>
  </si>
  <si>
    <t>LNK-002</t>
  </si>
  <si>
    <t>businessinsider.com</t>
  </si>
  <si>
    <t>www.emarketer.com</t>
  </si>
  <si>
    <t>LNK-003</t>
  </si>
  <si>
    <t>business-standard.com</t>
  </si>
  <si>
    <t>feedback@business-standard.com</t>
  </si>
  <si>
    <t>LNK-004</t>
  </si>
  <si>
    <t>telkomuniversity.ac.id</t>
  </si>
  <si>
    <t>LNK-005</t>
  </si>
  <si>
    <t>bestcolleges.com</t>
  </si>
  <si>
    <t>LNK-006</t>
  </si>
  <si>
    <t>jobsdb.com</t>
  </si>
  <si>
    <t>LNK-007</t>
  </si>
  <si>
    <t>designrush.com</t>
  </si>
  <si>
    <t>LNK-008</t>
  </si>
  <si>
    <t>aihr.com</t>
  </si>
  <si>
    <t>LNK-009</t>
  </si>
  <si>
    <t>shrm.org</t>
  </si>
  <si>
    <t>LNK-010</t>
  </si>
  <si>
    <t>elearningindustry.com</t>
  </si>
  <si>
    <t>LNK-011</t>
  </si>
  <si>
    <t>fortunebusinessinsights.com</t>
  </si>
  <si>
    <t>LNK-012</t>
  </si>
  <si>
    <t>360learning.com</t>
  </si>
  <si>
    <t>LNK-013</t>
  </si>
  <si>
    <t>breezy.hr</t>
  </si>
  <si>
    <t>LNK-014</t>
  </si>
  <si>
    <t>trainingmag.com</t>
  </si>
  <si>
    <t>LNK-015</t>
  </si>
  <si>
    <t>hotelcareer.de</t>
  </si>
  <si>
    <t>LNK-016</t>
  </si>
  <si>
    <t>learnworlds.com</t>
  </si>
  <si>
    <t>LNK-017</t>
  </si>
  <si>
    <t>thriveglobal.com</t>
  </si>
  <si>
    <t>LNK-018</t>
  </si>
  <si>
    <t>trainingindustry.com</t>
  </si>
  <si>
    <t>LNK-019</t>
  </si>
  <si>
    <t>dawsoncollege.qc.ca</t>
  </si>
  <si>
    <t>LNK-020</t>
  </si>
  <si>
    <t>businessinsurance.com</t>
  </si>
  <si>
    <t>LNK-021</t>
  </si>
  <si>
    <t>diversityjobs.com</t>
  </si>
  <si>
    <t>LNK-022</t>
  </si>
  <si>
    <t>electronicdesign.com</t>
  </si>
  <si>
    <t>LNK-023</t>
  </si>
  <si>
    <t>europeanbusinessmagazine.com</t>
  </si>
  <si>
    <t>LNK-024</t>
  </si>
  <si>
    <t>hrmagazine.co.uk</t>
  </si>
  <si>
    <t>LNK-025</t>
  </si>
  <si>
    <t>hrzone.com</t>
  </si>
  <si>
    <t>LNK-026</t>
  </si>
  <si>
    <t>openeducationalberta.ca</t>
  </si>
  <si>
    <t>LNK-027</t>
  </si>
  <si>
    <t>openlms.net</t>
  </si>
  <si>
    <t>LNK-028</t>
  </si>
  <si>
    <t>chieflearningofficer.com</t>
  </si>
  <si>
    <t>LNK-029</t>
  </si>
  <si>
    <t>elearninginfographics.com</t>
  </si>
  <si>
    <t>LNK-030</t>
  </si>
  <si>
    <t>hrbartender.com</t>
  </si>
  <si>
    <t>LNK-031</t>
  </si>
  <si>
    <t>lemonlearning.com</t>
  </si>
  <si>
    <t>LNK-032</t>
  </si>
  <si>
    <t>hrdailyadvisor.com</t>
  </si>
  <si>
    <t>LNK-033</t>
  </si>
  <si>
    <t>techrseries.com</t>
  </si>
  <si>
    <t>LNK-034</t>
  </si>
  <si>
    <t>hrgrapevine.com</t>
  </si>
  <si>
    <t>LNK-035</t>
  </si>
  <si>
    <t>newuniversity.org</t>
  </si>
  <si>
    <t>LNK-036</t>
  </si>
  <si>
    <t>hotelcareer.com</t>
  </si>
  <si>
    <t>LNK-037</t>
  </si>
  <si>
    <t>learningguild.com</t>
  </si>
  <si>
    <t>LNK-038</t>
  </si>
  <si>
    <t>business.blog</t>
  </si>
  <si>
    <t>LNK-039</t>
  </si>
  <si>
    <t>coursebox.ai</t>
  </si>
  <si>
    <t>LNK-040</t>
  </si>
  <si>
    <t>designwanted.com</t>
  </si>
  <si>
    <t>LNK-041</t>
  </si>
  <si>
    <t>hrotoday.com</t>
  </si>
  <si>
    <t>LNK-042</t>
  </si>
  <si>
    <t>jobs.de</t>
  </si>
  <si>
    <t>LNK-043</t>
  </si>
  <si>
    <t>podcastrepublic.net</t>
  </si>
  <si>
    <t>LNK-044</t>
  </si>
  <si>
    <t>universityxp.com</t>
  </si>
  <si>
    <t>LNK-045</t>
  </si>
  <si>
    <t>jobs.ca</t>
  </si>
  <si>
    <t>LNK-046</t>
  </si>
  <si>
    <t>learningtechnologies.co.uk</t>
  </si>
  <si>
    <t>LNK-047</t>
  </si>
  <si>
    <t>learnit.com</t>
  </si>
  <si>
    <t>LNK-048</t>
  </si>
  <si>
    <t>talentedlearning.com</t>
  </si>
  <si>
    <t>LNK-049</t>
  </si>
  <si>
    <t>businessforhome.org</t>
  </si>
  <si>
    <t>LNK-050</t>
  </si>
  <si>
    <t>elearningart.com</t>
  </si>
  <si>
    <t>LNK-051</t>
  </si>
  <si>
    <t>formosapublisher.org</t>
  </si>
  <si>
    <t>LNK-052</t>
  </si>
  <si>
    <t>getpodcast.com</t>
  </si>
  <si>
    <t>LNK-053</t>
  </si>
  <si>
    <t>jobstore.com</t>
  </si>
  <si>
    <t>AI Search Visibility and Citation Tracking</t>
  </si>
  <si>
    <t>LNK-054</t>
  </si>
  <si>
    <t>rusticisoftware.com</t>
  </si>
  <si>
    <t>Track real questions and whether TheEduAssist is mentioned or cited. There is no special AI markup requirement; indexed, crawlable, useful content remains the foundation.</t>
  </si>
  <si>
    <t>LNK-055</t>
  </si>
  <si>
    <t>thehrdirector.com</t>
  </si>
  <si>
    <t>Query ID</t>
  </si>
  <si>
    <t>Question / Prompt</t>
  </si>
  <si>
    <t>Topic</t>
  </si>
  <si>
    <t>Platform</t>
  </si>
  <si>
    <t>Date Checked</t>
  </si>
  <si>
    <t>Brand Mentioned</t>
  </si>
  <si>
    <t>LNK-056</t>
  </si>
  <si>
    <t>Cited</t>
  </si>
  <si>
    <t>publisherqu.com</t>
  </si>
  <si>
    <t>Cited URL</t>
  </si>
  <si>
    <t>Prominence</t>
  </si>
  <si>
    <t>Competitor Cited</t>
  </si>
  <si>
    <t>Answer Accurate</t>
  </si>
  <si>
    <t>Sentiment</t>
  </si>
  <si>
    <t>Opportunity / Missing Information</t>
  </si>
  <si>
    <t>Next Check</t>
  </si>
  <si>
    <t>LNK-057</t>
  </si>
  <si>
    <t>formalms.org</t>
  </si>
  <si>
    <t>AIQ-001</t>
  </si>
  <si>
    <t>What is a Learning Management System (LMS) and why is it important for my online course?</t>
  </si>
  <si>
    <t>LMS Integration &amp; Consulting</t>
  </si>
  <si>
    <t>Google</t>
  </si>
  <si>
    <t>LNK-058</t>
  </si>
  <si>
    <t>learningnews.com</t>
  </si>
  <si>
    <t>Neutral</t>
  </si>
  <si>
    <t>LNK-059</t>
  </si>
  <si>
    <t>ninjamarketing.it</t>
  </si>
  <si>
    <t>Planned</t>
  </si>
  <si>
    <t>Source/verification note: Google</t>
  </si>
  <si>
    <t>AIQ-002</t>
  </si>
  <si>
    <t>Which LMS is best for launching a small-scale online course — Thinkific, Moodle, or Kajabi?</t>
  </si>
  <si>
    <t>YouTube</t>
  </si>
  <si>
    <t>LNK-060</t>
  </si>
  <si>
    <t>learninglight.com</t>
  </si>
  <si>
    <t>LNK-061</t>
  </si>
  <si>
    <t>businessandfinance.com</t>
  </si>
  <si>
    <t>Source/verification note: YouTube</t>
  </si>
  <si>
    <t>AIQ-003</t>
  </si>
  <si>
    <t>How do I ensure my courses are SCORM-compliant on different LMS platforms?</t>
  </si>
  <si>
    <t>LNK-062</t>
  </si>
  <si>
    <t>epodcastnetwork.com</t>
  </si>
  <si>
    <t>Source/verification note: Competitor Blogs</t>
  </si>
  <si>
    <t>AIQ-004</t>
  </si>
  <si>
    <t>How can I make my courses mobile-friendly across LMS platforms?</t>
  </si>
  <si>
    <t>AI</t>
  </si>
  <si>
    <t>LNK-063</t>
  </si>
  <si>
    <t>hrreview.co.uk</t>
  </si>
  <si>
    <t>Source/verification note: AI</t>
  </si>
  <si>
    <t>AIQ-005</t>
  </si>
  <si>
    <t>What features should I look for in an LMS (quizzes, analytics, payment, integrations)?</t>
  </si>
  <si>
    <t>LNK-064</t>
  </si>
  <si>
    <t>justia.jobs</t>
  </si>
  <si>
    <t>LNK-065</t>
  </si>
  <si>
    <t>trainingzone.co.uk</t>
  </si>
  <si>
    <t>AIQ-006</t>
  </si>
  <si>
    <t>Can I migrate my courses from one LMS to another if needed?</t>
  </si>
  <si>
    <t>LNK-066</t>
  </si>
  <si>
    <t>educationalvoice.co.uk</t>
  </si>
  <si>
    <t>AIQ-007</t>
  </si>
  <si>
    <t>What are the costs associated with different LMS platforms in 2025?</t>
  </si>
  <si>
    <t>LNK-067</t>
  </si>
  <si>
    <t>elearning-journal.com</t>
  </si>
  <si>
    <t>AIQ-008</t>
  </si>
  <si>
    <t>LMS What are the pros and cons of open-source LMS (Moodle) vs paid LMS (Thinkific/Kajabi)?</t>
  </si>
  <si>
    <t>LNK-068</t>
  </si>
  <si>
    <t>elearnmagazine.com</t>
  </si>
  <si>
    <t>LNK-069</t>
  </si>
  <si>
    <t>learnevents.com</t>
  </si>
  <si>
    <t>AIQ-009</t>
  </si>
  <si>
    <t>How can I integrate videos, quizzes, and interactive modules into an LMS?</t>
  </si>
  <si>
    <t>LNK-070</t>
  </si>
  <si>
    <t>marketingmonk.so</t>
  </si>
  <si>
    <t>AIQ-010</t>
  </si>
  <si>
    <t>Is LMS suitable for corporate training or only for public courses?</t>
  </si>
  <si>
    <t>LNK-071</t>
  </si>
  <si>
    <t>podcastguru.io</t>
  </si>
  <si>
    <t>LNK-072</t>
  </si>
  <si>
    <t>shrmconference.org</t>
  </si>
  <si>
    <t>AIQ-011</t>
  </si>
  <si>
    <t>How secure are LMS platforms for storing course content and user data?</t>
  </si>
  <si>
    <t>LNK-073</t>
  </si>
  <si>
    <t>corporatelearningnetwork.com</t>
  </si>
  <si>
    <t>AIQ-012</t>
  </si>
  <si>
    <t>Can I integrate my LMS with other tools like Zoom, Slack, or Salesforce?</t>
  </si>
  <si>
    <t>LNK-074</t>
  </si>
  <si>
    <t>education-reimagined.org</t>
  </si>
  <si>
    <t>AIQ-013</t>
  </si>
  <si>
    <t>Can LMS automate course enrollment, reminders, and certificates for learners?</t>
  </si>
  <si>
    <t>LNK-075</t>
  </si>
  <si>
    <t>elearninginside.com</t>
  </si>
  <si>
    <t>AIQ-014</t>
  </si>
  <si>
    <t>What kind of support and training do LMS providers offer for course creators?</t>
  </si>
  <si>
    <t>LNK-076</t>
  </si>
  <si>
    <t>gomolearning.com</t>
  </si>
  <si>
    <t>LNK-077</t>
  </si>
  <si>
    <t>intrepidlearning.com</t>
  </si>
  <si>
    <t>AIQ-015</t>
  </si>
  <si>
    <t>Can I brand my LMS interface with my company logo and colors?</t>
  </si>
  <si>
    <t>LNK-078</t>
  </si>
  <si>
    <t>jobspikr.com</t>
  </si>
  <si>
    <t>AIQ-016</t>
  </si>
  <si>
    <t>How can LMS help collect feedback and improve courses based on learner input?</t>
  </si>
  <si>
    <t>LNK-079</t>
  </si>
  <si>
    <t>topclasslms.com</t>
  </si>
  <si>
    <t>AIQ-017</t>
  </si>
  <si>
    <t>Do LMS platforms allow learners to access content offline?</t>
  </si>
  <si>
    <t>LNK-080</t>
  </si>
  <si>
    <t>trainingconference.com</t>
  </si>
  <si>
    <t>LNK-081</t>
  </si>
  <si>
    <t>trainingjournal.com</t>
  </si>
  <si>
    <t>AIQ-018</t>
  </si>
  <si>
    <t>Which LMS platforms are best for corporate compliance and certification tracking?</t>
  </si>
  <si>
    <t>LNK-082</t>
  </si>
  <si>
    <t>flearningstudio.com</t>
  </si>
  <si>
    <t>AIQ-019</t>
  </si>
  <si>
    <t>What does “AI-powered course creation” mean and how does it improve eLearning?</t>
  </si>
  <si>
    <t>AI-Powered Course Creation</t>
  </si>
  <si>
    <t>LNK-083</t>
  </si>
  <si>
    <t>trainingmagnetwork.com</t>
  </si>
  <si>
    <t>LNK-084</t>
  </si>
  <si>
    <t>checkpoint-elearning.de</t>
  </si>
  <si>
    <t>AIQ-020</t>
  </si>
  <si>
    <t>Can AI generate course outlines, lessons, and modules automatically?</t>
  </si>
  <si>
    <t>LNK-085</t>
  </si>
  <si>
    <t>christytuckerlearning.com</t>
  </si>
  <si>
    <t>AIQ-021</t>
  </si>
  <si>
    <t>Can AI help me create quizzes and assessments automatically from course content?</t>
  </si>
  <si>
    <t>LNK-086</t>
  </si>
  <si>
    <t>digitalmarketinglive.nl</t>
  </si>
  <si>
    <t>AIQ-022</t>
  </si>
  <si>
    <t>Is AI-generated content accurate and reliable for professional courses?</t>
  </si>
  <si>
    <t>LNK-087</t>
  </si>
  <si>
    <t>edtechjobs.io</t>
  </si>
  <si>
    <t>LNK-088</t>
  </si>
  <si>
    <t>millionpodcasts.com</t>
  </si>
  <si>
    <t>AIQ-023</t>
  </si>
  <si>
    <t>How do I integrate AI-generated content into SCORM-compliant courses?</t>
  </si>
  <si>
    <t>LNK-089</t>
  </si>
  <si>
    <t>podcast.show</t>
  </si>
  <si>
    <t>AIQ-024</t>
  </si>
  <si>
    <t>Can AI help with content translation, captions, or accessibility features?</t>
  </si>
  <si>
    <t>LNK-090</t>
  </si>
  <si>
    <t>truicbusinessideas.com</t>
  </si>
  <si>
    <t>AIQ-025</t>
  </si>
  <si>
    <t>LNK-091</t>
  </si>
  <si>
    <t>designproject.io</t>
  </si>
  <si>
    <t>What are the risks of using AI-generated content (plagiarism, inaccuracy, quality)?</t>
  </si>
  <si>
    <t>LNK-092</t>
  </si>
  <si>
    <t>hrconnect.cl</t>
  </si>
  <si>
    <t>AIQ-026</t>
  </si>
  <si>
    <t>What is the workflow from idea → AI outline → content generation → LMS upload?</t>
  </si>
  <si>
    <t>LNK-093</t>
  </si>
  <si>
    <t>iitjobs.com</t>
  </si>
  <si>
    <t>AIQ-027</t>
  </si>
  <si>
    <t>How much faster is course creation using AI-powered tools versus traditional methods?</t>
  </si>
  <si>
    <t>LNK-094</t>
  </si>
  <si>
    <t>jerhrgroup.com</t>
  </si>
  <si>
    <t>LNK-095</t>
  </si>
  <si>
    <t>roundtablelearning.com</t>
  </si>
  <si>
    <t>AIQ-028</t>
  </si>
  <si>
    <t>Can AI track learner progress, engagement, and completion rates automatically?</t>
  </si>
  <si>
    <t>LNK-096</t>
  </si>
  <si>
    <t>businessfirms.co</t>
  </si>
  <si>
    <t>AIQ-029</t>
  </si>
  <si>
    <t>Do I still need instructional designers if I use AI tools for content creation?</t>
  </si>
  <si>
    <t>LNK-097</t>
  </si>
  <si>
    <t>checkpoint-elearning.com</t>
  </si>
  <si>
    <t>AIQ-030</t>
  </si>
  <si>
    <t>Can AI create videos, animations, or interactive modules for courses?</t>
  </si>
  <si>
    <t>LNK-098</t>
  </si>
  <si>
    <t>e-learning.nl</t>
  </si>
  <si>
    <t>LNK-099</t>
  </si>
  <si>
    <t>hrtechedge.com</t>
  </si>
  <si>
    <t>AIQ-031</t>
  </si>
  <si>
    <t>Can AI personalize learning paths based on learner performance?</t>
  </si>
  <si>
    <t>LNK-100</t>
  </si>
  <si>
    <t>idolcourses.com</t>
  </si>
  <si>
    <t>AIQ-032</t>
  </si>
  <si>
    <t>Which AI tools are best for eLearning content creation in 2025?</t>
  </si>
  <si>
    <t>LNK-101</t>
  </si>
  <si>
    <t>immersivelearning.news</t>
  </si>
  <si>
    <t>AIQ-033</t>
  </si>
  <si>
    <t>Can AI automatically update course content when new information becomes available?</t>
  </si>
  <si>
    <t>LNK-102</t>
  </si>
  <si>
    <t>monumentacademy.net</t>
  </si>
  <si>
    <t>LNK-103</t>
  </si>
  <si>
    <t>digitalmarketingjobs.com</t>
  </si>
  <si>
    <t>AIQ-034</t>
  </si>
  <si>
    <t>Can AI generate automated assessments and grading for learners?</t>
  </si>
  <si>
    <t>LNK-104</t>
  </si>
  <si>
    <t>e-actionlearning.jp</t>
  </si>
  <si>
    <t>AIQ-035</t>
  </si>
  <si>
    <t>How do AI tools integrate with popular LMS platforms like Thinkific or Moodle?</t>
  </si>
  <si>
    <t>LNK-105</t>
  </si>
  <si>
    <t>learnnovators.com</t>
  </si>
  <si>
    <t>AIQ-036</t>
  </si>
  <si>
    <t>Does AI-powered course creation reduce development costs and time?</t>
  </si>
  <si>
    <t>LNK-106</t>
  </si>
  <si>
    <t>learnopoly.com</t>
  </si>
  <si>
    <t>LNK-107</t>
  </si>
  <si>
    <t>AIQ-037</t>
  </si>
  <si>
    <t>lmschef.com</t>
  </si>
  <si>
    <t>How can I ensure AI-generated content meets quality standards before publishing?</t>
  </si>
  <si>
    <t>LNK-108</t>
  </si>
  <si>
    <t>lovelocaljobs.com</t>
  </si>
  <si>
    <t>AIQ-038</t>
  </si>
  <si>
    <t>What trends are emerging for AI in eLearning and course creation?</t>
  </si>
  <si>
    <t>LNK-109</t>
  </si>
  <si>
    <t>te-learning.nl</t>
  </si>
  <si>
    <t>AIQ-039</t>
  </si>
  <si>
    <t>Which corporate courses are best for compliance and regulatory training?</t>
  </si>
  <si>
    <t>Corporate Upskilling &amp; Employee Training Programs</t>
  </si>
  <si>
    <t>LNK-110</t>
  </si>
  <si>
    <t>thelearningawards.com</t>
  </si>
  <si>
    <t>LNK-111</t>
  </si>
  <si>
    <t>comparehris.com</t>
  </si>
  <si>
    <t>AIQ-040</t>
  </si>
  <si>
    <t>How can corporate training improve leadership, communication, and teamwork skills?</t>
  </si>
  <si>
    <t>LNK-112</t>
  </si>
  <si>
    <t>jobs-redefined.co</t>
  </si>
  <si>
    <t>AIQ-041</t>
  </si>
  <si>
    <t>What are the best strategies for upskilling employees in a fast-changing industry?</t>
  </si>
  <si>
    <t>LNK-113</t>
  </si>
  <si>
    <t>mea-hr.com</t>
  </si>
  <si>
    <t>AIQ-042</t>
  </si>
  <si>
    <t>How can training programs increase employee engagement and retention?</t>
  </si>
  <si>
    <t>LNK-114</t>
  </si>
  <si>
    <t>career-intelligence.com</t>
  </si>
  <si>
    <t>AIQ-043</t>
  </si>
  <si>
    <t>LNK-115</t>
  </si>
  <si>
    <t>How do I measure the ROI of corporate training programs?</t>
  </si>
  <si>
    <t>distancelearning.institute</t>
  </si>
  <si>
    <t>LNK-116</t>
  </si>
  <si>
    <t>e-learningcentre.co.uk</t>
  </si>
  <si>
    <t>AIQ-044</t>
  </si>
  <si>
    <t>Which LMS platforms are most suitable for corporate upskilling programs?</t>
  </si>
  <si>
    <t>LNK-117</t>
  </si>
  <si>
    <t>hroutlook.com</t>
  </si>
  <si>
    <t>AIQ-045</t>
  </si>
  <si>
    <t>How can courses be customized to meet different employee roles and departments?</t>
  </si>
  <si>
    <t>LNK-118</t>
  </si>
  <si>
    <t>mightykidsacademy.com</t>
  </si>
  <si>
    <t>AIQ-046</t>
  </si>
  <si>
    <t>What is blended learning and how does it benefit corporate training?</t>
  </si>
  <si>
    <t>LNK-119</t>
  </si>
  <si>
    <t>techlearnconference.com</t>
  </si>
  <si>
    <t>LNK-120</t>
  </si>
  <si>
    <t>winsomemarketing.com</t>
  </si>
  <si>
    <t>AIQ-047</t>
  </si>
  <si>
    <t>How can microlearning be implemented for busy employees?</t>
  </si>
  <si>
    <t>LNK-121</t>
  </si>
  <si>
    <t>e-learnmedia.sk</t>
  </si>
  <si>
    <t>AIQ-048</t>
  </si>
  <si>
    <t>How can employers track certifications and course completions for employees?</t>
  </si>
  <si>
    <t>LNK-122</t>
  </si>
  <si>
    <t>colearn.de</t>
  </si>
  <si>
    <t>SEO Operating Checklists</t>
  </si>
  <si>
    <t>AIQ-049</t>
  </si>
  <si>
    <t>How can employers analyze employee learning data to improve future training programs?</t>
  </si>
  <si>
    <t>LNK-123</t>
  </si>
  <si>
    <t>Copy or schedule these repeatable tasks in the Task Board. The evidence column makes the work auditable and easier to review.</t>
  </si>
  <si>
    <t>designtongue.me</t>
  </si>
  <si>
    <t>Cadence / Trigger</t>
  </si>
  <si>
    <t>When</t>
  </si>
  <si>
    <t>LNK-124</t>
  </si>
  <si>
    <t>readmedium.com</t>
  </si>
  <si>
    <t>AIQ-050</t>
  </si>
  <si>
    <t>How can training programs help identify and close skill gaps in employees?</t>
  </si>
  <si>
    <t>Checklist Item</t>
  </si>
  <si>
    <t>Tool / Source</t>
  </si>
  <si>
    <t>Primary Owner</t>
  </si>
  <si>
    <t>Evidence Required</t>
  </si>
  <si>
    <t>QA Check</t>
  </si>
  <si>
    <t>Escalate When</t>
  </si>
  <si>
    <t>LNK-125</t>
  </si>
  <si>
    <t>2bearsmarketing.com</t>
  </si>
  <si>
    <t>Daily</t>
  </si>
  <si>
    <t>AIQ-051</t>
  </si>
  <si>
    <t>Start of shift</t>
  </si>
  <si>
    <t>What are best practices for creating engaging video content for eLearning?</t>
  </si>
  <si>
    <t>Task Management</t>
  </si>
  <si>
    <t>Content Development &amp; Multimedia Design</t>
  </si>
  <si>
    <t>Review Critical/High and overdue tasks; update owner, blocker and due date</t>
  </si>
  <si>
    <t>01 Task Board</t>
  </si>
  <si>
    <t>Updated task rows</t>
  </si>
  <si>
    <t>LNK-126</t>
  </si>
  <si>
    <t>No unowned critical task</t>
  </si>
  <si>
    <t>cyhrma.org</t>
  </si>
  <si>
    <t>Blocker remains &gt;1 day</t>
  </si>
  <si>
    <t>After work</t>
  </si>
  <si>
    <t>AIQ-052</t>
  </si>
  <si>
    <t>Attach evidence and write outcome, not only 'done'</t>
  </si>
  <si>
    <t>How can animations enhance learner engagement in online courses?</t>
  </si>
  <si>
    <t>All owners</t>
  </si>
  <si>
    <t>URL, screenshot, report or document</t>
  </si>
  <si>
    <t>QA can reproduce result</t>
  </si>
  <si>
    <t>Evidence is missing</t>
  </si>
  <si>
    <t>After publish/update</t>
  </si>
  <si>
    <t>LNK-127</t>
  </si>
  <si>
    <t>Confirm canonical, status code, indexability and sitemap inclusion</t>
  </si>
  <si>
    <t>discoverlearning.com.au</t>
  </si>
  <si>
    <t>URL Inspection / crawler</t>
  </si>
  <si>
    <t>Inspection result</t>
  </si>
  <si>
    <t>Canonical matches www URL</t>
  </si>
  <si>
    <t>Wrong canonical, noindex or 4xx</t>
  </si>
  <si>
    <t>On publish</t>
  </si>
  <si>
    <t>AIQ-053</t>
  </si>
  <si>
    <t>Immediately</t>
  </si>
  <si>
    <t>Why is professional voiceover important in eLearning content?</t>
  </si>
  <si>
    <t>Submit changed URL through supported workflow and update sitemap/IndexNow where implemented</t>
  </si>
  <si>
    <t>GSC / Bing Webmaster</t>
  </si>
  <si>
    <t>Submission log</t>
  </si>
  <si>
    <t>LNK-128</t>
  </si>
  <si>
    <t>URL is canonical and indexable</t>
  </si>
  <si>
    <t>elearncollege.com</t>
  </si>
  <si>
    <t>Submission errors</t>
  </si>
  <si>
    <t>Submission does not guarantee indexing</t>
  </si>
  <si>
    <t>Before release</t>
  </si>
  <si>
    <t>Content QA</t>
  </si>
  <si>
    <t>Check intent match, unique title/meta, one H1, helpful structure, internal links, CTA, author/reviewer proof</t>
  </si>
  <si>
    <t>Page + brief</t>
  </si>
  <si>
    <t>QA checklist</t>
  </si>
  <si>
    <t>No keyword stuffing or unsupported claims</t>
  </si>
  <si>
    <t>Major mismatch with brief</t>
  </si>
  <si>
    <t>LNK-129</t>
  </si>
  <si>
    <t>globalhrworld.com</t>
  </si>
  <si>
    <t>AIQ-054</t>
  </si>
  <si>
    <t>How can interactive modules improve learner retention?</t>
  </si>
  <si>
    <t>Validate only applicable visible content in JSON-LD</t>
  </si>
  <si>
    <t>Test URL/result</t>
  </si>
  <si>
    <t>No critical errors; markup matches page</t>
  </si>
  <si>
    <t>Critical errors or misleading markup</t>
  </si>
  <si>
    <t>LNK-130</t>
  </si>
  <si>
    <t>learnpatch.com</t>
  </si>
  <si>
    <t>Monday</t>
  </si>
  <si>
    <t>Compare clicks and impressions to previous period; review pages/queries with largest changes</t>
  </si>
  <si>
    <t>GSC Performance</t>
  </si>
  <si>
    <t>AIQ-055</t>
  </si>
  <si>
    <t>Export link</t>
  </si>
  <si>
    <t>How can SMEs and instructional designers collaborate on content development?</t>
  </si>
  <si>
    <t>Focus on trends and page/query causes</t>
  </si>
  <si>
    <t>Material traffic drop</t>
  </si>
  <si>
    <t>LNK-131</t>
  </si>
  <si>
    <t>Tuesday</t>
  </si>
  <si>
    <t>archylearning.com</t>
  </si>
  <si>
    <t>Review high-impression low-CTR queries and pages; test title/snippet improvements</t>
  </si>
  <si>
    <t>Opportunity list</t>
  </si>
  <si>
    <t>Query intent matches page</t>
  </si>
  <si>
    <t>CTR decline persists</t>
  </si>
  <si>
    <t>AIQ-056</t>
  </si>
  <si>
    <t>What is storyboarding and how does it help organize course content?</t>
  </si>
  <si>
    <t>Wednesday</t>
  </si>
  <si>
    <t>LNK-132</t>
  </si>
  <si>
    <t>ill-career.co.jp</t>
  </si>
  <si>
    <t>Review indexing, sitemaps, CWV and enhancement reports</t>
  </si>
  <si>
    <t>GSC / PageSpeed</t>
  </si>
  <si>
    <t>Issue list</t>
  </si>
  <si>
    <t>Verified issues logged</t>
  </si>
  <si>
    <t>New critical issue</t>
  </si>
  <si>
    <t>Thursday</t>
  </si>
  <si>
    <t>LNK-133</t>
  </si>
  <si>
    <t>Add relevant links from recent and high-authority pages to priority service pages</t>
  </si>
  <si>
    <t>peopleopsjobs.io</t>
  </si>
  <si>
    <t>Crawler / CMS</t>
  </si>
  <si>
    <t>AIQ-057</t>
  </si>
  <si>
    <t>How can I make multimedia content accessible to learners with disabilities?</t>
  </si>
  <si>
    <t>Updated URLs</t>
  </si>
  <si>
    <t>Anchor is natural and useful</t>
  </si>
  <si>
    <t>Orphan page remains</t>
  </si>
  <si>
    <t>Friday</t>
  </si>
  <si>
    <t>Qualify prospects by relevance, editorial fit, realistic route and risk</t>
  </si>
  <si>
    <t>LNK-134</t>
  </si>
  <si>
    <t>07 Link Opportunities</t>
  </si>
  <si>
    <t>businessseek.biz</t>
  </si>
  <si>
    <t>Qualified rows</t>
  </si>
  <si>
    <t>Reject spam/irrelevant options</t>
  </si>
  <si>
    <t>Paid follow link or exchange requested</t>
  </si>
  <si>
    <t>AIQ-058</t>
  </si>
  <si>
    <t>Check 10 priority questions across selected AI/search platforms</t>
  </si>
  <si>
    <t>What design practices ensure multimedia content works on mobile devices?</t>
  </si>
  <si>
    <t>08 AI Visibility</t>
  </si>
  <si>
    <t>Evidence URLs/screenshots</t>
  </si>
  <si>
    <t>LNK-135</t>
  </si>
  <si>
    <t>Citations are recorded consistently</t>
  </si>
  <si>
    <t>careertown.net</t>
  </si>
  <si>
    <t>Negative/inaccurate brand answer</t>
  </si>
  <si>
    <t>First week</t>
  </si>
  <si>
    <t>Update organic traffic, keywords, GSC, GA4 leads, conversion and CWV</t>
  </si>
  <si>
    <t>05 Performance</t>
  </si>
  <si>
    <t>Completed row + source exports</t>
  </si>
  <si>
    <t>Same date range/source used</t>
  </si>
  <si>
    <t>Unexplained material change</t>
  </si>
  <si>
    <t>LNK-136</t>
  </si>
  <si>
    <t>frozenfirefilms.com</t>
  </si>
  <si>
    <t>AIQ-059</t>
  </si>
  <si>
    <t>How can graphics and visual design improve learning outcomes?</t>
  </si>
  <si>
    <t>Competitors</t>
  </si>
  <si>
    <t>Refresh top competitors and capture one content and one link gap each</t>
  </si>
  <si>
    <t>06 Competitors</t>
  </si>
  <si>
    <t>Updated rows</t>
  </si>
  <si>
    <t>Gap is actionable and relevant</t>
  </si>
  <si>
    <t>Metrics are stale &gt;60 days</t>
  </si>
  <si>
    <t>LNK-137</t>
  </si>
  <si>
    <t>Quarter start</t>
  </si>
  <si>
    <t>southshoreacademyblackpool.co.uk</t>
  </si>
  <si>
    <t>Content Refresh</t>
  </si>
  <si>
    <t>Review declining, outdated or strategically important content</t>
  </si>
  <si>
    <t>GSC + analytics + 03 Pipeline</t>
  </si>
  <si>
    <t>Refresh decisions</t>
  </si>
  <si>
    <t>Facts, dates, links and CTA current</t>
  </si>
  <si>
    <t>Traffic/conversions declining</t>
  </si>
  <si>
    <t>AIQ-060</t>
  </si>
  <si>
    <t>How do I efficiently update multimedia content when information changes?</t>
  </si>
  <si>
    <t>Governance</t>
  </si>
  <si>
    <t>LNK-138</t>
  </si>
  <si>
    <t>Archive out-of-scope keywords/pages and merge duplicate trackers</t>
  </si>
  <si>
    <t>globalhrcommunity.com</t>
  </si>
  <si>
    <t>All tabs</t>
  </si>
  <si>
    <t>Change log</t>
  </si>
  <si>
    <t>No duplicate source of truth</t>
  </si>
  <si>
    <t>Team keeps separate private trackers</t>
  </si>
  <si>
    <t>AIQ-061</t>
  </si>
  <si>
    <t>LNK-139</t>
  </si>
  <si>
    <t>What gamification strategies increase learner engagement in online courses?</t>
  </si>
  <si>
    <t>hranexi.com</t>
  </si>
  <si>
    <t>Learning Experience Design &amp; Gamification</t>
  </si>
  <si>
    <t>LNK-140</t>
  </si>
  <si>
    <t>qualityservicemarketing.com</t>
  </si>
  <si>
    <t>AIQ-062</t>
  </si>
  <si>
    <t>How can microlearning improve retention and learner performance?</t>
  </si>
  <si>
    <t>LNK-141</t>
  </si>
  <si>
    <t>unitedkingdominbusiness.co.uk</t>
  </si>
  <si>
    <t>AIQ-063</t>
  </si>
  <si>
    <t>What types of interactive assessments keep learners engaged?</t>
  </si>
  <si>
    <t>LNK-142</t>
  </si>
  <si>
    <t>usabusinessradio.com</t>
  </si>
  <si>
    <t>AIQ-064</t>
  </si>
  <si>
    <t>How can feedback and analytics improve course design and outcomes?</t>
  </si>
  <si>
    <t>LNK-143</t>
  </si>
  <si>
    <t>elearning.space</t>
  </si>
  <si>
    <t>AIQ-065</t>
  </si>
  <si>
    <t>How can personalized learning paths be designed for different learners?</t>
  </si>
  <si>
    <t>LNK-144</t>
  </si>
  <si>
    <t>businessmad.com</t>
  </si>
  <si>
    <t>AIQ-066</t>
  </si>
  <si>
    <t>LNK-145</t>
  </si>
  <si>
    <t>What motivational strategies help learners complete online courses?</t>
  </si>
  <si>
    <t>hohmannchris.wordpress.com</t>
  </si>
  <si>
    <t>TheEduAssist.com — 1 Month SEO Strategy (All 14 Sections)</t>
  </si>
  <si>
    <t>LNK-146</t>
  </si>
  <si>
    <t>me-hrl.com</t>
  </si>
  <si>
    <t>AIQ-067</t>
  </si>
  <si>
    <t>How does storytelling enhance the learning experience?</t>
  </si>
  <si>
    <t>LNK-147</t>
  </si>
  <si>
    <t>omnihrc.com</t>
  </si>
  <si>
    <t>AIQ-068</t>
  </si>
  <si>
    <t>Can social learning tools (forums, peer groups) boost engagement?</t>
  </si>
  <si>
    <t>01. Executive Plan</t>
  </si>
  <si>
    <t>LNK-148</t>
  </si>
  <si>
    <t>elearningrobie.pl</t>
  </si>
  <si>
    <t>Phase</t>
  </si>
  <si>
    <t>LNK-149</t>
  </si>
  <si>
    <t>jobsnearme.com.au</t>
  </si>
  <si>
    <t>AIQ-069</t>
  </si>
  <si>
    <t>How can simulations be used effectively in online training?</t>
  </si>
  <si>
    <t>LNK-150</t>
  </si>
  <si>
    <t>dx-learning.com</t>
  </si>
  <si>
    <t>Current Objective</t>
  </si>
  <si>
    <t>What We Do</t>
  </si>
  <si>
    <t>AIQ-070</t>
  </si>
  <si>
    <t>What is scenario-based learning and how does it improve decision-making skills?</t>
  </si>
  <si>
    <t>Why</t>
  </si>
  <si>
    <t>LNK-151</t>
  </si>
  <si>
    <t>imhvacmarketing.com</t>
  </si>
  <si>
    <t>Phase 1</t>
  </si>
  <si>
    <t>AIQ-071</t>
  </si>
  <si>
    <t>How should courses be tested for quality before launch?</t>
  </si>
  <si>
    <t>Migration SEO Stabilization</t>
  </si>
  <si>
    <t>Quality Assurance &amp; Course Evaluation</t>
  </si>
  <si>
    <t>Publish/restore migrated existing pages; validate URLs, redirects, canonicals, indexability and sitemap</t>
  </si>
  <si>
    <t>Prevent migration-related ranking/indexation issues</t>
  </si>
  <si>
    <t>Phase 2</t>
  </si>
  <si>
    <t>Existing Content Optimization</t>
  </si>
  <si>
    <t>Optimize existing pages for keyword intent, titles, headings, content, internal links, CTAs and entities</t>
  </si>
  <si>
    <t>LNK-152</t>
  </si>
  <si>
    <t>Improve existing assets before creating new ones</t>
  </si>
  <si>
    <t>leaphr-lifesciences-europe.com</t>
  </si>
  <si>
    <t>Phase 3</t>
  </si>
  <si>
    <t>Indexation &amp; Monitoring</t>
  </si>
  <si>
    <t>Submit/inspect priority URLs in GSC; monitor coverage, impressions, clicks and rankings</t>
  </si>
  <si>
    <t>Confirm Google can discover and process pages</t>
  </si>
  <si>
    <t>Phase 4</t>
  </si>
  <si>
    <t>AIQ-072</t>
  </si>
  <si>
    <t>Authority Building</t>
  </si>
  <si>
    <t>How can learner feedback be collected and analyzed effectively?</t>
  </si>
  <si>
    <t>Build relevant editorial backlinks to priority pages</t>
  </si>
  <si>
    <t>Strengthen authority after optimization</t>
  </si>
  <si>
    <t>Phase 5</t>
  </si>
  <si>
    <t>Content Expansion</t>
  </si>
  <si>
    <t>Identify genuine gaps and create new pages only after stabilization</t>
  </si>
  <si>
    <t>Avoid unnecessary content production</t>
  </si>
  <si>
    <t>LNK-153</t>
  </si>
  <si>
    <t>mypodcastdata.com</t>
  </si>
  <si>
    <t>02. Migration SEO Audit</t>
  </si>
  <si>
    <t>AIQ-073</t>
  </si>
  <si>
    <t>How can courses be continuously improved over time?</t>
  </si>
  <si>
    <t>LNK-154</t>
  </si>
  <si>
    <t>openjobs-ai.com</t>
  </si>
  <si>
    <t>AIQ-074</t>
  </si>
  <si>
    <t>What processes ensure content accuracy and reliability?</t>
  </si>
  <si>
    <t>URL inventory</t>
  </si>
  <si>
    <t>LNK-155</t>
  </si>
  <si>
    <t>Compare old vs new URLs and identify missing/moved pages</t>
  </si>
  <si>
    <t>business-dir.co.uk</t>
  </si>
  <si>
    <t>SEO + Dev</t>
  </si>
  <si>
    <t>Redirects</t>
  </si>
  <si>
    <t>Validate 301 redirects for changed URLs</t>
  </si>
  <si>
    <t>Dev</t>
  </si>
  <si>
    <t>Canonicals</t>
  </si>
  <si>
    <t>Check canonical targets and self-referencing canonicals</t>
  </si>
  <si>
    <t>LNK-156</t>
  </si>
  <si>
    <t>elearningtags.com</t>
  </si>
  <si>
    <t>AIQ-075</t>
  </si>
  <si>
    <t>Indexability</t>
  </si>
  <si>
    <t>How can usability testing improve course navigation and learner experience?</t>
  </si>
  <si>
    <t>Check robots, noindex, status codes and crawlability</t>
  </si>
  <si>
    <t>Sitemap</t>
  </si>
  <si>
    <t>Update and submit clean XML sitemap</t>
  </si>
  <si>
    <t>LNK-157</t>
  </si>
  <si>
    <t>businesscontacts.io</t>
  </si>
  <si>
    <t>03. Technical SEO</t>
  </si>
  <si>
    <t>AIQ-076</t>
  </si>
  <si>
    <t>Evaluation Which metrics are most useful to evaluate course effectiveness?</t>
  </si>
  <si>
    <t>LNK-158</t>
  </si>
  <si>
    <t>businessveyor.com</t>
  </si>
  <si>
    <t>Area</t>
  </si>
  <si>
    <t>404/5xx</t>
  </si>
  <si>
    <t>Find and fix broken/failed URLs</t>
  </si>
  <si>
    <t>Internal links</t>
  </si>
  <si>
    <t>LNK-159</t>
  </si>
  <si>
    <t>Repair broken links and improve contextual linking</t>
  </si>
  <si>
    <t>chriscurnow.com</t>
  </si>
  <si>
    <t>AIQ-077</t>
  </si>
  <si>
    <t>SEO + Content</t>
  </si>
  <si>
    <t>How to ensure courses work on multiple LMS platforms?</t>
  </si>
  <si>
    <t>Review mobile performance and major page-speed issues</t>
  </si>
  <si>
    <t>Validate relevant Organization, Article, Breadcrumb and author markup</t>
  </si>
  <si>
    <t>LNK-160</t>
  </si>
  <si>
    <t>educationtreeglobal.com</t>
  </si>
  <si>
    <t>Images</t>
  </si>
  <si>
    <t>Optimize formats, sizes, filenames and alt text</t>
  </si>
  <si>
    <t>Content + Dev</t>
  </si>
  <si>
    <t>04. Existing Page Optimization</t>
  </si>
  <si>
    <t>AIQ-078</t>
  </si>
  <si>
    <t>How do I verify courses meet compliance standards?</t>
  </si>
  <si>
    <t>LNK-161</t>
  </si>
  <si>
    <t>ejobscircular.com</t>
  </si>
  <si>
    <t>Element</t>
  </si>
  <si>
    <t>LNK-162</t>
  </si>
  <si>
    <t>learningdevelopment.institute</t>
  </si>
  <si>
    <t>Title tags</t>
  </si>
  <si>
    <t>Rewrite around primary intent and improve CTR</t>
  </si>
  <si>
    <t>H1/H2s</t>
  </si>
  <si>
    <t>Align headings with search intent and page structure</t>
  </si>
  <si>
    <t>Refresh outdated/thin sections and improve topical depth</t>
  </si>
  <si>
    <t>LNK-163</t>
  </si>
  <si>
    <t>learningisthenewworking.org</t>
  </si>
  <si>
    <t>Add relevant contextual links to priority pages</t>
  </si>
  <si>
    <t>CTA</t>
  </si>
  <si>
    <t>Improve CTA relevance and conversion path</t>
  </si>
  <si>
    <t>Entities</t>
  </si>
  <si>
    <t>Add clear brand/topic/entity context where useful</t>
  </si>
  <si>
    <t>05. Keyword Mapping</t>
  </si>
  <si>
    <t>LNK-164</t>
  </si>
  <si>
    <t>techmindsoftware.com</t>
  </si>
  <si>
    <t>AIQ-079</t>
  </si>
  <si>
    <t>Keyword Focus</t>
  </si>
  <si>
    <t>How to ensure courses are accessible to all learners?</t>
  </si>
  <si>
    <t>Core pages</t>
  </si>
  <si>
    <t>Primary service/topic terms</t>
  </si>
  <si>
    <t>Existing articles</t>
  </si>
  <si>
    <t>LNK-165</t>
  </si>
  <si>
    <t>Primary + secondary terms</t>
  </si>
  <si>
    <t>freshersjobs24.com</t>
  </si>
  <si>
    <t>BOFU pages</t>
  </si>
  <si>
    <t>Comparison, alternatives, pricing, best-fit queries</t>
  </si>
  <si>
    <t>Transactional</t>
  </si>
  <si>
    <t>Supporting content</t>
  </si>
  <si>
    <t>Long-tail and problem-based queries</t>
  </si>
  <si>
    <t>AIQ-080</t>
  </si>
  <si>
    <t>What are best practices for updating and maintaining online courses?</t>
  </si>
  <si>
    <t>06. Content Audit</t>
  </si>
  <si>
    <t>LNK-166</t>
  </si>
  <si>
    <t>learncourses.us</t>
  </si>
  <si>
    <t>Check</t>
  </si>
  <si>
    <t>LNK-167</t>
  </si>
  <si>
    <t>qualityservicemarketing.blogs.com</t>
  </si>
  <si>
    <t>Traffic</t>
  </si>
  <si>
    <t>Identify pages already receiving impressions/clicks</t>
  </si>
  <si>
    <t>Optimize first</t>
  </si>
  <si>
    <t>Conversions</t>
  </si>
  <si>
    <t>Prioritize pages contributing to leads/signups</t>
  </si>
  <si>
    <t>High priority</t>
  </si>
  <si>
    <t>Cannibalization</t>
  </si>
  <si>
    <t>Find pages targeting overlapping terms</t>
  </si>
  <si>
    <t>Consolidate or differentiate</t>
  </si>
  <si>
    <t>LNK-168</t>
  </si>
  <si>
    <t>1clickeducation.com</t>
  </si>
  <si>
    <t>Thin content</t>
  </si>
  <si>
    <t>Improve weak pages before creating replacements</t>
  </si>
  <si>
    <t>Refresh</t>
  </si>
  <si>
    <t>Outdated content</t>
  </si>
  <si>
    <t>Update facts, examples and references</t>
  </si>
  <si>
    <t>07. Content Optimization Workflow</t>
  </si>
  <si>
    <t>LNK-169</t>
  </si>
  <si>
    <t>borobudur-training.com</t>
  </si>
  <si>
    <t>Step</t>
  </si>
  <si>
    <t>LNK-170</t>
  </si>
  <si>
    <t>schoolscompass.com.ng</t>
  </si>
  <si>
    <t>Review target keyword and current ranking intent</t>
  </si>
  <si>
    <t>Improve title, H1 and headings</t>
  </si>
  <si>
    <t>Expand missing subtopics and answer user questions</t>
  </si>
  <si>
    <t>Add internal links from/to relevant pages</t>
  </si>
  <si>
    <t>Improve CTA and conversion path</t>
  </si>
  <si>
    <t>LNK-171</t>
  </si>
  <si>
    <t>indianbusinessdirectory.in</t>
  </si>
  <si>
    <t>Request indexing after publishing changes</t>
  </si>
  <si>
    <t>08. Internal Linking</t>
  </si>
  <si>
    <t>LNK-172</t>
  </si>
  <si>
    <t>learningplatforms.net</t>
  </si>
  <si>
    <t>Target</t>
  </si>
  <si>
    <t>Purpose</t>
  </si>
  <si>
    <t>High-authority existing pages</t>
  </si>
  <si>
    <t>Priority commercial pages</t>
  </si>
  <si>
    <t>Pass relevance and authority</t>
  </si>
  <si>
    <t>LNK-173</t>
  </si>
  <si>
    <t>liveuaejobs.com</t>
  </si>
  <si>
    <t>Related blog articles</t>
  </si>
  <si>
    <t>Money/service pages</t>
  </si>
  <si>
    <t>Support conversion</t>
  </si>
  <si>
    <t>Pillar pages</t>
  </si>
  <si>
    <t>Cluster articles</t>
  </si>
  <si>
    <t>Strengthen topical structure</t>
  </si>
  <si>
    <t>New/updated content</t>
  </si>
  <si>
    <t>Older relevant content</t>
  </si>
  <si>
    <t>Distribute internal authority</t>
  </si>
  <si>
    <t>LNK-174</t>
  </si>
  <si>
    <t>mycareerfair.my</t>
  </si>
  <si>
    <t>09. BOFU Content Opportunities</t>
  </si>
  <si>
    <t>LNK-175</t>
  </si>
  <si>
    <t>findlocalbusiness.au</t>
  </si>
  <si>
    <t>Opportunity</t>
  </si>
  <si>
    <t>Alternatives</t>
  </si>
  <si>
    <t>Capture users comparing solutions</t>
  </si>
  <si>
    <t>Competitor comparisons</t>
  </si>
  <si>
    <t>Capture solution-selection intent</t>
  </si>
  <si>
    <t>Best tools/resources</t>
  </si>
  <si>
    <t>LNK-176</t>
  </si>
  <si>
    <t>Capture commercial investigation</t>
  </si>
  <si>
    <t>hertsbusinessesdirectory.co.uk</t>
  </si>
  <si>
    <t>Pricing/cost queries</t>
  </si>
  <si>
    <t>Capture high-conversion intent</t>
  </si>
  <si>
    <t>Use-case pages</t>
  </si>
  <si>
    <t>Match specific user needs</t>
  </si>
  <si>
    <t>10. Content Gaps</t>
  </si>
  <si>
    <t>LNK-177</t>
  </si>
  <si>
    <t>hrdailywire.com</t>
  </si>
  <si>
    <t>Gap Type</t>
  </si>
  <si>
    <t>LNK-178</t>
  </si>
  <si>
    <t>kanakadasaschool.in</t>
  </si>
  <si>
    <t>Missing topic</t>
  </si>
  <si>
    <t>Create only where demand and business relevance exist</t>
  </si>
  <si>
    <t>Weak coverage</t>
  </si>
  <si>
    <t>Expand existing page instead of duplicating it</t>
  </si>
  <si>
    <t>Missing comparison</t>
  </si>
  <si>
    <t>Create comparison/alternative content where justified</t>
  </si>
  <si>
    <t>Missing supporting topic</t>
  </si>
  <si>
    <t>LNK-179</t>
  </si>
  <si>
    <t>Add cluster content to strengthen topical authority</t>
  </si>
  <si>
    <t>learninglovers.org</t>
  </si>
  <si>
    <t>11. Off-Page SEO / Backlinks</t>
  </si>
  <si>
    <t>LNK-180</t>
  </si>
  <si>
    <t>lxdlearningexperiencedesign.com</t>
  </si>
  <si>
    <t>Activity</t>
  </si>
  <si>
    <t>Relevant placements</t>
  </si>
  <si>
    <t>Secure editorial backlinks from relevant sites</t>
  </si>
  <si>
    <t>Priority pages</t>
  </si>
  <si>
    <t>Point links to optimized pages rather than random URLs</t>
  </si>
  <si>
    <t>LNK-181</t>
  </si>
  <si>
    <t>Anchor strategy</t>
  </si>
  <si>
    <t>proactivetraining.com.au</t>
  </si>
  <si>
    <t>Keep anchors natural and context-driven</t>
  </si>
  <si>
    <t>Quality control</t>
  </si>
  <si>
    <t>Review relevance, traffic, indexing and spam signals</t>
  </si>
  <si>
    <t>Link velocity</t>
  </si>
  <si>
    <t>Build steadily rather than in sudden bursts</t>
  </si>
  <si>
    <t>LNK-182</t>
  </si>
  <si>
    <t>12. GSC &amp; Indexation</t>
  </si>
  <si>
    <t>uschool.asia</t>
  </si>
  <si>
    <t>LNK-183</t>
  </si>
  <si>
    <t>erickswebsdesign.com</t>
  </si>
  <si>
    <t>URL Inspection</t>
  </si>
  <si>
    <t>Inspect priority URLs after major changes</t>
  </si>
  <si>
    <t>Coverage</t>
  </si>
  <si>
    <t>Review indexed/excluded/error URLs</t>
  </si>
  <si>
    <t>Monitor submitted vs indexed URLs</t>
  </si>
  <si>
    <t>LNK-184</t>
  </si>
  <si>
    <t>jobsfind.click</t>
  </si>
  <si>
    <t>Performance</t>
  </si>
  <si>
    <t>Track clicks, impressions, CTR and position</t>
  </si>
  <si>
    <t>13. Monthly Execution Timeline</t>
  </si>
  <si>
    <t>LNK-185</t>
  </si>
  <si>
    <t>leanbusinessclub.com</t>
  </si>
  <si>
    <t>Week</t>
  </si>
  <si>
    <t>Main Focus</t>
  </si>
  <si>
    <t>Deliverables</t>
  </si>
  <si>
    <t>Week 1</t>
  </si>
  <si>
    <t>Migration + technical stabilization</t>
  </si>
  <si>
    <t>URL validation, redirects, canonicals, sitemap, indexability fixes</t>
  </si>
  <si>
    <t>Week 2</t>
  </si>
  <si>
    <t>Existing content optimization</t>
  </si>
  <si>
    <t>Priority pages refreshed, internal links and on-page fixes</t>
  </si>
  <si>
    <t>LNK-186</t>
  </si>
  <si>
    <t>Week 3</t>
  </si>
  <si>
    <t>Indexation + authority</t>
  </si>
  <si>
    <t>learningoutofthelms.com</t>
  </si>
  <si>
    <t>GSC checks, indexing requests, backlink outreach/building</t>
  </si>
  <si>
    <t>Week 4</t>
  </si>
  <si>
    <t>Measure + expand</t>
  </si>
  <si>
    <t>Performance review, BOFU gaps, next-month priorities</t>
  </si>
  <si>
    <t>14. Reporting &amp; KPIs</t>
  </si>
  <si>
    <t>LNK-187</t>
  </si>
  <si>
    <t>KPI</t>
  </si>
  <si>
    <t>ministryhr.com</t>
  </si>
  <si>
    <t>What to Track</t>
  </si>
  <si>
    <t>Organic clicks</t>
  </si>
  <si>
    <t>Weekly/monthly change</t>
  </si>
  <si>
    <t>Impressions</t>
  </si>
  <si>
    <t>Visibility growth</t>
  </si>
  <si>
    <t>Average position</t>
  </si>
  <si>
    <t>Priority keyword/page movement</t>
  </si>
  <si>
    <t>Indexed pages</t>
  </si>
  <si>
    <t>Valid indexed URLs vs submitted URLs</t>
  </si>
  <si>
    <t>CTR</t>
  </si>
  <si>
    <t>Improve titles/meta based on performance</t>
  </si>
  <si>
    <t>Leads/signups from organic traffic</t>
  </si>
  <si>
    <t>LNK-188</t>
  </si>
  <si>
    <t>globalelearningsolution.com</t>
  </si>
  <si>
    <t>Relevant referring domains and quality placements</t>
  </si>
  <si>
    <t>Next actions</t>
  </si>
  <si>
    <t>Top fixes/opportunities for the following month</t>
  </si>
  <si>
    <t>LNK-189</t>
  </si>
  <si>
    <t>amanahru.blogspot.com</t>
  </si>
  <si>
    <t>LNK-190</t>
  </si>
  <si>
    <t>AI / LLM Action Checklist</t>
  </si>
  <si>
    <t>american-podcasts.com</t>
  </si>
  <si>
    <t>Details</t>
  </si>
  <si>
    <t>Recheck Date</t>
  </si>
  <si>
    <t>communities platform</t>
  </si>
  <si>
    <t>groups,forums etc</t>
  </si>
  <si>
    <t>Legacy checklist; verify ongoing value</t>
  </si>
  <si>
    <t>AI Questions Research</t>
  </si>
  <si>
    <t>Collect 150–200 questions from ChatGPT, Claude, Gemini, Perplexity about LMS, e-learning, SCORM, course development.</t>
  </si>
  <si>
    <t>LNK-191</t>
  </si>
  <si>
    <t>businessperform.com</t>
  </si>
  <si>
    <t>Upload llms.txt</t>
  </si>
  <si>
    <t>Create llms.txt → place it in website root directory. Add homepage, services, industries, about-us, case studies, blog, contact.</t>
  </si>
  <si>
    <t>Add Schema Markup</t>
  </si>
  <si>
    <t>Implement Organization, FAQ, Service, Breadcrumb, Article schema across main pages.</t>
  </si>
  <si>
    <t>Content Audit</t>
  </si>
  <si>
    <t>Review service pages &amp; blogs. Mark each as: Optimize / Expand / Create New. Note missing FAQs.</t>
  </si>
  <si>
    <t>LNK-192</t>
  </si>
  <si>
    <t>christine-arnaud.com</t>
  </si>
  <si>
    <t>Write FAQ Pages (AI Answers Page)</t>
  </si>
  <si>
    <t>Create /ai-answers page. Add: Who we are, What we do, All services, Clear definitions, FAQs, Links to pillar pages.</t>
  </si>
  <si>
    <t>LNK-193</t>
  </si>
  <si>
    <t>Write How-To Guides (3 Articles)</t>
  </si>
  <si>
    <t>communicationbydesign.net</t>
  </si>
  <si>
    <t>3 mini-guides (400–600 words): 1) Build Online Course in 10 Steps, 2) Instructor Training for LMS, 3) Vocational Training Module Design</t>
  </si>
  <si>
    <t>Write Comparison Articles (2–3)</t>
  </si>
  <si>
    <t>LNK-194</t>
  </si>
  <si>
    <t>Compare: 1) Kajabi vs Thinkific vs TheEduAssist, 2) SCORM vs xAPI vs HTML5</t>
  </si>
  <si>
    <t>designsfurnish.com</t>
  </si>
  <si>
    <t>Write List Articles (3)</t>
  </si>
  <si>
    <t>300–500 words: 1) 5 Ways to Boost Engagement, 2) Gamification Techniques, 3) Accessibility Checklist</t>
  </si>
  <si>
    <t>LNK-195</t>
  </si>
  <si>
    <t>greentechshredding.com</t>
  </si>
  <si>
    <t>SEO / Schema Implementation</t>
  </si>
  <si>
    <t>Add FAQPage, HowTo, Article schema. Add internal links to service + pillar pages. Optimize headings/meta.</t>
  </si>
  <si>
    <t>01–05 Dec-2025</t>
  </si>
  <si>
    <t>Connect all articles → pillar pages → AI Answers page → service pages.</t>
  </si>
  <si>
    <t>LNK-196</t>
  </si>
  <si>
    <t>leolearning.com</t>
  </si>
  <si>
    <t>QA &amp; Review</t>
  </si>
  <si>
    <t>Check accuracy, clarity, keywords, schema validation, formatting.</t>
  </si>
  <si>
    <t>LNK-197</t>
  </si>
  <si>
    <t>litesoftware.com</t>
  </si>
  <si>
    <t>SR No</t>
  </si>
  <si>
    <t>Page</t>
  </si>
  <si>
    <t>Page URL</t>
  </si>
  <si>
    <t>Index status</t>
  </si>
  <si>
    <t>SEO Improvements</t>
  </si>
  <si>
    <t>Contact us</t>
  </si>
  <si>
    <t>LNK-198</t>
  </si>
  <si>
    <t>onlinelearningconference.com</t>
  </si>
  <si>
    <t xml:space="preserve">Contact us			</t>
  </si>
  <si>
    <t>https://theeduassist.com/contact-us/</t>
  </si>
  <si>
    <t xml:space="preserve">1. Contact form, after filling, doesn't redirect to any page. 2. Schema Missing. 3. Keyword missing. 4. Missing service reference. 5. Less internal links. </t>
  </si>
  <si>
    <t xml:space="preserve">About us </t>
  </si>
  <si>
    <t>https://theeduassist.com/about-us/</t>
  </si>
  <si>
    <t xml:space="preserve">1. Should have a proper H1 like About Edu Assist. 2. Schema Missing. 3. Keyword missing. 4. Missing Authoritative Credentials. . 5. issing company story section.. 6. Add: Talk to our team to redirect to the contact us page. 7, Missing Team Section. 8, Missing certifications or credentials. </t>
  </si>
  <si>
    <t>Case study</t>
  </si>
  <si>
    <t>Case study 1</t>
  </si>
  <si>
    <t>https://theeduassist.com/case-studies-1/</t>
  </si>
  <si>
    <t>LNK-199</t>
  </si>
  <si>
    <t>buzzshrink.website</t>
  </si>
  <si>
    <t>LNK-200</t>
  </si>
  <si>
    <t>businessfreedirectory.com</t>
  </si>
  <si>
    <t>Home Page</t>
  </si>
  <si>
    <t>GOVERNMENT &amp; SKILLS DEVELOPMENT</t>
  </si>
  <si>
    <t>Not indexed</t>
  </si>
  <si>
    <t>Page is 404. It is also displaying on home page</t>
  </si>
  <si>
    <t>CORPORATE TRAINING</t>
  </si>
  <si>
    <t>https://theeduassist.com/case-study-2/</t>
  </si>
  <si>
    <t>EDUCATIONAL</t>
  </si>
  <si>
    <t>https://theeduassist.com/case-study-3/</t>
  </si>
  <si>
    <t>SR NO</t>
  </si>
  <si>
    <t xml:space="preserve"> KEYWORD</t>
  </si>
  <si>
    <t>VOLUME</t>
  </si>
  <si>
    <t>GLOBAL VOLUME</t>
  </si>
  <si>
    <t>DIFFICULTY</t>
  </si>
  <si>
    <t>TARGETED PAGE</t>
  </si>
  <si>
    <t xml:space="preserve">Description </t>
  </si>
  <si>
    <t xml:space="preserve">Page link </t>
  </si>
  <si>
    <t>1.9k</t>
  </si>
  <si>
    <t>how to create an online course that sells​</t>
  </si>
  <si>
    <t>best selling online courses​</t>
  </si>
  <si>
    <t>best platform to create and sell online courses​</t>
  </si>
  <si>
    <t>best service delivery courses​</t>
  </si>
  <si>
    <t>operating systems course online​</t>
  </si>
  <si>
    <t>HOW WE OPERATE</t>
  </si>
  <si>
    <t>The Secret Way We Build High Quality Courses Fast</t>
  </si>
  <si>
    <t>Discover how we build high quality courses fast. Stop wasting months on planning. Use our proven system to launch your program now. Read the full guide.</t>
  </si>
  <si>
    <t>online operations management courses​</t>
  </si>
  <si>
    <t>operating system online course​</t>
  </si>
  <si>
    <t>operations research course</t>
  </si>
  <si>
    <t>1.2k</t>
  </si>
  <si>
    <t>operations manager courses</t>
  </si>
  <si>
    <t>6.3k</t>
  </si>
  <si>
    <t>training and operations</t>
  </si>
  <si>
    <t xml:space="preserve">Kajabi Service Pages Keywords, Titles, Description. </t>
  </si>
  <si>
    <t xml:space="preserve">Keyword in blog </t>
  </si>
  <si>
    <t>kajabi online course platform​</t>
  </si>
  <si>
    <t>18.1k</t>
  </si>
  <si>
    <t>Kajabi Course Creation Services</t>
  </si>
  <si>
    <t>Setting up your online course on Kajabi</t>
  </si>
  <si>
    <t>professional Kajabi course setup services</t>
  </si>
  <si>
    <t xml:space="preserve">our Kajabi online course </t>
  </si>
  <si>
    <t>Kajabi course setup experts</t>
  </si>
  <si>
    <t>kajabi course setup​</t>
  </si>
  <si>
    <t>Successful Kajabi course creators</t>
  </si>
  <si>
    <t>Kajabi setup specialists</t>
  </si>
  <si>
    <t>online course setup​</t>
  </si>
  <si>
    <t>create a Kajabi course</t>
  </si>
  <si>
    <t>Kajabi course setup strategy</t>
  </si>
  <si>
    <t>how to create a course in kajabi​</t>
  </si>
  <si>
    <t>Kajabi Website &amp; Funnel Setup</t>
  </si>
  <si>
    <t>kajabi funnels​</t>
  </si>
  <si>
    <t>Kajabi website expert services</t>
  </si>
  <si>
    <t>kajabi website​</t>
  </si>
  <si>
    <t>Kajabi sales funnel setup</t>
  </si>
  <si>
    <t>kajabi website expert​</t>
  </si>
  <si>
    <t>best funnels to use on kajabi​</t>
  </si>
  <si>
    <t>Kajabi Course Upload Service</t>
  </si>
  <si>
    <t>kajabi.services​</t>
  </si>
  <si>
    <t xml:space="preserve">Website matrics </t>
  </si>
  <si>
    <t>DATE</t>
  </si>
  <si>
    <t xml:space="preserve">AUTHORITY </t>
  </si>
  <si>
    <t xml:space="preserve">ORGANIC TRAFFIC </t>
  </si>
  <si>
    <t>ORGANIC KEYWORDS</t>
  </si>
  <si>
    <t>REF. DOMAINS</t>
  </si>
  <si>
    <t>BACKLINKS</t>
  </si>
  <si>
    <t xml:space="preserve">DO FOLLOW </t>
  </si>
  <si>
    <t>NO FOLLOW</t>
  </si>
  <si>
    <t>AI VISIBLITY</t>
  </si>
  <si>
    <t xml:space="preserve">MENTIONS </t>
  </si>
  <si>
    <t>CITIED PAGES</t>
  </si>
  <si>
    <t>3.9K</t>
  </si>
  <si>
    <t>2.4k</t>
  </si>
  <si>
    <t>4.4k</t>
  </si>
  <si>
    <t>Kajabi website migration</t>
  </si>
  <si>
    <t>migrate from kajabi​</t>
  </si>
  <si>
    <t>migrate from kajabi to wordpress​</t>
  </si>
  <si>
    <t>migrate from kajabi to teachable​</t>
  </si>
  <si>
    <t>migrate wordpress to kajabi​</t>
  </si>
  <si>
    <t>migrating from kajabi​</t>
  </si>
  <si>
    <t>kajabi virtual assistant/ monthly support services</t>
  </si>
  <si>
    <t>kajabi virtual assistant​</t>
  </si>
  <si>
    <t>kajabi virtual assistants​</t>
  </si>
  <si>
    <t>kajabi virtual assistant for sales page​</t>
  </si>
  <si>
    <t>kajabi virtual assistant for product launch​</t>
  </si>
  <si>
    <t>kajabi packages for the virtual assistant​</t>
  </si>
  <si>
    <t>Competitor List Updated 29-04-26</t>
  </si>
  <si>
    <t xml:space="preserve">COMPETITOR ANALYSIS </t>
  </si>
  <si>
    <t>COMPETITOR WEBSITE</t>
  </si>
  <si>
    <t xml:space="preserve">LINKING WEBSITE </t>
  </si>
  <si>
    <t>WEBSITE TYPE(LINKING)</t>
  </si>
  <si>
    <t>BACKLINKS GET (COMPETITOR WEBSITE)</t>
  </si>
  <si>
    <t>AUTHORITY SCORE (LINKING WEBSITE)</t>
  </si>
  <si>
    <t>MONTHLY VISITORS(LINKING WEB)</t>
  </si>
  <si>
    <t>SR. NO</t>
  </si>
  <si>
    <t>WEBSITE URL</t>
  </si>
  <si>
    <t xml:space="preserve">ORGANIC KEYWORDS </t>
  </si>
  <si>
    <t>AUTHORITY</t>
  </si>
  <si>
    <t xml:space="preserve">BACKLINKS </t>
  </si>
  <si>
    <t xml:space="preserve">AI VISIBLITY </t>
  </si>
  <si>
    <t>TOTAL MENTIONS BY AI</t>
  </si>
  <si>
    <t>https://www.adobe.com/</t>
  </si>
  <si>
    <t>Online Services</t>
  </si>
  <si>
    <t>461M</t>
  </si>
  <si>
    <t>https://www.crunchbase.com/</t>
  </si>
  <si>
    <t>5.1M</t>
  </si>
  <si>
    <t xml:space="preserve">KEYWORD RESEARCH </t>
  </si>
  <si>
    <t>42.5K</t>
  </si>
  <si>
    <t>https://www.articulate.com/</t>
  </si>
  <si>
    <t>Distance Learning</t>
  </si>
  <si>
    <t>3.6M</t>
  </si>
  <si>
    <t>1.4K</t>
  </si>
  <si>
    <t>2.5K</t>
  </si>
  <si>
    <t>21.4K</t>
  </si>
  <si>
    <t>https://elearningindustry.com/</t>
  </si>
  <si>
    <t>335K</t>
  </si>
  <si>
    <t>2.0K</t>
  </si>
  <si>
    <t>4K</t>
  </si>
  <si>
    <t>Custom e-learning Development Services​</t>
  </si>
  <si>
    <t>https://peoplemanagingpeople.com/</t>
  </si>
  <si>
    <t>Computer Software &amp; Development</t>
  </si>
  <si>
    <t>105K</t>
  </si>
  <si>
    <t>Custom elearning development​</t>
  </si>
  <si>
    <t>2.7K</t>
  </si>
  <si>
    <t>custom elearning solutions​</t>
  </si>
  <si>
    <t>1.8K</t>
  </si>
  <si>
    <t>1.6K</t>
  </si>
  <si>
    <t>custom elearning​</t>
  </si>
  <si>
    <t>2.1K</t>
  </si>
  <si>
    <t>4.7K</t>
  </si>
  <si>
    <t>6K</t>
  </si>
  <si>
    <t>91.1K</t>
  </si>
  <si>
    <t>elearning development​</t>
  </si>
  <si>
    <t>custom elearning course development​</t>
  </si>
  <si>
    <t>https://moodle.org/</t>
  </si>
  <si>
    <t>3.1M</t>
  </si>
  <si>
    <t>https://rocketreach.co/</t>
  </si>
  <si>
    <t>custom elearning content development​</t>
  </si>
  <si>
    <t>16M</t>
  </si>
  <si>
    <t>1.2K</t>
  </si>
  <si>
    <t>2.6K</t>
  </si>
  <si>
    <t>6.8K</t>
  </si>
  <si>
    <t>9.5K</t>
  </si>
  <si>
    <t>42.1K</t>
  </si>
  <si>
    <t>e-learning solutions​</t>
  </si>
  <si>
    <t>2.3K</t>
  </si>
  <si>
    <t>1.1K</t>
  </si>
  <si>
    <t>2.4K</t>
  </si>
  <si>
    <t>https://www.goodfirms.co/</t>
  </si>
  <si>
    <t>managed learning environment​</t>
  </si>
  <si>
    <t>3.6K</t>
  </si>
  <si>
    <t>527K</t>
  </si>
  <si>
    <t>11.4k</t>
  </si>
  <si>
    <t>4.3K</t>
  </si>
  <si>
    <t>41K</t>
  </si>
  <si>
    <t>training management software​</t>
  </si>
  <si>
    <t>1.9K</t>
  </si>
  <si>
    <t>4.5k</t>
  </si>
  <si>
    <t>https://coschedule.com/</t>
  </si>
  <si>
    <t>Advertising &amp; Marketing</t>
  </si>
  <si>
    <t>218K</t>
  </si>
  <si>
    <t>lms implementation​</t>
  </si>
  <si>
    <t>4.5K</t>
  </si>
  <si>
    <t>16.6K</t>
  </si>
  <si>
    <t>lms integration​</t>
  </si>
  <si>
    <t>learning management system integration​</t>
  </si>
  <si>
    <t>12.3K</t>
  </si>
  <si>
    <t>6.4K</t>
  </si>
  <si>
    <t>41.8K</t>
  </si>
  <si>
    <t>lms migration​</t>
  </si>
  <si>
    <t>pinterest.com</t>
  </si>
  <si>
    <t>1.4B</t>
  </si>
  <si>
    <t>1K</t>
  </si>
  <si>
    <t>68.3K</t>
  </si>
  <si>
    <t xml:space="preserve">AR &amp; VR Solutions </t>
  </si>
  <si>
    <t>https://www.osu.edu/</t>
  </si>
  <si>
    <t>Education</t>
  </si>
  <si>
    <t>virtual reality training​</t>
  </si>
  <si>
    <t>8.8M</t>
  </si>
  <si>
    <t>1.0K</t>
  </si>
  <si>
    <t>4.2k</t>
  </si>
  <si>
    <t>ark augmented reality​</t>
  </si>
  <si>
    <t>1.7k</t>
  </si>
  <si>
    <t>https://www.fastcompany.com/</t>
  </si>
  <si>
    <t>Publishing</t>
  </si>
  <si>
    <t>5M</t>
  </si>
  <si>
    <t>ar vr agency​</t>
  </si>
  <si>
    <t>40.5k</t>
  </si>
  <si>
    <t>53.2k</t>
  </si>
  <si>
    <t>1.3k</t>
  </si>
  <si>
    <t>vr development services​</t>
  </si>
  <si>
    <t>https://internshala.com/</t>
  </si>
  <si>
    <t>5.3M</t>
  </si>
  <si>
    <t>augmented reality solutions​</t>
  </si>
  <si>
    <t>Virtual reality solutions​</t>
  </si>
  <si>
    <t>ar and vr solutions​</t>
  </si>
  <si>
    <t>1.6k</t>
  </si>
  <si>
    <t>https://www.mynavi.jp/</t>
  </si>
  <si>
    <t>40.8M</t>
  </si>
  <si>
    <t>audio and video production​</t>
  </si>
  <si>
    <t>voiceover production​</t>
  </si>
  <si>
    <t>https://www.nbcnews.com/</t>
  </si>
  <si>
    <t>Mass Media</t>
  </si>
  <si>
    <t>131M</t>
  </si>
  <si>
    <t>3d animation video production​</t>
  </si>
  <si>
    <t>https://substack.com/</t>
  </si>
  <si>
    <t>animated videos for elearning​</t>
  </si>
  <si>
    <t>136M</t>
  </si>
  <si>
    <t>https://www.behance.net/</t>
  </si>
  <si>
    <t>audio in elearning​</t>
  </si>
  <si>
    <t>52.7M</t>
  </si>
  <si>
    <t>4.3k</t>
  </si>
  <si>
    <t>https://libretexts.org/</t>
  </si>
  <si>
    <t>legacy content conversions​</t>
  </si>
  <si>
    <t>9.7M</t>
  </si>
  <si>
    <t>https://www.atlassian.com/#</t>
  </si>
  <si>
    <t>42.5M</t>
  </si>
  <si>
    <t>convert flash to html5​</t>
  </si>
  <si>
    <t>https://link.springer.com/brands/springer</t>
  </si>
  <si>
    <t>ppt to elearning conversion​</t>
  </si>
  <si>
    <t>51.3M</t>
  </si>
  <si>
    <t>https://forbesjapan.com/</t>
  </si>
  <si>
    <t xml:space="preserve">Keywords for Blog </t>
  </si>
  <si>
    <t>https://www.britishcouncil.org/</t>
  </si>
  <si>
    <t>12.3M</t>
  </si>
  <si>
    <t>e learning instructional design​</t>
  </si>
  <si>
    <t>https://www.cisco.com/</t>
  </si>
  <si>
    <t>Information Technology</t>
  </si>
  <si>
    <t>15.2M</t>
  </si>
  <si>
    <t>49.2k</t>
  </si>
  <si>
    <t>35k</t>
  </si>
  <si>
    <t>528k</t>
  </si>
  <si>
    <t>2.3k</t>
  </si>
  <si>
    <t>elearning ui/ux design services​</t>
  </si>
  <si>
    <t>5k</t>
  </si>
  <si>
    <t>rapid learning​</t>
  </si>
  <si>
    <t>1.0k</t>
  </si>
  <si>
    <t>789.8K</t>
  </si>
  <si>
    <t>6k</t>
  </si>
  <si>
    <t>What Are AR and VR in eLearning?</t>
  </si>
  <si>
    <t>66.9k</t>
  </si>
  <si>
    <t>rapid elearning development​</t>
  </si>
  <si>
    <t>what is the difference between augmented reality and virtual reality​</t>
  </si>
  <si>
    <t>1.4k</t>
  </si>
  <si>
    <t>rapid elearning services​</t>
  </si>
  <si>
    <t>best rapid elearning services​</t>
  </si>
  <si>
    <t>key lms features​</t>
  </si>
  <si>
    <t>rapid elearning development company​</t>
  </si>
  <si>
    <t>benefits of lms​</t>
  </si>
  <si>
    <t>rapid elearning content development services​</t>
  </si>
  <si>
    <t>what does lms mean​</t>
  </si>
  <si>
    <t>5.4K</t>
  </si>
  <si>
    <t>rapid elearning development services​</t>
  </si>
  <si>
    <t>7.2k</t>
  </si>
  <si>
    <t>lms implementation checklist​</t>
  </si>
  <si>
    <t>elearning analytics​</t>
  </si>
  <si>
    <t>elearning analytics​ services</t>
  </si>
  <si>
    <t>Keyword research for Blog Post</t>
  </si>
  <si>
    <t>elearning data analytics​</t>
  </si>
  <si>
    <t xml:space="preserve">SR NO </t>
  </si>
  <si>
    <t xml:space="preserve">KEYWORD </t>
  </si>
  <si>
    <t>data analytics in elearning​</t>
  </si>
  <si>
    <t xml:space="preserve">VOLUME </t>
  </si>
  <si>
    <t xml:space="preserve">GLOBAL VOLUME </t>
  </si>
  <si>
    <t>TYPE</t>
  </si>
  <si>
    <t>lms analytics dashboard​</t>
  </si>
  <si>
    <t>22.2K</t>
  </si>
  <si>
    <t>78.4K</t>
  </si>
  <si>
    <t>learning analytics platform​</t>
  </si>
  <si>
    <t>Thinkific: Create Strong and Massive Courses that Actually Work</t>
  </si>
  <si>
    <t>thinkific pricing​</t>
  </si>
  <si>
    <t>4.8K</t>
  </si>
  <si>
    <t>analytical training solutions​</t>
  </si>
  <si>
    <t>thinkific review​</t>
  </si>
  <si>
    <t>Gamified eLearning​</t>
  </si>
  <si>
    <t>thinkific pricing plans​</t>
  </si>
  <si>
    <t>elearning gamification​</t>
  </si>
  <si>
    <t>thinkific plus pricing​</t>
  </si>
  <si>
    <t>gamified elearning​</t>
  </si>
  <si>
    <t>gamification in e learning​</t>
  </si>
  <si>
    <t>how much does thinkific cost​</t>
  </si>
  <si>
    <t>gamification elearning services​</t>
  </si>
  <si>
    <t>how to create a thinkific course​</t>
  </si>
  <si>
    <t>gamification in elearning​</t>
  </si>
  <si>
    <t>what is thinkific​</t>
  </si>
  <si>
    <t>thinkific vs. teachable​</t>
  </si>
  <si>
    <t>gamification in training​</t>
  </si>
  <si>
    <t>1.1k</t>
  </si>
  <si>
    <t>gamification in employee training​</t>
  </si>
  <si>
    <t>learning and development consulting​</t>
  </si>
  <si>
    <t>learning and development consultant​</t>
  </si>
  <si>
    <t>learning &amp; development consultant​</t>
  </si>
  <si>
    <t>l&amp;d consultation services​</t>
  </si>
  <si>
    <t>l&amp;d advisory services​</t>
  </si>
  <si>
    <t>learning strategy consulting​</t>
  </si>
  <si>
    <t>corporate training strategy​</t>
  </si>
  <si>
    <t>managed learning transformation services​</t>
  </si>
  <si>
    <t>elearning localization services​</t>
  </si>
  <si>
    <t xml:space="preserve">elearning localization </t>
  </si>
  <si>
    <t>elearning content localization​</t>
  </si>
  <si>
    <t>elearning translation and localization​</t>
  </si>
  <si>
    <t>elearning translation and localization services​</t>
  </si>
  <si>
    <t>elearning localization service​</t>
  </si>
  <si>
    <t>5.4k</t>
  </si>
  <si>
    <t>25.1k</t>
  </si>
  <si>
    <t>microlearning solution​</t>
  </si>
  <si>
    <t>microlearning training solutions​</t>
  </si>
  <si>
    <t>microlearning in corporate training​</t>
  </si>
  <si>
    <t>Mobile Learning Solutions​</t>
  </si>
  <si>
    <t>mobile learning​</t>
  </si>
  <si>
    <t>7.7k</t>
  </si>
  <si>
    <t>mlearning​</t>
  </si>
  <si>
    <t>38.4k</t>
  </si>
  <si>
    <t>mobile learning services​</t>
  </si>
  <si>
    <t>Unique Value</t>
  </si>
  <si>
    <t>Count</t>
  </si>
  <si>
    <t>mobile learning solutions​</t>
  </si>
  <si>
    <t>Top queries</t>
  </si>
  <si>
    <t>custom mobile learning solutions​</t>
  </si>
  <si>
    <t>mlearning solutions​</t>
  </si>
  <si>
    <t>Off the Shelf eLearning​</t>
  </si>
  <si>
    <t>off the shelf training courses​</t>
  </si>
  <si>
    <t>off the shelf elearning​</t>
  </si>
  <si>
    <t>off-the-shelf training courses​</t>
  </si>
  <si>
    <t>ready-made elearning courses for employees​</t>
  </si>
  <si>
    <t>Instructional Design</t>
  </si>
  <si>
    <t>elearning content development</t>
  </si>
  <si>
    <t>ready to use training courses​</t>
  </si>
  <si>
    <t>Scenario-Based Learning​</t>
  </si>
  <si>
    <t>scenario based training​</t>
  </si>
  <si>
    <t>Course</t>
  </si>
  <si>
    <t>learning retention</t>
  </si>
  <si>
    <t>scenario-based learning​</t>
  </si>
  <si>
    <t>scenario based learning​</t>
  </si>
  <si>
    <t>Elearning</t>
  </si>
  <si>
    <t>electronic learning</t>
  </si>
  <si>
    <t>scenario-based training​</t>
  </si>
  <si>
    <t>scenario training​</t>
  </si>
  <si>
    <t>course</t>
  </si>
  <si>
    <t>problem based learning scenarios​</t>
  </si>
  <si>
    <t>technical proficiency?</t>
  </si>
  <si>
    <t>k 12 education curriculum​</t>
  </si>
  <si>
    <t>Online Instruction</t>
  </si>
  <si>
    <t>k-12 elearning​</t>
  </si>
  <si>
    <t>learning strategies</t>
  </si>
  <si>
    <t>k 12 learning management systems​</t>
  </si>
  <si>
    <t>project-based learning k-12 online​</t>
  </si>
  <si>
    <t>Graphic Design</t>
  </si>
  <si>
    <t>k 12 learning solutions​</t>
  </si>
  <si>
    <t>elearning trends 2026</t>
  </si>
  <si>
    <t>k 12 learning services​</t>
  </si>
  <si>
    <t>Content Writing</t>
  </si>
  <si>
    <t>best moocs 2025</t>
  </si>
  <si>
    <t>keywords list</t>
  </si>
  <si>
    <t>vol</t>
  </si>
  <si>
    <t>Kd</t>
  </si>
  <si>
    <t>Google trends</t>
  </si>
  <si>
    <t>WordPress</t>
  </si>
  <si>
    <t>ai driven content mastery course</t>
  </si>
  <si>
    <t>mooc</t>
  </si>
  <si>
    <t>instructional system design</t>
  </si>
  <si>
    <t>Search Volume</t>
  </si>
  <si>
    <t>Web Development</t>
  </si>
  <si>
    <t>technical skill in cv</t>
  </si>
  <si>
    <t>masters in instructional design</t>
  </si>
  <si>
    <t>moocs 2025</t>
  </si>
  <si>
    <t>specifically designed instruction</t>
  </si>
  <si>
    <t>learning</t>
  </si>
  <si>
    <t>udemy</t>
  </si>
  <si>
    <t>instructional design courses</t>
  </si>
  <si>
    <t>instructional design course</t>
  </si>
  <si>
    <t>Informational/Commercial</t>
  </si>
  <si>
    <t>training</t>
  </si>
  <si>
    <t>class creator</t>
  </si>
  <si>
    <t>what do instructional designers do</t>
  </si>
  <si>
    <t>platform</t>
  </si>
  <si>
    <t>teach start</t>
  </si>
  <si>
    <t>instructional design services</t>
  </si>
  <si>
    <t>elearning development services</t>
  </si>
  <si>
    <t>what does an instructional designer do</t>
  </si>
  <si>
    <t>Web Design</t>
  </si>
  <si>
    <t>learning theories</t>
  </si>
  <si>
    <t>planning and development training</t>
  </si>
  <si>
    <t>Informational/Transactional</t>
  </si>
  <si>
    <t>Referring Domain1 â€“ 100 (4,253)</t>
  </si>
  <si>
    <t>Link</t>
  </si>
  <si>
    <t>Learning Management System</t>
  </si>
  <si>
    <t>AS</t>
  </si>
  <si>
    <t>best elearning tools</t>
  </si>
  <si>
    <t>Matches</t>
  </si>
  <si>
    <t>theeduassist.comtheeduassist.com</t>
  </si>
  <si>
    <t>gpstrategies.comgpstrategies.com</t>
  </si>
  <si>
    <t>learningeverest.comlearningeverest.com</t>
  </si>
  <si>
    <t>elearning.companyelearning.company</t>
  </si>
  <si>
    <t>courses</t>
  </si>
  <si>
    <t>thelearningedge.euthelearningedge.eu</t>
  </si>
  <si>
    <t>how to learn ai in 2025</t>
  </si>
  <si>
    <t>adobe.com</t>
  </si>
  <si>
    <t>https://airtable.com/apphWUswjmwIry4SZ/pagM66mocklT7qYQM/form#sa_src=web-messaging</t>
  </si>
  <si>
    <t>apple.com</t>
  </si>
  <si>
    <t>850M</t>
  </si>
  <si>
    <t>Articulate Storyline</t>
  </si>
  <si>
    <t>google.com</t>
  </si>
  <si>
    <t>ed-tech tools for career guidance</t>
  </si>
  <si>
    <t>112B</t>
  </si>
  <si>
    <t>indeed.com</t>
  </si>
  <si>
    <t>masters in training and development</t>
  </si>
  <si>
    <t>444M</t>
  </si>
  <si>
    <t>custom elearning development</t>
  </si>
  <si>
    <t>Video Production</t>
  </si>
  <si>
    <t>theguardian.com</t>
  </si>
  <si>
    <t>333M</t>
  </si>
  <si>
    <t>what is technical proficiency</t>
  </si>
  <si>
    <t>wikipedia.org</t>
  </si>
  <si>
    <t>https://en.wikisource.org/w/index.php?title=Talk:Community_Portal&amp;action=edit&amp;redlink=1</t>
  </si>
  <si>
    <t>4.9B</t>
  </si>
  <si>
    <t>investing.com</t>
  </si>
  <si>
    <t>212M</t>
  </si>
  <si>
    <t>English</t>
  </si>
  <si>
    <t>teachability</t>
  </si>
  <si>
    <t>116M</t>
  </si>
  <si>
    <t>ca.gov</t>
  </si>
  <si>
    <t>109M</t>
  </si>
  <si>
    <t>Course Creation</t>
  </si>
  <si>
    <t>cnbc.com</t>
  </si>
  <si>
    <t>personal learning environment</t>
  </si>
  <si>
    <t>118M</t>
  </si>
  <si>
    <t>blog.naver.com</t>
  </si>
  <si>
    <t>155M</t>
  </si>
  <si>
    <t>forbes.com</t>
  </si>
  <si>
    <t>83.4M</t>
  </si>
  <si>
    <t>Curriculum Development</t>
  </si>
  <si>
    <t>thinkific logo</t>
  </si>
  <si>
    <t xml:space="preserve">done </t>
  </si>
  <si>
    <t>77.3M</t>
  </si>
  <si>
    <t>nasa.gov</t>
  </si>
  <si>
    <t>research based instructional strategies</t>
  </si>
  <si>
    <t>31.4M</t>
  </si>
  <si>
    <t>Landing Page</t>
  </si>
  <si>
    <t>slideshare.net</t>
  </si>
  <si>
    <t>https://www.slideshare.net/login</t>
  </si>
  <si>
    <t>37.3M</t>
  </si>
  <si>
    <t>custom elearning development services</t>
  </si>
  <si>
    <t>mynavi.jp</t>
  </si>
  <si>
    <t>terminal learning objective</t>
  </si>
  <si>
    <t>nbcnews.com</t>
  </si>
  <si>
    <t>online</t>
  </si>
  <si>
    <t>https://together.nbcuni.com/nbcu-content/</t>
  </si>
  <si>
    <t>elearning developer</t>
  </si>
  <si>
    <t>substack.com</t>
  </si>
  <si>
    <t>what is a learning objective</t>
  </si>
  <si>
    <t>Social Media Marketing</t>
  </si>
  <si>
    <t>saas training best practices</t>
  </si>
  <si>
    <t>6.9M</t>
  </si>
  <si>
    <t>rbc.ru</t>
  </si>
  <si>
    <t>what are the objectives of learning</t>
  </si>
  <si>
    <t>40.7M</t>
  </si>
  <si>
    <t>behance.net</t>
  </si>
  <si>
    <t>Explainer Video</t>
  </si>
  <si>
    <t>problem solving expert apps like solve for me 2025</t>
  </si>
  <si>
    <t>libretexts.org</t>
  </si>
  <si>
    <t>how to write a learning objective</t>
  </si>
  <si>
    <t>atlassian.com</t>
  </si>
  <si>
    <t>Noindex:</t>
  </si>
  <si>
    <t>springer.com</t>
  </si>
  <si>
    <t>bbb.org</t>
  </si>
  <si>
    <t>course outline</t>
  </si>
  <si>
    <t>status</t>
  </si>
  <si>
    <t>17.6M</t>
  </si>
  <si>
    <t xml:space="preserve">HTTP URLS </t>
  </si>
  <si>
    <t>michigan.gov</t>
  </si>
  <si>
    <t>28.6M</t>
  </si>
  <si>
    <t>PHP</t>
  </si>
  <si>
    <t>expert problem solving apps like solve for me 2025</t>
  </si>
  <si>
    <t>glassdoor.com</t>
  </si>
  <si>
    <t>URL's with Error: Crawled-Currently Not Indexed</t>
  </si>
  <si>
    <t>course outline template</t>
  </si>
  <si>
    <t>https://theeduassist.com/page/2/</t>
  </si>
  <si>
    <t>Training</t>
  </si>
  <si>
    <t>noindex, nofollow, max-image-preview:large</t>
  </si>
  <si>
    <t>best lms platform</t>
  </si>
  <si>
    <t>http://theeduassist.com/career/</t>
  </si>
  <si>
    <t>custom elearning services</t>
  </si>
  <si>
    <t>https://theeduassist.com/blog/page/2/</t>
  </si>
  <si>
    <t>meaning of storyboarding</t>
  </si>
  <si>
    <t>32.9M</t>
  </si>
  <si>
    <t>Learning</t>
  </si>
  <si>
    <t>forbesjapan.com</t>
  </si>
  <si>
    <t>STATUS</t>
  </si>
  <si>
    <t>the edu</t>
  </si>
  <si>
    <t>https://theeduassist.com/tag/elearning/page/2/</t>
  </si>
  <si>
    <t>pixnet.net</t>
  </si>
  <si>
    <t>instructional design storyboard</t>
  </si>
  <si>
    <t>10.3M</t>
  </si>
  <si>
    <t>https://theeduassist.com/category/blog/page/2/</t>
  </si>
  <si>
    <t>osu.edu</t>
  </si>
  <si>
    <t>LMS</t>
  </si>
  <si>
    <t>elearning translation services</t>
  </si>
  <si>
    <t>https://theeduassist.com/tag/leadership-course/</t>
  </si>
  <si>
    <t>high content analysis</t>
  </si>
  <si>
    <t>aptoide.com</t>
  </si>
  <si>
    <t>https://theeduassist.com/page/2/?add-to-cart=1252&amp;quantity=1</t>
  </si>
  <si>
    <t>35.5M</t>
  </si>
  <si>
    <t>britishcouncil.org</t>
  </si>
  <si>
    <t>https://theeduassist.com/blog/why-static-slides-fail-and-how-to-create-truly-interactive-content/</t>
  </si>
  <si>
    <t>Program Curriculum</t>
  </si>
  <si>
    <t>cisco.com</t>
  </si>
  <si>
    <t>e-learning course creation trends 2026</t>
  </si>
  <si>
    <t>video content analysis</t>
  </si>
  <si>
    <t>https://theeduassist.com/tag/digital-marketing-training/</t>
  </si>
  <si>
    <t>hubspot.com</t>
  </si>
  <si>
    <t>microlearning platforms</t>
  </si>
  <si>
    <t>52.6M</t>
  </si>
  <si>
    <t>huffpost.com</t>
  </si>
  <si>
    <t>https://theeduassist.com/tag/gamifications/</t>
  </si>
  <si>
    <t>32.8M</t>
  </si>
  <si>
    <t>Writing</t>
  </si>
  <si>
    <t>Internal 4xx Errors (Broken Pages)</t>
  </si>
  <si>
    <t>technical skills resume</t>
  </si>
  <si>
    <t>bit.ly</t>
  </si>
  <si>
    <t>301M</t>
  </si>
  <si>
    <t>https://theeduassist.com/tag/ai-learning/</t>
  </si>
  <si>
    <t>prnewswire.com</t>
  </si>
  <si>
    <t>6M</t>
  </si>
  <si>
    <t>Request indexing</t>
  </si>
  <si>
    <t>moodle.org</t>
  </si>
  <si>
    <t>Communications</t>
  </si>
  <si>
    <t>https://theeduassist.com/case-studies/</t>
  </si>
  <si>
    <t>text/html; charset=UTF-8</t>
  </si>
  <si>
    <t>nextdoor.com</t>
  </si>
  <si>
    <t>151M</t>
  </si>
  <si>
    <t>https://theeduassist.com/blog/instructional-design-services-for-custom-elearning-development-better-learning-outcomes/</t>
  </si>
  <si>
    <t>learning and development strategy</t>
  </si>
  <si>
    <t xml:space="preserve">Request Indexing </t>
  </si>
  <si>
    <t>https://theeduassist.com/wp-content/uploads/2024/04/Team-3.jpg</t>
  </si>
  <si>
    <t>crunchbase.com</t>
  </si>
  <si>
    <t>Adobe Illustrator</t>
  </si>
  <si>
    <t>ieee.org</t>
  </si>
  <si>
    <t>https://theeduassist.com/rapid-elearning/</t>
  </si>
  <si>
    <t>20.6M</t>
  </si>
  <si>
    <t>course outline format</t>
  </si>
  <si>
    <t>marketbeat.com</t>
  </si>
  <si>
    <t>what are learning strategies</t>
  </si>
  <si>
    <t>Not Indexed</t>
  </si>
  <si>
    <t>6.7M</t>
  </si>
  <si>
    <t>https://theeduassist.com/2/</t>
  </si>
  <si>
    <t>marketscreener.com</t>
  </si>
  <si>
    <t>https://theeduassist.com/job-location/remote/</t>
  </si>
  <si>
    <t>Not indexed yet</t>
  </si>
  <si>
    <t>LearnWorlds</t>
  </si>
  <si>
    <t>sketchfab.com</t>
  </si>
  <si>
    <t>https://theeduassist.com/microlearning</t>
  </si>
  <si>
    <t>course outline sample</t>
  </si>
  <si>
    <t>wikibooks.org</t>
  </si>
  <si>
    <t>https://theeduassist.com/blog/personal-learning-environment/</t>
  </si>
  <si>
    <t>2.9M</t>
  </si>
  <si>
    <t>benefits of in person learning</t>
  </si>
  <si>
    <t>yell.com</t>
  </si>
  <si>
    <t>3.2M</t>
  </si>
  <si>
    <t>Adobe Premiere Pro</t>
  </si>
  <si>
    <t>https://theeduassist.com/tag/us/</t>
  </si>
  <si>
    <t>glassdoor.co.in</t>
  </si>
  <si>
    <t>6.8M</t>
  </si>
  <si>
    <t>https://theeduassist.com/tag/skool-course/</t>
  </si>
  <si>
    <t>designing a curriculum</t>
  </si>
  <si>
    <t>lww.com</t>
  </si>
  <si>
    <t>Forms on HTTP / Insecure Forms</t>
  </si>
  <si>
    <t>7.4M</t>
  </si>
  <si>
    <t>zoominfo.com</t>
  </si>
  <si>
    <t>Adobe Photoshop</t>
  </si>
  <si>
    <t>https://theeduassist.com/blog/a-practical-guide-to-planning-and-development-training-for-modern-workforces/</t>
  </si>
  <si>
    <t>17.5M</t>
  </si>
  <si>
    <t>amazonaws.com</t>
  </si>
  <si>
    <t>132M</t>
  </si>
  <si>
    <t>https://theeduassist.com/category/blog/</t>
  </si>
  <si>
    <t>designing curriculum</t>
  </si>
  <si>
    <t xml:space="preserve">http://theeduassist.com/career/ text/html; charset=UTF-8 200 OK 1.1 Non-Indexable </t>
  </si>
  <si>
    <t>findlaw.com</t>
  </si>
  <si>
    <t>5.5M</t>
  </si>
  <si>
    <t>Marketing Strategy</t>
  </si>
  <si>
    <t>https://theeduassist.com/blog/want-to-airbnb-skills-start-with-this-thrilling-course-framework/</t>
  </si>
  <si>
    <t>steemit.com</t>
  </si>
  <si>
    <t>digital learning solution</t>
  </si>
  <si>
    <t>3.5M</t>
  </si>
  <si>
    <t>https://theeduassist.com/blog/thinkific-course-creation-and-lms-management-how-to-create-online-courses-2026/</t>
  </si>
  <si>
    <t>what is curriculum development centre</t>
  </si>
  <si>
    <t>2.7M</t>
  </si>
  <si>
    <t>barchart.com</t>
  </si>
  <si>
    <t>Moodle</t>
  </si>
  <si>
    <t>8M</t>
  </si>
  <si>
    <t>https://theeduassist.com/tag/lms/</t>
  </si>
  <si>
    <t>Title Over 60 char</t>
  </si>
  <si>
    <t>dev.to</t>
  </si>
  <si>
    <t>9.3M</t>
  </si>
  <si>
    <t>curriculum developer work</t>
  </si>
  <si>
    <t>https://theeduassist.com/blog/ai-insights-powering-skills-based-learning-and-professional-growth-in-2026/</t>
  </si>
  <si>
    <t>tunein.com</t>
  </si>
  <si>
    <t>4M</t>
  </si>
  <si>
    <t>updatestar.com</t>
  </si>
  <si>
    <t>LearnDash</t>
  </si>
  <si>
    <t>8.5M</t>
  </si>
  <si>
    <t>https://theeduassist.com/blog/how-to-apply-seta-standards-in-digital-and-blended-learning-environments/</t>
  </si>
  <si>
    <t>https://theeduassist.com/rapid-elearning-development-services/</t>
  </si>
  <si>
    <t>ankara.edu.tr</t>
  </si>
  <si>
    <t>2.5M</t>
  </si>
  <si>
    <t>https://theeduassist.com/blog/continuing-education-creation-how-to-develop-effective-programs-for-professionals-2026/</t>
  </si>
  <si>
    <t>builtin.com</t>
  </si>
  <si>
    <t>https://theeduassist.com/blog/go-high-level-for-education-businesses-what-actually-works/</t>
  </si>
  <si>
    <t>3.3M</t>
  </si>
  <si>
    <t>JavaScript</t>
  </si>
  <si>
    <t>entrepreneur.com</t>
  </si>
  <si>
    <t>https://theeduassist.com/blog/instructional-design-made-simple-with-synthesia-videos-and-indesign-workbooks/</t>
  </si>
  <si>
    <t>https://theeduassist.com/blog/ai-driven-online-learning-from-content-creation-to-skill-mastery/</t>
  </si>
  <si>
    <t>kajabi vs thinkific</t>
  </si>
  <si>
    <t>g2.com</t>
  </si>
  <si>
    <t>3.9M</t>
  </si>
  <si>
    <t>https://theeduassist.com/blog/why-human-error-is-the-leading-cause-of-truck-accidents-and-how-to-prevent-it/</t>
  </si>
  <si>
    <t>glassdoor.co.uk</t>
  </si>
  <si>
    <t>https://theeduassist.com/ar-vr-solutions/</t>
  </si>
  <si>
    <t>6.2M</t>
  </si>
  <si>
    <t>screen design</t>
  </si>
  <si>
    <t>iaea.org</t>
  </si>
  <si>
    <t>1.3M</t>
  </si>
  <si>
    <t>https://theeduassist.com/blog/ai-customized-safety-training/</t>
  </si>
  <si>
    <t>informer.com</t>
  </si>
  <si>
    <t>https://theeduassist.com/blog/elearning-2026-how-technology-is-reshaping-education/</t>
  </si>
  <si>
    <t>Data Entry</t>
  </si>
  <si>
    <t>rocketreach.co</t>
  </si>
  <si>
    <t>https://theeduassist.com/blog/__trashed/</t>
  </si>
  <si>
    <t>https://theeduassist.com/blog/learning-strategies/</t>
  </si>
  <si>
    <t>advfn.com</t>
  </si>
  <si>
    <t>Curriculum Design</t>
  </si>
  <si>
    <t>https://theeduassist.com/blog/why-learners-skip-pop-ups-and-how-better-design-changes-that/</t>
  </si>
  <si>
    <t>binus.ac.id</t>
  </si>
  <si>
    <t>primary and secondary technical domain skills</t>
  </si>
  <si>
    <t>2.2M</t>
  </si>
  <si>
    <t>full service video production</t>
  </si>
  <si>
    <t>encyclopedia.com</t>
  </si>
  <si>
    <t>https://theeduassist.com/course-details/</t>
  </si>
  <si>
    <t>https://theeduassist.com/blog/moocs-and-it-education-a-practical-guide-for-learners-in-2026/</t>
  </si>
  <si>
    <t>1.4M</t>
  </si>
  <si>
    <t>services</t>
  </si>
  <si>
    <t>lawinsider.com</t>
  </si>
  <si>
    <t>what does technical proficiency mean</t>
  </si>
  <si>
    <t>https://theeduassist.com/tag/kajabi/</t>
  </si>
  <si>
    <t>675K</t>
  </si>
  <si>
    <t>https://theeduassist.com/blog/how-to-promote-your-online-course-by-using-teachability-principles-2026/</t>
  </si>
  <si>
    <t>custom learning solutions</t>
  </si>
  <si>
    <t>Competitor Page Link 1</t>
  </si>
  <si>
    <t>oregonlive.com</t>
  </si>
  <si>
    <t>Competitor Page Link 2</t>
  </si>
  <si>
    <t>6.4M</t>
  </si>
  <si>
    <t>https://theeduassist.com/tag/ai/</t>
  </si>
  <si>
    <t>https://theeduassist.com/blog/education-is-the-key-of-success-its-future-2026/</t>
  </si>
  <si>
    <t>thisismoney.co.uk</t>
  </si>
  <si>
    <t>Articulate Rise</t>
  </si>
  <si>
    <t>gamified learning solutions</t>
  </si>
  <si>
    <t>wikiwand.com</t>
  </si>
  <si>
    <t>https://theeduassist.com/blog/gamification-2026-how-to-boost-engagement-learning-and-productivity/</t>
  </si>
  <si>
    <t>3.4M</t>
  </si>
  <si>
    <t>https://elearningcheck.com/</t>
  </si>
  <si>
    <t>https://theeduassist.com/quality-assurance-edtech-support/</t>
  </si>
  <si>
    <t>glassdoor.com.br</t>
  </si>
  <si>
    <t>https://theeduassist.com/tag/instructional-design/</t>
  </si>
  <si>
    <t>Video Post-Editing</t>
  </si>
  <si>
    <t>https://theeduassist.com/jobs/educational-designer-fresh-grads-remote-unpaid/</t>
  </si>
  <si>
    <t>kajabi review</t>
  </si>
  <si>
    <t>neilpatel.com</t>
  </si>
  <si>
    <t>https://www.swiftelearningservices.com/custom-elearning-development/?utm_source=chatgpt.com</t>
  </si>
  <si>
    <t>3M</t>
  </si>
  <si>
    <t>https://www.alphalearn.com/custom-content-development/?utm_source=chatgpt.com</t>
  </si>
  <si>
    <t>personal learning platform</t>
  </si>
  <si>
    <t>https://theeduassist.com/jobs/educational-course-developerfresh-grads-remote-unpaid/</t>
  </si>
  <si>
    <t>payscale.com</t>
  </si>
  <si>
    <t>technical skills in it resume</t>
  </si>
  <si>
    <t>974K</t>
  </si>
  <si>
    <t>https://www.chasingillusions.com/animation-production/</t>
  </si>
  <si>
    <t>https://motifmotion.com/services/e-learning-video-production/?utm_source=chatgpt.com</t>
  </si>
  <si>
    <t>https://theeduassist.com/tag/elearning/</t>
  </si>
  <si>
    <t xml:space="preserve">Learning Strategy &amp; Consulting
</t>
  </si>
  <si>
    <t>Sitelinks, AI Overview, Image pack, Video, Video carousel, People also ask, Related searches</t>
  </si>
  <si>
    <t>https://theeduassist.com/jobs/business-development-fresh-grads-remote-unpaid/</t>
  </si>
  <si>
    <t>1 month</t>
  </si>
  <si>
    <t>959K</t>
  </si>
  <si>
    <t>https://www.elucidat.com/services/learning-consultancy/</t>
  </si>
  <si>
    <t>design</t>
  </si>
  <si>
    <t>grokipedia.com</t>
  </si>
  <si>
    <t>https://theeduassist.com/blog/how-to-turn-pdfs-into-high-converting-courses-that-actually-sell/</t>
  </si>
  <si>
    <t>elearning popularity growth trends 2026</t>
  </si>
  <si>
    <t>7.9M</t>
  </si>
  <si>
    <t>https://theeduassist.com/blog/udemy-made-simple-how-the-platform-works-for-learners-and-instructors/</t>
  </si>
  <si>
    <t>https://www.elearningdelta.com/lms-implementation/?utm_source=chatgpt.com</t>
  </si>
  <si>
    <t>https://anyforsoft.com/e-learning/lms-migration/?utm_source=chatgpt.com</t>
  </si>
  <si>
    <t>https://clickysoft.com/elearning/lms-integration/?utm_source=chatgpt.com</t>
  </si>
  <si>
    <t>creativecommons.org</t>
  </si>
  <si>
    <t>define technical skills</t>
  </si>
  <si>
    <t>Sitelinks, AI Overview, Video, People also ask, Discussions and forums, Related searches</t>
  </si>
  <si>
    <t>https://elearning.folio3.com/</t>
  </si>
  <si>
    <t>5.4M</t>
  </si>
  <si>
    <t>Python</t>
  </si>
  <si>
    <t>https://theeduassist.com/uncategorized/why-early-grades-struggle-with-e-learning-the-k2-perspective/</t>
  </si>
  <si>
    <t>curriculum development services</t>
  </si>
  <si>
    <t>https://theeduassist.com/blog/strategic-digital-product-architecture-for-wealth-systems-a-simple-guide/</t>
  </si>
  <si>
    <t>seeklogo.com</t>
  </si>
  <si>
    <t>learnworlds vs thinkific</t>
  </si>
  <si>
    <t>https://www.thelearning-lab.com/elearning-content-design</t>
  </si>
  <si>
    <t>sample resume technical skills</t>
  </si>
  <si>
    <t>pitchbook.com</t>
  </si>
  <si>
    <t>https://theeduassist.com/blog/which-is-better-for-effective-learning-slides-or-screen-recordings/</t>
  </si>
  <si>
    <t>Sitelinks, AI Overview, Image, Image pack, Video, Video carousel, Discussions and forums, Related searches</t>
  </si>
  <si>
    <t>https://www.acadecraft.com/learning-solutions/microlearning-solutions/?utm_source=chatgpt.com</t>
  </si>
  <si>
    <t>cgi.com</t>
  </si>
  <si>
    <t>https://dynacorlearning.com/microlearning/?utm_source=chatgpt.com</t>
  </si>
  <si>
    <t>Elearning Design</t>
  </si>
  <si>
    <t>1.5M</t>
  </si>
  <si>
    <t>https://theeduassist.com/blog/instructional-design-in-action-practical-solutions-for-learner-problems/</t>
  </si>
  <si>
    <t>customink.com</t>
  </si>
  <si>
    <t>what is kajabi</t>
  </si>
  <si>
    <t>2.4M</t>
  </si>
  <si>
    <t>technical skills meaning</t>
  </si>
  <si>
    <t>https://theeduassist.com/uncategorized/digital-marketing-curriculum-on-skool-how-to-build-high-value/</t>
  </si>
  <si>
    <t>https://theeduassist.com/blog/time-management-and-productivity-skills-students-can-master-2025/</t>
  </si>
  <si>
    <t>639K</t>
  </si>
  <si>
    <t>Synthesia</t>
  </si>
  <si>
    <t>https://www.pixelgenio.com/elearning-animation-video/?utm_source=chatgpt.com</t>
  </si>
  <si>
    <t>gloucestershirelive.co.uk</t>
  </si>
  <si>
    <t>https://theeduassist.com/blog/what-is-technical-proficiency/</t>
  </si>
  <si>
    <t>570K</t>
  </si>
  <si>
    <t>kajabi vs teachable</t>
  </si>
  <si>
    <t>inc.com</t>
  </si>
  <si>
    <t>9.4M</t>
  </si>
  <si>
    <t>https://theeduassist.com/blog/a-practical-2026-guide-in-using-skool-for-real-estate-lending-sales-training/</t>
  </si>
  <si>
    <t>https://www.stepes.com/elearning-training-translation-services/?utm_source=chatgpt.com</t>
  </si>
  <si>
    <t>intef.es</t>
  </si>
  <si>
    <t>https://theeduassist.com/blog/complete-guide-to-saas-curriculum-development-and-training-best-practices/</t>
  </si>
  <si>
    <t>Canva</t>
  </si>
  <si>
    <t>487K</t>
  </si>
  <si>
    <t>internshala.com</t>
  </si>
  <si>
    <t>https://www.chetu.com/e-learning.php?utm_source=chatgpt.com</t>
  </si>
  <si>
    <t>https://www.amplework.com/</t>
  </si>
  <si>
    <t>coursebox</t>
  </si>
  <si>
    <t>AR &amp; VR Solutions</t>
  </si>
  <si>
    <t>Navigational, Transactional</t>
  </si>
  <si>
    <t>People also ask</t>
  </si>
  <si>
    <t>https://docs.google.com/document/d/1f56qgIxvQ8BxjrmBfliB3yKROdXTLpazw-3e6_4kuHQ/edit?tab=t.tnhoywu37l85</t>
  </si>
  <si>
    <t>Sitelinks, Image, Video, People also ask, Knowledge panel, Related searches</t>
  </si>
  <si>
    <t>https://www.datanext.ai/augmented-reality-in-education/?utm_source=chatgpt.com</t>
  </si>
  <si>
    <t>meyka.com</t>
  </si>
  <si>
    <t>https://theeduassist.com/tag/thinkific/</t>
  </si>
  <si>
    <t>https://elearningindustry.com/directory/elearning-software/coursebox</t>
  </si>
  <si>
    <t>301K</t>
  </si>
  <si>
    <t>Teachable</t>
  </si>
  <si>
    <t>537K</t>
  </si>
  <si>
    <t>https://theeduassist.com/tag/digital-learning/</t>
  </si>
  <si>
    <t>https://eidstaging.eidesign.in/migration/</t>
  </si>
  <si>
    <t>kajabi templates</t>
  </si>
  <si>
    <t>nextdoor.co.uk</t>
  </si>
  <si>
    <t>14.5M</t>
  </si>
  <si>
    <t>coursebox pricing</t>
  </si>
  <si>
    <t>https://www.kallidus.com/</t>
  </si>
  <si>
    <t>Sitelinks, Video, People also ask, Related searches, Ads middle, Ads bottom</t>
  </si>
  <si>
    <t>URL's we don't want to be indexed</t>
  </si>
  <si>
    <t>https://elearningindustry.com/directory/elearning-software/coursebox/pricing</t>
  </si>
  <si>
    <t>https://brookwood.com/staffing/</t>
  </si>
  <si>
    <t>sigmalive.com</t>
  </si>
  <si>
    <t>https://knowledgestaff.com/solutions/</t>
  </si>
  <si>
    <t>2.6M</t>
  </si>
  <si>
    <t>Artificial Intelligence</t>
  </si>
  <si>
    <t>https://theeduassist.com/?wpr_templates=user-single-online-course-v1-page</t>
  </si>
  <si>
    <t>creators monetization strategies skool community 2025</t>
  </si>
  <si>
    <t>https://www.swiftelearningservices.com/rapid-elearning/#toggle-id-1</t>
  </si>
  <si>
    <t>stocktitan.net</t>
  </si>
  <si>
    <t>teachable vs kajabi</t>
  </si>
  <si>
    <t>2M</t>
  </si>
  <si>
    <t>coursebox ai</t>
  </si>
  <si>
    <t>Commercial, Navigational</t>
  </si>
  <si>
    <t>themuse.com</t>
  </si>
  <si>
    <t>https://theeduassist.com/?wpr_templates=user-single-online-course-v1-post</t>
  </si>
  <si>
    <t>Sitelinks, Image pack, Video, Related searches, Ads top, Ads bottom</t>
  </si>
  <si>
    <t>746K</t>
  </si>
  <si>
    <t>https://www.futurepedia.io/tool/coursebox</t>
  </si>
  <si>
    <t>https://www.rybo.ai/chatbot-for-elearning/?utm_source=chatgpt.com</t>
  </si>
  <si>
    <t>vermont.gov</t>
  </si>
  <si>
    <t>https://www.paradisosolutions.com/ai-tutor?ParadisoSolutions_Menu=</t>
  </si>
  <si>
    <t>QuickTutor AI - Best AI Tutor 2025 | #1 Personalized Learning Platform</t>
  </si>
  <si>
    <t>Virtual Assistance</t>
  </si>
  <si>
    <t>1.9M</t>
  </si>
  <si>
    <t>https://theeduassist.com/?wpr_templates=user-single-online-course-v1-404</t>
  </si>
  <si>
    <t>skool vs kajabi</t>
  </si>
  <si>
    <t>glassdoor.ca</t>
  </si>
  <si>
    <t>thinkific vs kajabi</t>
  </si>
  <si>
    <t>https://www.acadecraft.com/k12/ebook-creation/</t>
  </si>
  <si>
    <t>List of e-books</t>
  </si>
  <si>
    <t>ai tool for creating online course</t>
  </si>
  <si>
    <t>https://www.kommunicate.io/industries/education</t>
  </si>
  <si>
    <t>Copywriting</t>
  </si>
  <si>
    <t>yellowpages.com</t>
  </si>
  <si>
    <t>platform training</t>
  </si>
  <si>
    <t>https://www.acadecraft.com/learning-solutions/mobile-e-learning-services/</t>
  </si>
  <si>
    <t>platforms like kajabi</t>
  </si>
  <si>
    <t>atlascopco.com</t>
  </si>
  <si>
    <t>https://theeduassist.com/?mailpoet_page=subscriptions</t>
  </si>
  <si>
    <t>coursebox reviews</t>
  </si>
  <si>
    <t>733K</t>
  </si>
  <si>
    <t>boston.gov</t>
  </si>
  <si>
    <t xml:space="preserve">L&amp;D Consulting &amp; Advisory </t>
  </si>
  <si>
    <t>AI-Generated Video</t>
  </si>
  <si>
    <t>1.2M</t>
  </si>
  <si>
    <t>fastcompany.com</t>
  </si>
  <si>
    <t>sites like kajabi</t>
  </si>
  <si>
    <t>submissions@fastcompany.com</t>
  </si>
  <si>
    <t>Services to be add</t>
  </si>
  <si>
    <t>Facebook</t>
  </si>
  <si>
    <t>Inside Audio &amp; Video Production</t>
  </si>
  <si>
    <t>glassdoor.fr</t>
  </si>
  <si>
    <t>main</t>
  </si>
  <si>
    <t>1.7M</t>
  </si>
  <si>
    <t>kajabi experts</t>
  </si>
  <si>
    <t>heygen.com</t>
  </si>
  <si>
    <t>18.5M</t>
  </si>
  <si>
    <t>Animated Explainer Videos</t>
  </si>
  <si>
    <t>Sub</t>
  </si>
  <si>
    <t>huffingtonpost.co.uk</t>
  </si>
  <si>
    <t>instructional</t>
  </si>
  <si>
    <t>https://theeduassist.com/?wpr_templates=user-archive-online-course-v1-blog</t>
  </si>
  <si>
    <t>Video Tutorials</t>
  </si>
  <si>
    <t>sheffield.ac.uk</t>
  </si>
  <si>
    <t xml:space="preserve">pagination :no indexable </t>
  </si>
  <si>
    <t>articulate.com</t>
  </si>
  <si>
    <t>4.1M</t>
  </si>
  <si>
    <t>VO + Narration</t>
  </si>
  <si>
    <t>Email Marketing</t>
  </si>
  <si>
    <t>https://theeduassist.com/?wpr_templates=user-archive-online-course-v1-category-tag</t>
  </si>
  <si>
    <t>safetyculture.com</t>
  </si>
  <si>
    <t>list technical skills resume</t>
  </si>
  <si>
    <t>curriculum developer</t>
  </si>
  <si>
    <t>erieri.com</t>
  </si>
  <si>
    <t>242K</t>
  </si>
  <si>
    <t>https://theeduassist.com/?wpr_templates=user-archive-online-course-v1-search</t>
  </si>
  <si>
    <t>levels.fyi</t>
  </si>
  <si>
    <t>Non-Indexable</t>
  </si>
  <si>
    <t>Adobe After Effects</t>
  </si>
  <si>
    <t>ai for course creation</t>
  </si>
  <si>
    <t>procore.com</t>
  </si>
  <si>
    <t>https://theeduassist.com/?wpr_templates=user-footer-online-course-v1-footer</t>
  </si>
  <si>
    <t>7.5M</t>
  </si>
  <si>
    <t>wanderboat.ai</t>
  </si>
  <si>
    <t>Learn</t>
  </si>
  <si>
    <t>https://theeduassist.com/?wpr_templates=user-header-online-course-v1-header</t>
  </si>
  <si>
    <t>synthesia.io</t>
  </si>
  <si>
    <t>Managed Learning service</t>
  </si>
  <si>
    <t>Elearning Video</t>
  </si>
  <si>
    <t>edweek.org</t>
  </si>
  <si>
    <t>top courses for future proofing skills</t>
  </si>
  <si>
    <t>L&amp;D Advisory</t>
  </si>
  <si>
    <t>engineering.com</t>
  </si>
  <si>
    <t xml:space="preserve">H1 missing </t>
  </si>
  <si>
    <t>L&amp;D Consulting</t>
  </si>
  <si>
    <t>314K</t>
  </si>
  <si>
    <t>merca20.com</t>
  </si>
  <si>
    <t>Content and Curriculum Design</t>
  </si>
  <si>
    <t>digital</t>
  </si>
  <si>
    <t>technical skills examples for resume</t>
  </si>
  <si>
    <t>moodle.com</t>
  </si>
  <si>
    <t>curriculum designer</t>
  </si>
  <si>
    <t>https://theeduassist.com/</t>
  </si>
  <si>
    <t>575K</t>
  </si>
  <si>
    <t>for blog ideas:</t>
  </si>
  <si>
    <t>https://meridianks.com/blog/</t>
  </si>
  <si>
    <t>podbean.com</t>
  </si>
  <si>
    <t>4.5M</t>
  </si>
  <si>
    <t>Microsoft PowerPoint</t>
  </si>
  <si>
    <t>best math problem solving app</t>
  </si>
  <si>
    <t>taleo.net</t>
  </si>
  <si>
    <t>18.3M</t>
  </si>
  <si>
    <t>ucop.edu</t>
  </si>
  <si>
    <t>526K</t>
  </si>
  <si>
    <t>https://theeduassist.com/gamified-learning/</t>
  </si>
  <si>
    <t>Animation</t>
  </si>
  <si>
    <t>ukg.com</t>
  </si>
  <si>
    <t>usask.ca</t>
  </si>
  <si>
    <t>https://theeduassist.com/lms-integration-migration-services/</t>
  </si>
  <si>
    <t>2.3M</t>
  </si>
  <si>
    <t>concur.com</t>
  </si>
  <si>
    <t>construction company website design UAE</t>
  </si>
  <si>
    <t>693K</t>
  </si>
  <si>
    <t>HTML</t>
  </si>
  <si>
    <t>Option 1</t>
  </si>
  <si>
    <t>course creation ai</t>
  </si>
  <si>
    <t>en-japan.com</t>
  </si>
  <si>
    <t>605K</t>
  </si>
  <si>
    <t>construction company web design UAE</t>
  </si>
  <si>
    <t xml:space="preserve">small age </t>
  </si>
  <si>
    <t>Motion Graphics</t>
  </si>
  <si>
    <t>gridinsoft.com</t>
  </si>
  <si>
    <t>technical skills list for resume</t>
  </si>
  <si>
    <t>learning strategy</t>
  </si>
  <si>
    <t>https://theeduassist.com/dashboard-and-analytics/</t>
  </si>
  <si>
    <t>insidehighered.com</t>
  </si>
  <si>
    <t>Managed Learning ServicesExpand child menu</t>
  </si>
  <si>
    <t>https://theeduassist.com/off-the-shelf-elearning/</t>
  </si>
  <si>
    <t>jobthai.com</t>
  </si>
  <si>
    <t>Administrative Support</t>
  </si>
  <si>
    <t>scorm news december 2025</t>
  </si>
  <si>
    <t>Strategic Learning Consulting</t>
  </si>
  <si>
    <t>mews.com</t>
  </si>
  <si>
    <t>https://theeduassist.com/ai-powered-elearning/</t>
  </si>
  <si>
    <t>4.2M</t>
  </si>
  <si>
    <t>newswire.ca</t>
  </si>
  <si>
    <t>Training Delivery</t>
  </si>
  <si>
    <t>https://theeduassist.com/instructional-ui-ux-design/</t>
  </si>
  <si>
    <t>643K</t>
  </si>
  <si>
    <t>creation</t>
  </si>
  <si>
    <t>theedu</t>
  </si>
  <si>
    <t>Technology Administration &amp; Support</t>
  </si>
  <si>
    <t>peoplemanagingpeople.com</t>
  </si>
  <si>
    <t>https://www.gpstrategies.com/learning-content-design-development-solutions/custom-elearning/?utm_source=chatgpt.com</t>
  </si>
  <si>
    <t>https://theeduassist.com/microlearning-microsimulations/</t>
  </si>
  <si>
    <t>training category</t>
  </si>
  <si>
    <t>Learning Content Design &amp; Development</t>
  </si>
  <si>
    <t>poddtoppen.se</t>
  </si>
  <si>
    <t>https://theeduassist.com/elearninglocalization-services/</t>
  </si>
  <si>
    <t>Corporate Event Management</t>
  </si>
  <si>
    <t>Creative Writing</t>
  </si>
  <si>
    <t>producthunt.com</t>
  </si>
  <si>
    <t>legacy lms migration</t>
  </si>
  <si>
    <t>should i say education &amp; experience on a resume or experience &amp; education?</t>
  </si>
  <si>
    <t>4.6M</t>
  </si>
  <si>
    <t>Talent Solutions</t>
  </si>
  <si>
    <t>technical content writer</t>
  </si>
  <si>
    <t>socialmediatoday.com</t>
  </si>
  <si>
    <t>https://theeduassist.com/mobile-learning-solutions/</t>
  </si>
  <si>
    <t>ai powered stdnt service chatbot</t>
  </si>
  <si>
    <t>579K</t>
  </si>
  <si>
    <t>Learning Measurement &amp; Analytics</t>
  </si>
  <si>
    <t>tci-thaijo.org</t>
  </si>
  <si>
    <t>Training Presentation</t>
  </si>
  <si>
    <t>https://theeduassist.com/legacy-content-conversion/</t>
  </si>
  <si>
    <t>Vendor Management</t>
  </si>
  <si>
    <t>technical writing services</t>
  </si>
  <si>
    <t>yourstory.com</t>
  </si>
  <si>
    <t>Learning Content Design &amp; DevelopmentExpand child menu</t>
  </si>
  <si>
    <t>https://theeduassist.com/ld-consulting-advisory/</t>
  </si>
  <si>
    <t>4.8M</t>
  </si>
  <si>
    <t>Custom eLearning</t>
  </si>
  <si>
    <t>appadvice.com</t>
  </si>
  <si>
    <t>86.4K</t>
  </si>
  <si>
    <t>Online</t>
  </si>
  <si>
    <t>Blended Learning Strategies</t>
  </si>
  <si>
    <t>udemy platform description</t>
  </si>
  <si>
    <t>brandsoftheworld.com</t>
  </si>
  <si>
    <t>technical content writing services</t>
  </si>
  <si>
    <t>607K</t>
  </si>
  <si>
    <t>Games, Gamification, &amp; Play for Learning</t>
  </si>
  <si>
    <t>https://theeduassist.com/scenario-based-learning/</t>
  </si>
  <si>
    <t>computerworld.com</t>
  </si>
  <si>
    <t>Immersive &amp; XR</t>
  </si>
  <si>
    <t>562K</t>
  </si>
  <si>
    <t>Articulate</t>
  </si>
  <si>
    <t>https://theeduassist.com/career/</t>
  </si>
  <si>
    <t>contactout.com</t>
  </si>
  <si>
    <t>6.3M</t>
  </si>
  <si>
    <t>get course</t>
  </si>
  <si>
    <t>Video</t>
  </si>
  <si>
    <t>https://theeduassist.com/k-12-education-services/</t>
  </si>
  <si>
    <t>global.toshiba</t>
  </si>
  <si>
    <t>424K</t>
  </si>
  <si>
    <t>Compliance Training Solutions</t>
  </si>
  <si>
    <t>santaclaracounty.gov</t>
  </si>
  <si>
    <t>https://theeduassist.com/blog/</t>
  </si>
  <si>
    <t>Training , Development</t>
  </si>
  <si>
    <t>Sales Training</t>
  </si>
  <si>
    <t>752K</t>
  </si>
  <si>
    <t>best things to sell online</t>
  </si>
  <si>
    <t>systeme.io</t>
  </si>
  <si>
    <t>9.6M</t>
  </si>
  <si>
    <t>ConsultingExpand child menu</t>
  </si>
  <si>
    <t>abdn.ac.uk</t>
  </si>
  <si>
    <t>Social Media Management</t>
  </si>
  <si>
    <t>777K</t>
  </si>
  <si>
    <t>https://theeduassist.com/author/human-resource-department/</t>
  </si>
  <si>
    <t>Change Management Consulting</t>
  </si>
  <si>
    <t>selling content</t>
  </si>
  <si>
    <t>ariva.de</t>
  </si>
  <si>
    <t>Enterprise Technology Adoption</t>
  </si>
  <si>
    <t>bbntimes.com</t>
  </si>
  <si>
    <t>eLearning</t>
  </si>
  <si>
    <t>71.6K</t>
  </si>
  <si>
    <t>Learning Technology Consulting</t>
  </si>
  <si>
    <t>cision.com</t>
  </si>
  <si>
    <t>best buy e learning</t>
  </si>
  <si>
    <t>691K</t>
  </si>
  <si>
    <t>page title duplicate :</t>
  </si>
  <si>
    <t>Organization Design Consulting</t>
  </si>
  <si>
    <t>coincodex.com</t>
  </si>
  <si>
    <t>curriculum</t>
  </si>
  <si>
    <t>Organizational Learning Transformation</t>
  </si>
  <si>
    <t>commonsense.org</t>
  </si>
  <si>
    <t>252K</t>
  </si>
  <si>
    <t>educba.com</t>
  </si>
  <si>
    <t>Blog - TheEduassist</t>
  </si>
  <si>
    <t>Program &amp; Project Management</t>
  </si>
  <si>
    <t>Project Management</t>
  </si>
  <si>
    <t>essexlive.news</t>
  </si>
  <si>
    <t>671K</t>
  </si>
  <si>
    <t>best lms for small business</t>
  </si>
  <si>
    <t>AI Readiness, Integration &amp; SupportExpand child menu</t>
  </si>
  <si>
    <t>glassdoor.it</t>
  </si>
  <si>
    <t>AI Consulting</t>
  </si>
  <si>
    <t>lusha.com</t>
  </si>
  <si>
    <t>2.1M</t>
  </si>
  <si>
    <t>Case Study - TheEduassist</t>
  </si>
  <si>
    <t>CSS</t>
  </si>
  <si>
    <t>AI Enterprise Skilling</t>
  </si>
  <si>
    <t>mobygames.com</t>
  </si>
  <si>
    <t>sell designs online</t>
  </si>
  <si>
    <t>AI Technology Implementation</t>
  </si>
  <si>
    <t>udec.cl</t>
  </si>
  <si>
    <t>Learning Content AIQ</t>
  </si>
  <si>
    <t>1.6M</t>
  </si>
  <si>
    <t>Marketing Automation</t>
  </si>
  <si>
    <t>AI Training Programs</t>
  </si>
  <si>
    <t>uniroma3.it</t>
  </si>
  <si>
    <t>1.1M</t>
  </si>
  <si>
    <t>online sales coaching</t>
  </si>
  <si>
    <t>Leadership &amp; Inclusion TrainingExpand child menu</t>
  </si>
  <si>
    <t>upguard.com</t>
  </si>
  <si>
    <t>232K</t>
  </si>
  <si>
    <t>Digital Leadership Suite</t>
  </si>
  <si>
    <t>uregina.ca</t>
  </si>
  <si>
    <t>2D Animation</t>
  </si>
  <si>
    <t>kajabi logo</t>
  </si>
  <si>
    <t>goodfirms.co</t>
  </si>
  <si>
    <t>H1 over 70 chr</t>
  </si>
  <si>
    <t>annualreports.com</t>
  </si>
  <si>
    <t>ILT &amp; VILT Leadership Programs</t>
  </si>
  <si>
    <t>266K</t>
  </si>
  <si>
    <t>Presentation Design</t>
  </si>
  <si>
    <t>beehiiv.com</t>
  </si>
  <si>
    <t>Inclusion Training &amp; Programs</t>
  </si>
  <si>
    <t>branding courses</t>
  </si>
  <si>
    <t>16.2M</t>
  </si>
  <si>
    <t>LeadershipAI Program</t>
  </si>
  <si>
    <t>brighthorizons.com</t>
  </si>
  <si>
    <t>893K</t>
  </si>
  <si>
    <t>Employee Engagement</t>
  </si>
  <si>
    <t>Lesson</t>
  </si>
  <si>
    <t>charleston.edu</t>
  </si>
  <si>
    <t>299K</t>
  </si>
  <si>
    <t>Career Development</t>
  </si>
  <si>
    <t>credly.com</t>
  </si>
  <si>
    <t>Coaching</t>
  </si>
  <si>
    <t>en-gage.net</t>
  </si>
  <si>
    <t>Sales</t>
  </si>
  <si>
    <t>Technical TrainingExpand child menu</t>
  </si>
  <si>
    <t>Craft Skills &amp; EHS Training</t>
  </si>
  <si>
    <t>glassdoor.de</t>
  </si>
  <si>
    <t>Technical eLearning | GPiLEARN+</t>
  </si>
  <si>
    <t>glassdoor.sg</t>
  </si>
  <si>
    <t>Shareable Content Object Reference Model</t>
  </si>
  <si>
    <t>Technical Documentation</t>
  </si>
  <si>
    <t>highspot.com</t>
  </si>
  <si>
    <t>Lean Six Sigma Training</t>
  </si>
  <si>
    <t>instantcheckmate.com</t>
  </si>
  <si>
    <t>Off-the-Shelf Training Courses</t>
  </si>
  <si>
    <t>ClickFunnels</t>
  </si>
  <si>
    <t>Technologies</t>
  </si>
  <si>
    <t>patsnap.com</t>
  </si>
  <si>
    <t>766K</t>
  </si>
  <si>
    <t>theorg.com</t>
  </si>
  <si>
    <t>4.7M</t>
  </si>
  <si>
    <t xml:space="preserve">video solutions </t>
  </si>
  <si>
    <t>Organizational Development</t>
  </si>
  <si>
    <t>906K</t>
  </si>
  <si>
    <t>bechtel.com</t>
  </si>
  <si>
    <t>254K</t>
  </si>
  <si>
    <t>eLearning Videos</t>
  </si>
  <si>
    <t>bridgemi.com</t>
  </si>
  <si>
    <t>518K</t>
  </si>
  <si>
    <t>Sales Funnel</t>
  </si>
  <si>
    <t>2D &amp; 3D Videos</t>
  </si>
  <si>
    <t>comparably.com</t>
  </si>
  <si>
    <t>910K</t>
  </si>
  <si>
    <t>Animated Videos</t>
  </si>
  <si>
    <t>Internal nofollow outlink</t>
  </si>
  <si>
    <t>glassdoor.com.mx</t>
  </si>
  <si>
    <t>Product Explainer Videos</t>
  </si>
  <si>
    <t>Website</t>
  </si>
  <si>
    <t>kentlive.news</t>
  </si>
  <si>
    <t>541K</t>
  </si>
  <si>
    <t>michiganpublic.org</t>
  </si>
  <si>
    <t>884K</t>
  </si>
  <si>
    <t xml:space="preserve">content development </t>
  </si>
  <si>
    <t>selectminds.com</t>
  </si>
  <si>
    <t>s.</t>
  </si>
  <si>
    <t>Elearning LMS Consulting</t>
  </si>
  <si>
    <t>shortform.com</t>
  </si>
  <si>
    <t>Custom eLearning Course Development</t>
  </si>
  <si>
    <t>unglobalcompact.org</t>
  </si>
  <si>
    <t>201K</t>
  </si>
  <si>
    <t>Curriculum Design &amp; Instructional Design</t>
  </si>
  <si>
    <t>Presentations</t>
  </si>
  <si>
    <t>zawya.com</t>
  </si>
  <si>
    <t>423K</t>
  </si>
  <si>
    <t>Interactive Learning Modules</t>
  </si>
  <si>
    <t>class.com</t>
  </si>
  <si>
    <t>Microlearning Content Creation</t>
  </si>
  <si>
    <t>coachingfederation.org</t>
  </si>
  <si>
    <t>Infographic</t>
  </si>
  <si>
    <t>196K</t>
  </si>
  <si>
    <t>cornerstoneondemand.com</t>
  </si>
  <si>
    <t>140K</t>
  </si>
  <si>
    <t>elearning services</t>
  </si>
  <si>
    <t>dartconnect.com</t>
  </si>
  <si>
    <t>Synchronous Learning</t>
  </si>
  <si>
    <t>1.8M</t>
  </si>
  <si>
    <t>Custom Learning</t>
  </si>
  <si>
    <t>eetimes.com</t>
  </si>
  <si>
    <t>Blended Learning</t>
  </si>
  <si>
    <t>223K</t>
  </si>
  <si>
    <t>evergreen.edu</t>
  </si>
  <si>
    <t>Mobile Learning</t>
  </si>
  <si>
    <t>Academic K-12</t>
  </si>
  <si>
    <t>412K</t>
  </si>
  <si>
    <t>course material</t>
  </si>
  <si>
    <t>Game-Based Learning</t>
  </si>
  <si>
    <t>jobbkk.com</t>
  </si>
  <si>
    <t>1M</t>
  </si>
  <si>
    <t>Instructional</t>
  </si>
  <si>
    <t>kathimerini.com.cy</t>
  </si>
  <si>
    <t>Advisory and Consulting</t>
  </si>
  <si>
    <t>things to sell at school</t>
  </si>
  <si>
    <t>podnews.net</t>
  </si>
  <si>
    <t>Learning Consulting</t>
  </si>
  <si>
    <t>168K</t>
  </si>
  <si>
    <t>Instructional Design Training</t>
  </si>
  <si>
    <t>AI Video Generation</t>
  </si>
  <si>
    <t>provenexpert.com</t>
  </si>
  <si>
    <t>teaching pro</t>
  </si>
  <si>
    <t>td.org</t>
  </si>
  <si>
    <t>171K</t>
  </si>
  <si>
    <t>Illustration</t>
  </si>
  <si>
    <t>thekrazycouponlady.com</t>
  </si>
  <si>
    <t>teacher builder</t>
  </si>
  <si>
    <t>12.7M</t>
  </si>
  <si>
    <t>Off-the-shelf (Catalog) Courses</t>
  </si>
  <si>
    <t>Microsoft Excel</t>
  </si>
  <si>
    <t>Customer Success and Service</t>
  </si>
  <si>
    <t>teachable vs thinkific</t>
  </si>
  <si>
    <t>captivate.fm</t>
  </si>
  <si>
    <t>Customer Success and Service training play a crucial role in equipping individuals with the skills and knowledge necessary to excel in customer-facing roles.</t>
  </si>
  <si>
    <t>406K</t>
  </si>
  <si>
    <t>Note: I need commercial and converting headings.</t>
  </si>
  <si>
    <t>Read More</t>
  </si>
  <si>
    <t>https://theeduassist.com/blog/teachability/</t>
  </si>
  <si>
    <t>castbox.fm</t>
  </si>
  <si>
    <t>development</t>
  </si>
  <si>
    <t>461K</t>
  </si>
  <si>
    <t>Compliance</t>
  </si>
  <si>
    <t>easy online courses</t>
  </si>
  <si>
    <t>Compliance trainings for corporate employees are essential to ensure adherence to laws, regulations, and ethical standards within an organization.</t>
  </si>
  <si>
    <t>constantcontact.com</t>
  </si>
  <si>
    <t>11.4M</t>
  </si>
  <si>
    <t>Use UAE English</t>
  </si>
  <si>
    <t>WooCommerce</t>
  </si>
  <si>
    <t>ezilon.com</t>
  </si>
  <si>
    <t>Diversity, Equity &amp; Inclusion</t>
  </si>
  <si>
    <t>128K</t>
  </si>
  <si>
    <t>Diversity, Equity &amp; Inclusion training fosters understanding, respect, and equitable practices within organizations, promoting diverse perspectives, equal opportunities, and a inclusive work environment.</t>
  </si>
  <si>
    <t>glassdoor.com.ar</t>
  </si>
  <si>
    <t>My company name is GO-Globe</t>
  </si>
  <si>
    <t>533K</t>
  </si>
  <si>
    <t>Storyboarding</t>
  </si>
  <si>
    <t>Health &amp; Wellness</t>
  </si>
  <si>
    <t>glassdoor.com.au</t>
  </si>
  <si>
    <t>education sales</t>
  </si>
  <si>
    <t>These training promotes employee well-being through education on physical and mental health, stress management, healthy lifestyle choices, and fostering a supportive work environment.</t>
  </si>
  <si>
    <t>glassdoor.es</t>
  </si>
  <si>
    <t>Please map the keywords below to the headings properly</t>
  </si>
  <si>
    <t>Academic Writing</t>
  </si>
  <si>
    <t>free coaching</t>
  </si>
  <si>
    <t>glassdoor.ie</t>
  </si>
  <si>
    <t>Keywords are:</t>
  </si>
  <si>
    <t>HeyGen</t>
  </si>
  <si>
    <t>Human Resources</t>
  </si>
  <si>
    <t>858K</t>
  </si>
  <si>
    <t>Courses</t>
  </si>
  <si>
    <t>globalspec.com</t>
  </si>
  <si>
    <t>320K</t>
  </si>
  <si>
    <t>kwork.ru</t>
  </si>
  <si>
    <t>3.8M</t>
  </si>
  <si>
    <t>medianama.com</t>
  </si>
  <si>
    <t>These training equips HR professionals with the skills and knowledge to effectively manage employee relations, recruitment, compliance, performance management, and other critical HR functions within organizations.</t>
  </si>
  <si>
    <t>120K</t>
  </si>
  <si>
    <t>Email Communication</t>
  </si>
  <si>
    <t>myftpupload.com</t>
  </si>
  <si>
    <t>learnable</t>
  </si>
  <si>
    <t>podtail.com</t>
  </si>
  <si>
    <t>construction website design UAE</t>
  </si>
  <si>
    <t>Adobe Captivate</t>
  </si>
  <si>
    <t>retailgazette.co.uk</t>
  </si>
  <si>
    <t>237K</t>
  </si>
  <si>
    <t>Information Technology training equips individuals with the skills to effectively use and manage technology, enhance cybersecurity, troubleshoot technical issues, and implement digital solutions within organizations.</t>
  </si>
  <si>
    <t>snazzymaps.com</t>
  </si>
  <si>
    <t>602K</t>
  </si>
  <si>
    <t>construction web design UAE</t>
  </si>
  <si>
    <t>toshiba.com</t>
  </si>
  <si>
    <t>446K</t>
  </si>
  <si>
    <t>Compliance Training</t>
  </si>
  <si>
    <t>Leadership</t>
  </si>
  <si>
    <t>vyond.com</t>
  </si>
  <si>
    <t>611K</t>
  </si>
  <si>
    <t>Leadership training develops essential skills in individuals to inspire and guide teams, foster innovation, drive performance, and create a positive organizational culture.</t>
  </si>
  <si>
    <t>wpcomstaging.com</t>
  </si>
  <si>
    <t>Instagram</t>
  </si>
  <si>
    <t>educause.edu</t>
  </si>
  <si>
    <t>online courses club</t>
  </si>
  <si>
    <t>159K</t>
  </si>
  <si>
    <t>Operational Excellence</t>
  </si>
  <si>
    <t>askamanager.org</t>
  </si>
  <si>
    <t>These training focuses on optimizing processes, improving efficiency, reducing waste, and enhancing quality to achieve maximum productivity and deliver exceptional results within an organization.</t>
  </si>
  <si>
    <t>HTML5</t>
  </si>
  <si>
    <t>bcs.org</t>
  </si>
  <si>
    <t>best learning management system for small business</t>
  </si>
  <si>
    <t>186K</t>
  </si>
  <si>
    <t>ceoworld.biz</t>
  </si>
  <si>
    <t>Personal Development</t>
  </si>
  <si>
    <t>127K</t>
  </si>
  <si>
    <t>educational</t>
  </si>
  <si>
    <t>dvm360.com</t>
  </si>
  <si>
    <t>These trainings empower individuals to enhance their skills, expand their knowledge, and cultivate self-awareness, leading to personal growth, increased confidence, and improved performance in various aspects of life.</t>
  </si>
  <si>
    <t>260K</t>
  </si>
  <si>
    <t>how to set up online training business</t>
  </si>
  <si>
    <t>hcamag.com</t>
  </si>
  <si>
    <t>NOTE</t>
  </si>
  <si>
    <t>179K</t>
  </si>
  <si>
    <t>Professional Skills/Behavioral Skills</t>
  </si>
  <si>
    <t>Leadership Training</t>
  </si>
  <si>
    <t>libsyn.com</t>
  </si>
  <si>
    <t>These training focuses on developing interpersonal and communication skills, emotional intelligence, teamwork, and leadership abilities to enhance professional relationships, collaboration, and overall effectiveness in the workplace.</t>
  </si>
  <si>
    <t>startup coaching</t>
  </si>
  <si>
    <t>marymount.edu</t>
  </si>
  <si>
    <t>304K</t>
  </si>
  <si>
    <t>Sales and Marketing</t>
  </si>
  <si>
    <t>I am going to design a page for a best Construction Company Website Design UAE. I have conducted keyword research, but I need help designing an SEO-friendly page heading structure and mapping those keywords to the headings professionally. Could you help by analyzing my keywords and examining how competitors are working, as well as the titles and headings they use, which would be helpful?</t>
  </si>
  <si>
    <t>metricstream.com</t>
  </si>
  <si>
    <t>99.2K</t>
  </si>
  <si>
    <t>Content Creation</t>
  </si>
  <si>
    <t>These training equips individuals with strategies and techniques to effectively promote products or services, generate leads, build customer relationships, and drive revenue growth for organizations.</t>
  </si>
  <si>
    <t>newswire.com</t>
  </si>
  <si>
    <t>coaching session</t>
  </si>
  <si>
    <t>244K</t>
  </si>
  <si>
    <t>outsourceaccelerator.com</t>
  </si>
  <si>
    <t>166K</t>
  </si>
  <si>
    <t>develop</t>
  </si>
  <si>
    <t>remotive.com</t>
  </si>
  <si>
    <t>767K</t>
  </si>
  <si>
    <t>reporter.com.cy</t>
  </si>
  <si>
    <t>586K</t>
  </si>
  <si>
    <t xml:space="preserve"> :check by semrush &lt;the competitors article that rank on your main keyword&gt;then paste that to chat gpt which links</t>
  </si>
  <si>
    <t xml:space="preserve">which dpmian is rlevant and then </t>
  </si>
  <si>
    <t>speakerdeck.com</t>
  </si>
  <si>
    <t>Employee Onboarding</t>
  </si>
  <si>
    <t>thomsonlocal.com</t>
  </si>
  <si>
    <t>410K</t>
  </si>
  <si>
    <t>tri-c.edu</t>
  </si>
  <si>
    <t>tm khud check kr k btao konsi website guest posting allow krti hain</t>
  </si>
  <si>
    <t>497K</t>
  </si>
  <si>
    <t>Technical Writing</t>
  </si>
  <si>
    <t>32.6K</t>
  </si>
  <si>
    <t>edn.com</t>
  </si>
  <si>
    <t>214K</t>
  </si>
  <si>
    <t>grcc.edu</t>
  </si>
  <si>
    <t>321K</t>
  </si>
  <si>
    <t>Customer Service</t>
  </si>
  <si>
    <t>leadiq.com</t>
  </si>
  <si>
    <t>Video Intro , Outro</t>
  </si>
  <si>
    <t>learn as you go</t>
  </si>
  <si>
    <t>mindmanager.com</t>
  </si>
  <si>
    <t>118K</t>
  </si>
  <si>
    <t>multivu.com</t>
  </si>
  <si>
    <t>Article Writing</t>
  </si>
  <si>
    <t>67K</t>
  </si>
  <si>
    <t>scoop.it</t>
  </si>
  <si>
    <t>Higher Education</t>
  </si>
  <si>
    <t>simpleshow.com</t>
  </si>
  <si>
    <t>148K</t>
  </si>
  <si>
    <t>best buy e learnings</t>
  </si>
  <si>
    <t>swapcard.com</t>
  </si>
  <si>
    <t>275K</t>
  </si>
  <si>
    <t>Automation</t>
  </si>
  <si>
    <t>139K</t>
  </si>
  <si>
    <t>book keeping course online</t>
  </si>
  <si>
    <t>topworkplaces.com</t>
  </si>
  <si>
    <t>51.5K</t>
  </si>
  <si>
    <t>Community Management</t>
  </si>
  <si>
    <t>66.9K</t>
  </si>
  <si>
    <t>welcometosheffield.co.uk</t>
  </si>
  <si>
    <t>92.4K</t>
  </si>
  <si>
    <t>Internet Marketing</t>
  </si>
  <si>
    <t>worksourcewa.com</t>
  </si>
  <si>
    <t>282K</t>
  </si>
  <si>
    <t>neverbounce.com</t>
  </si>
  <si>
    <t>770K</t>
  </si>
  <si>
    <t>Audio Editing</t>
  </si>
  <si>
    <t>aktiencheck.de</t>
  </si>
  <si>
    <t>338K</t>
  </si>
  <si>
    <t>blogs.ubc.ca</t>
  </si>
  <si>
    <t>257K</t>
  </si>
  <si>
    <t>program</t>
  </si>
  <si>
    <t>builtinsf.com</t>
  </si>
  <si>
    <t>125K</t>
  </si>
  <si>
    <t>downradar.ru</t>
  </si>
  <si>
    <t>364K</t>
  </si>
  <si>
    <t>Layout Design</t>
  </si>
  <si>
    <t>engageforsuccess.org</t>
  </si>
  <si>
    <t>8K</t>
  </si>
  <si>
    <t>glueup.com</t>
  </si>
  <si>
    <t>799K</t>
  </si>
  <si>
    <t>Shopify</t>
  </si>
  <si>
    <t>growthengineering.co.uk</t>
  </si>
  <si>
    <t>25.8K</t>
  </si>
  <si>
    <t>hawaiipublicradio.org</t>
  </si>
  <si>
    <t>189K</t>
  </si>
  <si>
    <t>hub.biz</t>
  </si>
  <si>
    <t>506K</t>
  </si>
  <si>
    <t>Training Design</t>
  </si>
  <si>
    <t>myamericannurse.com</t>
  </si>
  <si>
    <t>96.8K</t>
  </si>
  <si>
    <t>nasscom.in</t>
  </si>
  <si>
    <t>151K</t>
  </si>
  <si>
    <t>parsons.com</t>
  </si>
  <si>
    <t>221K</t>
  </si>
  <si>
    <t>Curriculum</t>
  </si>
  <si>
    <t>peekyou.com</t>
  </si>
  <si>
    <t>981K</t>
  </si>
  <si>
    <t>prnewswire.co.uk</t>
  </si>
  <si>
    <t>92.2K</t>
  </si>
  <si>
    <t>sitecore.com</t>
  </si>
  <si>
    <t>Digital</t>
  </si>
  <si>
    <t>194K</t>
  </si>
  <si>
    <t>skillsoft.com</t>
  </si>
  <si>
    <t>265K</t>
  </si>
  <si>
    <t>skrapp.io</t>
  </si>
  <si>
    <t>702K</t>
  </si>
  <si>
    <t>learn</t>
  </si>
  <si>
    <t>stockwatch.com</t>
  </si>
  <si>
    <t>318K</t>
  </si>
  <si>
    <t>streetinsider.com</t>
  </si>
  <si>
    <t>theoaklandpress.com</t>
  </si>
  <si>
    <t>209K</t>
  </si>
  <si>
    <t>Campaign Management</t>
  </si>
  <si>
    <t>virtualvocations.com</t>
  </si>
  <si>
    <t>690K</t>
  </si>
  <si>
    <t>clearlyrated.com</t>
  </si>
  <si>
    <t>85.3K</t>
  </si>
  <si>
    <t>Voice-Over</t>
  </si>
  <si>
    <t>803K</t>
  </si>
  <si>
    <t>faradars.org</t>
  </si>
  <si>
    <t>Main Topic</t>
  </si>
  <si>
    <t>107K</t>
  </si>
  <si>
    <t>hci.org</t>
  </si>
  <si>
    <t>EduAssist Gap Status</t>
  </si>
  <si>
    <t>17.6K</t>
  </si>
  <si>
    <t>insights.com</t>
  </si>
  <si>
    <t>Community Engagement</t>
  </si>
  <si>
    <t>links</t>
  </si>
  <si>
    <t>57.5K</t>
  </si>
  <si>
    <t>Custom eLearning Development</t>
  </si>
  <si>
    <t>ndm.edu</t>
  </si>
  <si>
    <t>69.2K</t>
  </si>
  <si>
    <t>Already covered</t>
  </si>
  <si>
    <t>raindrop.io</t>
  </si>
  <si>
    <t>Gap — EduAssist integrates but lacks detailed guidance content</t>
  </si>
  <si>
    <t>Gap — EduAssist hasn’t explored AI course creation publicly</t>
  </si>
  <si>
    <t>smallbiztrends.com</t>
  </si>
  <si>
    <t>Email Automation</t>
  </si>
  <si>
    <t>113K</t>
  </si>
  <si>
    <t>Game-Based Learning &amp; Gamified Assessments</t>
  </si>
  <si>
    <t>Partial coverage but no deep gamification strategy No game design articles</t>
  </si>
  <si>
    <t>Simulations &amp; Demonstrations</t>
  </si>
  <si>
    <t>speexx.com</t>
  </si>
  <si>
    <t>Competitors provide highly interactive, step-based simulations for IT, healthcare, and compliance training. EduAssist lacks public content &amp; blog coverage on simulation design.</t>
  </si>
  <si>
    <t>332K</t>
  </si>
  <si>
    <t>tidsskrift.dk</t>
  </si>
  <si>
    <t>Gap — EduAssist focuses on course creation but less on structured corporate programs</t>
  </si>
  <si>
    <t>188K</t>
  </si>
  <si>
    <t>timetoast.com</t>
  </si>
  <si>
    <t>Creation</t>
  </si>
  <si>
    <t>239K</t>
  </si>
  <si>
    <t>Partial coverage — EduAssist does content but can expand multimedia &amp; interactivity</t>
  </si>
  <si>
    <t>wrksolutions.com</t>
  </si>
  <si>
    <t>83.1K</t>
  </si>
  <si>
    <t>Gap — EduAssist covers some gamification but can expand cluster content</t>
  </si>
  <si>
    <t>prospeo.io</t>
  </si>
  <si>
    <t>601K</t>
  </si>
  <si>
    <t>Partial coverage — EduAssist may include QA but not well documented publicly</t>
  </si>
  <si>
    <t>sitelike.org</t>
  </si>
  <si>
    <t>Market Trends &amp; Future of eLearning</t>
  </si>
  <si>
    <t>Search Engine Optimization</t>
  </si>
  <si>
    <t>684K</t>
  </si>
  <si>
    <t>Gap — EduAssist doesn’t have trend-focused thought leadership content</t>
  </si>
  <si>
    <t>LLM Qs</t>
  </si>
  <si>
    <t>79.7K</t>
  </si>
  <si>
    <t>verified from</t>
  </si>
  <si>
    <t>chartmill.com</t>
  </si>
  <si>
    <t>europages.co.uk</t>
  </si>
  <si>
    <t>Cold Calling</t>
  </si>
  <si>
    <t>437K</t>
  </si>
  <si>
    <t>Competitor Blogs</t>
  </si>
  <si>
    <t>getprospect.com</t>
  </si>
  <si>
    <t>glassdoor.com.hk</t>
  </si>
  <si>
    <t>370K</t>
  </si>
  <si>
    <t>glassdoor.nl</t>
  </si>
  <si>
    <t>Digital Marketing</t>
  </si>
  <si>
    <t>humanresourcesonline.net</t>
  </si>
  <si>
    <t>85.5K</t>
  </si>
  <si>
    <t>journoportfolio.com</t>
  </si>
  <si>
    <t>169K</t>
  </si>
  <si>
    <t>Machine Learning</t>
  </si>
  <si>
    <t>laurea.fi</t>
  </si>
  <si>
    <t>270K</t>
  </si>
  <si>
    <t>Adobe InDesign</t>
  </si>
  <si>
    <t>mitalent.org</t>
  </si>
  <si>
    <t>Designer</t>
  </si>
  <si>
    <t>584K</t>
  </si>
  <si>
    <t>nesta.org.uk</t>
  </si>
  <si>
    <t>nxtbook.com</t>
  </si>
  <si>
    <t>ongig.com</t>
  </si>
  <si>
    <t>62.8K</t>
  </si>
  <si>
    <t>Video Commercial</t>
  </si>
  <si>
    <t>oocities.org</t>
  </si>
  <si>
    <t>336K</t>
  </si>
  <si>
    <t>prnasia.com</t>
  </si>
  <si>
    <t>133K</t>
  </si>
  <si>
    <t>productionhub.com</t>
  </si>
  <si>
    <t>191K</t>
  </si>
  <si>
    <t>Face-to-Face Instruction</t>
  </si>
  <si>
    <t>ranktracker.com</t>
  </si>
  <si>
    <t>160K</t>
  </si>
  <si>
    <t>solarpowerworldonline.com</t>
  </si>
  <si>
    <t>141K</t>
  </si>
  <si>
    <t>solutionsreview.com</t>
  </si>
  <si>
    <t>51K</t>
  </si>
  <si>
    <t>Tutoring</t>
  </si>
  <si>
    <t>owler.com</t>
  </si>
  <si>
    <t>346K</t>
  </si>
  <si>
    <t>saashub.com</t>
  </si>
  <si>
    <t>267K</t>
  </si>
  <si>
    <t>accountingtoday.com</t>
  </si>
  <si>
    <t>Corporate Video</t>
  </si>
  <si>
    <t>ahmetcadirci.com</t>
  </si>
  <si>
    <t>applicantstack.com</t>
  </si>
  <si>
    <t>ChatGPT</t>
  </si>
  <si>
    <t>appsruntheworld.com</t>
  </si>
  <si>
    <t>56.8K</t>
  </si>
  <si>
    <t>axonify.com</t>
  </si>
  <si>
    <t>centralcharts.com</t>
  </si>
  <si>
    <t>designer</t>
  </si>
  <si>
    <t>289K</t>
  </si>
  <si>
    <t>cuindependent.com</t>
  </si>
  <si>
    <t>Team Guide: How to Use the SEO Workbook</t>
  </si>
  <si>
    <t>99.3K</t>
  </si>
  <si>
    <t>dailyremote.com</t>
  </si>
  <si>
    <t>645K</t>
  </si>
  <si>
    <t>API Integration</t>
  </si>
  <si>
    <t>edtechdigest.com</t>
  </si>
  <si>
    <t>16.3K</t>
  </si>
  <si>
    <t>govconwire.com</t>
  </si>
  <si>
    <t>Email Campaign Setup</t>
  </si>
  <si>
    <t>60.6K</t>
  </si>
  <si>
    <t>inkl.com</t>
  </si>
  <si>
    <t>Read this first. It explains the workflow, ownership, quality rules, reporting method and official reference sources.</t>
  </si>
  <si>
    <t>528K</t>
  </si>
  <si>
    <t>sports and business courses</t>
  </si>
  <si>
    <t>jobright.ai</t>
  </si>
  <si>
    <t>Proofreading</t>
  </si>
  <si>
    <t>kangaroo.vn</t>
  </si>
  <si>
    <t>sports coach courses online free</t>
  </si>
  <si>
    <t>32K</t>
  </si>
  <si>
    <t>khda.gov.ae</t>
  </si>
  <si>
    <t>Tech , IT</t>
  </si>
  <si>
    <t>108K</t>
  </si>
  <si>
    <t>1. Start Here: Daily Workflow</t>
  </si>
  <si>
    <t>maily.so</t>
  </si>
  <si>
    <t>coaching digital</t>
  </si>
  <si>
    <t>pctonline.com</t>
  </si>
  <si>
    <t>Step 1</t>
  </si>
  <si>
    <t>31.2K</t>
  </si>
  <si>
    <t>Sitelinks, Image pack, Video, Related searches</t>
  </si>
  <si>
    <t>Open 00 Dashboard</t>
  </si>
  <si>
    <t>https://www.ukcoaching.org/our-courses/</t>
  </si>
  <si>
    <t>personneltoday.com</t>
  </si>
  <si>
    <t>53.2K</t>
  </si>
  <si>
    <t>Social Media Content Creation</t>
  </si>
  <si>
    <t>Review open, critical and overdue work. The dashboard is a summary; do not type over its formulas.</t>
  </si>
  <si>
    <t>presseportal.ch</t>
  </si>
  <si>
    <t>19.3K</t>
  </si>
  <si>
    <t>Step 2</t>
  </si>
  <si>
    <t>Open 01 Task Board</t>
  </si>
  <si>
    <t>prweb.com</t>
  </si>
  <si>
    <t>Filter by your name and status. Start Critical tasks first, then High.</t>
  </si>
  <si>
    <t>414K</t>
  </si>
  <si>
    <t>Step 3</t>
  </si>
  <si>
    <t>questionmark.com</t>
  </si>
  <si>
    <t>Hybrid App Development</t>
  </si>
  <si>
    <t>Confirm task definition</t>
  </si>
  <si>
    <t>Every task needs a specific deliverable, page/URL, owner, due date and expected result.</t>
  </si>
  <si>
    <t>rephonic.com</t>
  </si>
  <si>
    <t>Step 4</t>
  </si>
  <si>
    <t>154K</t>
  </si>
  <si>
    <t>Do the work</t>
  </si>
  <si>
    <t>Use the correct operating tab: keywords, content, technical issues, competitors, links, AI visibility or performance.</t>
  </si>
  <si>
    <t>skyquestt.com</t>
  </si>
  <si>
    <t>78.6K</t>
  </si>
  <si>
    <t>Zapier</t>
  </si>
  <si>
    <t>Step 5</t>
  </si>
  <si>
    <t>Attach evidence</t>
  </si>
  <si>
    <t>traderfox.com</t>
  </si>
  <si>
    <t>ai content creation courses</t>
  </si>
  <si>
    <t>Paste the live URL, report, document, screenshot link, test result or pull request in Evidence / Work Link.</t>
  </si>
  <si>
    <t>394K</t>
  </si>
  <si>
    <t>Step 6</t>
  </si>
  <si>
    <t>zohorecruit.com</t>
  </si>
  <si>
    <t>Send to QA</t>
  </si>
  <si>
    <t>Set Status to Needs Review and assign a QA owner. The person who did the work should not approve it alone.</t>
  </si>
  <si>
    <t>education</t>
  </si>
  <si>
    <t>telguarder.com</t>
  </si>
  <si>
    <t>43.6K</t>
  </si>
  <si>
    <t>Step 7</t>
  </si>
  <si>
    <t>bai.ne.jp</t>
  </si>
  <si>
    <t>124K</t>
  </si>
  <si>
    <t>Close properly</t>
  </si>
  <si>
    <t>campustechnology.com</t>
  </si>
  <si>
    <t>Camtasia</t>
  </si>
  <si>
    <t>After approval, mark Done, add Completed Date, and write what changed and what result is expected.</t>
  </si>
  <si>
    <t>22.4K</t>
  </si>
  <si>
    <t>cloverleaf.me</t>
  </si>
  <si>
    <t>best lms platforms 2025</t>
  </si>
  <si>
    <t>42.2K</t>
  </si>
  <si>
    <t>2. Workbook Map</t>
  </si>
  <si>
    <t>coroflot.com</t>
  </si>
  <si>
    <t>technical skills vs soft skills</t>
  </si>
  <si>
    <t>Informational, Commercial</t>
  </si>
  <si>
    <t>236K</t>
  </si>
  <si>
    <t>00 Dashboard</t>
  </si>
  <si>
    <t>dentistrytoday.com</t>
  </si>
  <si>
    <t>70.4K</t>
  </si>
  <si>
    <t>MP4</t>
  </si>
  <si>
    <t>Management summary and weekly focus</t>
  </si>
  <si>
    <t>Read only except the Priority Focus section.</t>
  </si>
  <si>
    <t>technical vs soft skills</t>
  </si>
  <si>
    <t>Single source of truth for assignments</t>
  </si>
  <si>
    <t>eudic.net</t>
  </si>
  <si>
    <t>Every actionable item belongs here.</t>
  </si>
  <si>
    <t>Design</t>
  </si>
  <si>
    <t>02 Keyword Map</t>
  </si>
  <si>
    <t>Keyword ownership and opportunity scoring</t>
  </si>
  <si>
    <t>One primary intent/page; update canonical URL after mapping.</t>
  </si>
  <si>
    <t>glassdoor.co.nz</t>
  </si>
  <si>
    <t>How is AI transforming the eLearning industry in 2025 and beyond?</t>
  </si>
  <si>
    <t>135K</t>
  </si>
  <si>
    <t>03 Content Pipeline</t>
  </si>
  <si>
    <t>soft skills vs technical skills</t>
  </si>
  <si>
    <t>Page/article production and refresh status</t>
  </si>
  <si>
    <t>What are the latest trends in mobile and microlearning for online education?</t>
  </si>
  <si>
    <t>Use from idea/brief through publish, indexing and refresh.</t>
  </si>
  <si>
    <t>himalayas.app</t>
  </si>
  <si>
    <t>831K</t>
  </si>
  <si>
    <t>04 Technical Issues</t>
  </si>
  <si>
    <t>How are LMS platforms evolving to meet modern learner needs?</t>
  </si>
  <si>
    <t>Verified technical problem log</t>
  </si>
  <si>
    <t>Do not log assumptions as confirmed issues; use Needs Revalidation.</t>
  </si>
  <si>
    <t>hostingersite.com</t>
  </si>
  <si>
    <t>Job Aid</t>
  </si>
  <si>
    <t>What new gamification trends are shaping learner engagement?</t>
  </si>
  <si>
    <t>Period-by-period SEO and lead outcomes</t>
  </si>
  <si>
    <t>How is adaptive and personalized content changing eLearning?</t>
  </si>
  <si>
    <t>Use consistent sources/date ranges; include leads and conversion.</t>
  </si>
  <si>
    <t>“ai engineering and technical management”</t>
  </si>
  <si>
    <t>25.7K</t>
  </si>
  <si>
    <t>Benchmark, content gaps and next actions</t>
  </si>
  <si>
    <t>How is VR/AR being used to enhance learning experiences?</t>
  </si>
  <si>
    <t>Refresh stale metrics before decisions.</t>
  </si>
  <si>
    <t>instructional design skills</t>
  </si>
  <si>
    <t>20K</t>
  </si>
  <si>
    <t>What trends are shaping corporate training and upskilling programs?</t>
  </si>
  <si>
    <t>Qualification and outreach readiness</t>
  </si>
  <si>
    <t>Relevance and policy safety come before authority.</t>
  </si>
  <si>
    <t>Development</t>
  </si>
  <si>
    <t>lincolninternational.com</t>
  </si>
  <si>
    <t>Which emerging EdTech tools are gaining popularity in 2025?</t>
  </si>
  <si>
    <t>Questions, mentions, citations and accuracy</t>
  </si>
  <si>
    <t>72K</t>
  </si>
  <si>
    <t>Record the exact query, platform, date and evidence.</t>
  </si>
  <si>
    <t>“technical proficiency”</t>
  </si>
  <si>
    <t>09 SOP Checklists</t>
  </si>
  <si>
    <t>How are different countries approaching online learning trends?</t>
  </si>
  <si>
    <t>Repeatable daily/weekly/monthly work</t>
  </si>
  <si>
    <t>nss.org</t>
  </si>
  <si>
    <t>Copy checklist items into the Task Board when due.</t>
  </si>
  <si>
    <t>43.8K</t>
  </si>
  <si>
    <t>instructional designer skills</t>
  </si>
  <si>
    <t>What skills will be in high demand and how is eLearning addressing this need?</t>
  </si>
  <si>
    <t>RAW tabs</t>
  </si>
  <si>
    <t>59.6K</t>
  </si>
  <si>
    <t>LMS Plugin</t>
  </si>
  <si>
    <t>Original uploaded workbook data</t>
  </si>
  <si>
    <t>45.7K</t>
  </si>
  <si>
    <t>Reference only. Do not use as the active operating system.</t>
  </si>
  <si>
    <t>“high-quality tech-enhanced learning”</t>
  </si>
  <si>
    <t>ragan.com</t>
  </si>
  <si>
    <t>3. Status and Priority Definitions</t>
  </si>
  <si>
    <t>remotehub.com</t>
  </si>
  <si>
    <t>Field</t>
  </si>
  <si>
    <t>Microsoft Word</t>
  </si>
  <si>
    <t>“technical proficiency meaning”</t>
  </si>
  <si>
    <t>Value</t>
  </si>
  <si>
    <t>repvue.com</t>
  </si>
  <si>
    <t>157K</t>
  </si>
  <si>
    <t>Use it when</t>
  </si>
  <si>
    <t>Required next action</t>
  </si>
  <si>
    <t>sema.org</t>
  </si>
  <si>
    <t>51.4K</t>
  </si>
  <si>
    <t>What strategies can motivate employees to participate actively in training programs?</t>
  </si>
  <si>
    <t>“what is technical proficiency”</t>
  </si>
  <si>
    <t>How can analytics be used to improve corporate learning outcomes?</t>
  </si>
  <si>
    <t>smartcompany.com.au</t>
  </si>
  <si>
    <t>Work has not begun</t>
  </si>
  <si>
    <t>Confirm owner and due date</t>
  </si>
  <si>
    <t>Which training programs are most effective for developing future leaders?</t>
  </si>
  <si>
    <t>Work is actively being completed</t>
  </si>
  <si>
    <t>How can employee training be effectively conducted for remote teams?</t>
  </si>
  <si>
    <t>Update blocker and evidence</t>
  </si>
  <si>
    <t>straitsresearch.com</t>
  </si>
  <si>
    <t>Training Online LMS</t>
  </si>
  <si>
    <t>How do I identify skill gaps and plan targeted training programs?</t>
  </si>
  <si>
    <t>Deliverable is ready for QA</t>
  </si>
  <si>
    <t>“online course lengths”</t>
  </si>
  <si>
    <t>Assign QA owner</t>
  </si>
  <si>
    <t>tech.eu</t>
  </si>
  <si>
    <t>How should companies budget effectively for employee training programs?</t>
  </si>
  <si>
    <t>204K</t>
  </si>
  <si>
    <t>technical domain skills meaning</t>
  </si>
  <si>
    <t>Finding came from old data or has not been verified on live site</t>
  </si>
  <si>
    <t>How can upskilling programs support career progression for employees?</t>
  </si>
  <si>
    <t>thecompanycheck.com</t>
  </si>
  <si>
    <t>Check current www page before acting</t>
  </si>
  <si>
    <t>678K</t>
  </si>
  <si>
    <t>Blocked</t>
  </si>
  <si>
    <t>How can interactive eLearning tools improve corporate training engagement?</t>
  </si>
  <si>
    <t>CRM Automation</t>
  </si>
  <si>
    <t>theengineer.co.uk</t>
  </si>
  <si>
    <t>Work cannot proceed</t>
  </si>
  <si>
    <t>Name dependency and escalate</t>
  </si>
  <si>
    <t>54.8K</t>
  </si>
  <si>
    <t>What methods can be used to evaluate the success of employee training programs?</t>
  </si>
  <si>
    <t>learnworlds course creation services</t>
  </si>
  <si>
    <t>Done / Resolved</t>
  </si>
  <si>
    <t>QA approved and evidence is attached</t>
  </si>
  <si>
    <t>unleash.ai</t>
  </si>
  <si>
    <t>Creating a culture of continuous learning: How can companies maintain ongoing skill development?</t>
  </si>
  <si>
    <t>Record completed/resolved date</t>
  </si>
  <si>
    <t>what is a technical domain skill</t>
  </si>
  <si>
    <t>59.4K</t>
  </si>
  <si>
    <t>wiza.co</t>
  </si>
  <si>
    <t>Indexing, security, broken conversion, major traffic/lead risk</t>
  </si>
  <si>
    <t>Start immediately</t>
  </si>
  <si>
    <t>672K</t>
  </si>
  <si>
    <t>developer</t>
  </si>
  <si>
    <t>siteprice.org</t>
  </si>
  <si>
    <t>Strong visibility, conversion or production impact</t>
  </si>
  <si>
    <t>Complete in current sprint</t>
  </si>
  <si>
    <t>what are technical skills</t>
  </si>
  <si>
    <t>3blmedia.com</t>
  </si>
  <si>
    <t>Useful improvement with moderate impact</t>
  </si>
  <si>
    <t>How can subject matter experts and instructional designers collaborate on content development?</t>
  </si>
  <si>
    <t>Schedule after critical/high</t>
  </si>
  <si>
    <t>31.7K</t>
  </si>
  <si>
    <t>Figma</t>
  </si>
  <si>
    <t>Low</t>
  </si>
  <si>
    <t>absolvent.pl</t>
  </si>
  <si>
    <t>Nice-to-have or low confidence</t>
  </si>
  <si>
    <t>Keep only if capacity allows</t>
  </si>
  <si>
    <t>3.5K</t>
  </si>
  <si>
    <t>afpm.org</t>
  </si>
  <si>
    <t>89.1K</t>
  </si>
  <si>
    <t>4. Keyword and Content Rules</t>
  </si>
  <si>
    <t>asugsvsummit.com</t>
  </si>
  <si>
    <t>Rule</t>
  </si>
  <si>
    <t>Education Presentation</t>
  </si>
  <si>
    <t>45.9K</t>
  </si>
  <si>
    <t>One primary page per search intent</t>
  </si>
  <si>
    <t>Which multimedia formats are best for different types of learning content (video, audio, animation)?</t>
  </si>
  <si>
    <t>employee engagement courses</t>
  </si>
  <si>
    <t>avada.com</t>
  </si>
  <si>
    <t>Do not map the same main keyword/intent to multiple pages unless the pages serve clearly different needs.</t>
  </si>
  <si>
    <t>How can interactive storytelling enhance learner engagement and comprehension?</t>
  </si>
  <si>
    <t>Use clusters, not keyword stuffing</t>
  </si>
  <si>
    <t>catedu.es</t>
  </si>
  <si>
    <t>Place natural variants in headings/body where useful; do not repeat terms unnaturally.</t>
  </si>
  <si>
    <t>Why is proper synchronization of audio and visuals critical in multimedia learning?</t>
  </si>
  <si>
    <t>train</t>
  </si>
  <si>
    <t>Confirm intent manually</t>
  </si>
  <si>
    <t>How can simulations be effectively integrated into multimedia content?</t>
  </si>
  <si>
    <t>Tailored learning solution</t>
  </si>
  <si>
    <t>Tool labels can be wrong. Review current results before deciding service page vs guide vs comparison.</t>
  </si>
  <si>
    <t>12.7K</t>
  </si>
  <si>
    <t>Which software tools are best for creating multimedia eLearning content?</t>
  </si>
  <si>
    <t>soft skills and technical skills</t>
  </si>
  <si>
    <t>Every page needs a job</t>
  </si>
  <si>
    <t>cmoe.com</t>
  </si>
  <si>
    <t>10.2K</t>
  </si>
  <si>
    <t>Choose funnel stage, CTA and internal links before writing.</t>
  </si>
  <si>
    <t>H5P</t>
  </si>
  <si>
    <t>How can I ensure multimedia content meets quality and instructional standards?</t>
  </si>
  <si>
    <t>cutshort.io</t>
  </si>
  <si>
    <t>Publish with proof</t>
  </si>
  <si>
    <t>How do I measure learner engagement with multimedia content?</t>
  </si>
  <si>
    <t>learning experience designer</t>
  </si>
  <si>
    <t>588K</t>
  </si>
  <si>
    <t>Use real expertise, project evidence, examples, author/reviewer context and sources where relevant.</t>
  </si>
  <si>
    <t>Can multimedia content be easily localized for international learners?</t>
  </si>
  <si>
    <t>datanyze.com</t>
  </si>
  <si>
    <t>Refresh deliberately</t>
  </si>
  <si>
    <t>Update declining or outdated pages; do not change successful pages without a hypothesis.</t>
  </si>
  <si>
    <t>How can interactive assessments be incorporated into multimedia lessons?</t>
  </si>
  <si>
    <t>Java</t>
  </si>
  <si>
    <t>edcast.com</t>
  </si>
  <si>
    <t>Scope</t>
  </si>
  <si>
    <t>902K</t>
  </si>
  <si>
    <t>learning experience design</t>
  </si>
  <si>
    <t>What is the estimated cost and resource requirement for producing high-quality multimedia content?</t>
  </si>
  <si>
    <t>AR/VR is excluded</t>
  </si>
  <si>
    <t>What exactly is microlearning and how does it differ from traditional eLearning?</t>
  </si>
  <si>
    <t>How can microlearning improve learner retention and engagement?</t>
  </si>
  <si>
    <t>enlyft.com</t>
  </si>
  <si>
    <t>Academy</t>
  </si>
  <si>
    <t>Old AR/VR rows remain in RAW tabs only and must not be returned to the active plan unless management changes scope.</t>
  </si>
  <si>
    <t>23.6K</t>
  </si>
  <si>
    <t>What is the ideal duration for a microlearning module?</t>
  </si>
  <si>
    <t>Which content formats (video, quizzes, infographics) work best for microlearning?</t>
  </si>
  <si>
    <t>fenews.co.uk</t>
  </si>
  <si>
    <t>5. Technical, Indexing and Schema Rules</t>
  </si>
  <si>
    <t>28.4K</t>
  </si>
  <si>
    <t>How can microlearning be delivered effectively on mobile devices?</t>
  </si>
  <si>
    <t>Canonical domain</t>
  </si>
  <si>
    <t>Can microlearning replace full-length eLearning courses?</t>
  </si>
  <si>
    <t>foodb.ca</t>
  </si>
  <si>
    <t>Use https://www.theeduassist.com/ in active records. Verify redirects, internal links, canonical tags and sitemap URLs follow it.</t>
  </si>
  <si>
    <t>Content Development</t>
  </si>
  <si>
    <t>10.4K</t>
  </si>
  <si>
    <t>How can microlearning be used for corporate training and upskilling?</t>
  </si>
  <si>
    <t>fundinguniverse.com</t>
  </si>
  <si>
    <t>A submitted URL is not guaranteed to be indexed. First confirm 200 status, crawlability, canonical, helpful content and internal links.</t>
  </si>
  <si>
    <t>15.4K</t>
  </si>
  <si>
    <t>How do microlearning modules integrate with LMS platforms like Thinkific, Moodle, or Kajabi?</t>
  </si>
  <si>
    <t>Sitemaps</t>
  </si>
  <si>
    <t>thinkific ai course creator</t>
  </si>
  <si>
    <t>Include canonical URLs intended for search; remove obsolete/noncanonical URLs after migrations.</t>
  </si>
  <si>
    <t>glassdoor.be</t>
  </si>
  <si>
    <t>How can engagement and completion of microlearning modules be tracked effectively?</t>
  </si>
  <si>
    <t>279K</t>
  </si>
  <si>
    <t>IndexNow</t>
  </si>
  <si>
    <t>Use for new, updated or deleted URLs when implemented. Treat it as notification, not an indexing guarantee.</t>
  </si>
  <si>
    <t>Can gamification be combined with microlearning to increase learner motivation?</t>
  </si>
  <si>
    <t>glassdoor.ch</t>
  </si>
  <si>
    <t>AI Agent Development</t>
  </si>
  <si>
    <t>How can AI tools help create personalized microlearning paths for learners?</t>
  </si>
  <si>
    <t>Structured data</t>
  </si>
  <si>
    <t>Use supported markup that matches visible content. Validate with Rich Results Test and monitor Search Console.</t>
  </si>
  <si>
    <t>What are microsimulations and how do they enhance real-world skills?</t>
  </si>
  <si>
    <t>4.6K</t>
  </si>
  <si>
    <t>Record LCP, INP and CLS by template/URL group. Create a technical task for poor field-data groups.</t>
  </si>
  <si>
    <t>high-quality tech-enhanced lea</t>
  </si>
  <si>
    <t>How can scenario-based microsimulations improve decision-making and problem-solving?</t>
  </si>
  <si>
    <t>jobgether.com</t>
  </si>
  <si>
    <t>Old issues</t>
  </si>
  <si>
    <t>Anything copied from the old workbook starts as Needs Revalidation until checked on the current live site.</t>
  </si>
  <si>
    <t>What level of interactivity is ideal for microsimulations to keep learners engaged?</t>
  </si>
  <si>
    <t>Screencasting Video</t>
  </si>
  <si>
    <t>How can assessment and feedback be integrated into microsimulations?</t>
  </si>
  <si>
    <t>6. Backlink and Outreach Rules</t>
  </si>
  <si>
    <t>Which industries benefit most from microsimulations for training?</t>
  </si>
  <si>
    <t>Qualify before contact</t>
  </si>
  <si>
    <t>A high authority score is not enough. Check topical relevance, audience, editorial fit and a realistic placement route.</t>
  </si>
  <si>
    <t>What is the cost of developing microlearning and microsimulations, and how is ROI measured?</t>
  </si>
  <si>
    <t>How To</t>
  </si>
  <si>
    <t>What are best practices for designing and implementing microlearning and microsimulations?</t>
  </si>
  <si>
    <t>Reject risky tactics</t>
  </si>
  <si>
    <t>Do not use bulk link exchanges, paid follow links, automated link creation, comment spam or low-quality directories.</t>
  </si>
  <si>
    <t>educational experience</t>
  </si>
  <si>
    <t>What are the latest trends in microlearning and microsimulations in corporate training?</t>
  </si>
  <si>
    <t>How to keep learners consistently engaged in microlearning and microsimulations modules?</t>
  </si>
  <si>
    <t>Use proper attributes</t>
  </si>
  <si>
    <t>28.2K</t>
  </si>
  <si>
    <t>Paid or sponsored placements should use appropriate sponsored/nofollow treatment.</t>
  </si>
  <si>
    <t>What is game-based learning and how does it work?</t>
  </si>
  <si>
    <t>Canvas</t>
  </si>
  <si>
    <t>Offer value</t>
  </si>
  <si>
    <t>How is gamification different from game-based learning?</t>
  </si>
  <si>
    <t>Use expert input, original data, useful resources, case studies, podcasts, webinars or genuinely relevant contributions.</t>
  </si>
  <si>
    <t>elearning software development services        Commercial        260        24        0.00        Sitelinks, People also ask, Related searches        1 month</t>
  </si>
  <si>
    <t>loquiz.com</t>
  </si>
  <si>
    <t>Track outcomes</t>
  </si>
  <si>
    <t>56.9K</t>
  </si>
  <si>
    <t>Do gamified courses improve learner engagement?</t>
  </si>
  <si>
    <t>Record contact route, status, evidence and resulting live link. Do not count unverified promises.</t>
  </si>
  <si>
    <t>What game mechanics (XP points, badges, levels) work best in training?</t>
  </si>
  <si>
    <t>mfn.se</t>
  </si>
  <si>
    <t>SCORM</t>
  </si>
  <si>
    <t>7. Reporting Rules</t>
  </si>
  <si>
    <t>Are leaderboards effective for corporate or adult learners?</t>
  </si>
  <si>
    <t>Same comparison window</t>
  </si>
  <si>
    <t>How do you design a gamified quiz or assessment?</t>
  </si>
  <si>
    <t>Compare equivalent periods and note changes in tracking, site structure or campaigns.</t>
  </si>
  <si>
    <t>ref.ac.uk</t>
  </si>
  <si>
    <t>38.6K</t>
  </si>
  <si>
    <t>Prioritize trends</t>
  </si>
  <si>
    <t>Does gamification increase knowledge retention?</t>
  </si>
  <si>
    <t>Use clicks and impressions trends with page/query analysis. Average position alone can mislead.</t>
  </si>
  <si>
    <t>Elementor</t>
  </si>
  <si>
    <t>Which industries benefit most from game-based learning?</t>
  </si>
  <si>
    <t>reworked.co</t>
  </si>
  <si>
    <t>Connect to business</t>
  </si>
  <si>
    <t>Always record organic sessions, qualified leads and conversion rate when data is available.</t>
  </si>
  <si>
    <t>18.1K</t>
  </si>
  <si>
    <t>What tools or platforms are used to create gamified learning?</t>
  </si>
  <si>
    <t>Record sources</t>
  </si>
  <si>
    <t>Link GSC, GA4, SEO tool exports or dashboards in Notes/Evidence.</t>
  </si>
  <si>
    <t>sbigrowth.com</t>
  </si>
  <si>
    <t>Can microlearning be combined with gamification?</t>
  </si>
  <si>
    <t>12.9K</t>
  </si>
  <si>
    <t>Explain movement</t>
  </si>
  <si>
    <t>Customer Relationship Management</t>
  </si>
  <si>
    <t>For material changes, create a task to investigate cause rather than writing a vague summary.</t>
  </si>
  <si>
    <t>How do you measure the success of a gamified training program?</t>
  </si>
  <si>
    <t>superagi.com</t>
  </si>
  <si>
    <t>Management view</t>
  </si>
  <si>
    <t>106K</t>
  </si>
  <si>
    <t>Use 00 Dashboard for status; use 05 Performance for evidence and historical trend.</t>
  </si>
  <si>
    <t>Is gamification suitable for compliance or mandatory training?</t>
  </si>
  <si>
    <t>truework.com</t>
  </si>
  <si>
    <t>104K</t>
  </si>
  <si>
    <t>What are eLearning simulations and why are they used?</t>
  </si>
  <si>
    <t>8. AI Visibility Rules</t>
  </si>
  <si>
    <t>Workshop</t>
  </si>
  <si>
    <t>uprav.ru</t>
  </si>
  <si>
    <t>How do simulations improve learner engagement?</t>
  </si>
  <si>
    <t>No special AI shortcut</t>
  </si>
  <si>
    <t>Google states that standard SEO foundations remain relevant to AI features; special AI markup is not required.</t>
  </si>
  <si>
    <t>What industries benefit most from eLearning simulations?</t>
  </si>
  <si>
    <t>vcnewsdaily.com</t>
  </si>
  <si>
    <t>Eligibility first</t>
  </si>
  <si>
    <t>What tools are used to create eLearning simulations?</t>
  </si>
  <si>
    <t>40.5K</t>
  </si>
  <si>
    <t>Pages must be indexed, eligible for a snippet, crawlable and compliant before they can support AI features.</t>
  </si>
  <si>
    <t>MySQL</t>
  </si>
  <si>
    <t>vectorseek.com</t>
  </si>
  <si>
    <t>Can simulations be used for compliance training?</t>
  </si>
  <si>
    <t>Track exact evidence</t>
  </si>
  <si>
    <t>174K</t>
  </si>
  <si>
    <t>Record the full question, platform, date, mention/citation status, cited URL and accuracy.</t>
  </si>
  <si>
    <t>How do you design realistic scenario-based simulations?</t>
  </si>
  <si>
    <t>wordlayouts.com</t>
  </si>
  <si>
    <t>Create useful answers</t>
  </si>
  <si>
    <t>Build specific, original and trustworthy content that resolves real buyer and practitioner questions.</t>
  </si>
  <si>
    <t>86.7K</t>
  </si>
  <si>
    <t>Do simulations increase knowledge retention compared to videos?</t>
  </si>
  <si>
    <t>User Flow</t>
  </si>
  <si>
    <t>Do not manipulate</t>
  </si>
  <si>
    <t>How do learners interact with software simulations?</t>
  </si>
  <si>
    <t>growjo.com</t>
  </si>
  <si>
    <t>Avoid fake mentions, mass low-value content or tactics intended mainly to manipulate generative answers.</t>
  </si>
  <si>
    <t>468K</t>
  </si>
  <si>
    <t>Can simulations be combined with gamified elements?</t>
  </si>
  <si>
    <t>allego.com</t>
  </si>
  <si>
    <t>How do you measure the effectiveness of simulations in training?</t>
  </si>
  <si>
    <t>146K</t>
  </si>
  <si>
    <t>Educational</t>
  </si>
  <si>
    <t>Why are branching scenarios powerful?</t>
  </si>
  <si>
    <t>9. Quality Gate Before Marking Work Done</t>
  </si>
  <si>
    <t>ame.org</t>
  </si>
  <si>
    <t>3.7K</t>
  </si>
  <si>
    <t>Ownership</t>
  </si>
  <si>
    <t>Why do competitors fail at scenario design?</t>
  </si>
  <si>
    <t>Owner, due date, page/URL and expected outcome are clear.</t>
  </si>
  <si>
    <t>elearning Academy online academy bulid my academy bulid my elearning academy</t>
  </si>
  <si>
    <t>Which tools do you use?</t>
  </si>
  <si>
    <t>Implementation</t>
  </si>
  <si>
    <t>Change is live in the correct environment and uses the www canonical URL.</t>
  </si>
  <si>
    <t>Status code, canonical, robots/indexability and internal links are checked where relevant.</t>
  </si>
  <si>
    <t>avinteractive.com</t>
  </si>
  <si>
    <t>How does it increase engagement?</t>
  </si>
  <si>
    <t>42K</t>
  </si>
  <si>
    <t>Stripe</t>
  </si>
  <si>
    <t>Intent, facts, title, headings, helpfulness, CTA and brand language are reviewed.</t>
  </si>
  <si>
    <t>brandonhall.com</t>
  </si>
  <si>
    <t>9.3K</t>
  </si>
  <si>
    <t>How can branching scenarios assess learner decision-making?</t>
  </si>
  <si>
    <t>Publish my course /elerarning "</t>
  </si>
  <si>
    <t>Applicable markup is valid and matches visible content.</t>
  </si>
  <si>
    <t>buzzfile.com</t>
  </si>
  <si>
    <t>What principles guide scenario branching design?</t>
  </si>
  <si>
    <t>Important conversion changes are tested in GA4/DebugView where relevant.</t>
  </si>
  <si>
    <t>How is feedback integrated into branching scenarios?</t>
  </si>
  <si>
    <t>clay.earth</t>
  </si>
  <si>
    <t>Scheduling</t>
  </si>
  <si>
    <t>Evidence/work link is attached and another team member can reproduce the result.</t>
  </si>
  <si>
    <t>203K</t>
  </si>
  <si>
    <t>Are branching scenarios mobile-friendly?</t>
  </si>
  <si>
    <t>or "Lets Publish your online course " keywords</t>
  </si>
  <si>
    <t>QA owner approved it; status and completed date are updated.</t>
  </si>
  <si>
    <t>conservapedia.com</t>
  </si>
  <si>
    <t>How can branching scenarios improve corporate upskilling programs?</t>
  </si>
  <si>
    <t>78.7K</t>
  </si>
  <si>
    <t>How does storytelling enhance scenario-based learning?</t>
  </si>
  <si>
    <t>construction.co.uk</t>
  </si>
  <si>
    <t>10. Official Reference Sources</t>
  </si>
  <si>
    <t>112K</t>
  </si>
  <si>
    <t>Can branching scenarios track learner choices for analytics?</t>
  </si>
  <si>
    <t>Educational Technology</t>
  </si>
  <si>
    <t>Google Search Essentials</t>
  </si>
  <si>
    <t>devskiller.com</t>
  </si>
  <si>
    <t>https://developers.google.com/search/docs/essentials</t>
  </si>
  <si>
    <t>Can scenarios be customized for different learner roles?</t>
  </si>
  <si>
    <t>28.9K</t>
  </si>
  <si>
    <t>Technical requirements, spam policies and key best practices.</t>
  </si>
  <si>
    <t>easyleadz.com</t>
  </si>
  <si>
    <t>Google SEO Starter Guide</t>
  </si>
  <si>
    <t>219K</t>
  </si>
  <si>
    <t>https://developers.google.com/search/docs/fundamentals/seo-starter-guide</t>
  </si>
  <si>
    <t>Crawlability, titles, snippets, links and content fundamentals.</t>
  </si>
  <si>
    <t>Class</t>
  </si>
  <si>
    <t>eulerpool.com</t>
  </si>
  <si>
    <t>Google AI Features</t>
  </si>
  <si>
    <t>115K</t>
  </si>
  <si>
    <t>https://developers.google.com/search/docs/appearance/ai-features</t>
  </si>
  <si>
    <t>Official guidance for AI Overviews and AI Mode.</t>
  </si>
  <si>
    <t>sitemap</t>
  </si>
  <si>
    <t>Google Generative AI Guide</t>
  </si>
  <si>
    <t>europages.fr</t>
  </si>
  <si>
    <t>https://developers.google.com/search/docs/fundamentals/ai-optimization-guide</t>
  </si>
  <si>
    <t>URL Count</t>
  </si>
  <si>
    <t>198K</t>
  </si>
  <si>
    <t>Current official generative-search guidance and myths.</t>
  </si>
  <si>
    <t>Last Updated</t>
  </si>
  <si>
    <t>Sales , Marketing</t>
  </si>
  <si>
    <t>https://theeduassist.com/post-sitemap.xml</t>
  </si>
  <si>
    <t>gulfbank.com</t>
  </si>
  <si>
    <t>Google Structured Data Guidelines</t>
  </si>
  <si>
    <t>https://developers.google.com/search/docs/appearance/structured-data/sd-policies</t>
  </si>
  <si>
    <t>82.7K</t>
  </si>
  <si>
    <t>January 14, 2026
4:30 pm</t>
  </si>
  <si>
    <t>Eligibility, quality and validation rules.</t>
  </si>
  <si>
    <t>https://theeduassist.com/page-sitemap.xml</t>
  </si>
  <si>
    <t>Google Sitemap Guide</t>
  </si>
  <si>
    <t>https://developers.google.com/search/docs/crawling-indexing/sitemaps/build-sitemap</t>
  </si>
  <si>
    <t>January 13, 2026
8:18 pm</t>
  </si>
  <si>
    <t>How to build and submit canonical sitemap URLs.</t>
  </si>
  <si>
    <t>https://theeduassist.com/product-sitemap.xml</t>
  </si>
  <si>
    <t>managementsite.nl</t>
  </si>
  <si>
    <t>May 8, 2024
12:26 pm</t>
  </si>
  <si>
    <t>Testimonial Video</t>
  </si>
  <si>
    <t>Search Console Performance</t>
  </si>
  <si>
    <t>31.9K</t>
  </si>
  <si>
    <t>https://support.google.com/webmasters/answer/7576553</t>
  </si>
  <si>
    <t>https://theeduassist.com/awsm_job_openings-sitemap.xml</t>
  </si>
  <si>
    <t>Clicks, impressions, CTR and position reporting.</t>
  </si>
  <si>
    <t>January 13, 2026
7:39 pm</t>
  </si>
  <si>
    <t>onrec.com</t>
  </si>
  <si>
    <t>Search Console Data Details</t>
  </si>
  <si>
    <t>43.7K</t>
  </si>
  <si>
    <t>https://theeduassist.com/mailpoet_page-sitemap.xml</t>
  </si>
  <si>
    <t>https://support.google.com/webmasters/answer/17011364</t>
  </si>
  <si>
    <t>Aggregation and freshness caveats.</t>
  </si>
  <si>
    <t>January 9, 2026
11:12 am</t>
  </si>
  <si>
    <t>panorays.com</t>
  </si>
  <si>
    <t>https://theeduassist.com/wpr_templates-sitemap.xml</t>
  </si>
  <si>
    <t>25K</t>
  </si>
  <si>
    <t>Digital Project Management</t>
  </si>
  <si>
    <t>January 13, 2026
8:30 pm</t>
  </si>
  <si>
    <t>https://web.dev/explore/learn-core-web-vitals</t>
  </si>
  <si>
    <t>LCP, INP and CLS overview.</t>
  </si>
  <si>
    <t>https://theeduassist.com/post-archive-sitemap.xml</t>
  </si>
  <si>
    <t>prlog.org</t>
  </si>
  <si>
    <t>Bing IndexNow</t>
  </si>
  <si>
    <t>https://www.bing.com/webmasters/help/indexnow-0z209wby</t>
  </si>
  <si>
    <t>https://theeduassist.com/category-sitemap.xml</t>
  </si>
  <si>
    <t>Notify participating search engines about URL changes.</t>
  </si>
  <si>
    <t>remoterocketship.com</t>
  </si>
  <si>
    <t>Bing Webmaster Guidelines</t>
  </si>
  <si>
    <t>https://theeduassist.com/post_tag-sitemap.xml</t>
  </si>
  <si>
    <t>https://www.bing.com/webmasters/help/webmaster-guidelines-30fba23a</t>
  </si>
  <si>
    <t>Outbound Sales</t>
  </si>
  <si>
    <t>Bing search and AI visibility guidelines.</t>
  </si>
  <si>
    <t>https://theeduassist.com/product_cat-sitemap.xml</t>
  </si>
  <si>
    <t>taotesting.com</t>
  </si>
  <si>
    <t>18.3K</t>
  </si>
  <si>
    <t>11. Changes Made in This Redesign</t>
  </si>
  <si>
    <t>January 9, 2026
7:54 am</t>
  </si>
  <si>
    <t>12.2K</t>
  </si>
  <si>
    <t>Consolidated workflow</t>
  </si>
  <si>
    <t>Daily work now flows through one task board with ownership, due dates, evidence, QA and SLA.</t>
  </si>
  <si>
    <t>Customer Support</t>
  </si>
  <si>
    <t>the-buyer.net</t>
  </si>
  <si>
    <t>Clean active planning</t>
  </si>
  <si>
    <t>17.5K</t>
  </si>
  <si>
    <t>Keywords, content, issues, competitors, links, AI tracking and reporting have dedicated structured tabs.</t>
  </si>
  <si>
    <t>January 15, 2026
3:30 am</t>
  </si>
  <si>
    <t>yoodli.ai</t>
  </si>
  <si>
    <t>Correct canonical</t>
  </si>
  <si>
    <t>250K</t>
  </si>
  <si>
    <t>Active tabs use https://www.theeduassist.com/; old non-www entries remain only for revalidation/archive reference.</t>
  </si>
  <si>
    <t>January 15, 2026
3:00 am</t>
  </si>
  <si>
    <t>Scope cleanup</t>
  </si>
  <si>
    <t>Logo Design</t>
  </si>
  <si>
    <t>https://theeduassist.com/blog/teachability-how-to-improve-learning-and-retention-in-education/</t>
  </si>
  <si>
    <t>yudu.com</t>
  </si>
  <si>
    <t>AR/VR ideas were removed from active planning because the service is no longer in scope.</t>
  </si>
  <si>
    <t>January 13, 2026
2:19 pm</t>
  </si>
  <si>
    <t>Business outcomes</t>
  </si>
  <si>
    <t>annajah.net</t>
  </si>
  <si>
    <t>Performance tracking now includes GSC, GA4 organic sessions, leads, conversion and Core Web Vitals.</t>
  </si>
  <si>
    <t>Safer link workflow</t>
  </si>
  <si>
    <t>https://theeduassist.com/blog/how-customized-elearning-is-transforming-safety-training-in-the-oil-gas-industry/</t>
  </si>
  <si>
    <t>The backlink export is filtered into candidates but every row remains Unqualified until manual review.</t>
  </si>
  <si>
    <t>bharatibiz.com</t>
  </si>
  <si>
    <t>CapCut</t>
  </si>
  <si>
    <t>January 13, 2026
1:33 pm</t>
  </si>
  <si>
    <t>354K</t>
  </si>
  <si>
    <t>Original data preserved</t>
  </si>
  <si>
    <t>All original sheets are copied into RAW archive tabs before this guide.</t>
  </si>
  <si>
    <t>boereport.com</t>
  </si>
  <si>
    <t>January 14, 2026
3:00 am</t>
  </si>
  <si>
    <t>92.6K</t>
  </si>
  <si>
    <t>January 13, 2026
12:34 pm</t>
  </si>
  <si>
    <t>checkasalary.co.uk</t>
  </si>
  <si>
    <t>7.9K</t>
  </si>
  <si>
    <t>Web Application</t>
  </si>
  <si>
    <t>January 13, 2026
12:33 pm</t>
  </si>
  <si>
    <t>domhelder.edu.br</t>
  </si>
  <si>
    <t>101K</t>
  </si>
  <si>
    <t>drbicuspid.com</t>
  </si>
  <si>
    <t>Google Ads</t>
  </si>
  <si>
    <t>ebix.com</t>
  </si>
  <si>
    <t>82.6K</t>
  </si>
  <si>
    <t>January 13, 2026
12:32 pm</t>
  </si>
  <si>
    <t>executivebiz.com</t>
  </si>
  <si>
    <t>27.6K</t>
  </si>
  <si>
    <t>fca.edu.sg</t>
  </si>
  <si>
    <t>API</t>
  </si>
  <si>
    <t>gpstrategies.com</t>
  </si>
  <si>
    <t>29.5K</t>
  </si>
  <si>
    <t>gtmnow.com</t>
  </si>
  <si>
    <t>11.7K</t>
  </si>
  <si>
    <t>Editing , Proofreading</t>
  </si>
  <si>
    <t>January 13, 2026
12:31 pm</t>
  </si>
  <si>
    <t>happeo.com</t>
  </si>
  <si>
    <t>161K</t>
  </si>
  <si>
    <t>January 13, 2026
12:29 pm</t>
  </si>
  <si>
    <t>January 5, 2026
6:33 pm</t>
  </si>
  <si>
    <t>Finance , Accounting</t>
  </si>
  <si>
    <t>industryweek.com</t>
  </si>
  <si>
    <t>January 6, 2026
3:20 am</t>
  </si>
  <si>
    <t>93.1K</t>
  </si>
  <si>
    <t>January 1, 2026
4:54 pm</t>
  </si>
  <si>
    <t>iniuria.us</t>
  </si>
  <si>
    <t>524K</t>
  </si>
  <si>
    <t>Facebook Advertising</t>
  </si>
  <si>
    <t>January 1, 2026
11:47 am</t>
  </si>
  <si>
    <t>manufacturing.net</t>
  </si>
  <si>
    <t>27.3K</t>
  </si>
  <si>
    <t>Always</t>
  </si>
  <si>
    <t>48.7K</t>
  </si>
  <si>
    <t>https://theeduassist.com/services/</t>
  </si>
  <si>
    <t>React</t>
  </si>
  <si>
    <t>January 12, 2026
9:06 pm</t>
  </si>
  <si>
    <t>njbia.org</t>
  </si>
  <si>
    <t>15.8K</t>
  </si>
  <si>
    <t>January 12, 2026
8:08 pm</t>
  </si>
  <si>
    <t>piacesprofit.hu</t>
  </si>
  <si>
    <t>298K</t>
  </si>
  <si>
    <t>January 12, 2026
5:36 pm</t>
  </si>
  <si>
    <t>steinfort.lu</t>
  </si>
  <si>
    <t>Video Editing , Production</t>
  </si>
  <si>
    <t>January 10, 2026
8:25 am</t>
  </si>
  <si>
    <t>8.1K</t>
  </si>
  <si>
    <t>https://theeduassist.com/job-openings/</t>
  </si>
  <si>
    <t>January 10, 2026
8:14 am</t>
  </si>
  <si>
    <t>themarque.com</t>
  </si>
  <si>
    <t>https://theeduassist.com/ai-answers/</t>
  </si>
  <si>
    <t>January 9, 2026
11:50 am</t>
  </si>
  <si>
    <t>wedbush.com</t>
  </si>
  <si>
    <t>January 7, 2026
8:03 pm</t>
  </si>
  <si>
    <t>63.9K</t>
  </si>
  <si>
    <t>academy</t>
  </si>
  <si>
    <t>January 7, 2026
6:50 pm</t>
  </si>
  <si>
    <t>workitdaily.com</t>
  </si>
  <si>
    <t>39.9K</t>
  </si>
  <si>
    <t>January 7, 2026
4:33 pm</t>
  </si>
  <si>
    <t>amchamthailand.com</t>
  </si>
  <si>
    <t>January 7, 2026
12:50 pm</t>
  </si>
  <si>
    <t>Google Analytics</t>
  </si>
  <si>
    <t>buildingradar.com</t>
  </si>
  <si>
    <t>January 7, 2026
9:04 am</t>
  </si>
  <si>
    <t>14.7K</t>
  </si>
  <si>
    <t>January 7, 2026
8:43 am</t>
  </si>
  <si>
    <t>concealedcarry.com</t>
  </si>
  <si>
    <t>41.3K</t>
  </si>
  <si>
    <t>January 7, 2026
8:25 am</t>
  </si>
  <si>
    <t>cpbj.com</t>
  </si>
  <si>
    <t>Website Redesign</t>
  </si>
  <si>
    <t>8.9K</t>
  </si>
  <si>
    <t>January 7, 2026
8:04 am</t>
  </si>
  <si>
    <t>d1io3yog0oux5.cloudfront.net</t>
  </si>
  <si>
    <t>January 6, 2026
9:13 pm</t>
  </si>
  <si>
    <t>190K</t>
  </si>
  <si>
    <t>January 6, 2026
8:54 pm</t>
  </si>
  <si>
    <t>datainsightsmarket.com</t>
  </si>
  <si>
    <t>Scriptwriting</t>
  </si>
  <si>
    <t>87.9K</t>
  </si>
  <si>
    <t>January 6, 2026
6:57 pm</t>
  </si>
  <si>
    <t>edu.eu</t>
  </si>
  <si>
    <t>January 6, 2026
6:10 am</t>
  </si>
  <si>
    <t>255K</t>
  </si>
  <si>
    <t>January 6, 2026
5:22 am</t>
  </si>
  <si>
    <t>enigma.com</t>
  </si>
  <si>
    <t>56.3K</t>
  </si>
  <si>
    <t>Develop</t>
  </si>
  <si>
    <t>January 6, 2026
5:06 am</t>
  </si>
  <si>
    <t>ere.net</t>
  </si>
  <si>
    <t>January 5, 2026
7:12 pm</t>
  </si>
  <si>
    <t>europages.it</t>
  </si>
  <si>
    <t>213K</t>
  </si>
  <si>
    <t>January 5, 2026
6:18 pm</t>
  </si>
  <si>
    <t>https://theeduassist.com/custom-elearning-content-development/</t>
  </si>
  <si>
    <t>Node.js</t>
  </si>
  <si>
    <t>hashnode.com</t>
  </si>
  <si>
    <t>January 2, 2026
7:38 pm</t>
  </si>
  <si>
    <t>https://theeduassist.com/audio-video-production-for-elearning/</t>
  </si>
  <si>
    <t>January 2, 2026
7:09 pm</t>
  </si>
  <si>
    <t>herohunt.ai</t>
  </si>
  <si>
    <t>20.2K</t>
  </si>
  <si>
    <t>Sales Funnel Copywriting</t>
  </si>
  <si>
    <t>Change Frequency</t>
  </si>
  <si>
    <t>372K</t>
  </si>
  <si>
    <t>https://theeduassist.com/tag/indesign/</t>
  </si>
  <si>
    <t>ien.com</t>
  </si>
  <si>
    <t>30.5K</t>
  </si>
  <si>
    <t>January 1, 1970
12:00 am</t>
  </si>
  <si>
    <t>51.2K</t>
  </si>
  <si>
    <t>Telemarketing</t>
  </si>
  <si>
    <t>https://theeduassist.com/tag/online-course/</t>
  </si>
  <si>
    <t>podtail.se</t>
  </si>
  <si>
    <t>SV</t>
  </si>
  <si>
    <t>123K</t>
  </si>
  <si>
    <t>https://theeduassist.com/tag/edtech/</t>
  </si>
  <si>
    <t>power-eng.com</t>
  </si>
  <si>
    <t>https://theeduassist.com/tag/trainingskills/</t>
  </si>
  <si>
    <t>26.6K</t>
  </si>
  <si>
    <t>Full-Stack Development</t>
  </si>
  <si>
    <t>saltwaterfish.com</t>
  </si>
  <si>
    <t>119K</t>
  </si>
  <si>
    <t>how to market an online course</t>
  </si>
  <si>
    <t>southyorkshire-ca.gov.uk</t>
  </si>
  <si>
    <t>26.1K</t>
  </si>
  <si>
    <t>thejournal.com</t>
  </si>
  <si>
    <t>7.6K</t>
  </si>
  <si>
    <t>HighLevel</t>
  </si>
  <si>
    <t>https://theeduassist.com/tag/digital-product/</t>
  </si>
  <si>
    <t>thesafetymag.com</t>
  </si>
  <si>
    <t>https://theeduassist.com/tag/skool/</t>
  </si>
  <si>
    <t>19.1K</t>
  </si>
  <si>
    <t>online education marketing strategies</t>
  </si>
  <si>
    <t>https://theeduassist.com/tag/uiux/</t>
  </si>
  <si>
    <t>ticsyformacion.com</t>
  </si>
  <si>
    <t>https://theeduassist.com/tag/pop-ups/</t>
  </si>
  <si>
    <t>designing</t>
  </si>
  <si>
    <t>todosnegocios.com</t>
  </si>
  <si>
    <t>https://theeduassist.com/tag/seta/</t>
  </si>
  <si>
    <t>404K</t>
  </si>
  <si>
    <t>https://theeduassist.com/tag/moocs/</t>
  </si>
  <si>
    <t>social media growth strategies</t>
  </si>
  <si>
    <t>tomba.io</t>
  </si>
  <si>
    <t>77.5K</t>
  </si>
  <si>
    <t>https://theeduassist.com/tag/udemy/</t>
  </si>
  <si>
    <t>ukg.ca</t>
  </si>
  <si>
    <t>https://theeduassist.com/tag/learning-strategies/</t>
  </si>
  <si>
    <t>17.3K</t>
  </si>
  <si>
    <t>Health , Wellness</t>
  </si>
  <si>
    <t>warriorforum.com</t>
  </si>
  <si>
    <t>creating engaging social media content</t>
  </si>
  <si>
    <t>https://theeduassist.com/tag/online-couurse/</t>
  </si>
  <si>
    <t>abed.org.br</t>
  </si>
  <si>
    <t>https://theeduassist.com/tag/ar-vr/</t>
  </si>
  <si>
    <t>alleaktien.com</t>
  </si>
  <si>
    <t>ESL Teaching</t>
  </si>
  <si>
    <t>35.3K</t>
  </si>
  <si>
    <t>https://theeduassist.com/tag/ghl/</t>
  </si>
  <si>
    <t>asug.com</t>
  </si>
  <si>
    <t>https://theeduassist.com/tag/instructional-designer/</t>
  </si>
  <si>
    <t>31.6K</t>
  </si>
  <si>
    <t>content marketing social media marketing</t>
  </si>
  <si>
    <t>52.8K</t>
  </si>
  <si>
    <t>charteredbanker.com</t>
  </si>
  <si>
    <t>Landing Page Design</t>
  </si>
  <si>
    <t>46.3K</t>
  </si>
  <si>
    <t>social media awareness</t>
  </si>
  <si>
    <t>cmcoutperform.com</t>
  </si>
  <si>
    <t>33.1K</t>
  </si>
  <si>
    <t>136K</t>
  </si>
  <si>
    <t>Videography</t>
  </si>
  <si>
    <t>deadlinefunnel.com</t>
  </si>
  <si>
    <t>72.1K</t>
  </si>
  <si>
    <t>how to market yourself on social media</t>
  </si>
  <si>
    <t>65K</t>
  </si>
  <si>
    <t>enterpriseleague.com</t>
  </si>
  <si>
    <t>Video Publishing</t>
  </si>
  <si>
    <t>72.6K</t>
  </si>
  <si>
    <t>social branding</t>
  </si>
  <si>
    <t>forem.com</t>
  </si>
  <si>
    <t>68.8K</t>
  </si>
  <si>
    <t>getbridge.com</t>
  </si>
  <si>
    <t>storyboarding</t>
  </si>
  <si>
    <t>good social media practices</t>
  </si>
  <si>
    <t>10K</t>
  </si>
  <si>
    <t>22.3K</t>
  </si>
  <si>
    <t>Business Presentation</t>
  </si>
  <si>
    <t>mergr.com</t>
  </si>
  <si>
    <t>83K</t>
  </si>
  <si>
    <t>social networking marketing ideas</t>
  </si>
  <si>
    <t>mondodigitale.org</t>
  </si>
  <si>
    <t>29.1K</t>
  </si>
  <si>
    <t>mutualfunds.com</t>
  </si>
  <si>
    <t>10.9K</t>
  </si>
  <si>
    <t>Social Media Video</t>
  </si>
  <si>
    <t>mycomplianceoffice.com</t>
  </si>
  <si>
    <t>social marketing ideas</t>
  </si>
  <si>
    <t>33.6K</t>
  </si>
  <si>
    <t>oilandgasiq.com</t>
  </si>
  <si>
    <t>WordPress Plugin</t>
  </si>
  <si>
    <t>strategic digital media</t>
  </si>
  <si>
    <t>podscan.fm</t>
  </si>
  <si>
    <t>144K</t>
  </si>
  <si>
    <t>pressat.co.uk</t>
  </si>
  <si>
    <t>34.5K</t>
  </si>
  <si>
    <t>Sales Funnel Builder</t>
  </si>
  <si>
    <t>rw-3.com</t>
  </si>
  <si>
    <t>media planning strategy</t>
  </si>
  <si>
    <t>5.2K</t>
  </si>
  <si>
    <t>sapinsider.org</t>
  </si>
  <si>
    <t>63.7K</t>
  </si>
  <si>
    <t>skillpanel.com</t>
  </si>
  <si>
    <t>Data Visualization</t>
  </si>
  <si>
    <t>developing a media strategy</t>
  </si>
  <si>
    <t>superpages.com</t>
  </si>
  <si>
    <t>552K</t>
  </si>
  <si>
    <t>theeap.com</t>
  </si>
  <si>
    <t>70.2K</t>
  </si>
  <si>
    <t>Team Management</t>
  </si>
  <si>
    <t>3.1K</t>
  </si>
  <si>
    <t>vehicleservicepros.com</t>
  </si>
  <si>
    <t>96K</t>
  </si>
  <si>
    <t>HubSpot</t>
  </si>
  <si>
    <t>accountancydaily.co</t>
  </si>
  <si>
    <t>39.5K</t>
  </si>
  <si>
    <t>advisorpedia.com</t>
  </si>
  <si>
    <t>19K</t>
  </si>
  <si>
    <t>binus.sch.id</t>
  </si>
  <si>
    <t>Coursework Assignment</t>
  </si>
  <si>
    <t>canadianinsider.com</t>
  </si>
  <si>
    <t>48.8K</t>
  </si>
  <si>
    <t>capricor.com</t>
  </si>
  <si>
    <t>11.4K</t>
  </si>
  <si>
    <t>Teaching</t>
  </si>
  <si>
    <t>cetpainfotech.com</t>
  </si>
  <si>
    <t>18.8K</t>
  </si>
  <si>
    <t>promote your course (Vol 590, KD 20)</t>
  </si>
  <si>
    <t>chemanager-online.com</t>
  </si>
  <si>
    <t>commlabindia.com</t>
  </si>
  <si>
    <t>Mathematics</t>
  </si>
  <si>
    <t>9K</t>
  </si>
  <si>
    <t>edtech.com</t>
  </si>
  <si>
    <t>getofficely.com</t>
  </si>
  <si>
    <t>Colossyan</t>
  </si>
  <si>
    <t>gitnux.org</t>
  </si>
  <si>
    <t>marketing strategies (Vol 1000, KD 26)</t>
  </si>
  <si>
    <t>172K</t>
  </si>
  <si>
    <t>huntscanlon.com</t>
  </si>
  <si>
    <t>19.6K</t>
  </si>
  <si>
    <t>Usability Testing</t>
  </si>
  <si>
    <t>jake-jorgovan.com</t>
  </si>
  <si>
    <t>4.2K</t>
  </si>
  <si>
    <t>80.4K</t>
  </si>
  <si>
    <t>kobedigital.com</t>
  </si>
  <si>
    <t>12.5K</t>
  </si>
  <si>
    <t>Google Workspace</t>
  </si>
  <si>
    <t>leanblog.org</t>
  </si>
  <si>
    <t>email marketing (Vol 1000, KD 26)</t>
  </si>
  <si>
    <t>9.6K</t>
  </si>
  <si>
    <t>22.6K</t>
  </si>
  <si>
    <t>Influencer Marketing</t>
  </si>
  <si>
    <t>ltgplc.com</t>
  </si>
  <si>
    <t>2K</t>
  </si>
  <si>
    <t>magai.co</t>
  </si>
  <si>
    <t>Data Analysis</t>
  </si>
  <si>
    <t>130K</t>
  </si>
  <si>
    <t>online course platform (Vol 590, KD 20)</t>
  </si>
  <si>
    <t>maximizemarketresearch.com</t>
  </si>
  <si>
    <t>35K</t>
  </si>
  <si>
    <t>mtlc.co</t>
  </si>
  <si>
    <t>Self-Help</t>
  </si>
  <si>
    <t>naxlex.com</t>
  </si>
  <si>
    <t>165K</t>
  </si>
  <si>
    <t>orangeslices.ai</t>
  </si>
  <si>
    <t>48.5K</t>
  </si>
  <si>
    <t>Video Animation</t>
  </si>
  <si>
    <t>parulgargmakeup.com</t>
  </si>
  <si>
    <t>12.8K</t>
  </si>
  <si>
    <t>generate leads (Vol 140, KD 23) – supportive</t>
  </si>
  <si>
    <t>reliabilityweb.com</t>
  </si>
  <si>
    <t>responsibilityreports.com</t>
  </si>
  <si>
    <t>Final Cut Pro</t>
  </si>
  <si>
    <t>roic.ai</t>
  </si>
  <si>
    <t>62K</t>
  </si>
  <si>
    <t>starkvilledailynews.com</t>
  </si>
  <si>
    <t>51.9K</t>
  </si>
  <si>
    <t>AI Content Creation</t>
  </si>
  <si>
    <t>synnovis.co.uk</t>
  </si>
  <si>
    <t>strategic marketing online (Vol 1000, KD 23) – optional, broader coverage</t>
  </si>
  <si>
    <t>theoldreader.com</t>
  </si>
  <si>
    <t>557K</t>
  </si>
  <si>
    <t>Digital Marketing Strategy</t>
  </si>
  <si>
    <t>ukg.com.au</t>
  </si>
  <si>
    <t>32.2K</t>
  </si>
  <si>
    <t>washingtontech.edu</t>
  </si>
  <si>
    <t>Ebook</t>
  </si>
  <si>
    <t>4.1K</t>
  </si>
  <si>
    <t>online branding</t>
  </si>
  <si>
    <t>wearethecity.com</t>
  </si>
  <si>
    <t>wellright.com</t>
  </si>
  <si>
    <t>65.9K</t>
  </si>
  <si>
    <t>Print Design</t>
  </si>
  <si>
    <t>werf-en.nl</t>
  </si>
  <si>
    <t>20.6K</t>
  </si>
  <si>
    <t>email marketing</t>
  </si>
  <si>
    <t>worktrek.com</t>
  </si>
  <si>
    <t>6.7K</t>
  </si>
  <si>
    <t>Email Support</t>
  </si>
  <si>
    <t>nucamp.co</t>
  </si>
  <si>
    <t>55.7K</t>
  </si>
  <si>
    <t>appagg.com</t>
  </si>
  <si>
    <t>PowerPoint Presentation</t>
  </si>
  <si>
    <t>227K</t>
  </si>
  <si>
    <t>marketing strategies</t>
  </si>
  <si>
    <t>blubrry.com</t>
  </si>
  <si>
    <t>293K</t>
  </si>
  <si>
    <t>53.4K</t>
  </si>
  <si>
    <t>Wix</t>
  </si>
  <si>
    <t>clodura.ai</t>
  </si>
  <si>
    <t>72.9K</t>
  </si>
  <si>
    <t>crowdreviews.com</t>
  </si>
  <si>
    <t>18.4K</t>
  </si>
  <si>
    <t>Facilitation</t>
  </si>
  <si>
    <t>curlie.org</t>
  </si>
  <si>
    <t>editverse.com</t>
  </si>
  <si>
    <t>Training Plan</t>
  </si>
  <si>
    <t>23.2K</t>
  </si>
  <si>
    <t>energiesmedia.com</t>
  </si>
  <si>
    <t>38.8K</t>
  </si>
  <si>
    <t>B2B Marketing</t>
  </si>
  <si>
    <t>europages.de</t>
  </si>
  <si>
    <t>high quality</t>
  </si>
  <si>
    <t>europages.es</t>
  </si>
  <si>
    <t>73.7K</t>
  </si>
  <si>
    <t>Voice Acting</t>
  </si>
  <si>
    <t>40.6K</t>
  </si>
  <si>
    <t>freelistingindia.in</t>
  </si>
  <si>
    <t>153K</t>
  </si>
  <si>
    <t>Program</t>
  </si>
  <si>
    <t>40.2K</t>
  </si>
  <si>
    <t>lead magnet</t>
  </si>
  <si>
    <t>glassdoor.at</t>
  </si>
  <si>
    <t>110K</t>
  </si>
  <si>
    <t>globex2000.ca</t>
  </si>
  <si>
    <t>88.8K</t>
  </si>
  <si>
    <t>storyboard</t>
  </si>
  <si>
    <t>instafinancials.com</t>
  </si>
  <si>
    <t>481K</t>
  </si>
  <si>
    <t>jaylenschallenge.org</t>
  </si>
  <si>
    <t>1.7K</t>
  </si>
  <si>
    <t>AI Bot</t>
  </si>
  <si>
    <t>blog posts</t>
  </si>
  <si>
    <t>kdci.co</t>
  </si>
  <si>
    <t>6.6K</t>
  </si>
  <si>
    <t>Online Community</t>
  </si>
  <si>
    <t>landbase.com</t>
  </si>
  <si>
    <t>39K</t>
  </si>
  <si>
    <t>marketreportanalytics.com</t>
  </si>
  <si>
    <t>42.4K</t>
  </si>
  <si>
    <t>marketscale.com</t>
  </si>
  <si>
    <t>Salesforce CRM</t>
  </si>
  <si>
    <t>peoplefluent.com</t>
  </si>
  <si>
    <t>prospective students</t>
  </si>
  <si>
    <t>122K</t>
  </si>
  <si>
    <t>powr.io</t>
  </si>
  <si>
    <t>327K</t>
  </si>
  <si>
    <t>Promotional Video</t>
  </si>
  <si>
    <t>recorra.co.uk</t>
  </si>
  <si>
    <t>11.5K</t>
  </si>
  <si>
    <t>AI Content Writing</t>
  </si>
  <si>
    <t>silicon.de</t>
  </si>
  <si>
    <t>marketing campaigns</t>
  </si>
  <si>
    <t>startupnation.com</t>
  </si>
  <si>
    <t>15.6K</t>
  </si>
  <si>
    <t>testimonial.to</t>
  </si>
  <si>
    <t>Russian</t>
  </si>
  <si>
    <t>86.5K</t>
  </si>
  <si>
    <t>11.8K</t>
  </si>
  <si>
    <t>thejavasea.me</t>
  </si>
  <si>
    <t>Curriculum Plan</t>
  </si>
  <si>
    <t>market your online</t>
  </si>
  <si>
    <t>thejobnetwork.com</t>
  </si>
  <si>
    <t>483K</t>
  </si>
  <si>
    <t>themartec.com</t>
  </si>
  <si>
    <t>9.4K</t>
  </si>
  <si>
    <t>Mathematics Tutoring</t>
  </si>
  <si>
    <t>topseos.com</t>
  </si>
  <si>
    <t>truv.com</t>
  </si>
  <si>
    <t>210K</t>
  </si>
  <si>
    <t>AI Builder</t>
  </si>
  <si>
    <t>ukg.co.uk</t>
  </si>
  <si>
    <t>37.6K</t>
  </si>
  <si>
    <t>generate leads</t>
  </si>
  <si>
    <t>verifiedmarketreports.com</t>
  </si>
  <si>
    <t>73.1K</t>
  </si>
  <si>
    <t>abfjournal.com</t>
  </si>
  <si>
    <t>Online Chat Support</t>
  </si>
  <si>
    <t>22K</t>
  </si>
  <si>
    <t>affirmity.com</t>
  </si>
  <si>
    <t>albumsurf.com</t>
  </si>
  <si>
    <t>Business Writing</t>
  </si>
  <si>
    <t>sales page</t>
  </si>
  <si>
    <t>bentoncourier.com</t>
  </si>
  <si>
    <t>38K</t>
  </si>
  <si>
    <t>bigflix.com</t>
  </si>
  <si>
    <t>Market Research</t>
  </si>
  <si>
    <t>cach3.com</t>
  </si>
  <si>
    <t>ceoaction.com</t>
  </si>
  <si>
    <t>2.8K</t>
  </si>
  <si>
    <t>Facebook Ads Manager</t>
  </si>
  <si>
    <t>chieftalentofficer.co</t>
  </si>
  <si>
    <t>data driven</t>
  </si>
  <si>
    <t>cuspera.com</t>
  </si>
  <si>
    <t>10.1K</t>
  </si>
  <si>
    <t>Claude</t>
  </si>
  <si>
    <t>drdianehamilton.com</t>
  </si>
  <si>
    <t>emersonautomationexperts.com</t>
  </si>
  <si>
    <t>16.1K</t>
  </si>
  <si>
    <t>Quality Assurance</t>
  </si>
  <si>
    <t>engineeringmanagementinstitute.org</t>
  </si>
  <si>
    <t>online course platform</t>
  </si>
  <si>
    <t>12.4K</t>
  </si>
  <si>
    <t>filesure.in</t>
  </si>
  <si>
    <t>Android</t>
  </si>
  <si>
    <t>grocerytrader.co.uk</t>
  </si>
  <si>
    <t>30.6K</t>
  </si>
  <si>
    <t>hommati.com</t>
  </si>
  <si>
    <t>designers</t>
  </si>
  <si>
    <t>inven.ai</t>
  </si>
  <si>
    <t>138K</t>
  </si>
  <si>
    <t>promote your course</t>
  </si>
  <si>
    <t>languagesunlimited.com</t>
  </si>
  <si>
    <t>26.7K</t>
  </si>
  <si>
    <t>mapmycustomers.com</t>
  </si>
  <si>
    <t>Blog Content</t>
  </si>
  <si>
    <t>17.2K</t>
  </si>
  <si>
    <t>openli.com</t>
  </si>
  <si>
    <t>4.9K</t>
  </si>
  <si>
    <t>Agile Project Management</t>
  </si>
  <si>
    <t>peoacwa.army.mil</t>
  </si>
  <si>
    <t>email list</t>
  </si>
  <si>
    <t>pixel-online.net</t>
  </si>
  <si>
    <t>7.5K</t>
  </si>
  <si>
    <t>preloaded.com</t>
  </si>
  <si>
    <t>Content Strategy</t>
  </si>
  <si>
    <t>2.2K</t>
  </si>
  <si>
    <t>pressreleasepoint.com</t>
  </si>
  <si>
    <t>25.3K</t>
  </si>
  <si>
    <t>publicwww.com</t>
  </si>
  <si>
    <t>Amazon Web Services</t>
  </si>
  <si>
    <t>94.4K</t>
  </si>
  <si>
    <t>26.3K</t>
  </si>
  <si>
    <t>sbnonline.com</t>
  </si>
  <si>
    <t>Responsive Design</t>
  </si>
  <si>
    <t>sda.edu.sg</t>
  </si>
  <si>
    <t>8.8K</t>
  </si>
  <si>
    <t>talentmate.com</t>
  </si>
  <si>
    <t>WordPress Development</t>
  </si>
  <si>
    <t>thegrowthmaster.com</t>
  </si>
  <si>
    <t>8.5K</t>
  </si>
  <si>
    <t>Include online academy buliding</t>
  </si>
  <si>
    <t>transportproject.org</t>
  </si>
  <si>
    <t>Interaction Design</t>
  </si>
  <si>
    <t>trustedrevie.ws</t>
  </si>
  <si>
    <t>173K</t>
  </si>
  <si>
    <t>authoring tools, course authoring tools, eLearning authoring tools, Articulate Storyline, Articulate Rise, Adobe Captivate, iSpring Suite, Lectora Inspire, Elucidat, Camtasia, H5P, Gomo, Adapt Learning, Evolve Authoring, dominKnow One, Easygenerator, Quizlet, ProProfs Quiz Maker, Canva, PowerPoint, Google Slides, LMS, learning management systems, Moodle, Blackboard, Canvas, Schoology, Google Classroom, D2L Brightspace, SAP Litmos, TalentLMS, Docebo, Absorb LMS, LearnUpon, Teachable, Thinkific, LearnDash, Edmodo, Open edX, Totara Learn, Cornerstone OnDemand, Adobe Learning Manager, Paradiso LMS</t>
  </si>
  <si>
    <t>ukg.in</t>
  </si>
  <si>
    <t>ulmanfoundation.org</t>
  </si>
  <si>
    <t>Runway</t>
  </si>
  <si>
    <t>wapakdailynews.com</t>
  </si>
  <si>
    <t>Moodle, Blackboard, Canvas, Schoology, Google Classroom, D2L Brightspace, SAP Litmos, TalentLMS, Docebo, Absorb LMS, LearnUpon, Teachable, Thinkific, Kajabi, Podia, LearnDash, MoodleCloud, iSpring Learn, Tovuti, Skilljar, Edmodo, Canvas LMS, Chamilo, Open edX, Totara Learn, SumTotal LMS, Cornerstone OnDemand, Adobe Learning Manager, Microsoft Teams for Education, Google Training Center, WizIQ, Academy of Mine, SchoolKeep, Brightspace by D2L, Coassemble, Paradiso LMS, Instructure Canvas.</t>
  </si>
  <si>
    <t>workingincontent.com</t>
  </si>
  <si>
    <t>24.5K</t>
  </si>
  <si>
    <t>salezshark.com</t>
  </si>
  <si>
    <t>Train</t>
  </si>
  <si>
    <t>43.3K</t>
  </si>
  <si>
    <t>teachers.institute</t>
  </si>
  <si>
    <t>33.5K</t>
  </si>
  <si>
    <t>withpavilion.com</t>
  </si>
  <si>
    <t>Lectora</t>
  </si>
  <si>
    <t>xapi.com</t>
  </si>
  <si>
    <t>8.2K</t>
  </si>
  <si>
    <t>1stdirectory.co.uk</t>
  </si>
  <si>
    <t>26K</t>
  </si>
  <si>
    <t>Lead Management Automation</t>
  </si>
  <si>
    <t>abladvisor.com</t>
  </si>
  <si>
    <t>abtd.com.br</t>
  </si>
  <si>
    <t>Conversion Rate Optimization</t>
  </si>
  <si>
    <t>arias.es</t>
  </si>
  <si>
    <t>19.4K</t>
  </si>
  <si>
    <t>brightonjournal.co.uk</t>
  </si>
  <si>
    <t>carloschagas.org.br</t>
  </si>
  <si>
    <t>YouTube Video</t>
  </si>
  <si>
    <t>17K</t>
  </si>
  <si>
    <t>corpmagazine.com</t>
  </si>
  <si>
    <t>6.9K</t>
  </si>
  <si>
    <t>decube.io</t>
  </si>
  <si>
    <t>Storytelling</t>
  </si>
  <si>
    <t>8.4K</t>
  </si>
  <si>
    <t>exinfm.com</t>
  </si>
  <si>
    <t>25.2K</t>
  </si>
  <si>
    <t>fishsource.org</t>
  </si>
  <si>
    <t>Book</t>
  </si>
  <si>
    <t>fortunecity.ws</t>
  </si>
  <si>
    <t>Phone Communication</t>
  </si>
  <si>
    <t>helloaudio.fm</t>
  </si>
  <si>
    <t>indices-culture.eu</t>
  </si>
  <si>
    <t>43.9K</t>
  </si>
  <si>
    <t>Instructional Infographic</t>
  </si>
  <si>
    <t>infeedo.ai</t>
  </si>
  <si>
    <t>inrialpes.fr</t>
  </si>
  <si>
    <t>7K</t>
  </si>
  <si>
    <t>itvedant.com</t>
  </si>
  <si>
    <t>Marketing</t>
  </si>
  <si>
    <t>175K</t>
  </si>
  <si>
    <t>ivanhoe.com</t>
  </si>
  <si>
    <t>20.3K</t>
  </si>
  <si>
    <t>Squarespace</t>
  </si>
  <si>
    <t>logmeonce.com</t>
  </si>
  <si>
    <t>100K</t>
  </si>
  <si>
    <t>lpgasmagazine.com</t>
  </si>
  <si>
    <t>21.1K</t>
  </si>
  <si>
    <t>PostgreSQL</t>
  </si>
  <si>
    <t>networknewswire.com</t>
  </si>
  <si>
    <t>Narrated Presentation</t>
  </si>
  <si>
    <t>openadmintools.com</t>
  </si>
  <si>
    <t>13K</t>
  </si>
  <si>
    <t>plantservices.com</t>
  </si>
  <si>
    <t>21.5K</t>
  </si>
  <si>
    <t>Learning Theory</t>
  </si>
  <si>
    <t>podtail.nl</t>
  </si>
  <si>
    <t>34.9K</t>
  </si>
  <si>
    <t>reviewfoxy.com</t>
  </si>
  <si>
    <t>84.2K</t>
  </si>
  <si>
    <t>rubric.com</t>
  </si>
  <si>
    <t>Business with 1-9 Employees</t>
  </si>
  <si>
    <t>soundingboardinc.com</t>
  </si>
  <si>
    <t>sweetstudy.com</t>
  </si>
  <si>
    <t>182K</t>
  </si>
  <si>
    <t>Character Design</t>
  </si>
  <si>
    <t>technofizi.net</t>
  </si>
  <si>
    <t>terra.do</t>
  </si>
  <si>
    <t>ukg.fr</t>
  </si>
  <si>
    <t>unboxedtechnology.com</t>
  </si>
  <si>
    <t>watershedlrs.com</t>
  </si>
  <si>
    <t>5.6K</t>
  </si>
  <si>
    <t>wordupapp.co</t>
  </si>
  <si>
    <t>yourdigitalrights.org</t>
  </si>
  <si>
    <t>AI App Development</t>
  </si>
  <si>
    <t>zhihuiya.com</t>
  </si>
  <si>
    <t>glarity.app</t>
  </si>
  <si>
    <t>530K</t>
  </si>
  <si>
    <t>C#</t>
  </si>
  <si>
    <t>verifyed.io</t>
  </si>
  <si>
    <t>5.5K</t>
  </si>
  <si>
    <t>getrapl.com</t>
  </si>
  <si>
    <t>Ecommerce Website Development</t>
  </si>
  <si>
    <t>abc-directory.com</t>
  </si>
  <si>
    <t>38.7K</t>
  </si>
  <si>
    <t>Music Video</t>
  </si>
  <si>
    <t>abnewswire.com</t>
  </si>
  <si>
    <t>71.4K</t>
  </si>
  <si>
    <t>allthingsinnovation.com</t>
  </si>
  <si>
    <t>archivemarketresearch.com</t>
  </si>
  <si>
    <t>Instructure CANVAS</t>
  </si>
  <si>
    <t>cognota.com</t>
  </si>
  <si>
    <t>TutorPro LMS</t>
  </si>
  <si>
    <t>cortera.com</t>
  </si>
  <si>
    <t>492K</t>
  </si>
  <si>
    <t>disfold.com</t>
  </si>
  <si>
    <t>26.8K</t>
  </si>
  <si>
    <t>Social Media Advertising</t>
  </si>
  <si>
    <t>emergeaotearoa.org.nz</t>
  </si>
  <si>
    <t>epicos.com</t>
  </si>
  <si>
    <t>Story Development</t>
  </si>
  <si>
    <t>follow.it</t>
  </si>
  <si>
    <t>861K</t>
  </si>
  <si>
    <t>globalinsightservices.com</t>
  </si>
  <si>
    <t>US English Dialect</t>
  </si>
  <si>
    <t>hpd-collaborative.org</t>
  </si>
  <si>
    <t>Ecommerce Website</t>
  </si>
  <si>
    <t>huzzaz.com</t>
  </si>
  <si>
    <t>indiacatalog.com</t>
  </si>
  <si>
    <t>25.1K</t>
  </si>
  <si>
    <t>Product Management</t>
  </si>
  <si>
    <t>inerco.com</t>
  </si>
  <si>
    <t>5.3K</t>
  </si>
  <si>
    <t>investorbrandnetwork.com</t>
  </si>
  <si>
    <t>5.8K</t>
  </si>
  <si>
    <t>Creative Strategy</t>
  </si>
  <si>
    <t>kahunaworkforce.com</t>
  </si>
  <si>
    <t>ActiveCampaign</t>
  </si>
  <si>
    <t>nelson-hall.com</t>
  </si>
  <si>
    <t>norwestchc.org</t>
  </si>
  <si>
    <t>odinlake.com</t>
  </si>
  <si>
    <t>AI Development</t>
  </si>
  <si>
    <t>26.2K</t>
  </si>
  <si>
    <t>philaworks.org</t>
  </si>
  <si>
    <t>90.4K</t>
  </si>
  <si>
    <t>podverse.fm</t>
  </si>
  <si>
    <t>UX , UI</t>
  </si>
  <si>
    <t>qstream.com</t>
  </si>
  <si>
    <t>route06.com</t>
  </si>
  <si>
    <t>1.3K</t>
  </si>
  <si>
    <t>Psychology</t>
  </si>
  <si>
    <t>sixxs.net</t>
  </si>
  <si>
    <t>skillpacks.com</t>
  </si>
  <si>
    <t>elearning</t>
  </si>
  <si>
    <t>snipd.com</t>
  </si>
  <si>
    <t>52.2K</t>
  </si>
  <si>
    <t>sp-edge.com</t>
  </si>
  <si>
    <t>2.9K</t>
  </si>
  <si>
    <t>standardresume.co</t>
  </si>
  <si>
    <t>Slide Animation</t>
  </si>
  <si>
    <t>19.9K</t>
  </si>
  <si>
    <t>stronger2gether.org</t>
  </si>
  <si>
    <t>theaquilareport.com</t>
  </si>
  <si>
    <t>14.8K</t>
  </si>
  <si>
    <t>Content Management</t>
  </si>
  <si>
    <t>theautochannel.com</t>
  </si>
  <si>
    <t>thecolourworks.com</t>
  </si>
  <si>
    <t>Creative Direction</t>
  </si>
  <si>
    <t>toc.edu.my</t>
  </si>
  <si>
    <t>12K</t>
  </si>
  <si>
    <t>Microsoft Azure</t>
  </si>
  <si>
    <t>urlm.it</t>
  </si>
  <si>
    <t>23.7K</t>
  </si>
  <si>
    <t>vunela.com</t>
  </si>
  <si>
    <t>3K</t>
  </si>
  <si>
    <t>ithy.com</t>
  </si>
  <si>
    <t>Webflow</t>
  </si>
  <si>
    <t>techclass.com</t>
  </si>
  <si>
    <t>amcpros.com</t>
  </si>
  <si>
    <t>9.1K</t>
  </si>
  <si>
    <t>Spanish</t>
  </si>
  <si>
    <t>asloterias.com.br</t>
  </si>
  <si>
    <t>561K</t>
  </si>
  <si>
    <t>cardet.org</t>
  </si>
  <si>
    <t>n8n</t>
  </si>
  <si>
    <t>catchindeers.com</t>
  </si>
  <si>
    <t>citybuzz.co</t>
  </si>
  <si>
    <t>15K</t>
  </si>
  <si>
    <t>Webinar</t>
  </si>
  <si>
    <t>companiesintheuk.co.uk</t>
  </si>
  <si>
    <t>coworker.ai</t>
  </si>
  <si>
    <t>diversityq.com</t>
  </si>
  <si>
    <t>Executive Support</t>
  </si>
  <si>
    <t>drpaulmccarthy.com</t>
  </si>
  <si>
    <t>29K</t>
  </si>
  <si>
    <t>21.8K</t>
  </si>
  <si>
    <t>Vyond</t>
  </si>
  <si>
    <t>UX , UI Design</t>
  </si>
  <si>
    <t>englishleaflet.com</t>
  </si>
  <si>
    <t>14.6K</t>
  </si>
  <si>
    <t>europages.com.tr</t>
  </si>
  <si>
    <t>Laravel</t>
  </si>
  <si>
    <t>europages.pt</t>
  </si>
  <si>
    <t>fabernovel.com</t>
  </si>
  <si>
    <t>Mental Health</t>
  </si>
  <si>
    <t>finalscout.com</t>
  </si>
  <si>
    <t>155K</t>
  </si>
  <si>
    <t>fosway.com</t>
  </si>
  <si>
    <t>handwiki.org</t>
  </si>
  <si>
    <t>Membership Plugin</t>
  </si>
  <si>
    <t>50.6K</t>
  </si>
  <si>
    <t>hellersearch.com</t>
  </si>
  <si>
    <t>hicounselor.com</t>
  </si>
  <si>
    <t>6.3K</t>
  </si>
  <si>
    <t>Google Slides</t>
  </si>
  <si>
    <t>hireflix.com</t>
  </si>
  <si>
    <t>419K</t>
  </si>
  <si>
    <t>iplook.com</t>
  </si>
  <si>
    <t>Content Marketing</t>
  </si>
  <si>
    <t>kodexolabs.com</t>
  </si>
  <si>
    <t>leadchangegroup.com</t>
  </si>
  <si>
    <t>SEO Keyword Research</t>
  </si>
  <si>
    <t>45K</t>
  </si>
  <si>
    <t>Community Moderation</t>
  </si>
  <si>
    <t>mbtmag.com</t>
  </si>
  <si>
    <t>n51.com.sg</t>
  </si>
  <si>
    <t>onul.works</t>
  </si>
  <si>
    <t>90.6K</t>
  </si>
  <si>
    <t>Docebo</t>
  </si>
  <si>
    <t>opensap.info</t>
  </si>
  <si>
    <t>ow.ly</t>
  </si>
  <si>
    <t>Udemy</t>
  </si>
  <si>
    <t>papaly.com</t>
  </si>
  <si>
    <t>653K</t>
  </si>
  <si>
    <t>peoplesmart.com</t>
  </si>
  <si>
    <t>80.2K</t>
  </si>
  <si>
    <t>Public Speaking</t>
  </si>
  <si>
    <t>pivotalsolutions.com</t>
  </si>
  <si>
    <t>A/B Testing</t>
  </si>
  <si>
    <t>pressrelease.com</t>
  </si>
  <si>
    <t>18K</t>
  </si>
  <si>
    <t>profilecanada.com</t>
  </si>
  <si>
    <t>57K</t>
  </si>
  <si>
    <t>seertechsolutions.com</t>
  </si>
  <si>
    <t>Featured</t>
  </si>
  <si>
    <t>signaturefont.com</t>
  </si>
  <si>
    <t>n/a</t>
  </si>
  <si>
    <t>sooperarticles.com</t>
  </si>
  <si>
    <t>167K</t>
  </si>
  <si>
    <t>Social Media Content</t>
  </si>
  <si>
    <t>tabrizu.ac.ir</t>
  </si>
  <si>
    <t>8.6K</t>
  </si>
  <si>
    <t>techwhirl.com</t>
  </si>
  <si>
    <t>4.4K</t>
  </si>
  <si>
    <t>Gemini</t>
  </si>
  <si>
    <t>theunitedindian.com</t>
  </si>
  <si>
    <t>vectorvms.com</t>
  </si>
  <si>
    <t>111K</t>
  </si>
  <si>
    <t>vmcweb.org</t>
  </si>
  <si>
    <t>ClickUp</t>
  </si>
  <si>
    <t>bookmark4you.com</t>
  </si>
  <si>
    <t>65.2K</t>
  </si>
  <si>
    <t>matsh.co</t>
  </si>
  <si>
    <t>Featured job posts</t>
  </si>
  <si>
    <t>visualvisitor.com</t>
  </si>
  <si>
    <t>1888pressrelease.com</t>
  </si>
  <si>
    <t>40.7K</t>
  </si>
  <si>
    <t>Educational Leadership</t>
  </si>
  <si>
    <t>4mark.net</t>
  </si>
  <si>
    <t>181K</t>
  </si>
  <si>
    <t>ace360.org</t>
  </si>
  <si>
    <t>Teaching English</t>
  </si>
  <si>
    <t>acsim.app</t>
  </si>
  <si>
    <t>amazingdiscoveries.org</t>
  </si>
  <si>
    <t>antoinetteoglethorpe.com</t>
  </si>
  <si>
    <t>Research , Strategy</t>
  </si>
  <si>
    <t>blogarama.com</t>
  </si>
  <si>
    <t>215K</t>
  </si>
  <si>
    <t>classroom20.com</t>
  </si>
  <si>
    <t>iSpring</t>
  </si>
  <si>
    <t>Short Video Ad</t>
  </si>
  <si>
    <t>countingtoten.co.uk</t>
  </si>
  <si>
    <t>ctinc.com</t>
  </si>
  <si>
    <t>Ecommerce</t>
  </si>
  <si>
    <t>edutags.de</t>
  </si>
  <si>
    <t>Instagram Reels</t>
  </si>
  <si>
    <t>employmentlawhandbook.com</t>
  </si>
  <si>
    <t>14.1K</t>
  </si>
  <si>
    <t>europages.nl</t>
  </si>
  <si>
    <t>30.7K</t>
  </si>
  <si>
    <t>Mobile App Development</t>
  </si>
  <si>
    <t>europages.pl</t>
  </si>
  <si>
    <t>expanso.io</t>
  </si>
  <si>
    <t>CRM Software</t>
  </si>
  <si>
    <t>find-open.co.uk</t>
  </si>
  <si>
    <t>62.4K</t>
  </si>
  <si>
    <t>gobrunch.com</t>
  </si>
  <si>
    <t>Project Plans</t>
  </si>
  <si>
    <t>hireveterans.com</t>
  </si>
  <si>
    <t>ElevenLabs</t>
  </si>
  <si>
    <t>leakix.net</t>
  </si>
  <si>
    <t>Mailchimp</t>
  </si>
  <si>
    <t>lerner.co.il</t>
  </si>
  <si>
    <t>3.2K</t>
  </si>
  <si>
    <t>planetcrust.com</t>
  </si>
  <si>
    <t>5.1K</t>
  </si>
  <si>
    <t>This client paid to post their job and reach freelancers like you.</t>
  </si>
  <si>
    <t>prlog.ru</t>
  </si>
  <si>
    <t>10.7K</t>
  </si>
  <si>
    <t>przedsiebiorcy.eu</t>
  </si>
  <si>
    <t>scalelist.com</t>
  </si>
  <si>
    <t>Training Materials</t>
  </si>
  <si>
    <t>snipesocial.co.uk</t>
  </si>
  <si>
    <t>swirlcard.com</t>
  </si>
  <si>
    <t>7.4K</t>
  </si>
  <si>
    <t>Business Operations</t>
  </si>
  <si>
    <t>thehumancapitalhub.com</t>
  </si>
  <si>
    <t>47K</t>
  </si>
  <si>
    <t>German</t>
  </si>
  <si>
    <t>topline.com</t>
  </si>
  <si>
    <t>193K</t>
  </si>
  <si>
    <t>Tutorial</t>
  </si>
  <si>
    <t>uperform.com</t>
  </si>
  <si>
    <t>wind-lock.com</t>
  </si>
  <si>
    <t>WordPress Landing Page</t>
  </si>
  <si>
    <t>ziprecruiter.in</t>
  </si>
  <si>
    <t>36.3K</t>
  </si>
  <si>
    <t>Multimedia Instruction</t>
  </si>
  <si>
    <t>tntcode.com</t>
  </si>
  <si>
    <t>31.8K</t>
  </si>
  <si>
    <t>UGC</t>
  </si>
  <si>
    <t>5app.com</t>
  </si>
  <si>
    <t>alliancetech.com</t>
  </si>
  <si>
    <t>1.5K</t>
  </si>
  <si>
    <t>Video Cleanup</t>
  </si>
  <si>
    <t>arbitragescanner.io</t>
  </si>
  <si>
    <t>56.7K</t>
  </si>
  <si>
    <t>arounddeal.com</t>
  </si>
  <si>
    <t>38.9K</t>
  </si>
  <si>
    <t>TypeScript</t>
  </si>
  <si>
    <t>bbiconferences.com</t>
  </si>
  <si>
    <t>bfbi.org.uk</t>
  </si>
  <si>
    <t>blossom-kc.com</t>
  </si>
  <si>
    <t>Custom Web Design</t>
  </si>
  <si>
    <t>114K</t>
  </si>
  <si>
    <t>carijournals.org</t>
  </si>
  <si>
    <t>42.6K</t>
  </si>
  <si>
    <t>Journey Mapping</t>
  </si>
  <si>
    <t>9.9K</t>
  </si>
  <si>
    <t>csrhub.com</t>
  </si>
  <si>
    <t>Translation</t>
  </si>
  <si>
    <t>ditchcarbon.com</t>
  </si>
  <si>
    <t>35.9K</t>
  </si>
  <si>
    <t>Mockup</t>
  </si>
  <si>
    <t>diversification.com</t>
  </si>
  <si>
    <t>47.8K</t>
  </si>
  <si>
    <t>evionica.com</t>
  </si>
  <si>
    <t>Assessment Activity</t>
  </si>
  <si>
    <t>heartwisesupport.org</t>
  </si>
  <si>
    <t>imaginaryplanet.net</t>
  </si>
  <si>
    <t>Computer Science</t>
  </si>
  <si>
    <t>internet.game</t>
  </si>
  <si>
    <t>jayde.com</t>
  </si>
  <si>
    <t>31.1K</t>
  </si>
  <si>
    <t>Architectural Design</t>
  </si>
  <si>
    <t>jobboardly.com</t>
  </si>
  <si>
    <t>34.6K</t>
  </si>
  <si>
    <t>kontactr.com</t>
  </si>
  <si>
    <t>Campaign Optimization</t>
  </si>
  <si>
    <t>lathire.com</t>
  </si>
  <si>
    <t>9.7K</t>
  </si>
  <si>
    <t>leadershipcentre.org.uk</t>
  </si>
  <si>
    <t>management.com.ua</t>
  </si>
  <si>
    <t>English Tutoring</t>
  </si>
  <si>
    <t>27K</t>
  </si>
  <si>
    <t>29.3K</t>
  </si>
  <si>
    <t>mindsmith.ai</t>
  </si>
  <si>
    <t>60.8K</t>
  </si>
  <si>
    <t>Digital Marketing Materials</t>
  </si>
  <si>
    <t>odp.org</t>
  </si>
  <si>
    <t>16.9K</t>
  </si>
  <si>
    <t>pcmac.download</t>
  </si>
  <si>
    <t>132K</t>
  </si>
  <si>
    <t>Whiteboard Animation</t>
  </si>
  <si>
    <t>pitevent.com</t>
  </si>
  <si>
    <t>13.9K</t>
  </si>
  <si>
    <t>podstatus.com</t>
  </si>
  <si>
    <t>Real Estate</t>
  </si>
  <si>
    <t>powrbot.com</t>
  </si>
  <si>
    <t>14.5K</t>
  </si>
  <si>
    <t>scottmautz.com</t>
  </si>
  <si>
    <t>5.9K</t>
  </si>
  <si>
    <t>Neural Network</t>
  </si>
  <si>
    <t>spa.gov.mn</t>
  </si>
  <si>
    <t>stemconnector.com</t>
  </si>
  <si>
    <t>List Building</t>
  </si>
  <si>
    <t>streamalive.com</t>
  </si>
  <si>
    <t>tech-wonders.com</t>
  </si>
  <si>
    <t>7.1K</t>
  </si>
  <si>
    <t>Database Design</t>
  </si>
  <si>
    <t>thecoachspace.com</t>
  </si>
  <si>
    <t>thenetwork.com</t>
  </si>
  <si>
    <t>10.3K</t>
  </si>
  <si>
    <t>thottingal.in</t>
  </si>
  <si>
    <t>Implementation Plan</t>
  </si>
  <si>
    <t>12.1K</t>
  </si>
  <si>
    <t>twicopy.com</t>
  </si>
  <si>
    <t>427K</t>
  </si>
  <si>
    <t>Media , Entertainment</t>
  </si>
  <si>
    <t>universalhunt.com</t>
  </si>
  <si>
    <t>viesearch.com</t>
  </si>
  <si>
    <t>178K</t>
  </si>
  <si>
    <t>DaVinci Resolve</t>
  </si>
  <si>
    <t>wolfpackadvising.com</t>
  </si>
  <si>
    <t>workee.net</t>
  </si>
  <si>
    <t>API Development</t>
  </si>
  <si>
    <t>zealousxr.com</t>
  </si>
  <si>
    <t>zupyak.com</t>
  </si>
  <si>
    <t>302K</t>
  </si>
  <si>
    <t>agwired.com</t>
  </si>
  <si>
    <t>Podia</t>
  </si>
  <si>
    <t>allbiz.com</t>
  </si>
  <si>
    <t>amg-world.co.uk</t>
  </si>
  <si>
    <t>Native Fluency</t>
  </si>
  <si>
    <t>assimasolutions.com</t>
  </si>
  <si>
    <t>bisa.id</t>
  </si>
  <si>
    <t>Qualitative Research</t>
  </si>
  <si>
    <t>bizmonthly.com</t>
  </si>
  <si>
    <t>capebretoncraft.com</t>
  </si>
  <si>
    <t>Minor Design Touchup</t>
  </si>
  <si>
    <t>ccj-online.com</t>
  </si>
  <si>
    <t>classreport.org</t>
  </si>
  <si>
    <t>71.8K</t>
  </si>
  <si>
    <t>Social Media Imagery</t>
  </si>
  <si>
    <t>36.8K</t>
  </si>
  <si>
    <t>detroitcristorey.org</t>
  </si>
  <si>
    <t>e-digitaleditions.com</t>
  </si>
  <si>
    <t>15.3K</t>
  </si>
  <si>
    <t>Video Advertising</t>
  </si>
  <si>
    <t>edwiser.org</t>
  </si>
  <si>
    <t>29.6K</t>
  </si>
  <si>
    <t>employeecycle.com</t>
  </si>
  <si>
    <t>Prototyping</t>
  </si>
  <si>
    <t>engpaper.com</t>
  </si>
  <si>
    <t>europages.co.hu</t>
  </si>
  <si>
    <t>europe-re.com</t>
  </si>
  <si>
    <t>Zoho CRM</t>
  </si>
  <si>
    <t>example3.com</t>
  </si>
  <si>
    <t>hekko24.pl</t>
  </si>
  <si>
    <t>14.3K</t>
  </si>
  <si>
    <t>$0</t>
  </si>
  <si>
    <t>iblnews.org</t>
  </si>
  <si>
    <t>6.1K</t>
  </si>
  <si>
    <t>iOS</t>
  </si>
  <si>
    <t>ielassoc.org</t>
  </si>
  <si>
    <t>ihipower.com</t>
  </si>
  <si>
    <t>CRM Development</t>
  </si>
  <si>
    <t>36.7K</t>
  </si>
  <si>
    <t>integrityexports.com</t>
  </si>
  <si>
    <t>Voice , Tone Guidelines</t>
  </si>
  <si>
    <t>mxi.nl</t>
  </si>
  <si>
    <t>neoshocc.com</t>
  </si>
  <si>
    <t>User Interface Design</t>
  </si>
  <si>
    <t>orionnetworks.net</t>
  </si>
  <si>
    <t>partnerbase.com</t>
  </si>
  <si>
    <t>Marketing Campaign Setup , Implementation</t>
  </si>
  <si>
    <t>promoteproject.com</t>
  </si>
  <si>
    <t>97.4K</t>
  </si>
  <si>
    <t>quistic.com</t>
  </si>
  <si>
    <t>quotes.sina.com.cn</t>
  </si>
  <si>
    <t>Exam Preparation</t>
  </si>
  <si>
    <t>raisg.org</t>
  </si>
  <si>
    <t>rebuffreality.com</t>
  </si>
  <si>
    <t>12.6K</t>
  </si>
  <si>
    <t>AI Speech-to-Text</t>
  </si>
  <si>
    <t>reviewsnap.com</t>
  </si>
  <si>
    <t>23.9K</t>
  </si>
  <si>
    <t>Business Development</t>
  </si>
  <si>
    <t>selling.com</t>
  </si>
  <si>
    <t>37.9K</t>
  </si>
  <si>
    <t>studyraid.com</t>
  </si>
  <si>
    <t>tely.ai</t>
  </si>
  <si>
    <t>TikTok</t>
  </si>
  <si>
    <t>templeedc.com</t>
  </si>
  <si>
    <t>truemediaservices.com</t>
  </si>
  <si>
    <t>CMS Development</t>
  </si>
  <si>
    <t>twoday.net</t>
  </si>
  <si>
    <t>ukg.de</t>
  </si>
  <si>
    <t>Office 365</t>
  </si>
  <si>
    <t>urlm.com</t>
  </si>
  <si>
    <t>velocityit.net</t>
  </si>
  <si>
    <t>wegetyoufound.co.uk</t>
  </si>
  <si>
    <t>Counseling</t>
  </si>
  <si>
    <t>22.9K</t>
  </si>
  <si>
    <t>aonmeetings.com</t>
  </si>
  <si>
    <t>082noticias.com</t>
  </si>
  <si>
    <t>Product Design</t>
  </si>
  <si>
    <t>agi.org.uk</t>
  </si>
  <si>
    <t>articlecity.com</t>
  </si>
  <si>
    <t>30.8K</t>
  </si>
  <si>
    <t>Brand Identity Design</t>
  </si>
  <si>
    <t>bitlanders.com</t>
  </si>
  <si>
    <t>44.2K</t>
  </si>
  <si>
    <t>Community Development</t>
  </si>
  <si>
    <t>closethedeal.com</t>
  </si>
  <si>
    <t>danpontefract.com</t>
  </si>
  <si>
    <t>davidparrish.com</t>
  </si>
  <si>
    <t>Recruiting</t>
  </si>
  <si>
    <t>die-erklaervideo-agentur.com</t>
  </si>
  <si>
    <t>edovo.com</t>
  </si>
  <si>
    <t>Make.com</t>
  </si>
  <si>
    <t>etu.co</t>
  </si>
  <si>
    <t>findmassleads.com</t>
  </si>
  <si>
    <t>Brand Guidelines</t>
  </si>
  <si>
    <t>gc4women.org</t>
  </si>
  <si>
    <t>geoffmcdonald.com</t>
  </si>
  <si>
    <t>Adult Education</t>
  </si>
  <si>
    <t>halmeks.pl</t>
  </si>
  <si>
    <t>heug.org</t>
  </si>
  <si>
    <t>Curriculum Mapping</t>
  </si>
  <si>
    <t>hyperspace.mv</t>
  </si>
  <si>
    <t>itkesmusidrap.ac.id</t>
  </si>
  <si>
    <t>23.5K</t>
  </si>
  <si>
    <t>Google Docs</t>
  </si>
  <si>
    <t>managersonline.nl</t>
  </si>
  <si>
    <t>marketwirenews.com</t>
  </si>
  <si>
    <t>Sales Development</t>
  </si>
  <si>
    <t>netzwirtschaft.net</t>
  </si>
  <si>
    <t>AI Video Generator</t>
  </si>
  <si>
    <t>onsitecomputersinc.com</t>
  </si>
  <si>
    <t>pawtuckettimes.com</t>
  </si>
  <si>
    <t>prosmarketplace.com</t>
  </si>
  <si>
    <t>AI Instruction</t>
  </si>
  <si>
    <t>72.8K</t>
  </si>
  <si>
    <t>rochesteradvanceddentistry.com</t>
  </si>
  <si>
    <t>saima.ai</t>
  </si>
  <si>
    <t>Trello</t>
  </si>
  <si>
    <t>sisvida.com.br</t>
  </si>
  <si>
    <t>156K</t>
  </si>
  <si>
    <t>spector.ie</t>
  </si>
  <si>
    <t>Community Strategy</t>
  </si>
  <si>
    <t>stecab.com</t>
  </si>
  <si>
    <t>13.8K</t>
  </si>
  <si>
    <t>weddles.com</t>
  </si>
  <si>
    <t>Dialogue Editing</t>
  </si>
  <si>
    <t>winuk.org.uk</t>
  </si>
  <si>
    <t>youracclaim.com</t>
  </si>
  <si>
    <t>ziprecruiter.de</t>
  </si>
  <si>
    <t>Product Knowledge</t>
  </si>
  <si>
    <t>24.3K</t>
  </si>
  <si>
    <t>mapconsulting.com</t>
  </si>
  <si>
    <t>57883.net</t>
  </si>
  <si>
    <t>SQL</t>
  </si>
  <si>
    <t>arizmendi.com</t>
  </si>
  <si>
    <t>baltimoredirections.com</t>
  </si>
  <si>
    <t>56.1K</t>
  </si>
  <si>
    <t>bankrupt.com</t>
  </si>
  <si>
    <t>Zoom Video Conferencing</t>
  </si>
  <si>
    <t>beamstart.com</t>
  </si>
  <si>
    <t>bunity.com</t>
  </si>
  <si>
    <t>355K</t>
  </si>
  <si>
    <t>coherentmi.com</t>
  </si>
  <si>
    <t>Client Management</t>
  </si>
  <si>
    <t>24.9K</t>
  </si>
  <si>
    <t>cyberlynx.com</t>
  </si>
  <si>
    <t>dawlish.com</t>
  </si>
  <si>
    <t>Informational Infographic</t>
  </si>
  <si>
    <t>Google Sheets</t>
  </si>
  <si>
    <t>directorycritic.com</t>
  </si>
  <si>
    <t>32.5K</t>
  </si>
  <si>
    <t>Direct Response Copywriting</t>
  </si>
  <si>
    <t>duozhi.com</t>
  </si>
  <si>
    <t>Landing Page Optimization</t>
  </si>
  <si>
    <t>fastbot.de</t>
  </si>
  <si>
    <t>3.8K</t>
  </si>
  <si>
    <t>flexindex.com</t>
  </si>
  <si>
    <t>3.4K</t>
  </si>
  <si>
    <t>freelistingusa.com</t>
  </si>
  <si>
    <t>Sports , Recreation</t>
  </si>
  <si>
    <t>721K</t>
  </si>
  <si>
    <t>fsm.how</t>
  </si>
  <si>
    <t>globalmarketstatistics.com</t>
  </si>
  <si>
    <t>Game Design</t>
  </si>
  <si>
    <t>guiamexico.mx</t>
  </si>
  <si>
    <t>henleynordic.com</t>
  </si>
  <si>
    <t>Color Grading</t>
  </si>
  <si>
    <t>ioh.org.uk</t>
  </si>
  <si>
    <t>juliewinklegiulioni.com</t>
  </si>
  <si>
    <t>knowledgespeak.com</t>
  </si>
  <si>
    <t>Elucidate</t>
  </si>
  <si>
    <t>Fashion , Beauty</t>
  </si>
  <si>
    <t>lexlab.pl</t>
  </si>
  <si>
    <t>lisnic.com</t>
  </si>
  <si>
    <t>PPTX</t>
  </si>
  <si>
    <t>listingsca.com</t>
  </si>
  <si>
    <t>Microsoft SharePoint</t>
  </si>
  <si>
    <t>6.2K</t>
  </si>
  <si>
    <t>madisonpg.com</t>
  </si>
  <si>
    <t>Content Planning</t>
  </si>
  <si>
    <t>melp.us</t>
  </si>
  <si>
    <t>minstercommunitypost.com</t>
  </si>
  <si>
    <t>11.1K</t>
  </si>
  <si>
    <t>monacolegendauctions.com</t>
  </si>
  <si>
    <t>Rustici Software SCORM Cloud</t>
  </si>
  <si>
    <t>nexusglobal.com</t>
  </si>
  <si>
    <t>nogigiddy.com</t>
  </si>
  <si>
    <t>447K</t>
  </si>
  <si>
    <t>Sales Enablement</t>
  </si>
  <si>
    <t>plz.lv</t>
  </si>
  <si>
    <t>pro-capita.com</t>
  </si>
  <si>
    <t>TalentLMS</t>
  </si>
  <si>
    <t>rannkly.com</t>
  </si>
  <si>
    <t>40K</t>
  </si>
  <si>
    <t>skymem.info</t>
  </si>
  <si>
    <t>81.6K</t>
  </si>
  <si>
    <t>targetgov.com</t>
  </si>
  <si>
    <t>User Experience Design</t>
  </si>
  <si>
    <t>Relationship Management</t>
  </si>
  <si>
    <t>topbestalternatives.com</t>
  </si>
  <si>
    <t>80K</t>
  </si>
  <si>
    <t>ungleich.ch</t>
  </si>
  <si>
    <t>Demo Video</t>
  </si>
  <si>
    <t>urlmetriques.co</t>
  </si>
  <si>
    <t>visionfactory.org</t>
  </si>
  <si>
    <t>zetas.fi</t>
  </si>
  <si>
    <t>Lesson Plan Writing</t>
  </si>
  <si>
    <t>downes.ca</t>
  </si>
  <si>
    <t>aktienmagazin.de</t>
  </si>
  <si>
    <t>19.5K</t>
  </si>
  <si>
    <t>Accuracy Verification</t>
  </si>
  <si>
    <t>buzzbii.com</t>
  </si>
  <si>
    <t>508K</t>
  </si>
  <si>
    <t>carrierollwagen.com</t>
  </si>
  <si>
    <t>Training Needs Analysis</t>
  </si>
  <si>
    <t>ccmonet.ai</t>
  </si>
  <si>
    <t>cibgp.com</t>
  </si>
  <si>
    <t>Competitive Analysis</t>
  </si>
  <si>
    <t>crew1.com</t>
  </si>
  <si>
    <t>databirdjournal.com</t>
  </si>
  <si>
    <t>MongoDB</t>
  </si>
  <si>
    <t>eubrics.com</t>
  </si>
  <si>
    <t>europages.dk</t>
  </si>
  <si>
    <t>7.3K</t>
  </si>
  <si>
    <t>AI Chatbot</t>
  </si>
  <si>
    <t>europages.gr</t>
  </si>
  <si>
    <t>europages.ro</t>
  </si>
  <si>
    <t>Language Instruction</t>
  </si>
  <si>
    <t>europages.se</t>
  </si>
  <si>
    <t>fuellednetworks.com</t>
  </si>
  <si>
    <t>hohmann.free.fr</t>
  </si>
  <si>
    <t>Instagram Marketing</t>
  </si>
  <si>
    <t>48.9K</t>
  </si>
  <si>
    <t>joinrunway.io</t>
  </si>
  <si>
    <t>Event Marketing</t>
  </si>
  <si>
    <t>lightbulbmoment.info</t>
  </si>
  <si>
    <t>littlewargame.com</t>
  </si>
  <si>
    <t>High-Ticket Closing</t>
  </si>
  <si>
    <t>locationindie.com</t>
  </si>
  <si>
    <t>mitrabajobolivia.com</t>
  </si>
  <si>
    <t>Ghostwriting</t>
  </si>
  <si>
    <t>recruitingblogs.com</t>
  </si>
  <si>
    <t>rehashclothes.com</t>
  </si>
  <si>
    <t>331K</t>
  </si>
  <si>
    <t>Brand Identity , Guidelines</t>
  </si>
  <si>
    <t>snn.gr</t>
  </si>
  <si>
    <t>solsten.io</t>
  </si>
  <si>
    <t>Technical Support</t>
  </si>
  <si>
    <t>suzimcalpine.com</t>
  </si>
  <si>
    <t>trustburn.com</t>
  </si>
  <si>
    <t>We are at yoga teacher training school and we are doing a hybrid program which requires some</t>
  </si>
  <si>
    <t>urlm.co.uk</t>
  </si>
  <si>
    <t>10.5K</t>
  </si>
  <si>
    <t>wci.org.uk</t>
  </si>
  <si>
    <t>workingwithact.com</t>
  </si>
  <si>
    <t>Microsoft Power BI</t>
  </si>
  <si>
    <t>napc.pro</t>
  </si>
  <si>
    <t>42.8K</t>
  </si>
  <si>
    <t>sudonull.com</t>
  </si>
  <si>
    <t>Klaviyo</t>
  </si>
  <si>
    <t>callforculture.com</t>
  </si>
  <si>
    <t>Photo Slideshow</t>
  </si>
  <si>
    <t>cluelabs.com</t>
  </si>
  <si>
    <t>corryrobertson.com</t>
  </si>
  <si>
    <t>Smartphone</t>
  </si>
  <si>
    <t>effectivepeople.com</t>
  </si>
  <si>
    <t>Voice-Over Recording</t>
  </si>
  <si>
    <t>expertclick.com</t>
  </si>
  <si>
    <t>financialreports.eu</t>
  </si>
  <si>
    <t>39.3K</t>
  </si>
  <si>
    <t>Descript</t>
  </si>
  <si>
    <t>finario.com</t>
  </si>
  <si>
    <t>React Native</t>
  </si>
  <si>
    <t>hubski.com</t>
  </si>
  <si>
    <t>27.5K</t>
  </si>
  <si>
    <t>investorwire.com</t>
  </si>
  <si>
    <t>j-bps.com</t>
  </si>
  <si>
    <t>Advertising Automation</t>
  </si>
  <si>
    <t>lakeconference.org</t>
  </si>
  <si>
    <t>littlebayboards.com</t>
  </si>
  <si>
    <t>Pictory</t>
  </si>
  <si>
    <t>macroplastic.com</t>
  </si>
  <si>
    <t>Multimedia Design</t>
  </si>
  <si>
    <t>mobilecoach.com</t>
  </si>
  <si>
    <t>morriscountyedc.org</t>
  </si>
  <si>
    <t>mountfolly.co.uk</t>
  </si>
  <si>
    <t>Appointment Setting</t>
  </si>
  <si>
    <t>murahkitchen.my</t>
  </si>
  <si>
    <t>myteamaba.com</t>
  </si>
  <si>
    <t>B2C Marketing</t>
  </si>
  <si>
    <t>nakula.com</t>
  </si>
  <si>
    <t>newsnreleases.com</t>
  </si>
  <si>
    <t>System Administration</t>
  </si>
  <si>
    <t>nicemedia.co.uk</t>
  </si>
  <si>
    <t>nxlperformance.com</t>
  </si>
  <si>
    <t>Motion Design</t>
  </si>
  <si>
    <t>omniservices.com</t>
  </si>
  <si>
    <t>oppida.co</t>
  </si>
  <si>
    <t>partnershare.cn</t>
  </si>
  <si>
    <t>Business Analysis</t>
  </si>
  <si>
    <t>personallyspeaking.com</t>
  </si>
  <si>
    <t>philsystems.com</t>
  </si>
  <si>
    <t>Natural Language Processing</t>
  </si>
  <si>
    <t>pyinvesting.com</t>
  </si>
  <si>
    <t>sigfont.com</t>
  </si>
  <si>
    <t>Business Coaching</t>
  </si>
  <si>
    <t>socialetic.com</t>
  </si>
  <si>
    <t>speakersconnect.com</t>
  </si>
  <si>
    <t>sprouts.ai</t>
  </si>
  <si>
    <t>Discourse</t>
  </si>
  <si>
    <t>staffingpartner.net</t>
  </si>
  <si>
    <t>summit-events.com</t>
  </si>
  <si>
    <t>File Management</t>
  </si>
  <si>
    <t>tipmedia.com</t>
  </si>
  <si>
    <t>Dashboard</t>
  </si>
  <si>
    <t>trustfeed.com</t>
  </si>
  <si>
    <t>tudomuaban.com</t>
  </si>
  <si>
    <t>484K</t>
  </si>
  <si>
    <t>Game Design Document</t>
  </si>
  <si>
    <t>warpdriven.ai</t>
  </si>
  <si>
    <t>waxwing.ai</t>
  </si>
  <si>
    <t>Affiliate Marketing</t>
  </si>
  <si>
    <t>zephyrnet.com</t>
  </si>
  <si>
    <t>9.2K</t>
  </si>
  <si>
    <t>College , University</t>
  </si>
  <si>
    <t>ajiu.live</t>
  </si>
  <si>
    <t>11K</t>
  </si>
  <si>
    <t>akii.com</t>
  </si>
  <si>
    <t>HR , Business Services</t>
  </si>
  <si>
    <t>appshunter.io</t>
  </si>
  <si>
    <t>authoraevia.com</t>
  </si>
  <si>
    <t>36K</t>
  </si>
  <si>
    <t>beststartup.asia</t>
  </si>
  <si>
    <t>Community Guidelines</t>
  </si>
  <si>
    <t>centrx-exl.com</t>
  </si>
  <si>
    <t>claplatam.com</t>
  </si>
  <si>
    <t>Project Scheduling</t>
  </si>
  <si>
    <t>climber.com</t>
  </si>
  <si>
    <t>Requirements Specification</t>
  </si>
  <si>
    <t>contentenginellc.com</t>
  </si>
  <si>
    <t>30K</t>
  </si>
  <si>
    <t>csir-sari.org</t>
  </si>
  <si>
    <t>Storyboard</t>
  </si>
  <si>
    <t>discountingcashflows.com</t>
  </si>
  <si>
    <t>dreamhomebasedwork.com</t>
  </si>
  <si>
    <t>Content Localization</t>
  </si>
  <si>
    <t>29.7K</t>
  </si>
  <si>
    <t>eapcivilsociety.eu</t>
  </si>
  <si>
    <t>edtechdigest.blog</t>
  </si>
  <si>
    <t>Data Annotation</t>
  </si>
  <si>
    <t>europages.bg</t>
  </si>
  <si>
    <t>37.8K</t>
  </si>
  <si>
    <t>europages.no</t>
  </si>
  <si>
    <t>SEO Writing</t>
  </si>
  <si>
    <t>fh-diploma.de</t>
  </si>
  <si>
    <t>184K</t>
  </si>
  <si>
    <t>fmpllc.us</t>
  </si>
  <si>
    <t>Microsoft 365 Copilot</t>
  </si>
  <si>
    <t>froghire.ai</t>
  </si>
  <si>
    <t>grifomultimedia.it</t>
  </si>
  <si>
    <t>habeshalink.com</t>
  </si>
  <si>
    <t>Customer Engagement</t>
  </si>
  <si>
    <t>iventiv.com</t>
  </si>
  <si>
    <t>jfv-pch.de</t>
  </si>
  <si>
    <t>Project Timelines</t>
  </si>
  <si>
    <t>kmop.org</t>
  </si>
  <si>
    <t>letsconnect.be</t>
  </si>
  <si>
    <t>16.4K</t>
  </si>
  <si>
    <t>REST API</t>
  </si>
  <si>
    <t>loginslink.com</t>
  </si>
  <si>
    <t>londontechleaders.io</t>
  </si>
  <si>
    <t>newfrontierfunding.com</t>
  </si>
  <si>
    <t>Go-to-Market Strategy</t>
  </si>
  <si>
    <t>nsnlookup.com</t>
  </si>
  <si>
    <t>36.2K</t>
  </si>
  <si>
    <t>pixmidia.com.br</t>
  </si>
  <si>
    <t>Linux</t>
  </si>
  <si>
    <t>pr.report</t>
  </si>
  <si>
    <t>premierstaffingsolution.com</t>
  </si>
  <si>
    <t>TRAINING</t>
  </si>
  <si>
    <t>qdexx.com</t>
  </si>
  <si>
    <t>212K</t>
  </si>
  <si>
    <t>73K</t>
  </si>
  <si>
    <t>sean.si</t>
  </si>
  <si>
    <t>SEO Audit</t>
  </si>
  <si>
    <t>seokicks.de</t>
  </si>
  <si>
    <t>skillslaunchpadplym.co.uk</t>
  </si>
  <si>
    <t>Computer Vision</t>
  </si>
  <si>
    <t>skolappar.nu</t>
  </si>
  <si>
    <t>solganick.com</t>
  </si>
  <si>
    <t>Copy Editing</t>
  </si>
  <si>
    <t>springboardcommunications.ie</t>
  </si>
  <si>
    <t>strategyinsights.biz</t>
  </si>
  <si>
    <t>talajalisco.gob.mx</t>
  </si>
  <si>
    <t>Brand Positioning</t>
  </si>
  <si>
    <t>thinkdom.co</t>
  </si>
  <si>
    <t>turrito.com</t>
  </si>
  <si>
    <t>Database Architecture</t>
  </si>
  <si>
    <t>vonlanthenevents.com</t>
  </si>
  <si>
    <t>yuneecpilots.com</t>
  </si>
  <si>
    <t>Marketing Automation Strategy</t>
  </si>
  <si>
    <t>americanaccent.com</t>
  </si>
  <si>
    <t>5K</t>
  </si>
  <si>
    <t>Genially</t>
  </si>
  <si>
    <t>atdla.org</t>
  </si>
  <si>
    <t>blogs-collection.com</t>
  </si>
  <si>
    <t>18.9K</t>
  </si>
  <si>
    <t>Microsoft Teams</t>
  </si>
  <si>
    <t>ciderhouse.media</t>
  </si>
  <si>
    <t>csridentity.com</t>
  </si>
  <si>
    <t>Next.js</t>
  </si>
  <si>
    <t>dealerelite.net</t>
  </si>
  <si>
    <t>decai.ai</t>
  </si>
  <si>
    <t>Wireframing</t>
  </si>
  <si>
    <t>decidimmataro.cat</t>
  </si>
  <si>
    <t>discovercybersolutions.com</t>
  </si>
  <si>
    <t>MATLAB</t>
  </si>
  <si>
    <t>discoveryit.com</t>
  </si>
  <si>
    <t>.NET Framework</t>
  </si>
  <si>
    <t>esllc.com</t>
  </si>
  <si>
    <t>Accounting</t>
  </si>
  <si>
    <t>europages.cz</t>
  </si>
  <si>
    <t>europages.ee</t>
  </si>
  <si>
    <t>Business Process Automation</t>
  </si>
  <si>
    <t>europages.fi</t>
  </si>
  <si>
    <t>europages.si</t>
  </si>
  <si>
    <t>findattorneys.org</t>
  </si>
  <si>
    <t>Database</t>
  </si>
  <si>
    <t>14.9K</t>
  </si>
  <si>
    <t>gillmannservices.com</t>
  </si>
  <si>
    <t>Online Research</t>
  </si>
  <si>
    <t>hfcnexus.com</t>
  </si>
  <si>
    <t>internetri.net</t>
  </si>
  <si>
    <t>Education Framework</t>
  </si>
  <si>
    <t>marketexclusive.com</t>
  </si>
  <si>
    <t>Midjourney AI</t>
  </si>
  <si>
    <t>mifengcha.com</t>
  </si>
  <si>
    <t>oelstrupskodder.dk</t>
  </si>
  <si>
    <t>pa-sampit.go.id</t>
  </si>
  <si>
    <t>SEO Backlinking</t>
  </si>
  <si>
    <t>podengine.ai</t>
  </si>
  <si>
    <t>poweronline.com</t>
  </si>
  <si>
    <t>Academic Content Development</t>
  </si>
  <si>
    <t>protospielsouth.com</t>
  </si>
  <si>
    <t>pureit.ca</t>
  </si>
  <si>
    <t>Phone Support</t>
  </si>
  <si>
    <t>ruhanirabin.com</t>
  </si>
  <si>
    <t>13.2K</t>
  </si>
  <si>
    <t>sbdcnj.com</t>
  </si>
  <si>
    <t>Critical Thinking Skills</t>
  </si>
  <si>
    <t>setec.com.br</t>
  </si>
  <si>
    <t>sipcom.com</t>
  </si>
  <si>
    <t>Professional Tone</t>
  </si>
  <si>
    <t>stockninja.io</t>
  </si>
  <si>
    <t>strike.market</t>
  </si>
  <si>
    <t>SaaS</t>
  </si>
  <si>
    <t>teambuildingasia.com</t>
  </si>
  <si>
    <t>tickertech.com</t>
  </si>
  <si>
    <t>41.1K</t>
  </si>
  <si>
    <t>Visual Communication</t>
  </si>
  <si>
    <t>traderspro.com</t>
  </si>
  <si>
    <t>voovio.com</t>
  </si>
  <si>
    <t>wendyimport.com.au</t>
  </si>
  <si>
    <t>Castilian Spanish</t>
  </si>
  <si>
    <t>workinfo.com</t>
  </si>
  <si>
    <t>yfs.co.uk</t>
  </si>
  <si>
    <t>English to Spanish Translation</t>
  </si>
  <si>
    <t>esoftskills.ie</t>
  </si>
  <si>
    <t>assurances.gov.gh</t>
  </si>
  <si>
    <t>16K</t>
  </si>
  <si>
    <t>LinkedIn</t>
  </si>
  <si>
    <t>01webdirectory.com</t>
  </si>
  <si>
    <t>aitohuman.ai</t>
  </si>
  <si>
    <t>Social Media Marketing Strategy</t>
  </si>
  <si>
    <t>albawaabh.com</t>
  </si>
  <si>
    <t>allpeople.com</t>
  </si>
  <si>
    <t>Form Development</t>
  </si>
  <si>
    <t>b99.co.uk</t>
  </si>
  <si>
    <t>15.7K</t>
  </si>
  <si>
    <t>churchillleadershipgroup.com</t>
  </si>
  <si>
    <t>Bug Reports</t>
  </si>
  <si>
    <t>coaching-at-work.com</t>
  </si>
  <si>
    <t>collcard.com</t>
  </si>
  <si>
    <t>309K</t>
  </si>
  <si>
    <t>Generative AI Prompt Engineering</t>
  </si>
  <si>
    <t>craigsmith.id.au</t>
  </si>
  <si>
    <t>creativetokyo.com</t>
  </si>
  <si>
    <t>M4V</t>
  </si>
  <si>
    <t>disce.co.jp</t>
  </si>
  <si>
    <t>edstutia.com</t>
  </si>
  <si>
    <t>Network Administration</t>
  </si>
  <si>
    <t>inspand.com.br</t>
  </si>
  <si>
    <t>insumosartesgraficas.com</t>
  </si>
  <si>
    <t>Corporate Brand Identity</t>
  </si>
  <si>
    <t>intently.co</t>
  </si>
  <si>
    <t>65.3K</t>
  </si>
  <si>
    <t>lisaryanspeaks.com</t>
  </si>
  <si>
    <t>Ad Copy</t>
  </si>
  <si>
    <t>malaysialistings.com</t>
  </si>
  <si>
    <t>86.6K</t>
  </si>
  <si>
    <t>marketlister.ca</t>
  </si>
  <si>
    <t>Sendinblue</t>
  </si>
  <si>
    <t>msijournal.com</t>
  </si>
  <si>
    <t>novacomputersolutions.com</t>
  </si>
  <si>
    <t>Supply Chain Management</t>
  </si>
  <si>
    <t>nstarxinc.com</t>
  </si>
  <si>
    <t>peopleinai.com</t>
  </si>
  <si>
    <t>Prospect List</t>
  </si>
  <si>
    <t>6.5K</t>
  </si>
  <si>
    <t>snls.org.sz</t>
  </si>
  <si>
    <t>11.9K</t>
  </si>
  <si>
    <t>Google Tag Manager</t>
  </si>
  <si>
    <t>stockport.co.uk</t>
  </si>
  <si>
    <t>the-leadership-coaches.com</t>
  </si>
  <si>
    <t>themetix.com</t>
  </si>
  <si>
    <t>Chatbot Development</t>
  </si>
  <si>
    <t>touchpoint.health</t>
  </si>
  <si>
    <t>toughconvos.com</t>
  </si>
  <si>
    <t>Digital Video</t>
  </si>
  <si>
    <t>webreus.net</t>
  </si>
  <si>
    <t>42.9K</t>
  </si>
  <si>
    <t>esoftskills.com</t>
  </si>
  <si>
    <t>9.8K</t>
  </si>
  <si>
    <t>Compositing</t>
  </si>
  <si>
    <t>allbiz.ca</t>
  </si>
  <si>
    <t>Sora</t>
  </si>
  <si>
    <t>apogy.biz</t>
  </si>
  <si>
    <t>bizseek.co.uk</t>
  </si>
  <si>
    <t>54K</t>
  </si>
  <si>
    <t>bu.gov.mn</t>
  </si>
  <si>
    <t>designs</t>
  </si>
  <si>
    <t>c212.net</t>
  </si>
  <si>
    <t>Web Accessibility</t>
  </si>
  <si>
    <t>circulareconomyalliance.com</t>
  </si>
  <si>
    <t>Direct Marketing</t>
  </si>
  <si>
    <t>cold-facts.org</t>
  </si>
  <si>
    <t>congresoamedirh.com</t>
  </si>
  <si>
    <t>JSON</t>
  </si>
  <si>
    <t>dns.sc</t>
  </si>
  <si>
    <t>douglas-jackson.com</t>
  </si>
  <si>
    <t>French</t>
  </si>
  <si>
    <t>dualsportbc.com</t>
  </si>
  <si>
    <t>glich.co</t>
  </si>
  <si>
    <t>Task Coordination</t>
  </si>
  <si>
    <t>17.7K</t>
  </si>
  <si>
    <t>hatchboxapp.com</t>
  </si>
  <si>
    <t>Customer Experience</t>
  </si>
  <si>
    <t>indiabiz.info</t>
  </si>
  <si>
    <t>infouna.edu.pe</t>
  </si>
  <si>
    <t>intec.co.uk</t>
  </si>
  <si>
    <t>Automated Workflow</t>
  </si>
  <si>
    <t>ipv6-spider.com</t>
  </si>
  <si>
    <t>lateroundqb.com</t>
  </si>
  <si>
    <t>Script</t>
  </si>
  <si>
    <t>listingsus.com</t>
  </si>
  <si>
    <t>liveworktemple.com</t>
  </si>
  <si>
    <t>Android App Development</t>
  </si>
  <si>
    <t>mypeoplegroup.com</t>
  </si>
  <si>
    <t>papeer.tech</t>
  </si>
  <si>
    <t>Social Media Marketing Automation</t>
  </si>
  <si>
    <t>raleduc.com.br</t>
  </si>
  <si>
    <t>revistaeducacionvirtual.com</t>
  </si>
  <si>
    <t>rightchallenge.org</t>
  </si>
  <si>
    <t>Software Development</t>
  </si>
  <si>
    <t>sansserif.com</t>
  </si>
  <si>
    <t>searcher.com</t>
  </si>
  <si>
    <t>Business Planning , Strategy</t>
  </si>
  <si>
    <t>seriousgamemarket.com</t>
  </si>
  <si>
    <t>sockscap64.com</t>
  </si>
  <si>
    <t>Project Workflows</t>
  </si>
  <si>
    <t>tek-help.com</t>
  </si>
  <si>
    <t>Docker</t>
  </si>
  <si>
    <t>tlsummits.com</t>
  </si>
  <si>
    <t>uk-wire.com</t>
  </si>
  <si>
    <t>BuddyPress</t>
  </si>
  <si>
    <t>upnotch.com</t>
  </si>
  <si>
    <t>Payment Gateway Integration</t>
  </si>
  <si>
    <t>village.do</t>
  </si>
  <si>
    <t>workinfo.org</t>
  </si>
  <si>
    <t>drjack.world</t>
  </si>
  <si>
    <t>Marketing Analytics</t>
  </si>
  <si>
    <t>23.8K</t>
  </si>
  <si>
    <t>domaineye.com</t>
  </si>
  <si>
    <t>promptpanda.io</t>
  </si>
  <si>
    <t>UI/UX Prototyping</t>
  </si>
  <si>
    <t>adquickly.com</t>
  </si>
  <si>
    <t>aiinscreentrade.com</t>
  </si>
  <si>
    <t>IT Support</t>
  </si>
  <si>
    <t>alestat.com</t>
  </si>
  <si>
    <t>appsted.com</t>
  </si>
  <si>
    <t>dka.global</t>
  </si>
  <si>
    <t>Articulate Engage</t>
  </si>
  <si>
    <t>fionadates.com</t>
  </si>
  <si>
    <t>27.9K</t>
  </si>
  <si>
    <t>fratellifrancia.it</t>
  </si>
  <si>
    <t>End User Technical Support</t>
  </si>
  <si>
    <t>geometry.net</t>
  </si>
  <si>
    <t>Video Annotation</t>
  </si>
  <si>
    <t>15.2K</t>
  </si>
  <si>
    <t>internexxus.com</t>
  </si>
  <si>
    <t>jazminsbeautysalon.be</t>
  </si>
  <si>
    <t>Runway Gen-2</t>
  </si>
  <si>
    <t>konie.vet</t>
  </si>
  <si>
    <t>nextdoormover.com</t>
  </si>
  <si>
    <t>Image Annotation</t>
  </si>
  <si>
    <t>oilandgasautomationandtechnology.com</t>
  </si>
  <si>
    <t>pernasresearch.com</t>
  </si>
  <si>
    <t>Customer Care</t>
  </si>
  <si>
    <t>piipe.de</t>
  </si>
  <si>
    <t>private.coffee</t>
  </si>
  <si>
    <t>50.1K</t>
  </si>
  <si>
    <t>raindrop.page</t>
  </si>
  <si>
    <t>responsibilityreports.co.uk</t>
  </si>
  <si>
    <t>Communication Etiquette</t>
  </si>
  <si>
    <t>sauldie.org</t>
  </si>
  <si>
    <t>savingsmania.com</t>
  </si>
  <si>
    <t>Prompt Engineering</t>
  </si>
  <si>
    <t>survivingleadership.blog</t>
  </si>
  <si>
    <t>telepath.work</t>
  </si>
  <si>
    <t>Digital Concourse Marketing Automation</t>
  </si>
  <si>
    <t>trainerslibrary.com</t>
  </si>
  <si>
    <t>trustlist.uk</t>
  </si>
  <si>
    <t>STEM Tutoring</t>
  </si>
  <si>
    <t>utobo.com</t>
  </si>
  <si>
    <t>Science Tutoring</t>
  </si>
  <si>
    <t>waerfa.com</t>
  </si>
  <si>
    <t>zurl.co</t>
  </si>
  <si>
    <t>150K</t>
  </si>
  <si>
    <t>Kartra</t>
  </si>
  <si>
    <t>papasearch.net</t>
  </si>
  <si>
    <t>Django</t>
  </si>
  <si>
    <t>adanadogusanayisitesi.org</t>
  </si>
  <si>
    <t>annualreports.co.uk</t>
  </si>
  <si>
    <t>Strategy</t>
  </si>
  <si>
    <t>barnesconti.com</t>
  </si>
  <si>
    <t>beststartup.co.uk</t>
  </si>
  <si>
    <t>3.3K</t>
  </si>
  <si>
    <t>beststartup.in</t>
  </si>
  <si>
    <t>Screen Recording</t>
  </si>
  <si>
    <t>60.3K</t>
  </si>
  <si>
    <t>blessingwhite.com</t>
  </si>
  <si>
    <t>branchboston.com</t>
  </si>
  <si>
    <t>celestialdirectory.com</t>
  </si>
  <si>
    <t>28K</t>
  </si>
  <si>
    <t>Quality Control</t>
  </si>
  <si>
    <t>choq.fm</t>
  </si>
  <si>
    <t>clipartix.com</t>
  </si>
  <si>
    <t>109K</t>
  </si>
  <si>
    <t>Deep Learning</t>
  </si>
  <si>
    <t>cmsfly.com</t>
  </si>
  <si>
    <t>dailydak.pk</t>
  </si>
  <si>
    <t>e3ct.com</t>
  </si>
  <si>
    <t>Retail , Consumer Goods</t>
  </si>
  <si>
    <t>erpra.net</t>
  </si>
  <si>
    <t>europages.lt</t>
  </si>
  <si>
    <t>Graphic Animation</t>
  </si>
  <si>
    <t>funsocio.com</t>
  </si>
  <si>
    <t>Logistics Management</t>
  </si>
  <si>
    <t>iblnews.es</t>
  </si>
  <si>
    <t>imarcomms.com</t>
  </si>
  <si>
    <t>bbPress</t>
  </si>
  <si>
    <t>ippmedia.co.tz</t>
  </si>
  <si>
    <t>kitsol.co.in</t>
  </si>
  <si>
    <t>kommandotech.com</t>
  </si>
  <si>
    <t>Industrial Engineering</t>
  </si>
  <si>
    <t>lushdollar.com</t>
  </si>
  <si>
    <t>58.4K</t>
  </si>
  <si>
    <t>maconsultingservices.site</t>
  </si>
  <si>
    <t>Branding</t>
  </si>
  <si>
    <t>mainstreetitsolutions.com</t>
  </si>
  <si>
    <t>marketminute.com</t>
  </si>
  <si>
    <t>Claude 3.5 Sonnet</t>
  </si>
  <si>
    <t>Community Outreach</t>
  </si>
  <si>
    <t>radiusits.com</t>
  </si>
  <si>
    <t>rmqsi.org</t>
  </si>
  <si>
    <t>sage.media</t>
  </si>
  <si>
    <t>Concept Video</t>
  </si>
  <si>
    <t>scam.sg</t>
  </si>
  <si>
    <t>94.9K</t>
  </si>
  <si>
    <t>sixthsenseconsulting.co.uk</t>
  </si>
  <si>
    <t>Maxon Cinema 4D</t>
  </si>
  <si>
    <t>veltecnetworks.com</t>
  </si>
  <si>
    <t>awardmaven.com</t>
  </si>
  <si>
    <t>CodeIgniter</t>
  </si>
  <si>
    <t>betterworkmedia.com</t>
  </si>
  <si>
    <t>bizblaze.co</t>
  </si>
  <si>
    <t>Bookkeeping</t>
  </si>
  <si>
    <t>clarekumar.com</t>
  </si>
  <si>
    <t>consultantsconsultant.com.au</t>
  </si>
  <si>
    <t>ddns.us</t>
  </si>
  <si>
    <t>Xamarin</t>
  </si>
  <si>
    <t>directory-free.com</t>
  </si>
  <si>
    <t>44.4K</t>
  </si>
  <si>
    <t>InVideo</t>
  </si>
  <si>
    <t>escuela-indecopi.edu.pe</t>
  </si>
  <si>
    <t>gaadhi.com</t>
  </si>
  <si>
    <t>Brightspace/D2L</t>
  </si>
  <si>
    <t>gridinsoft.ua</t>
  </si>
  <si>
    <t>haneypkg.com</t>
  </si>
  <si>
    <t>AI Audio Generation</t>
  </si>
  <si>
    <t>hellenic-hotels.com</t>
  </si>
  <si>
    <t>DevOps</t>
  </si>
  <si>
    <t>losangeles.net</t>
  </si>
  <si>
    <t>navitmoney.com</t>
  </si>
  <si>
    <t>siatech.org</t>
  </si>
  <si>
    <t>Business with 10-99 Employees</t>
  </si>
  <si>
    <t>simulateur-portage-salarial.fr</t>
  </si>
  <si>
    <t>socialbookmarkssite.com</t>
  </si>
  <si>
    <t>392K</t>
  </si>
  <si>
    <t>talent4boards.com</t>
  </si>
  <si>
    <t>tecdud.com</t>
  </si>
  <si>
    <t>thecambridgeconsultant.com</t>
  </si>
  <si>
    <t>theglobe.org</t>
  </si>
  <si>
    <t>ulavu.com</t>
  </si>
  <si>
    <t>7.2K</t>
  </si>
  <si>
    <t>usdailyreview.com</t>
  </si>
  <si>
    <t>$1K+</t>
  </si>
  <si>
    <t>weavinginfluence.com</t>
  </si>
  <si>
    <t>yourdent.co.il</t>
  </si>
  <si>
    <t>AI Image Generation</t>
  </si>
  <si>
    <t>zagroza.agency</t>
  </si>
  <si>
    <t>postgradoune.edu.pe</t>
  </si>
  <si>
    <t>Asana</t>
  </si>
  <si>
    <t>aspiretech.com</t>
  </si>
  <si>
    <t>awarablogs.com</t>
  </si>
  <si>
    <t>GoDaddy</t>
  </si>
  <si>
    <t>bestdirectory4you.com</t>
  </si>
  <si>
    <t>19.7K</t>
  </si>
  <si>
    <t>chinagorman.com</t>
  </si>
  <si>
    <t>Vocational Education</t>
  </si>
  <si>
    <t>consciousevolution.tv</t>
  </si>
  <si>
    <t>datagenie.co</t>
  </si>
  <si>
    <t>Voice , Tone Consistency</t>
  </si>
  <si>
    <t>deckary.com</t>
  </si>
  <si>
    <t>Milestones</t>
  </si>
  <si>
    <t>helpmedi.pl</t>
  </si>
  <si>
    <t>hydrocarbononline.com</t>
  </si>
  <si>
    <t>icmsmt.com</t>
  </si>
  <si>
    <t>Shopify Development</t>
  </si>
  <si>
    <t>idmoz.org</t>
  </si>
  <si>
    <t>Plugin</t>
  </si>
  <si>
    <t>indianjobtalks.com</t>
  </si>
  <si>
    <t>7.7K</t>
  </si>
  <si>
    <t>insightsmedia.co.uk</t>
  </si>
  <si>
    <t>SEO Content</t>
  </si>
  <si>
    <t>interobservers.com</t>
  </si>
  <si>
    <t>Business Plan</t>
  </si>
  <si>
    <t>linkcenter.com</t>
  </si>
  <si>
    <t>livredocencia.com</t>
  </si>
  <si>
    <t>moneypeak.ai</t>
  </si>
  <si>
    <t>Airtable</t>
  </si>
  <si>
    <t>new.net.in</t>
  </si>
  <si>
    <t>Product Catalog Update</t>
  </si>
  <si>
    <t>onlinewebmarks.com</t>
  </si>
  <si>
    <t>49.1K</t>
  </si>
  <si>
    <t>Microsoft Office</t>
  </si>
  <si>
    <t>prof-research.com</t>
  </si>
  <si>
    <t>selectstrategies.com</t>
  </si>
  <si>
    <t>Website Asset</t>
  </si>
  <si>
    <t>sheaglobal.com</t>
  </si>
  <si>
    <t>sonnet.fm</t>
  </si>
  <si>
    <t>stocksmart.com</t>
  </si>
  <si>
    <t>Task Creation</t>
  </si>
  <si>
    <t>strategicmgtpartners.com</t>
  </si>
  <si>
    <t>thecultureministry.com</t>
  </si>
  <si>
    <t>TikTok Video</t>
  </si>
  <si>
    <t>thesingaporean.sg</t>
  </si>
  <si>
    <t>travreviews.com</t>
  </si>
  <si>
    <t>Change Management</t>
  </si>
  <si>
    <t>unanswered.io</t>
  </si>
  <si>
    <t>17.9K</t>
  </si>
  <si>
    <t>usebuilderflow.com</t>
  </si>
  <si>
    <t>Procedure Manual</t>
  </si>
  <si>
    <t>virtecha.com</t>
  </si>
  <si>
    <t>welpmagazine.com</t>
  </si>
  <si>
    <t>zann.app</t>
  </si>
  <si>
    <t>Sales Funnel Implementation</t>
  </si>
  <si>
    <t>zzux.com</t>
  </si>
  <si>
    <t>76.4K</t>
  </si>
  <si>
    <t>alianzaestrategica.edu.pe</t>
  </si>
  <si>
    <t>Leadership Coaching</t>
  </si>
  <si>
    <t>landingspy.com</t>
  </si>
  <si>
    <t>nckl.gov.kh</t>
  </si>
  <si>
    <t>38.2K</t>
  </si>
  <si>
    <t>jQuery</t>
  </si>
  <si>
    <t>a-better-place.com</t>
  </si>
  <si>
    <t>alazharcilacap.sch.id</t>
  </si>
  <si>
    <t>appfurther.io</t>
  </si>
  <si>
    <t>Network Security</t>
  </si>
  <si>
    <t>batico.fr</t>
  </si>
  <si>
    <t>bisprofiles.com</t>
  </si>
  <si>
    <t>152K</t>
  </si>
  <si>
    <t>Nonfiction</t>
  </si>
  <si>
    <t>dailyseoblog.com</t>
  </si>
  <si>
    <t>Number of freelancers needed:</t>
  </si>
  <si>
    <t>emag.co.uk</t>
  </si>
  <si>
    <t>Electrical Engineering</t>
  </si>
  <si>
    <t>entryrise.com</t>
  </si>
  <si>
    <t>gpstl-apprenticeships.co.uk</t>
  </si>
  <si>
    <t>iaswww.com</t>
  </si>
  <si>
    <t>Mobile App Design</t>
  </si>
  <si>
    <t>icecct.com</t>
  </si>
  <si>
    <t>inspired-ed.com</t>
  </si>
  <si>
    <t>3D Animation</t>
  </si>
  <si>
    <t>landingpageflow.com</t>
  </si>
  <si>
    <t>mega-net.net</t>
  </si>
  <si>
    <t>Manage Ecommerce Site</t>
  </si>
  <si>
    <t>need.tips</t>
  </si>
  <si>
    <t>33.8K</t>
  </si>
  <si>
    <t>olivare.com.ar</t>
  </si>
  <si>
    <t>AI Model Integration</t>
  </si>
  <si>
    <t>pedagogue.app</t>
  </si>
  <si>
    <t>resonancelabjo.com</t>
  </si>
  <si>
    <t>saasbattles.com</t>
  </si>
  <si>
    <t>Advertising Strategy</t>
  </si>
  <si>
    <t>semanticjuice.com</t>
  </si>
  <si>
    <t>spottedcow.media</t>
  </si>
  <si>
    <t>Online Reputation Management</t>
  </si>
  <si>
    <t>stevenguyenphd.com</t>
  </si>
  <si>
    <t>theengineeringcommons.com</t>
  </si>
  <si>
    <t>User Experience</t>
  </si>
  <si>
    <t>unitedhumanresources.com</t>
  </si>
  <si>
    <t>we-q.net</t>
  </si>
  <si>
    <t>Children's Book Illustration</t>
  </si>
  <si>
    <t>webdigi.net</t>
  </si>
  <si>
    <t>yeovilinnovationcentre.co.uk</t>
  </si>
  <si>
    <t>websitescrawl.com</t>
  </si>
  <si>
    <t>YouTube Marketing</t>
  </si>
  <si>
    <t>clientsbee.com</t>
  </si>
  <si>
    <t>addresspage.com</t>
  </si>
  <si>
    <t>Troubleshooting</t>
  </si>
  <si>
    <t>14.2K</t>
  </si>
  <si>
    <t>bookmarkinghost.info</t>
  </si>
  <si>
    <t>bookmarksclub.com</t>
  </si>
  <si>
    <t>Linguistics</t>
  </si>
  <si>
    <t>burf.co</t>
  </si>
  <si>
    <t>On-Page SEO</t>
  </si>
  <si>
    <t>caberfeidh.com</t>
  </si>
  <si>
    <t>Energy , Utilities</t>
  </si>
  <si>
    <t>chirpe.com</t>
  </si>
  <si>
    <t>Retargeting</t>
  </si>
  <si>
    <t>coderootz.com</t>
  </si>
  <si>
    <t>diagma.ro</t>
  </si>
  <si>
    <t>easyuae.com</t>
  </si>
  <si>
    <t>LinkedIn Lead Generation</t>
  </si>
  <si>
    <t>23K</t>
  </si>
  <si>
    <t>Microsoft Project</t>
  </si>
  <si>
    <t>helptostudy.com</t>
  </si>
  <si>
    <t>hosexpress.com</t>
  </si>
  <si>
    <t>Zoho Creator</t>
  </si>
  <si>
    <t>indiabook.com</t>
  </si>
  <si>
    <t>iowapeernetwork.org</t>
  </si>
  <si>
    <t>Mobile Marketing Automation</t>
  </si>
  <si>
    <t>jjccgroup.org</t>
  </si>
  <si>
    <t>kincardinetimes.com</t>
  </si>
  <si>
    <t>ldmstudio.com</t>
  </si>
  <si>
    <t>Learndash</t>
  </si>
  <si>
    <t>ManyChat</t>
  </si>
  <si>
    <t>nacburo.org</t>
  </si>
  <si>
    <t>nowcomms.com</t>
  </si>
  <si>
    <t>Traditional Animation</t>
  </si>
  <si>
    <t>odsol.com</t>
  </si>
  <si>
    <t>p2linc.com</t>
  </si>
  <si>
    <t>Data Scraping</t>
  </si>
  <si>
    <t>performancepros.net</t>
  </si>
  <si>
    <t>peuneo.co.za</t>
  </si>
  <si>
    <t>Concept Artistry</t>
  </si>
  <si>
    <t>psgcnj.biz</t>
  </si>
  <si>
    <t>qtv.gm</t>
  </si>
  <si>
    <t>Fluent</t>
  </si>
  <si>
    <t>saasbase.cn</t>
  </si>
  <si>
    <t>samespacecoast.org</t>
  </si>
  <si>
    <t>sapnewz.com</t>
  </si>
  <si>
    <t>Copy , Paste</t>
  </si>
  <si>
    <t>selinyetimoglu.com</t>
  </si>
  <si>
    <t>simplytnicole.com</t>
  </si>
  <si>
    <t>Generative AI</t>
  </si>
  <si>
    <t>smart-digits.com</t>
  </si>
  <si>
    <t>taptalent.ai</t>
  </si>
  <si>
    <t>Career Coaching</t>
  </si>
  <si>
    <t>theseobacklink.com</t>
  </si>
  <si>
    <t>Documentary</t>
  </si>
  <si>
    <t>tsecurity.de</t>
  </si>
  <si>
    <t>5.7K</t>
  </si>
  <si>
    <t>urlmetrics.be</t>
  </si>
  <si>
    <t>Digital Design</t>
  </si>
  <si>
    <t>vini.me</t>
  </si>
  <si>
    <t>votearticles.com</t>
  </si>
  <si>
    <t>Powtoon</t>
  </si>
  <si>
    <t>workplacepsychology.wordpress.com</t>
  </si>
  <si>
    <t>worqstrap.com</t>
  </si>
  <si>
    <t>zambiafiles.com</t>
  </si>
  <si>
    <t>25.5K</t>
  </si>
  <si>
    <t>Digital Illustration</t>
  </si>
  <si>
    <t>tpsearchtool.com</t>
  </si>
  <si>
    <t>4pu.com</t>
  </si>
  <si>
    <t>49.6K</t>
  </si>
  <si>
    <t>Topic Research</t>
  </si>
  <si>
    <t>aga.edu.pl</t>
  </si>
  <si>
    <t>alchemi.ai</t>
  </si>
  <si>
    <t>Digital Strategy</t>
  </si>
  <si>
    <t>alliedseals.com</t>
  </si>
  <si>
    <t>civilengineeringlectures.com</t>
  </si>
  <si>
    <t>Email Design</t>
  </si>
  <si>
    <t>divatechtalk.com</t>
  </si>
  <si>
    <t>extensor.co.uk</t>
  </si>
  <si>
    <t>ezyspot.com</t>
  </si>
  <si>
    <t>Light Project Management</t>
  </si>
  <si>
    <t>69.5K</t>
  </si>
  <si>
    <t>genderatwork.be</t>
  </si>
  <si>
    <t>Odoo</t>
  </si>
  <si>
    <t>h2-ccs-network.com</t>
  </si>
  <si>
    <t>hgkc.co.uk</t>
  </si>
  <si>
    <t>Firebase</t>
  </si>
  <si>
    <t>icloud.pe</t>
  </si>
  <si>
    <t>indiafdiwatch.org</t>
  </si>
  <si>
    <t>File Maintenance</t>
  </si>
  <si>
    <t>infohind.com</t>
  </si>
  <si>
    <t>11.3K</t>
  </si>
  <si>
    <t>krukob.com</t>
  </si>
  <si>
    <t>Template Design</t>
  </si>
  <si>
    <t>loopbot.ai</t>
  </si>
  <si>
    <t>lostanddesperate.com</t>
  </si>
  <si>
    <t>Social Media Account Integration</t>
  </si>
  <si>
    <t>monoreel.ru</t>
  </si>
  <si>
    <t>notadogame.com</t>
  </si>
  <si>
    <t>Branding Template</t>
  </si>
  <si>
    <t>onemilliondirectory.com</t>
  </si>
  <si>
    <t>open-thoughts.com</t>
  </si>
  <si>
    <t>Email , Newsletter</t>
  </si>
  <si>
    <t>paleciarz.pl</t>
  </si>
  <si>
    <t>plazalaval.com</t>
  </si>
  <si>
    <t>WordPress e-Commerce</t>
  </si>
  <si>
    <t>qualitystocks.com</t>
  </si>
  <si>
    <t>repetitio.ai</t>
  </si>
  <si>
    <t>Blender</t>
  </si>
  <si>
    <t>simpleinformation.com</t>
  </si>
  <si>
    <t>smargasy.com</t>
  </si>
  <si>
    <t>Tagalog</t>
  </si>
  <si>
    <t>thejeera.com</t>
  </si>
  <si>
    <t>trysavvy.co</t>
  </si>
  <si>
    <t>usypchuk.com</t>
  </si>
  <si>
    <t>Database Development</t>
  </si>
  <si>
    <t>Email Campaign</t>
  </si>
  <si>
    <t>Editorial Design</t>
  </si>
  <si>
    <t>wisdmlabs.net</t>
  </si>
  <si>
    <t>madrececilia.edu.ve</t>
  </si>
  <si>
    <t>Webinar Jam</t>
  </si>
  <si>
    <t>anjana.co.in</t>
  </si>
  <si>
    <t>aulabierta.org</t>
  </si>
  <si>
    <t>Explainable AI</t>
  </si>
  <si>
    <t>braide.ai</t>
  </si>
  <si>
    <t>Documentary Video</t>
  </si>
  <si>
    <t>broadcasts.com</t>
  </si>
  <si>
    <t>buvettenicole.com</t>
  </si>
  <si>
    <t>Candidate Sourcing</t>
  </si>
  <si>
    <t>chullanmakeup.com</t>
  </si>
  <si>
    <t>curious.xyz</t>
  </si>
  <si>
    <t>dengue.gov.bd</t>
  </si>
  <si>
    <t>Game UI/UX Design</t>
  </si>
  <si>
    <t>dltech.forum</t>
  </si>
  <si>
    <t>dynamic-template.com</t>
  </si>
  <si>
    <t>3D Modeling</t>
  </si>
  <si>
    <t>essentialwaves.nl</t>
  </si>
  <si>
    <t>firstfoodseg.com</t>
  </si>
  <si>
    <t>Miro</t>
  </si>
  <si>
    <t>fsrexpert.com</t>
  </si>
  <si>
    <t>getskylar.com</t>
  </si>
  <si>
    <t>Front-End Development</t>
  </si>
  <si>
    <t>hubbry.com</t>
  </si>
  <si>
    <t>intuitclasses.com</t>
  </si>
  <si>
    <t>Lesson Plan</t>
  </si>
  <si>
    <t>itsolutionss.com.br</t>
  </si>
  <si>
    <t>mailmo.io</t>
  </si>
  <si>
    <t>Middle-Aged Adult</t>
  </si>
  <si>
    <t>parapmassage.com.au</t>
  </si>
  <si>
    <t>pctg.net</t>
  </si>
  <si>
    <t>Product Onboarding</t>
  </si>
  <si>
    <t>reliaadvisors.com</t>
  </si>
  <si>
    <t>WordPress Backup</t>
  </si>
  <si>
    <t>sisgroup.lk</t>
  </si>
  <si>
    <t>kajabi</t>
  </si>
  <si>
    <t>stevenage.org.uk</t>
  </si>
  <si>
    <t>sydneytech.com.au</t>
  </si>
  <si>
    <t>techlist.ai</t>
  </si>
  <si>
    <t>PyTorch</t>
  </si>
  <si>
    <t>thunderbirdleadership.com</t>
  </si>
  <si>
    <t>touristpoint.in</t>
  </si>
  <si>
    <t>Website Backup</t>
  </si>
  <si>
    <t>wssrl.it</t>
  </si>
  <si>
    <t>zenithperformancesolutions.com</t>
  </si>
  <si>
    <t>Research Papers</t>
  </si>
  <si>
    <t>esad.edu.br</t>
  </si>
  <si>
    <t>34.3K</t>
  </si>
  <si>
    <t>toplist.co.in</t>
  </si>
  <si>
    <t>Tailwind CSS</t>
  </si>
  <si>
    <t>4pliszki.pl</t>
  </si>
  <si>
    <t>aigenthelp.com</t>
  </si>
  <si>
    <t>ashokhall.com</t>
  </si>
  <si>
    <t>Digital Business Modeling</t>
  </si>
  <si>
    <t>atdseasummit.org</t>
  </si>
  <si>
    <t>avposgradounap.edu.pe</t>
  </si>
  <si>
    <t>Twitter/X Marketing</t>
  </si>
  <si>
    <t>bienestarpolicia.gov.co</t>
  </si>
  <si>
    <t>bookautoai.com</t>
  </si>
  <si>
    <t>Science</t>
  </si>
  <si>
    <t>capital.gov.kw</t>
  </si>
  <si>
    <t>chatgpttextconverter.com</t>
  </si>
  <si>
    <t>Ebook Design</t>
  </si>
  <si>
    <t>cngdelivery.com</t>
  </si>
  <si>
    <t>cvh.gov.np</t>
  </si>
  <si>
    <t>directorybin.com</t>
  </si>
  <si>
    <t>Portuguese</t>
  </si>
  <si>
    <t>dirtytony.com</t>
  </si>
  <si>
    <t>edial.in</t>
  </si>
  <si>
    <t>Salesforce</t>
  </si>
  <si>
    <t>energau.com</t>
  </si>
  <si>
    <t>faatuatua.com</t>
  </si>
  <si>
    <t>Complaint Management</t>
  </si>
  <si>
    <t>fazerparaaprender.am.gov.br</t>
  </si>
  <si>
    <t>govspendbase.uk</t>
  </si>
  <si>
    <t>grace4success.com</t>
  </si>
  <si>
    <t>graveiens.com</t>
  </si>
  <si>
    <t>heyremote.io</t>
  </si>
  <si>
    <t>C++</t>
  </si>
  <si>
    <t>investlytic.co</t>
  </si>
  <si>
    <t>Designing</t>
  </si>
  <si>
    <t>islandearthlandscape.ca</t>
  </si>
  <si>
    <t>jobtailor.co</t>
  </si>
  <si>
    <t>journalskart.com</t>
  </si>
  <si>
    <t>leaderconnect.com</t>
  </si>
  <si>
    <t>Highlighting Effects</t>
  </si>
  <si>
    <t>maryland-bd.com</t>
  </si>
  <si>
    <t>Near-Native Fluency</t>
  </si>
  <si>
    <t>northernsteelvic.com.au</t>
  </si>
  <si>
    <t>Decision Making</t>
  </si>
  <si>
    <t>patchwarehouse.com</t>
  </si>
  <si>
    <t>ramp.directory</t>
  </si>
  <si>
    <t>Microsoft Dynamics 365</t>
  </si>
  <si>
    <t>realise-energy.co.uk</t>
  </si>
  <si>
    <t>sandeepanand.in</t>
  </si>
  <si>
    <t>searchhotels.in</t>
  </si>
  <si>
    <t>Counseling Psychology</t>
  </si>
  <si>
    <t>silkrute.jp</t>
  </si>
  <si>
    <t>smallpeice.com</t>
  </si>
  <si>
    <t>Adobe Creative Suite</t>
  </si>
  <si>
    <t>ssu.edu.in</t>
  </si>
  <si>
    <t>stringtranslate.com</t>
  </si>
  <si>
    <t>Health , Fitness</t>
  </si>
  <si>
    <t>ticari.co.uk</t>
  </si>
  <si>
    <t>treetrav.com</t>
  </si>
  <si>
    <t>Microsoft Windows</t>
  </si>
  <si>
    <t>treinamentoipiranga.com.br</t>
  </si>
  <si>
    <t>16.7K</t>
  </si>
  <si>
    <t>tti-global.com</t>
  </si>
  <si>
    <t>urlm.se</t>
  </si>
  <si>
    <t>Personal Administration</t>
  </si>
  <si>
    <t>webinarcafe.com</t>
  </si>
  <si>
    <t>workfromoffice.com</t>
  </si>
  <si>
    <t>Customer Retention Strategy</t>
  </si>
  <si>
    <t>youthfilter.com</t>
  </si>
  <si>
    <t>cfgauss.edu.pe</t>
  </si>
  <si>
    <t>Audience Segmentation , Targeting</t>
  </si>
  <si>
    <t>edukeit.com</t>
  </si>
  <si>
    <t>Zoho Books</t>
  </si>
  <si>
    <t>infipereira.gov.co</t>
  </si>
  <si>
    <t>intokit.com</t>
  </si>
  <si>
    <t>Flutter</t>
  </si>
  <si>
    <t>pedagogicotarapoto.edu.pe</t>
  </si>
  <si>
    <t>aadarsh.in</t>
  </si>
  <si>
    <t>Adaptive Web Design</t>
  </si>
  <si>
    <t>achievecoaching.co.kr</t>
  </si>
  <si>
    <t>acikkitap.com.tr</t>
  </si>
  <si>
    <t>agroinsursas.com</t>
  </si>
  <si>
    <t>Travel , Hospitality</t>
  </si>
  <si>
    <t>aigirlfriendmojo.com</t>
  </si>
  <si>
    <t>allare.io</t>
  </si>
  <si>
    <t>Design Thinking</t>
  </si>
  <si>
    <t>backlinks.cyou</t>
  </si>
  <si>
    <t>bakbak.in</t>
  </si>
  <si>
    <t>Zendesk</t>
  </si>
  <si>
    <t>breadandcompany.com.br</t>
  </si>
  <si>
    <t>cngcenter.com</t>
  </si>
  <si>
    <t>Performance Management</t>
  </si>
  <si>
    <t>cocovisio.fi</t>
  </si>
  <si>
    <t>connecttomorris.org</t>
  </si>
  <si>
    <t>Operations Management Software</t>
  </si>
  <si>
    <t>craftaesthetics.in</t>
  </si>
  <si>
    <t>cursosdafaculdade.com.br</t>
  </si>
  <si>
    <t>darkrezo.com</t>
  </si>
  <si>
    <t>Video Narration</t>
  </si>
  <si>
    <t>detoxo.com</t>
  </si>
  <si>
    <t>dolphinstar.ae</t>
  </si>
  <si>
    <t>Candidate Interviewing</t>
  </si>
  <si>
    <t>enioaragon.wordpress.com</t>
  </si>
  <si>
    <t>WordPress Website Design</t>
  </si>
  <si>
    <t>globalentrepreneurinsights.com</t>
  </si>
  <si>
    <t>greatdemo.blogspot.com</t>
  </si>
  <si>
    <t>ConvertKit</t>
  </si>
  <si>
    <t>jani.com.br</t>
  </si>
  <si>
    <t>Localization</t>
  </si>
  <si>
    <t>jinzai-juku.com</t>
  </si>
  <si>
    <t>Software</t>
  </si>
  <si>
    <t>Manual Testing</t>
  </si>
  <si>
    <t>maxxicfswear.com</t>
  </si>
  <si>
    <t>onepondripples.wordpress.com</t>
  </si>
  <si>
    <t>Biology</t>
  </si>
  <si>
    <t>paymentcheck.co.uk</t>
  </si>
  <si>
    <t>Notion</t>
  </si>
  <si>
    <t>rbii.lt</t>
  </si>
  <si>
    <t>readwrite.in</t>
  </si>
  <si>
    <t>scottishapprenticeships.com</t>
  </si>
  <si>
    <t>Redis</t>
  </si>
  <si>
    <t>sgp.com.mx</t>
  </si>
  <si>
    <t>sportsprint.com.au</t>
  </si>
  <si>
    <t>stevemahercoaching.com</t>
  </si>
  <si>
    <t>Search Engine Marketing</t>
  </si>
  <si>
    <t>studiosegmenti.com</t>
  </si>
  <si>
    <t>summary.co.in</t>
  </si>
  <si>
    <t>tampadirections.com</t>
  </si>
  <si>
    <t>textbiz.org</t>
  </si>
  <si>
    <t>Communication Design</t>
  </si>
  <si>
    <t>theozeffect.com</t>
  </si>
  <si>
    <t>tpgbrandstrategy.com</t>
  </si>
  <si>
    <t>trustima.com.vn</t>
  </si>
  <si>
    <t>Graph</t>
  </si>
  <si>
    <t>usbiz.org</t>
  </si>
  <si>
    <t>virtualuncp.edu.pe</t>
  </si>
  <si>
    <t>vvedrada.gov.ua</t>
  </si>
  <si>
    <t>B2B Lead Generation</t>
  </si>
  <si>
    <t>wachstumslern.de</t>
  </si>
  <si>
    <t>wavesofdevotion.com</t>
  </si>
  <si>
    <t>wheels.ro</t>
  </si>
  <si>
    <t>Video Ad Campaign</t>
  </si>
  <si>
    <t>womensalonseries.com</t>
  </si>
  <si>
    <t>workanywhere.pro</t>
  </si>
  <si>
    <t>xborne.com</t>
  </si>
  <si>
    <t>talentspline.com</t>
  </si>
  <si>
    <t>Community Promotion</t>
  </si>
  <si>
    <t>camaradesantacruzcabralia.ba.gov.br</t>
  </si>
  <si>
    <t>iestpaltohuallaga.edu.pe</t>
  </si>
  <si>
    <t>Odoo Development</t>
  </si>
  <si>
    <t>6cfn.com</t>
  </si>
  <si>
    <t>amathe.in</t>
  </si>
  <si>
    <t>atw.ac.id</t>
  </si>
  <si>
    <t>Unity</t>
  </si>
  <si>
    <t>backlink.co.in</t>
  </si>
  <si>
    <t>bestinfopoint.com</t>
  </si>
  <si>
    <t>beststartup.us</t>
  </si>
  <si>
    <t>blogmel.com</t>
  </si>
  <si>
    <t>Microsoft SharePoint Administration</t>
  </si>
  <si>
    <t>colorblossomdirectory.com</t>
  </si>
  <si>
    <t>conectagp.com.br</t>
  </si>
  <si>
    <t>darkschemedirectory.com</t>
  </si>
  <si>
    <t>Data Science</t>
  </si>
  <si>
    <t>29.2K</t>
  </si>
  <si>
    <t>drvirkdds.com</t>
  </si>
  <si>
    <t>e-kusiak.pl</t>
  </si>
  <si>
    <t>edlea.org</t>
  </si>
  <si>
    <t>Off-Page SEO</t>
  </si>
  <si>
    <t>egitimvegelisim.com.tr</t>
  </si>
  <si>
    <t>folafoods.com</t>
  </si>
  <si>
    <t>Zoho Analytics</t>
  </si>
  <si>
    <t>fuse-consultancy.co.uk</t>
  </si>
  <si>
    <t>guanyumixer.com</t>
  </si>
  <si>
    <t>gulfcoastvanlines.com</t>
  </si>
  <si>
    <t>Email Marketing Strategy</t>
  </si>
  <si>
    <t>hansika.co.in</t>
  </si>
  <si>
    <t>irishtalents.com</t>
  </si>
  <si>
    <t>jobfinderuae.com</t>
  </si>
  <si>
    <t>App Development</t>
  </si>
  <si>
    <t>knowgrok.com</t>
  </si>
  <si>
    <t>lazyweb.com</t>
  </si>
  <si>
    <t>Business Services</t>
  </si>
  <si>
    <t>longbeachnydealsdiscounts.com</t>
  </si>
  <si>
    <t>louiseforissier.com</t>
  </si>
  <si>
    <t>Lead Nurturing</t>
  </si>
  <si>
    <t>mv-hanfthal.at</t>
  </si>
  <si>
    <t>nasdaqchart.com</t>
  </si>
  <si>
    <t>Memberium</t>
  </si>
  <si>
    <t>ncao.ca</t>
  </si>
  <si>
    <t>nevergetsold.eu</t>
  </si>
  <si>
    <t>online-pmo.com</t>
  </si>
  <si>
    <t>Lead Generation Strategy</t>
  </si>
  <si>
    <t>pingjob.com</t>
  </si>
  <si>
    <t>pro-one-trans.com</t>
  </si>
  <si>
    <t>projektkontoret.se</t>
  </si>
  <si>
    <t>Shopify Templates</t>
  </si>
  <si>
    <t>pterranova.com</t>
  </si>
  <si>
    <t>pthp.org.pl</t>
  </si>
  <si>
    <t>ratingkey.com</t>
  </si>
  <si>
    <t>rcm2.pl</t>
  </si>
  <si>
    <t>RESTful API</t>
  </si>
  <si>
    <t>reytemper.com.br</t>
  </si>
  <si>
    <t>sarpertekin.com</t>
  </si>
  <si>
    <t>selfdevlopement.com</t>
  </si>
  <si>
    <t>Facebook Ad Campaign</t>
  </si>
  <si>
    <t>sidneymagriconsultor.com.br</t>
  </si>
  <si>
    <t>snappypr.com</t>
  </si>
  <si>
    <t>stackwho.com</t>
  </si>
  <si>
    <t>Linux System Administration</t>
  </si>
  <si>
    <t>subhikh.com</t>
  </si>
  <si>
    <t>tablestat.com</t>
  </si>
  <si>
    <t>tabriz118.com</t>
  </si>
  <si>
    <t>UI Animation</t>
  </si>
  <si>
    <t>tccwz.com</t>
  </si>
  <si>
    <t>tipoink.com</t>
  </si>
  <si>
    <t>topcompanies.ca</t>
  </si>
  <si>
    <t>transporteterminales.com.co</t>
  </si>
  <si>
    <t>Minimalist</t>
  </si>
  <si>
    <t>ucollectinfographics.info</t>
  </si>
  <si>
    <t>umfragewissen.de</t>
  </si>
  <si>
    <t>up-time.co.za</t>
  </si>
  <si>
    <t>YouTube Shorts</t>
  </si>
  <si>
    <t>ventures-worldwide.com</t>
  </si>
  <si>
    <t>welcome-to-sheffield-prod-appsvc-cd.azurewebsites.net</t>
  </si>
  <si>
    <t>wisemapletech.com</t>
  </si>
  <si>
    <t>SaaS Development</t>
  </si>
  <si>
    <t>eurekster.com</t>
  </si>
  <si>
    <t>quero.party</t>
  </si>
  <si>
    <t>articlement.com</t>
  </si>
  <si>
    <t>COURSE</t>
  </si>
  <si>
    <t>kingranks.com</t>
  </si>
  <si>
    <t>Rotoscoping</t>
  </si>
  <si>
    <t>krabis.cz</t>
  </si>
  <si>
    <t>pontepretavalinhos.com.br</t>
  </si>
  <si>
    <t>posgradount.edu.pe</t>
  </si>
  <si>
    <t>Anime</t>
  </si>
  <si>
    <t>startupill.com</t>
  </si>
  <si>
    <t>thinkbymore.com</t>
  </si>
  <si>
    <t>Email Copywriting</t>
  </si>
  <si>
    <t>uame.edu.mx</t>
  </si>
  <si>
    <t>wayranks.com</t>
  </si>
  <si>
    <t>Sales Copywriting</t>
  </si>
  <si>
    <t>webscountry.com</t>
  </si>
  <si>
    <t>87.4K</t>
  </si>
  <si>
    <t>1access.com</t>
  </si>
  <si>
    <t>Mechanical Engineering</t>
  </si>
  <si>
    <t>1directory.org</t>
  </si>
  <si>
    <t>57.2K</t>
  </si>
  <si>
    <t>9jaoncloud.com</t>
  </si>
  <si>
    <t>Style Guide</t>
  </si>
  <si>
    <t>affariat-textile.tn</t>
  </si>
  <si>
    <t>aicoachsystem.com</t>
  </si>
  <si>
    <t>alive-directory.com</t>
  </si>
  <si>
    <t>Science , Medicine</t>
  </si>
  <si>
    <t>Microsoft SharePoint Development</t>
  </si>
  <si>
    <t>apmsystem.pl</t>
  </si>
  <si>
    <t>Program Management</t>
  </si>
  <si>
    <t>appsense.io</t>
  </si>
  <si>
    <t>ataiva.com</t>
  </si>
  <si>
    <t>Shopify SEO</t>
  </si>
  <si>
    <t>avloginternational.com</t>
  </si>
  <si>
    <t>ayema.ng</t>
  </si>
  <si>
    <t>117K</t>
  </si>
  <si>
    <t>Data Cleaning</t>
  </si>
  <si>
    <t>bestbuydir.com</t>
  </si>
  <si>
    <t>57.9K</t>
  </si>
  <si>
    <t>buildnation.com.bd</t>
  </si>
  <si>
    <t>bundas24.com</t>
  </si>
  <si>
    <t>Jira</t>
  </si>
  <si>
    <t>checklistguro.com</t>
  </si>
  <si>
    <t>Pay Per Click Advertising</t>
  </si>
  <si>
    <t>churchandkingdom.com</t>
  </si>
  <si>
    <t>AI Audio Generator</t>
  </si>
  <si>
    <t>cloutapps.com</t>
  </si>
  <si>
    <t>248K</t>
  </si>
  <si>
    <t>Social Media Lead Generation</t>
  </si>
  <si>
    <t>complaintinfo.com</t>
  </si>
  <si>
    <t>compworth.com</t>
  </si>
  <si>
    <t>Social Media Design</t>
  </si>
  <si>
    <t>contentverse.io</t>
  </si>
  <si>
    <t>couriertrackk.com</t>
  </si>
  <si>
    <t>Sales Optimization</t>
  </si>
  <si>
    <t>creativemanagementassociates.com</t>
  </si>
  <si>
    <t>crweworld.com</t>
  </si>
  <si>
    <t>customcontentonline.com</t>
  </si>
  <si>
    <t>Male</t>
  </si>
  <si>
    <t>customerservicetrust.com</t>
  </si>
  <si>
    <t>ISO 9001</t>
  </si>
  <si>
    <t>developmentmi.com</t>
  </si>
  <si>
    <t>30.1K</t>
  </si>
  <si>
    <t>devtools360.com</t>
  </si>
  <si>
    <t>Keap</t>
  </si>
  <si>
    <t>diccut.com</t>
  </si>
  <si>
    <t>directory9.biz</t>
  </si>
  <si>
    <t>38.1K</t>
  </si>
  <si>
    <t>Website Optimization</t>
  </si>
  <si>
    <t>divisionesmodularesjq.com</t>
  </si>
  <si>
    <t>dontdisappoint.me.uk</t>
  </si>
  <si>
    <t>Brochure</t>
  </si>
  <si>
    <t>ecodir.net</t>
  </si>
  <si>
    <t>38.5K</t>
  </si>
  <si>
    <t>educage.com</t>
  </si>
  <si>
    <t>educalegal.com.br</t>
  </si>
  <si>
    <t>Keynote</t>
  </si>
  <si>
    <t>ekcochat.com</t>
  </si>
  <si>
    <t>443K</t>
  </si>
  <si>
    <t>esehospitalzonabananera.gov.co</t>
  </si>
  <si>
    <t>Podcast</t>
  </si>
  <si>
    <t>espanol.news</t>
  </si>
  <si>
    <t>exgenex.com</t>
  </si>
  <si>
    <t>Data Mining</t>
  </si>
  <si>
    <t>factually.co</t>
  </si>
  <si>
    <t>famedubai.com</t>
  </si>
  <si>
    <t>Growth Strategy</t>
  </si>
  <si>
    <t>foodbus.in</t>
  </si>
  <si>
    <t>forimmediaterelease.net</t>
  </si>
  <si>
    <t>Blog Writing</t>
  </si>
  <si>
    <t>fortlab.pl</t>
  </si>
  <si>
    <t>franckardourel.com</t>
  </si>
  <si>
    <t>freelanceartworkerbrighton.com</t>
  </si>
  <si>
    <t>Market Analysis</t>
  </si>
  <si>
    <t>gaaorg.com</t>
  </si>
  <si>
    <t>gethomeworkdone.com</t>
  </si>
  <si>
    <t>thinkific</t>
  </si>
  <si>
    <t>gmccmg.co.kr</t>
  </si>
  <si>
    <t>gogonow.de</t>
  </si>
  <si>
    <t>Game Development</t>
  </si>
  <si>
    <t>goodhelp.ai</t>
  </si>
  <si>
    <t>gpedia.com</t>
  </si>
  <si>
    <t>2D Art</t>
  </si>
  <si>
    <t>heavenarticle.com</t>
  </si>
  <si>
    <t>87.3K</t>
  </si>
  <si>
    <t>hogonext.com</t>
  </si>
  <si>
    <t>Website Customization</t>
  </si>
  <si>
    <t>humanitysciences.com</t>
  </si>
  <si>
    <t>hybridhired.com</t>
  </si>
  <si>
    <t>Retrieval Augmented Generation</t>
  </si>
  <si>
    <t>icicec.com</t>
  </si>
  <si>
    <t>info-welt.com</t>
  </si>
  <si>
    <t>Organic Traffic Growth</t>
  </si>
  <si>
    <t>infographicplaza.com</t>
  </si>
  <si>
    <t>ipa-llc.org</t>
  </si>
  <si>
    <t>Data Migration</t>
  </si>
  <si>
    <t>j0n1.com</t>
  </si>
  <si>
    <t>jaghamani.blogspot.com</t>
  </si>
  <si>
    <t>jomtien-realty.com</t>
  </si>
  <si>
    <t>Risk Management</t>
  </si>
  <si>
    <t>joyrulez.com</t>
  </si>
  <si>
    <t>234K</t>
  </si>
  <si>
    <t>july.co.in</t>
  </si>
  <si>
    <t>justnock.com</t>
  </si>
  <si>
    <t>keirseybooks.com</t>
  </si>
  <si>
    <t>ketaki.co.in</t>
  </si>
  <si>
    <t>kimjones.ca</t>
  </si>
  <si>
    <t>knowledgestream.net</t>
  </si>
  <si>
    <t>leadsnear.com</t>
  </si>
  <si>
    <t>lifesworkassociates.com</t>
  </si>
  <si>
    <t>Theme Customization</t>
  </si>
  <si>
    <t>lincolnlabs.com</t>
  </si>
  <si>
    <t>linkz.us</t>
  </si>
  <si>
    <t>34.7K</t>
  </si>
  <si>
    <t>linqto.me</t>
  </si>
  <si>
    <t>Process Infographics</t>
  </si>
  <si>
    <t>lossless.group</t>
  </si>
  <si>
    <t>Social Media Engagement</t>
  </si>
  <si>
    <t>mandakini.co.in</t>
  </si>
  <si>
    <t>marketinsights.report</t>
  </si>
  <si>
    <t>Error Detection</t>
  </si>
  <si>
    <t>maxedoutmovie.com</t>
  </si>
  <si>
    <t>mbicorp.ca</t>
  </si>
  <si>
    <t>meaningful-works.com</t>
  </si>
  <si>
    <t>Media Buying</t>
  </si>
  <si>
    <t>menedzer.ai</t>
  </si>
  <si>
    <t>messageceo.com</t>
  </si>
  <si>
    <t>Accounting Basics</t>
  </si>
  <si>
    <t>microlinksite.com</t>
  </si>
  <si>
    <t>61K</t>
  </si>
  <si>
    <t>motoshow.com.pl</t>
  </si>
  <si>
    <t>myjboard.io</t>
  </si>
  <si>
    <t>Shopify Apps</t>
  </si>
  <si>
    <t>13.3K</t>
  </si>
  <si>
    <t>neomonium.com</t>
  </si>
  <si>
    <t>officialwebsites.in</t>
  </si>
  <si>
    <t>Public Relations</t>
  </si>
  <si>
    <t>one.net.in</t>
  </si>
  <si>
    <t>onemanarmy.in</t>
  </si>
  <si>
    <t>Facebook Pixel Setup , Optimization</t>
  </si>
  <si>
    <t>Intuit QuickBooks</t>
  </si>
  <si>
    <t>onlinesalesguidetip.com</t>
  </si>
  <si>
    <t>passion-pondering-practice.com</t>
  </si>
  <si>
    <t>penposh.com</t>
  </si>
  <si>
    <t>86.8K</t>
  </si>
  <si>
    <t>pensanyc.com</t>
  </si>
  <si>
    <t>Moodle update running Moodle 4.3.4 (Build: 20240422. Please let us know about availability.</t>
  </si>
  <si>
    <t>performi.com</t>
  </si>
  <si>
    <t>piclur.com</t>
  </si>
  <si>
    <t>Chinese</t>
  </si>
  <si>
    <t>pmarketresearch.com</t>
  </si>
  <si>
    <t>17.8K</t>
  </si>
  <si>
    <t>pplstuff.com</t>
  </si>
  <si>
    <t>prepaalkhawarizmi.ma</t>
  </si>
  <si>
    <t>Staff Orientation , Onboarding Materials</t>
  </si>
  <si>
    <t>press-news.org</t>
  </si>
  <si>
    <t>pressreleasecc.com</t>
  </si>
  <si>
    <t>Art , Design</t>
  </si>
  <si>
    <t>prodigy-project.eu</t>
  </si>
  <si>
    <t>projobhelp.com</t>
  </si>
  <si>
    <t>Customer Onboarding</t>
  </si>
  <si>
    <t>quantisnow.com</t>
  </si>
  <si>
    <t>revspace.io</t>
  </si>
  <si>
    <t>richardhensleypottery.com</t>
  </si>
  <si>
    <t>Microsoft Power Automate</t>
  </si>
  <si>
    <t>rlfarby.pl</t>
  </si>
  <si>
    <t>roastdev.com</t>
  </si>
  <si>
    <t>developers</t>
  </si>
  <si>
    <t>robuta.com</t>
  </si>
  <si>
    <t>rointech.com</t>
  </si>
  <si>
    <t>sempurnawin.net</t>
  </si>
  <si>
    <t>Funnel Testing</t>
  </si>
  <si>
    <t>shubhangi.co.in</t>
  </si>
  <si>
    <t>simplyleadcoaching.com</t>
  </si>
  <si>
    <t>skillfy.ai</t>
  </si>
  <si>
    <t>All in One SEO</t>
  </si>
  <si>
    <t>social-vape.com</t>
  </si>
  <si>
    <t>spakkamstantony.org</t>
  </si>
  <si>
    <t>CSS 3</t>
  </si>
  <si>
    <t>starcourts.com</t>
  </si>
  <si>
    <t>28.1K</t>
  </si>
  <si>
    <t>syndication.cloud</t>
  </si>
  <si>
    <t>techpark.org</t>
  </si>
  <si>
    <t>Vue.js</t>
  </si>
  <si>
    <t>theambiencenews.com</t>
  </si>
  <si>
    <t>therevenuerocket.io</t>
  </si>
  <si>
    <t>toparticlesdirectory.com</t>
  </si>
  <si>
    <t>Video Design</t>
  </si>
  <si>
    <t>topbilliondirectory.com</t>
  </si>
  <si>
    <t>46.9K</t>
  </si>
  <si>
    <t>topdoma.in</t>
  </si>
  <si>
    <t>topsitessearch.com</t>
  </si>
  <si>
    <t>Video Upload</t>
  </si>
  <si>
    <t>topsocialbookmarkinglist.com</t>
  </si>
  <si>
    <t>toptohigh.com</t>
  </si>
  <si>
    <t>47.3K</t>
  </si>
  <si>
    <t>Business Strategy</t>
  </si>
  <si>
    <t>trafficdirectory.org</t>
  </si>
  <si>
    <t>64.8K</t>
  </si>
  <si>
    <t>upskill2own.com</t>
  </si>
  <si>
    <t>Web Testing</t>
  </si>
  <si>
    <t>uselessramblings.com</t>
  </si>
  <si>
    <t>vangenniptrading.com</t>
  </si>
  <si>
    <t>vherso.com</t>
  </si>
  <si>
    <t>Back-End Development</t>
  </si>
  <si>
    <t>webranksite.com</t>
  </si>
  <si>
    <t>wongong.co.kr</t>
  </si>
  <si>
    <t>Sales Management</t>
  </si>
  <si>
    <t>worldranksite.com</t>
  </si>
  <si>
    <t>ya-group.eu</t>
  </si>
  <si>
    <t>Mobile App Redesign</t>
  </si>
  <si>
    <t>xn--h1ajim.xn--p1ai</t>
  </si>
  <si>
    <t>240K</t>
  </si>
  <si>
    <t>anchorurl.cloud</t>
  </si>
  <si>
    <t>UX Writing</t>
  </si>
  <si>
    <t>blogsphere.top</t>
  </si>
  <si>
    <t>10.8K</t>
  </si>
  <si>
    <t>creativeposts.top</t>
  </si>
  <si>
    <t>15.1K</t>
  </si>
  <si>
    <t>dailymusings.top</t>
  </si>
  <si>
    <t>FastAPI</t>
  </si>
  <si>
    <t>metamagic.top</t>
  </si>
  <si>
    <t>screenshots.wiki</t>
  </si>
  <si>
    <t>Avid Media Composer</t>
  </si>
  <si>
    <t>analyticshaven.top</t>
  </si>
  <si>
    <t>Animaker</t>
  </si>
  <si>
    <t>shortenurls.eu</t>
  </si>
  <si>
    <t>backlinks-checker.com</t>
  </si>
  <si>
    <t>Stable Diffusion</t>
  </si>
  <si>
    <t>byteyo.com</t>
  </si>
  <si>
    <t>seotech2.com</t>
  </si>
  <si>
    <t>Process Design</t>
  </si>
  <si>
    <t>windowssearch-exp.com</t>
  </si>
  <si>
    <t>556K</t>
  </si>
  <si>
    <t>yexhub.com</t>
  </si>
  <si>
    <t>Structural Engineering</t>
  </si>
  <si>
    <t>7fog.com</t>
  </si>
  <si>
    <t>99bestsite.com</t>
  </si>
  <si>
    <t>a2zbookmarks.com</t>
  </si>
  <si>
    <t>Salesforce Sales Cloud</t>
  </si>
  <si>
    <t>a2zsocialnews.com</t>
  </si>
  <si>
    <t>39.6K</t>
  </si>
  <si>
    <t>aajkaltrends.club</t>
  </si>
  <si>
    <t>G-Cloud</t>
  </si>
  <si>
    <t>adammargherio.com</t>
  </si>
  <si>
    <t>ainewsera.com</t>
  </si>
  <si>
    <t>Mobile UI Design</t>
  </si>
  <si>
    <t>alfaclock.com</t>
  </si>
  <si>
    <t>aligow.com</t>
  </si>
  <si>
    <t>Brand Strategy</t>
  </si>
  <si>
    <t>alivelink.org</t>
  </si>
  <si>
    <t>41.2K</t>
  </si>
  <si>
    <t>allpeople.biz</t>
  </si>
  <si>
    <t>amzprofitsites.com</t>
  </si>
  <si>
    <t>Organizational Design , Effectiveness</t>
  </si>
  <si>
    <t>apeopledirectory.com</t>
  </si>
  <si>
    <t>appliedse.com</t>
  </si>
  <si>
    <t>CircleCI</t>
  </si>
  <si>
    <t>art-industry.net</t>
  </si>
  <si>
    <t>ashpool.io</t>
  </si>
  <si>
    <t>Social Media Account Setup</t>
  </si>
  <si>
    <t>backlinktime.com</t>
  </si>
  <si>
    <t>bestdirectorysite.com</t>
  </si>
  <si>
    <t>besthelptips.com</t>
  </si>
  <si>
    <t>Manga</t>
  </si>
  <si>
    <t>bestref.net</t>
  </si>
  <si>
    <t>bigmarketmoves.com</t>
  </si>
  <si>
    <t>Data Extraction</t>
  </si>
  <si>
    <t>bitcoinisle.com</t>
  </si>
  <si>
    <t>bizzsubmit.com</t>
  </si>
  <si>
    <t>Female</t>
  </si>
  <si>
    <t>bookmarkbuzz.com</t>
  </si>
  <si>
    <t>bookmarkspot.com</t>
  </si>
  <si>
    <t>25.6K</t>
  </si>
  <si>
    <t>bookmarkwhirl.com</t>
  </si>
  <si>
    <t>Banner Ad Design</t>
  </si>
  <si>
    <t>boove.co.uk</t>
  </si>
  <si>
    <t>brmap24.com</t>
  </si>
  <si>
    <t>Chart Presentation</t>
  </si>
  <si>
    <t>businessmanagementrevieweurope.com</t>
  </si>
  <si>
    <t>careers4a.com</t>
  </si>
  <si>
    <t>Candidate Recommendation</t>
  </si>
  <si>
    <t>carltonmatthews.com</t>
  </si>
  <si>
    <t>changeip.biz</t>
  </si>
  <si>
    <t>cics101.com</t>
  </si>
  <si>
    <t>Training Session</t>
  </si>
  <si>
    <t>collegenroll.com</t>
  </si>
  <si>
    <t>crossbookmarks.com</t>
  </si>
  <si>
    <t>csr.education</t>
  </si>
  <si>
    <t>cybernode.ai</t>
  </si>
  <si>
    <t>Ebook Writing</t>
  </si>
  <si>
    <t>directory10.org</t>
  </si>
  <si>
    <t>directory5.org</t>
  </si>
  <si>
    <t>Pre-K</t>
  </si>
  <si>
    <t>directoryoflink.com</t>
  </si>
  <si>
    <t>dotpim.com</t>
  </si>
  <si>
    <t>elearninglist.com</t>
  </si>
  <si>
    <t>Business Change</t>
  </si>
  <si>
    <t>emantras.com</t>
  </si>
  <si>
    <t>etechpumps.com</t>
  </si>
  <si>
    <t>KAJABI</t>
  </si>
  <si>
    <t>ewebmarks.com</t>
  </si>
  <si>
    <t>faucre.com</t>
  </si>
  <si>
    <t>AI Platform</t>
  </si>
  <si>
    <t>findabusinessthat.com</t>
  </si>
  <si>
    <t>finest4.com</t>
  </si>
  <si>
    <t>Partnership Development</t>
  </si>
  <si>
    <t>forastat.com</t>
  </si>
  <si>
    <t>genaialliance.com</t>
  </si>
  <si>
    <t>get-there-faster.com</t>
  </si>
  <si>
    <t>Video Enhancement</t>
  </si>
  <si>
    <t>ghurry.com</t>
  </si>
  <si>
    <t>goodttsure.com</t>
  </si>
  <si>
    <t>Business Applications Development</t>
  </si>
  <si>
    <t>gostica.com</t>
  </si>
  <si>
    <t>gredfi.pl</t>
  </si>
  <si>
    <t>Software Integration</t>
  </si>
  <si>
    <t>greenydirectory.com</t>
  </si>
  <si>
    <t>53.3K</t>
  </si>
  <si>
    <t>growthforgain.com</t>
  </si>
  <si>
    <t>XAPI</t>
  </si>
  <si>
    <t>heroagencies.com</t>
  </si>
  <si>
    <t>hotbookmarking.com</t>
  </si>
  <si>
    <t>WordPress SEO Plugin</t>
  </si>
  <si>
    <t>hotfri.com</t>
  </si>
  <si>
    <t>8.3K</t>
  </si>
  <si>
    <t>humancapitalleague.com</t>
  </si>
  <si>
    <t>Azure DevOps</t>
  </si>
  <si>
    <t>idcheat.com</t>
  </si>
  <si>
    <t>ilidea.com</t>
  </si>
  <si>
    <t>Google Chrome Extension</t>
  </si>
  <si>
    <t>infoteach.ru</t>
  </si>
  <si>
    <t>innovaton.cl</t>
  </si>
  <si>
    <t>intconference.org</t>
  </si>
  <si>
    <t>Animated Explainer</t>
  </si>
  <si>
    <t>jobpe.com</t>
  </si>
  <si>
    <t>joyful-genius.com</t>
  </si>
  <si>
    <t>Product Development</t>
  </si>
  <si>
    <t>knowledgeland.org</t>
  </si>
  <si>
    <t>kolibriehuisquilts.com</t>
  </si>
  <si>
    <t>GRE Tutoring</t>
  </si>
  <si>
    <t>leadersgetreal.com</t>
  </si>
  <si>
    <t>leadquest.co.uk</t>
  </si>
  <si>
    <t>leancy.com</t>
  </si>
  <si>
    <t>Financial Analysis</t>
  </si>
  <si>
    <t>leaninsider.blogspot.com</t>
  </si>
  <si>
    <t>link-your-site.com</t>
  </si>
  <si>
    <t>learndash</t>
  </si>
  <si>
    <t>linkeddna.com</t>
  </si>
  <si>
    <t>linkorado.com</t>
  </si>
  <si>
    <t>18.7K</t>
  </si>
  <si>
    <t>Logo Transparency</t>
  </si>
  <si>
    <t>maiareports.com</t>
  </si>
  <si>
    <t>mantaw.com</t>
  </si>
  <si>
    <t>marketbusiness.net</t>
  </si>
  <si>
    <t>Whiteboard Video</t>
  </si>
  <si>
    <t>marketresearchforecast.com</t>
  </si>
  <si>
    <t>Information Security</t>
  </si>
  <si>
    <t>missionir.com</t>
  </si>
  <si>
    <t>mobl21.com</t>
  </si>
  <si>
    <t>Automation Framework</t>
  </si>
  <si>
    <t>money-central.net</t>
  </si>
  <si>
    <t>montypics.com</t>
  </si>
  <si>
    <t>Article</t>
  </si>
  <si>
    <t>nancyfredericks.com</t>
  </si>
  <si>
    <t>newbird.co</t>
  </si>
  <si>
    <t>Order Tracking</t>
  </si>
  <si>
    <t>newdirectory.org</t>
  </si>
  <si>
    <t>newmomsnewbabies.com</t>
  </si>
  <si>
    <t>UX Research</t>
  </si>
  <si>
    <t>news-trading.com</t>
  </si>
  <si>
    <t>ocry.com</t>
  </si>
  <si>
    <t>onecooldir.com</t>
  </si>
  <si>
    <t>Middle School</t>
  </si>
  <si>
    <t>oszar.com</t>
  </si>
  <si>
    <t>ott-gartenundmehr.de</t>
  </si>
  <si>
    <t>ourminifamily.com</t>
  </si>
  <si>
    <t>Essay Writing</t>
  </si>
  <si>
    <t>pacificopr.com</t>
  </si>
  <si>
    <t>pdtglobal.com</t>
  </si>
  <si>
    <t>pirdu.com</t>
  </si>
  <si>
    <t>podcastxray.com</t>
  </si>
  <si>
    <t>ppp.tokyo.jp</t>
  </si>
  <si>
    <t>Medicine</t>
  </si>
  <si>
    <t>prepostlink.com</t>
  </si>
  <si>
    <t>Instagram Story</t>
  </si>
  <si>
    <t>promarketreports.com</t>
  </si>
  <si>
    <t>quantaintelligence.ai</t>
  </si>
  <si>
    <t>quebecnewstribune.com</t>
  </si>
  <si>
    <t>Process Improvement</t>
  </si>
  <si>
    <t>ranksdirectory.com</t>
  </si>
  <si>
    <t>14K</t>
  </si>
  <si>
    <t>rankvanceseo.info</t>
  </si>
  <si>
    <t>Financial Accounting</t>
  </si>
  <si>
    <t>ravncopenhagen.com</t>
  </si>
  <si>
    <t>realestatesseo.com</t>
  </si>
  <si>
    <t>Photo Editing</t>
  </si>
  <si>
    <t>recoverwordfile.org</t>
  </si>
  <si>
    <t>redmobile.pt</t>
  </si>
  <si>
    <t>Whiteboarding</t>
  </si>
  <si>
    <t>renewalgroup.weebly.com</t>
  </si>
  <si>
    <t>royaldirectory.biz</t>
  </si>
  <si>
    <t>30.3K</t>
  </si>
  <si>
    <t>saasradius.com</t>
  </si>
  <si>
    <t>$2K+</t>
  </si>
  <si>
    <t>salaryguide.com</t>
  </si>
  <si>
    <t>savetheweb.org</t>
  </si>
  <si>
    <t>Magento</t>
  </si>
  <si>
    <t>sbyme.com</t>
  </si>
  <si>
    <t>sellmorenow.com</t>
  </si>
  <si>
    <t>Engineering, Procurement , Construction</t>
  </si>
  <si>
    <t>seoandgrowth.com</t>
  </si>
  <si>
    <t>Product Strategy</t>
  </si>
  <si>
    <t>seoarticletime.com</t>
  </si>
  <si>
    <t>seodirectorysite.com</t>
  </si>
  <si>
    <t>Advertising Design</t>
  </si>
  <si>
    <t>3D Design</t>
  </si>
  <si>
    <t>seoprobox.click</t>
  </si>
  <si>
    <t>Mobile App Testing</t>
  </si>
  <si>
    <t>seopromoz.com</t>
  </si>
  <si>
    <t>seoranklists.com</t>
  </si>
  <si>
    <t>Product Roadmap</t>
  </si>
  <si>
    <t>seosbmlinks.com</t>
  </si>
  <si>
    <t>serenichron.com</t>
  </si>
  <si>
    <t>Looker Studio</t>
  </si>
  <si>
    <t>sgap.info</t>
  </si>
  <si>
    <t>Scripting</t>
  </si>
  <si>
    <t>sixxs.org</t>
  </si>
  <si>
    <t>skylinkseo.site</t>
  </si>
  <si>
    <t>Performance Marketing</t>
  </si>
  <si>
    <t>snapiy.com</t>
  </si>
  <si>
    <t>snayat.com</t>
  </si>
  <si>
    <t>Mobile App Localization</t>
  </si>
  <si>
    <t>socializedpr.com</t>
  </si>
  <si>
    <t>softranks.com</t>
  </si>
  <si>
    <t>AI Content Editing</t>
  </si>
  <si>
    <t>sound-directory.com</t>
  </si>
  <si>
    <t>Human Resource Management</t>
  </si>
  <si>
    <t>sproutnews.com</t>
  </si>
  <si>
    <t>storebookmarks.com</t>
  </si>
  <si>
    <t>29.4K</t>
  </si>
  <si>
    <t>i need help choosing the right plugin, adding my branding and learning content, and maybe some course creation as well.</t>
  </si>
  <si>
    <t>testrific.com</t>
  </si>
  <si>
    <t>the-network-search.vercel.app</t>
  </si>
  <si>
    <t>Strategic Planning</t>
  </si>
  <si>
    <t>thearticletime.com</t>
  </si>
  <si>
    <t>Engineering , Architecture</t>
  </si>
  <si>
    <t>theglobe.net</t>
  </si>
  <si>
    <t>thenewsfire.com</t>
  </si>
  <si>
    <t>Christian Theology</t>
  </si>
  <si>
    <t>time.news</t>
  </si>
  <si>
    <t>topacted.com</t>
  </si>
  <si>
    <t>Customer Acquisition Strategy</t>
  </si>
  <si>
    <t>toplinksites.com</t>
  </si>
  <si>
    <t>Social Media Strategy</t>
  </si>
  <si>
    <t>topstonks.com</t>
  </si>
  <si>
    <t>topupdirectory.com</t>
  </si>
  <si>
    <t>Editorial Writing</t>
  </si>
  <si>
    <t>tourbr.com</t>
  </si>
  <si>
    <t>DevOps Engineering</t>
  </si>
  <si>
    <t>tuitmarketing.com</t>
  </si>
  <si>
    <t>Autodesk AutoCAD</t>
  </si>
  <si>
    <t>urlshortener.site</t>
  </si>
  <si>
    <t>8.7K</t>
  </si>
  <si>
    <t>usadailytimes.com</t>
  </si>
  <si>
    <t>Cartoon Art</t>
  </si>
  <si>
    <t>vadimliberman.com</t>
  </si>
  <si>
    <t>Oracle NetSuite</t>
  </si>
  <si>
    <t>vertexinc.in</t>
  </si>
  <si>
    <t>veteranjobs.net</t>
  </si>
  <si>
    <t>Avatar</t>
  </si>
  <si>
    <t>vewnet.com</t>
  </si>
  <si>
    <t>virtualsdirectory.com</t>
  </si>
  <si>
    <t>ERP Software</t>
  </si>
  <si>
    <t>votebookmarking.com</t>
  </si>
  <si>
    <t>webdigitalservices.net</t>
  </si>
  <si>
    <t>Mail Server Implementation</t>
  </si>
  <si>
    <t>webdirectory.top</t>
  </si>
  <si>
    <t>LaTeX</t>
  </si>
  <si>
    <t>webhubsites.com</t>
  </si>
  <si>
    <t>webranksdirectory.com</t>
  </si>
  <si>
    <t>Email Deliverability</t>
  </si>
  <si>
    <t>websitedirectoryfree.com</t>
  </si>
  <si>
    <t>Pipedrive</t>
  </si>
  <si>
    <t>websitehubs.com</t>
  </si>
  <si>
    <t>weddo.info</t>
  </si>
  <si>
    <t>Web , Mobile Design Consultation</t>
  </si>
  <si>
    <t>wikizero.net</t>
  </si>
  <si>
    <t>wondex.com</t>
  </si>
  <si>
    <t>Source File</t>
  </si>
  <si>
    <t>world-business-zone.com</t>
  </si>
  <si>
    <t>world-today-news.com</t>
  </si>
  <si>
    <t>Healthcare Management</t>
  </si>
  <si>
    <t>worldsiteindex.com</t>
  </si>
  <si>
    <t>Price , Quote Negotiation</t>
  </si>
  <si>
    <t>worldwideranks.com</t>
  </si>
  <si>
    <t>xamly.com</t>
  </si>
  <si>
    <t>Unreal Engine</t>
  </si>
  <si>
    <t>xucal.com</t>
  </si>
  <si>
    <t>yb.digital</t>
  </si>
  <si>
    <t>Digital Art</t>
  </si>
  <si>
    <t>global-ranks.pages.dev</t>
  </si>
  <si>
    <t>goooogla.com</t>
  </si>
  <si>
    <t>Ukrainian</t>
  </si>
  <si>
    <t>hzdlpq.com</t>
  </si>
  <si>
    <t>Supply Chain , Logistics</t>
  </si>
  <si>
    <t>sport-life.club</t>
  </si>
  <si>
    <t>daisye.pages.dev</t>
  </si>
  <si>
    <t>ETL Pipeline</t>
  </si>
  <si>
    <t>domains.com.bz</t>
  </si>
  <si>
    <t>dotiqo.com</t>
  </si>
  <si>
    <t>Software Testing</t>
  </si>
  <si>
    <t>fastoq.com</t>
  </si>
  <si>
    <t>SEO Performance</t>
  </si>
  <si>
    <t>global-rank.pages.dev</t>
  </si>
  <si>
    <t>global-websites.pages.dev</t>
  </si>
  <si>
    <t>Cybersecurity Tool</t>
  </si>
  <si>
    <t>nexioe.com</t>
  </si>
  <si>
    <t>pnb.gov.sl</t>
  </si>
  <si>
    <t>Designers</t>
  </si>
  <si>
    <t>sites.bounceme.net</t>
  </si>
  <si>
    <t>Algebra</t>
  </si>
  <si>
    <t>smartkeys.org</t>
  </si>
  <si>
    <t>storyls.com</t>
  </si>
  <si>
    <t>Create "How-to" Tutorials for an education tech webapp using Trupeer.ai</t>
  </si>
  <si>
    <t>worldbusinesspromote.com</t>
  </si>
  <si>
    <t>zipzyx.com</t>
  </si>
  <si>
    <t>Angular</t>
  </si>
  <si>
    <t>24wiki.ru</t>
  </si>
  <si>
    <t>8coint.com</t>
  </si>
  <si>
    <t>Video Editing Software</t>
  </si>
  <si>
    <t>addurl.pro</t>
  </si>
  <si>
    <t>Lead Qualification</t>
  </si>
  <si>
    <t>advertise2.com</t>
  </si>
  <si>
    <t>agriavi.com</t>
  </si>
  <si>
    <t>SEO Strategy</t>
  </si>
  <si>
    <t>aifsy.com</t>
  </si>
  <si>
    <t>alohalearningadvisors.com</t>
  </si>
  <si>
    <t>anoish.shop</t>
  </si>
  <si>
    <t>Candidate Management</t>
  </si>
  <si>
    <t>atozwiki.com</t>
  </si>
  <si>
    <t>barcelonadesignweek.es</t>
  </si>
  <si>
    <t>Customer Service Training</t>
  </si>
  <si>
    <t>bestpracticeinhr.com</t>
  </si>
  <si>
    <t>bizdb.org</t>
  </si>
  <si>
    <t>Advertising</t>
  </si>
  <si>
    <t>blaquenet.com</t>
  </si>
  <si>
    <t>Product Listings</t>
  </si>
  <si>
    <t>blogorama.com</t>
  </si>
  <si>
    <t>Platforms</t>
  </si>
  <si>
    <t>bobsplay.com.br</t>
  </si>
  <si>
    <t>buntya.com</t>
  </si>
  <si>
    <t>Prezi</t>
  </si>
  <si>
    <t>californiarecorder.com</t>
  </si>
  <si>
    <t>carettaportal.com</t>
  </si>
  <si>
    <t>PPC Campaign Setup , Management</t>
  </si>
  <si>
    <t>chped.com</t>
  </si>
  <si>
    <t>Limited Liability Company</t>
  </si>
  <si>
    <t>cleansite.info</t>
  </si>
  <si>
    <t>coingenius.news</t>
  </si>
  <si>
    <t>Drawing</t>
  </si>
  <si>
    <t>communityinnovationawards.com</t>
  </si>
  <si>
    <t>companytrack.com</t>
  </si>
  <si>
    <t>Intercom</t>
  </si>
  <si>
    <t>comparable-companies.com</t>
  </si>
  <si>
    <t>Ticketing System</t>
  </si>
  <si>
    <t>computervisionsummit.com</t>
  </si>
  <si>
    <t>condesan-ecoandes.org</t>
  </si>
  <si>
    <t>dagenhampages.co.uk</t>
  </si>
  <si>
    <t>Video Ad</t>
  </si>
  <si>
    <t>daolink.mom</t>
  </si>
  <si>
    <t>Business Modeling</t>
  </si>
  <si>
    <t>directory4websites.com</t>
  </si>
  <si>
    <t>eliotzigmundjazz.com</t>
  </si>
  <si>
    <t>Marketing Audit</t>
  </si>
  <si>
    <t>encycloreader.org</t>
  </si>
  <si>
    <t>fanzootechnology.com</t>
  </si>
  <si>
    <t>AI-Generated Voice-Over</t>
  </si>
  <si>
    <t>fduty.com</t>
  </si>
  <si>
    <t>Management Skills</t>
  </si>
  <si>
    <t>fitness-n-health.com</t>
  </si>
  <si>
    <t>69.9K</t>
  </si>
  <si>
    <t>formuladone.com</t>
  </si>
  <si>
    <t>AI Model Development</t>
  </si>
  <si>
    <t>fromscratchpodcast.com</t>
  </si>
  <si>
    <t>gi-tech.it</t>
  </si>
  <si>
    <t>Salesforce Marketing Cloud</t>
  </si>
  <si>
    <t>gigbic.com</t>
  </si>
  <si>
    <t>global-website.pages.dev</t>
  </si>
  <si>
    <t>Legal</t>
  </si>
  <si>
    <t>goodtransportservice.com</t>
  </si>
  <si>
    <t>Website Migration</t>
  </si>
  <si>
    <t>gpstrategiesltd.com</t>
  </si>
  <si>
    <t>great-money.com</t>
  </si>
  <si>
    <t>Keyword Research</t>
  </si>
  <si>
    <t>gutterwisemarketing.com</t>
  </si>
  <si>
    <t>horje.com</t>
  </si>
  <si>
    <t>NestJS</t>
  </si>
  <si>
    <t>imagetou.com</t>
  </si>
  <si>
    <t>ChatGPT Prompt</t>
  </si>
  <si>
    <t>industrycat.com</t>
  </si>
  <si>
    <t>justcompany.com</t>
  </si>
  <si>
    <t>Procedure Development</t>
  </si>
  <si>
    <t>juvohub.com</t>
  </si>
  <si>
    <t>learnsth.icu</t>
  </si>
  <si>
    <t>Form Completion</t>
  </si>
  <si>
    <t>ledgerlabs.io</t>
  </si>
  <si>
    <t>list.show</t>
  </si>
  <si>
    <t>macschneider.at</t>
  </si>
  <si>
    <t>Event Planning</t>
  </si>
  <si>
    <t>marketingexperts.click</t>
  </si>
  <si>
    <t>marketnewsdesk.com</t>
  </si>
  <si>
    <t>Compensation , Benefits</t>
  </si>
  <si>
    <t>matthughesphoto.com</t>
  </si>
  <si>
    <t>maxoilsac.com</t>
  </si>
  <si>
    <t>mentibus.xyz</t>
  </si>
  <si>
    <t>Educational Software</t>
  </si>
  <si>
    <t>mycyouth.com</t>
  </si>
  <si>
    <t>myopenads.com</t>
  </si>
  <si>
    <t>nathansimmonds.digital</t>
  </si>
  <si>
    <t>Salesforce App Development</t>
  </si>
  <si>
    <t>opsinc.com</t>
  </si>
  <si>
    <t>pdfsdownload.com</t>
  </si>
  <si>
    <t>OBS Studio</t>
  </si>
  <si>
    <t>pick4d.live</t>
  </si>
  <si>
    <t>pipedot.org</t>
  </si>
  <si>
    <t>platoblockchain.net</t>
  </si>
  <si>
    <t>Academic Translation</t>
  </si>
  <si>
    <t>podlp.app</t>
  </si>
  <si>
    <t>portfolionwa.com</t>
  </si>
  <si>
    <t>pressabout.com</t>
  </si>
  <si>
    <t>PLATFORM</t>
  </si>
  <si>
    <t>pricetargets.com</t>
  </si>
  <si>
    <t>qatestingjobs.com</t>
  </si>
  <si>
    <t>United States</t>
  </si>
  <si>
    <t>ravindertulsiani.com</t>
  </si>
  <si>
    <t>roselanemarketing.com</t>
  </si>
  <si>
    <t>rss2.com</t>
  </si>
  <si>
    <t>Contemporary Style</t>
  </si>
  <si>
    <t>sabns.com</t>
  </si>
  <si>
    <t>salesfueldata.com</t>
  </si>
  <si>
    <t>LLM Prompt Engineering</t>
  </si>
  <si>
    <t>scaci.it</t>
  </si>
  <si>
    <t>shovel.report</t>
  </si>
  <si>
    <t>Physical Fitness</t>
  </si>
  <si>
    <t>sitescrawl.com</t>
  </si>
  <si>
    <t>No-Code Development</t>
  </si>
  <si>
    <t>slapshady.com</t>
  </si>
  <si>
    <t>smallbusinessdb.com</t>
  </si>
  <si>
    <t>Shopify Theme</t>
  </si>
  <si>
    <t>smartcdripper.com</t>
  </si>
  <si>
    <t>smartseobacklink.com</t>
  </si>
  <si>
    <t>Microsoft Active Directory</t>
  </si>
  <si>
    <t>smsgateway01.cloudns.nz</t>
  </si>
  <si>
    <t>sproutlogix.com</t>
  </si>
  <si>
    <t>Marketing Operations , Workflow</t>
  </si>
  <si>
    <t>stc-rochester.org</t>
  </si>
  <si>
    <t>strategicmarketingworld.com</t>
  </si>
  <si>
    <t>AVS Video Editor</t>
  </si>
  <si>
    <t>summarise.app</t>
  </si>
  <si>
    <t>the-globe.com</t>
  </si>
  <si>
    <t>thebuyer.vercel.app</t>
  </si>
  <si>
    <t>Sports , Fitness</t>
  </si>
  <si>
    <t>themingwork.netlify.app</t>
  </si>
  <si>
    <t>trainingwithinindustry.net</t>
  </si>
  <si>
    <t>tycoonherald.com</t>
  </si>
  <si>
    <t>usitestatus.com</t>
  </si>
  <si>
    <t>Elearning Multimedia</t>
  </si>
  <si>
    <t>velokrivbass.com</t>
  </si>
  <si>
    <t>warazon.com</t>
  </si>
  <si>
    <t>webalts.com</t>
  </si>
  <si>
    <t>Printable File</t>
  </si>
  <si>
    <t>webby.pages.dev</t>
  </si>
  <si>
    <t>webbys.pages.dev</t>
  </si>
  <si>
    <t>webgoz.com</t>
  </si>
  <si>
    <t>LangChain</t>
  </si>
  <si>
    <t>webportal.com.my</t>
  </si>
  <si>
    <t>websites-directory.com</t>
  </si>
  <si>
    <t>websiteslist.net</t>
  </si>
  <si>
    <t>webtechnologies.netlify.app</t>
  </si>
  <si>
    <t>AWS Lambda</t>
  </si>
  <si>
    <t>weig-bft.com</t>
  </si>
  <si>
    <t>whyshouldanyonebeledbyyou.com</t>
  </si>
  <si>
    <t>American English Accent</t>
  </si>
  <si>
    <t>windsolve.com</t>
  </si>
  <si>
    <t>winwoodmaths.online</t>
  </si>
  <si>
    <t>wowlinks.site</t>
  </si>
  <si>
    <t>Sales , Marketing Collateral</t>
  </si>
  <si>
    <t>writing-the-wrongs.blogspot.com</t>
  </si>
  <si>
    <t>wwwwwwwwwwwwww.net</t>
  </si>
  <si>
    <t>Chatbot</t>
  </si>
  <si>
    <t>xampp.netlify.app</t>
  </si>
  <si>
    <t>yellii.com</t>
  </si>
  <si>
    <t>Communication Skills</t>
  </si>
  <si>
    <t>yelpad.com</t>
  </si>
  <si>
    <t>ylutag.com</t>
  </si>
  <si>
    <t>Polish</t>
  </si>
  <si>
    <t>zlutag.com</t>
  </si>
  <si>
    <t>zomatt.com</t>
  </si>
  <si>
    <t>1stcallglasscare.com</t>
  </si>
  <si>
    <t>GitHub Copilot</t>
  </si>
  <si>
    <t>directorylinkservice.com</t>
  </si>
  <si>
    <t>gatewaycatalog.com</t>
  </si>
  <si>
    <t>Technical Illustration</t>
  </si>
  <si>
    <t>isoc.bh</t>
  </si>
  <si>
    <t>thebigfreezefestival.com.au</t>
  </si>
  <si>
    <t>Animated Cartoon</t>
  </si>
  <si>
    <t>alisonwonderlandrealtyw.blogspot.com</t>
  </si>
  <si>
    <t>applyleads.com</t>
  </si>
  <si>
    <t>AI Classifier</t>
  </si>
  <si>
    <t>backlink.asia</t>
  </si>
  <si>
    <t>backlink.business</t>
  </si>
  <si>
    <t>backlink.solutions</t>
  </si>
  <si>
    <t>No-Code Website</t>
  </si>
  <si>
    <t>backlink.work</t>
  </si>
  <si>
    <t>backlinks.click</t>
  </si>
  <si>
    <t>Draft Correspondence</t>
  </si>
  <si>
    <t>backlinks.sbs</t>
  </si>
  <si>
    <t>besafe.in</t>
  </si>
  <si>
    <t>bestweddingdirectory.com</t>
  </si>
  <si>
    <t>Medical Translation</t>
  </si>
  <si>
    <t>bmwyng.com</t>
  </si>
  <si>
    <t>bookmarksplus.info</t>
  </si>
  <si>
    <t>CryEngine</t>
  </si>
  <si>
    <t>brussels-sothebysrealty.com</t>
  </si>
  <si>
    <t>capetownthing.co.za</t>
  </si>
  <si>
    <t>careersaas.com</t>
  </si>
  <si>
    <t>Needs Assessment</t>
  </si>
  <si>
    <t>catalystteambuilding.com.hk</t>
  </si>
  <si>
    <t>cgiit.org</t>
  </si>
  <si>
    <t>Shopify Plus</t>
  </si>
  <si>
    <t>changeip.co</t>
  </si>
  <si>
    <t>conferencedatabase.com</t>
  </si>
  <si>
    <t>Computer Skills</t>
  </si>
  <si>
    <t>cricketinfo.co.in</t>
  </si>
  <si>
    <t>deepcapturethemovie.com</t>
  </si>
  <si>
    <t>Employee Training</t>
  </si>
  <si>
    <t>diversesussex.com</t>
  </si>
  <si>
    <t>dmol.dk</t>
  </si>
  <si>
    <t>dryvonnesum.com</t>
  </si>
  <si>
    <t>LinkedIn Marketing</t>
  </si>
  <si>
    <t>dubai-jobs.me</t>
  </si>
  <si>
    <t>eileenbrown.wordpress.com</t>
  </si>
  <si>
    <t>Arabic</t>
  </si>
  <si>
    <t>electromecanicamx.com</t>
  </si>
  <si>
    <t>elettricasistemi.com</t>
  </si>
  <si>
    <t>Character Animation</t>
  </si>
  <si>
    <t>empleobilingue.com</t>
  </si>
  <si>
    <t>enigmaticideas.com</t>
  </si>
  <si>
    <t>etrainingpedia.com</t>
  </si>
  <si>
    <t>Teaching Arabic</t>
  </si>
  <si>
    <t>eturkey.net</t>
  </si>
  <si>
    <t>fathomxp.com</t>
  </si>
  <si>
    <t>MailerLite</t>
  </si>
  <si>
    <t>find-your-support.com</t>
  </si>
  <si>
    <t>findsupportinfo.com</t>
  </si>
  <si>
    <t>FinTech Consulting</t>
  </si>
  <si>
    <t>focend.com</t>
  </si>
  <si>
    <t>foodtrekker.com</t>
  </si>
  <si>
    <t>Qt Framework</t>
  </si>
  <si>
    <t>fortressdb.com</t>
  </si>
  <si>
    <t>fullclassical.com</t>
  </si>
  <si>
    <t>gotalt.com</t>
  </si>
  <si>
    <t>Voice Talent</t>
  </si>
  <si>
    <t>greattraveladvisor.com</t>
  </si>
  <si>
    <t>hebagh.com</t>
  </si>
  <si>
    <t>Trailer</t>
  </si>
  <si>
    <t>indnewswire.com</t>
  </si>
  <si>
    <t>innovatingtechnology.com</t>
  </si>
  <si>
    <t>Manufacturing , Construction</t>
  </si>
  <si>
    <t>isaacson.uk</t>
  </si>
  <si>
    <t>iyask.me</t>
  </si>
  <si>
    <t>Brand Development</t>
  </si>
  <si>
    <t>jedgar.co</t>
  </si>
  <si>
    <t>jobverse.io</t>
  </si>
  <si>
    <t>kgzxkf.com</t>
  </si>
  <si>
    <t>Book Design</t>
  </si>
  <si>
    <t>kickstartremote.com</t>
  </si>
  <si>
    <t>lagnalu.com</t>
  </si>
  <si>
    <t>Administrate</t>
  </si>
  <si>
    <t>lancemortlock.com</t>
  </si>
  <si>
    <t>letsroofusa.com</t>
  </si>
  <si>
    <t>Slide Transition</t>
  </si>
  <si>
    <t>linkscrawl.com</t>
  </si>
  <si>
    <t>linksdirectory.in</t>
  </si>
  <si>
    <t>Version Control</t>
  </si>
  <si>
    <t>livewebsites.net</t>
  </si>
  <si>
    <t>loginssearch.com</t>
  </si>
  <si>
    <t>m365.show</t>
  </si>
  <si>
    <t>Process Development</t>
  </si>
  <si>
    <t>marathiinfo.archi</t>
  </si>
  <si>
    <t>marketdatapoint.com</t>
  </si>
  <si>
    <t>Direct Sales</t>
  </si>
  <si>
    <t>marketsignalreports.com</t>
  </si>
  <si>
    <t>me.sh</t>
  </si>
  <si>
    <t>Cybersecurity Management</t>
  </si>
  <si>
    <t>million.pro</t>
  </si>
  <si>
    <t>montisistemas.pt</t>
  </si>
  <si>
    <t>Agile Software Development</t>
  </si>
  <si>
    <t>nabookarts.com</t>
  </si>
  <si>
    <t>neroandassociates.com</t>
  </si>
  <si>
    <t>Technical Documentation Management</t>
  </si>
  <si>
    <t>nettools.guru</t>
  </si>
  <si>
    <t>newdirectory.in</t>
  </si>
  <si>
    <t>nexvato.com</t>
  </si>
  <si>
    <t>Telegram</t>
  </si>
  <si>
    <t>onemilliondomains.com</t>
  </si>
  <si>
    <t>ourcutebabies.com</t>
  </si>
  <si>
    <t>Systems Development</t>
  </si>
  <si>
    <t>pathofprayer.com</t>
  </si>
  <si>
    <t>phinin.com</t>
  </si>
  <si>
    <t>platodata.ai</t>
  </si>
  <si>
    <t>publicdirectory.in</t>
  </si>
  <si>
    <t>Wix SEO Wiz</t>
  </si>
  <si>
    <t>qhtycw.com</t>
  </si>
  <si>
    <t>questworks.games</t>
  </si>
  <si>
    <t>Guitar Performance</t>
  </si>
  <si>
    <t>region.co.in</t>
  </si>
  <si>
    <t>richevers.com</t>
  </si>
  <si>
    <t>rss.social</t>
  </si>
  <si>
    <t>Music Theory</t>
  </si>
  <si>
    <t>sathidar.dance</t>
  </si>
  <si>
    <t>seomuda.id</t>
  </si>
  <si>
    <t>Music</t>
  </si>
  <si>
    <t>sitebook.org</t>
  </si>
  <si>
    <t>startupwebsolutions.com.au</t>
  </si>
  <si>
    <t>studycanada.com</t>
  </si>
  <si>
    <t>Guitar</t>
  </si>
  <si>
    <t>tamarelkeles.com</t>
  </si>
  <si>
    <t>tek.us</t>
  </si>
  <si>
    <t>DNS</t>
  </si>
  <si>
    <t>thedigitalwhale.com</t>
  </si>
  <si>
    <t>theeditorscut.blogspot.com</t>
  </si>
  <si>
    <t>Domain Migration</t>
  </si>
  <si>
    <t>thewebdirectory.net</t>
  </si>
  <si>
    <t>tickertech.net</t>
  </si>
  <si>
    <t>PayPal</t>
  </si>
  <si>
    <t>tijuanazonkeys.com</t>
  </si>
  <si>
    <t>touristpoints.in</t>
  </si>
  <si>
    <t>OpenAI API</t>
  </si>
  <si>
    <t>troyvermillion.com</t>
  </si>
  <si>
    <t>Cartoon Character</t>
  </si>
  <si>
    <t>tutkyn.kz</t>
  </si>
  <si>
    <t>unicademy.site</t>
  </si>
  <si>
    <t>Inventory Management</t>
  </si>
  <si>
    <t>usdir.org</t>
  </si>
  <si>
    <t>w3bdirectory.com</t>
  </si>
  <si>
    <t>Visual Basic for Applications</t>
  </si>
  <si>
    <t>way2advertise.financial</t>
  </si>
  <si>
    <t>webdesignerdirectory.in</t>
  </si>
  <si>
    <t>Appointment Scheduling</t>
  </si>
  <si>
    <t>websitesocean.com</t>
  </si>
  <si>
    <t>websitestatistic.com</t>
  </si>
  <si>
    <t>AI Video Generation , Editing Deliverables</t>
  </si>
  <si>
    <t>webworthchecker.kitchen</t>
  </si>
  <si>
    <t>wikirussya.com</t>
  </si>
  <si>
    <t>workinfo.wiki</t>
  </si>
  <si>
    <t>LM</t>
  </si>
  <si>
    <t>xponents.com</t>
  </si>
  <si>
    <t>yoursimple.space</t>
  </si>
  <si>
    <t>MPG</t>
  </si>
  <si>
    <t>zhygg.com</t>
  </si>
  <si>
    <t>alltopleveldomains.space</t>
  </si>
  <si>
    <t>Product Development Process</t>
  </si>
  <si>
    <t>blinks.monster</t>
  </si>
  <si>
    <t>businessvocal.com</t>
  </si>
  <si>
    <t>Academic Textbook</t>
  </si>
  <si>
    <t>27.2K</t>
  </si>
  <si>
    <t>seodomains.website</t>
  </si>
  <si>
    <t>takes.homes</t>
  </si>
  <si>
    <t>ML Automation</t>
  </si>
  <si>
    <t>thecloudherald.com</t>
  </si>
  <si>
    <t>tyre.pro</t>
  </si>
  <si>
    <t>i need help choosing the right plugin, adding my branding and content, and maybe some course creation as well.</t>
  </si>
  <si>
    <t>blinks.sbs</t>
  </si>
  <si>
    <t>directorydaddy.com</t>
  </si>
  <si>
    <t>Microservice</t>
  </si>
  <si>
    <t>factmags.com</t>
  </si>
  <si>
    <t>44.8K</t>
  </si>
  <si>
    <t>indexaward.com</t>
  </si>
  <si>
    <t>Sketch</t>
  </si>
  <si>
    <t>themumbai.in</t>
  </si>
  <si>
    <t>webworthchecker.cv</t>
  </si>
  <si>
    <t>NetSuite Administration</t>
  </si>
  <si>
    <t>ancubate.com</t>
  </si>
  <si>
    <t>australianwebdirectory.com</t>
  </si>
  <si>
    <t>Design Concept</t>
  </si>
  <si>
    <t>australianwebdirectory.homes</t>
  </si>
  <si>
    <t>cheapsmmprovider.info</t>
  </si>
  <si>
    <t>cheapsmmprovider.online</t>
  </si>
  <si>
    <t>System Automation</t>
  </si>
  <si>
    <t>concejomunicipaldechinu.gov.co</t>
  </si>
  <si>
    <t>fadistrik.com</t>
  </si>
  <si>
    <t>Divi</t>
  </si>
  <si>
    <t>flamingos.pages.dev</t>
  </si>
  <si>
    <t>gamerkun.com</t>
  </si>
  <si>
    <t>Adobe XD</t>
  </si>
  <si>
    <t>gift-kids.org</t>
  </si>
  <si>
    <t>isonade.pages.dev</t>
  </si>
  <si>
    <t>Microsoft Dynamics CRM</t>
  </si>
  <si>
    <t>linkstock.net</t>
  </si>
  <si>
    <t>mibaosou.com</t>
  </si>
  <si>
    <t>Microsoft Dynamics Development</t>
  </si>
  <si>
    <t>pcachary.in</t>
  </si>
  <si>
    <t>prolinkseo.site</t>
  </si>
  <si>
    <t>qilins.pages.dev</t>
  </si>
  <si>
    <t>Spa , Beauty Menu</t>
  </si>
  <si>
    <t>seo-anomaly-beijing.online</t>
  </si>
  <si>
    <t>Snowflake</t>
  </si>
  <si>
    <t>seo-anomaly-beijing.site</t>
  </si>
  <si>
    <t>seo-anomaly-beijing.space</t>
  </si>
  <si>
    <t>Ecommerce Product Upload</t>
  </si>
  <si>
    <t>seo-anomaly-beijing.website</t>
  </si>
  <si>
    <t>seo-anomaly-cairo.online</t>
  </si>
  <si>
    <t>Sass</t>
  </si>
  <si>
    <t>seo-anomaly-cairo.site</t>
  </si>
  <si>
    <t>seo-anomaly-cairo.space</t>
  </si>
  <si>
    <t>AIOps</t>
  </si>
  <si>
    <t>seo-anomaly-cairo.website</t>
  </si>
  <si>
    <t>seo-anomaly-chongqing.online</t>
  </si>
  <si>
    <t>Typesetting</t>
  </si>
  <si>
    <t>seo-anomaly-chongqing.site</t>
  </si>
  <si>
    <t>seo-anomaly-chongqing.space</t>
  </si>
  <si>
    <t>seo-anomaly-chongqing.website</t>
  </si>
  <si>
    <t>Vimeo Plugin</t>
  </si>
  <si>
    <t>seo-anomaly-delhi.online</t>
  </si>
  <si>
    <t>seo-anomaly-delhi.site</t>
  </si>
  <si>
    <t>Digital Painting</t>
  </si>
  <si>
    <t>seo-anomaly-delhi.space</t>
  </si>
  <si>
    <t>seo-anomaly-delhi.website</t>
  </si>
  <si>
    <t>Software Documentation</t>
  </si>
  <si>
    <t>seo-anomaly-dhaka.online</t>
  </si>
  <si>
    <t>seo-anomaly-dhaka.site</t>
  </si>
  <si>
    <t>DigitalOcean</t>
  </si>
  <si>
    <t>seo-anomaly-dhaka.space</t>
  </si>
  <si>
    <t>seo-anomaly-dhaka.website</t>
  </si>
  <si>
    <t>seo-anomaly-guangzhou.online</t>
  </si>
  <si>
    <t>Discord</t>
  </si>
  <si>
    <t>seo-anomaly-guangzhou.site</t>
  </si>
  <si>
    <t>seo-anomaly-guangzhou.space</t>
  </si>
  <si>
    <t>Calendar Management</t>
  </si>
  <si>
    <t>seo-anomaly-guangzhou.website</t>
  </si>
  <si>
    <t>seo-anomaly-istanbul.online</t>
  </si>
  <si>
    <t>Contract Drafting</t>
  </si>
  <si>
    <t>Czech</t>
  </si>
  <si>
    <t>seo-anomaly-istanbul.site</t>
  </si>
  <si>
    <t>seo-anomaly-istanbul.space</t>
  </si>
  <si>
    <t>seo-anomaly-istanbul.website</t>
  </si>
  <si>
    <t>MOV</t>
  </si>
  <si>
    <t>seo-anomaly-jakarta.online</t>
  </si>
  <si>
    <t>seo-anomaly-jakarta.site</t>
  </si>
  <si>
    <t>Digital Mapping</t>
  </si>
  <si>
    <t>seo-anomaly-jakarta.space</t>
  </si>
  <si>
    <t>seo-anomaly-jakarta.website</t>
  </si>
  <si>
    <t>Podcast Content</t>
  </si>
  <si>
    <t>seo-anomaly-karachi.online</t>
  </si>
  <si>
    <t>seo-anomaly-karachi.site</t>
  </si>
  <si>
    <t>Total Quality Management</t>
  </si>
  <si>
    <t>seo-anomaly-karachi.space</t>
  </si>
  <si>
    <t>seo-anomaly-karachi.website</t>
  </si>
  <si>
    <t>Document Control</t>
  </si>
  <si>
    <t>seo-anomaly-kolkata.online</t>
  </si>
  <si>
    <t>seo-anomaly-kolkata.site</t>
  </si>
  <si>
    <t>seo-anomaly-kolkata.space</t>
  </si>
  <si>
    <t>Quality Audit</t>
  </si>
  <si>
    <t>seo-anomaly-kolkata.website</t>
  </si>
  <si>
    <t>seo-anomaly-lagos.online</t>
  </si>
  <si>
    <t>Document Management System</t>
  </si>
  <si>
    <t>seo-anomaly-lagos.site</t>
  </si>
  <si>
    <t>seo-anomaly-lagos.space</t>
  </si>
  <si>
    <t>Literacy</t>
  </si>
  <si>
    <t>seo-anomaly-lagos.website</t>
  </si>
  <si>
    <t>seo-anomaly-lahore.online</t>
  </si>
  <si>
    <t>seo-anomaly-lahore.site</t>
  </si>
  <si>
    <t>WordPress Customization</t>
  </si>
  <si>
    <t>seo-anomaly-lahore.space</t>
  </si>
  <si>
    <t>seo-anomaly-lahore.website</t>
  </si>
  <si>
    <t>Reputation Management</t>
  </si>
  <si>
    <t>seo-anomaly-los-angeles.online</t>
  </si>
  <si>
    <t>seo-anomaly-los-angeles.site</t>
  </si>
  <si>
    <t>YouTube Development</t>
  </si>
  <si>
    <t>seo-anomaly-los-angeles.space</t>
  </si>
  <si>
    <t>Stock Footage</t>
  </si>
  <si>
    <t>seo-anomaly-los-angeles.website</t>
  </si>
  <si>
    <t>seo-anomaly-manila.online</t>
  </si>
  <si>
    <t>seo-anomaly-manila.site</t>
  </si>
  <si>
    <t>Workplace Safety , Health</t>
  </si>
  <si>
    <t>seo-anomaly-manila.space</t>
  </si>
  <si>
    <t>seo-anomaly-manila.website</t>
  </si>
  <si>
    <t>Marketing Automation Audit</t>
  </si>
  <si>
    <t>seo-anomaly-mexico.online</t>
  </si>
  <si>
    <t>seo-anomaly-mexico.site</t>
  </si>
  <si>
    <t>Narrative Video</t>
  </si>
  <si>
    <t>seo-anomaly-mexico.space</t>
  </si>
  <si>
    <t>seo-anomaly-mexico.website</t>
  </si>
  <si>
    <t>Landing Page Audit</t>
  </si>
  <si>
    <t>seo-anomaly-moscow.online</t>
  </si>
  <si>
    <t>seo-anomaly-moscow.site</t>
  </si>
  <si>
    <t>seo-anomaly-moscow.space</t>
  </si>
  <si>
    <t>seo-anomaly-moscow.website</t>
  </si>
  <si>
    <t>seo-anomaly-mumbai.online</t>
  </si>
  <si>
    <t>seo-anomaly-mumbai.site</t>
  </si>
  <si>
    <t>seo-anomaly-mumbai.space</t>
  </si>
  <si>
    <t>seo-anomaly-mumbai.website</t>
  </si>
  <si>
    <t>seo-anomaly-osaka.online</t>
  </si>
  <si>
    <t>seo-anomaly-osaka.site</t>
  </si>
  <si>
    <t>Toon Boom Storyboard Pro</t>
  </si>
  <si>
    <t>seo-anomaly-osaka.space</t>
  </si>
  <si>
    <t>seo-anomaly-osaka.website</t>
  </si>
  <si>
    <t>Project Planning</t>
  </si>
  <si>
    <t>seo-anomaly-rio.online</t>
  </si>
  <si>
    <t>seo-anomaly-rio.site</t>
  </si>
  <si>
    <t>Elementary School</t>
  </si>
  <si>
    <t>seo-anomaly-rio.space</t>
  </si>
  <si>
    <t>seo-anomaly-rio.website</t>
  </si>
  <si>
    <t>Social Media Kit</t>
  </si>
  <si>
    <t>seo-anomaly-sao-paulo.online</t>
  </si>
  <si>
    <t>seo-anomaly-sao-paulo.site</t>
  </si>
  <si>
    <t>Process Documentation</t>
  </si>
  <si>
    <t>seo-anomaly-sao-paulo.space</t>
  </si>
  <si>
    <t>seo-anomaly-sao-paulo.website</t>
  </si>
  <si>
    <t>Online Financial Trading</t>
  </si>
  <si>
    <t>seo-anomaly-seoul.online</t>
  </si>
  <si>
    <t>seo-anomaly-seoul.site</t>
  </si>
  <si>
    <t>seo-anomaly-seoul.space</t>
  </si>
  <si>
    <t>Online Analytical Processing</t>
  </si>
  <si>
    <t>seo-anomaly-seoul.website</t>
  </si>
  <si>
    <t>seo-anomaly-shanghai.online</t>
  </si>
  <si>
    <t>Civil Engineering</t>
  </si>
  <si>
    <t>seo-anomaly-shanghai.site</t>
  </si>
  <si>
    <t>seo-anomaly-shanghai.space</t>
  </si>
  <si>
    <t>Publication Design</t>
  </si>
  <si>
    <t>seo-anomaly-shanghai.website</t>
  </si>
  <si>
    <t>seo-anomaly-shenzhen.online</t>
  </si>
  <si>
    <t>Website Integration</t>
  </si>
  <si>
    <t>seo-anomaly-shenzhen.site</t>
  </si>
  <si>
    <t>seo-anomaly-shenzhen.space</t>
  </si>
  <si>
    <t>seo-anomaly-shenzhen.website</t>
  </si>
  <si>
    <t>LinkedIn Sales Navigator</t>
  </si>
  <si>
    <t>seo-anomaly-tianjin.online</t>
  </si>
  <si>
    <t>seo-anomaly-tianjin.site</t>
  </si>
  <si>
    <t>seo-anomaly-tianjin.space</t>
  </si>
  <si>
    <t>seo-anomaly-tianjin.website</t>
  </si>
  <si>
    <t>Business Management</t>
  </si>
  <si>
    <t>seo-anomaly-tokyo.online</t>
  </si>
  <si>
    <t>seo-anomaly-tokyo.site</t>
  </si>
  <si>
    <t>seo-anomaly-tokyo.space</t>
  </si>
  <si>
    <t>KPI Metric Development</t>
  </si>
  <si>
    <t>seo-anomaly-tokyo.website</t>
  </si>
  <si>
    <t>snap.edu.pe</t>
  </si>
  <si>
    <t>#ERROR!</t>
  </si>
  <si>
    <t>training-management.info</t>
  </si>
  <si>
    <t>vogru.com</t>
  </si>
  <si>
    <t>YouTube SEO</t>
  </si>
  <si>
    <t>youtoo.in</t>
  </si>
  <si>
    <t>123meigu.com</t>
  </si>
  <si>
    <t>SAT Preparation</t>
  </si>
  <si>
    <t>165-22-216-185.plesk.page</t>
  </si>
  <si>
    <t>28wjuicycouturereplicahandbags.blogspot.com</t>
  </si>
  <si>
    <t>2bproductive.blogspot.com</t>
  </si>
  <si>
    <t>English to French Translation</t>
  </si>
  <si>
    <t>2bwow.org.uk</t>
  </si>
  <si>
    <t>2fastllcasd.blogspot.com</t>
  </si>
  <si>
    <t>Turkish</t>
  </si>
  <si>
    <t>3199waseny.blogspot.com</t>
  </si>
  <si>
    <t>383556asd.blogspot.com</t>
  </si>
  <si>
    <t>404atlmag.com</t>
  </si>
  <si>
    <t>4u2.one</t>
  </si>
  <si>
    <t>Performance Testing</t>
  </si>
  <si>
    <t>5echo.com</t>
  </si>
  <si>
    <t>5itrjhwaasd.blogspot.com</t>
  </si>
  <si>
    <t>Audio Production</t>
  </si>
  <si>
    <t>724communication.blogspot.com</t>
  </si>
  <si>
    <t>786765asd.blogspot.com</t>
  </si>
  <si>
    <t>Zendesk API</t>
  </si>
  <si>
    <t>78we.com</t>
  </si>
  <si>
    <t>795591es.blogspot.com</t>
  </si>
  <si>
    <t>Gorgias</t>
  </si>
  <si>
    <t>911waterheaterlewisville.com</t>
  </si>
  <si>
    <t>938329asd.blogspot.com</t>
  </si>
  <si>
    <t>95588924asd.blogspot.com</t>
  </si>
  <si>
    <t>AI Mobile App Development</t>
  </si>
  <si>
    <t>973863asd.blogspot.com</t>
  </si>
  <si>
    <t>98325asd.blogspot.com</t>
  </si>
  <si>
    <t>LLM Prompt</t>
  </si>
  <si>
    <t>99digisolution.in</t>
  </si>
  <si>
    <t>aartiramanathan.com</t>
  </si>
  <si>
    <t>Fact-Checking</t>
  </si>
  <si>
    <t>abekim.org</t>
  </si>
  <si>
    <t>accentmagslimg.blogspot.com</t>
  </si>
  <si>
    <t>accesscareer.eu</t>
  </si>
  <si>
    <t>Process Flow Diagram</t>
  </si>
  <si>
    <t>accesstrainingikong.blogspot.com</t>
  </si>
  <si>
    <t>accountsgraph.com</t>
  </si>
  <si>
    <t>acculturation.net</t>
  </si>
  <si>
    <t>Feedback , Satisfaction Survey</t>
  </si>
  <si>
    <t>achievedomains.com</t>
  </si>
  <si>
    <t>UX Wireframe</t>
  </si>
  <si>
    <t>acompio.pl</t>
  </si>
  <si>
    <t>acquitydata.com</t>
  </si>
  <si>
    <t>addondirectory.com</t>
  </si>
  <si>
    <t>Animation Design</t>
  </si>
  <si>
    <t>addurl.pw</t>
  </si>
  <si>
    <t>adlerthess.gr</t>
  </si>
  <si>
    <t>Local SEO</t>
  </si>
  <si>
    <t>adsweb.co.uk</t>
  </si>
  <si>
    <t>adversityas.blogspot.com</t>
  </si>
  <si>
    <t>advertise-website.org</t>
  </si>
  <si>
    <t>Website Header</t>
  </si>
  <si>
    <t>advertisement.org</t>
  </si>
  <si>
    <t>advertiseyourdomain.com</t>
  </si>
  <si>
    <t>Leadpages</t>
  </si>
  <si>
    <t>adworldng.com</t>
  </si>
  <si>
    <t>aeoasen.blogspot.com</t>
  </si>
  <si>
    <t>Instruction</t>
  </si>
  <si>
    <t>affiliatemarketingmasterypro.com</t>
  </si>
  <si>
    <t>afourtexlima.blogspot.com</t>
  </si>
  <si>
    <t>africagamingcupaseny.blogspot.com</t>
  </si>
  <si>
    <t>Bug Tracking , Reports</t>
  </si>
  <si>
    <t>africaunitedasuk.blogspot.com</t>
  </si>
  <si>
    <t>agcstudio.ai</t>
  </si>
  <si>
    <t>Behavior-Driven Development</t>
  </si>
  <si>
    <t>aibanned.com</t>
  </si>
  <si>
    <t>aigoconsult.com</t>
  </si>
  <si>
    <t>ailternative.com</t>
  </si>
  <si>
    <t>Educational Style</t>
  </si>
  <si>
    <t>airlimbah.com</t>
  </si>
  <si>
    <t>akersmmm.com</t>
  </si>
  <si>
    <t>Website Content</t>
  </si>
  <si>
    <t>aksoytrans.com</t>
  </si>
  <si>
    <t>alcramer.me</t>
  </si>
  <si>
    <t>FigJam</t>
  </si>
  <si>
    <t>alexlabarces.com</t>
  </si>
  <si>
    <t>alfred-lopez-ev31.web.app</t>
  </si>
  <si>
    <t>Legal Research</t>
  </si>
  <si>
    <t>Data Analytics</t>
  </si>
  <si>
    <t>Book Illustration</t>
  </si>
  <si>
    <t>algolinkers.com</t>
  </si>
  <si>
    <t>algolinkers.pro</t>
  </si>
  <si>
    <t>2D Illustration</t>
  </si>
  <si>
    <t>algorithmunmasked.com</t>
  </si>
  <si>
    <t>alidamanik.net</t>
  </si>
  <si>
    <t>Company Research</t>
  </si>
  <si>
    <t>alisonwonderlandrealtye.blogspot.com</t>
  </si>
  <si>
    <t>alisonwonderlandrealtyr.blogspot.com</t>
  </si>
  <si>
    <t>Organizational Plan</t>
  </si>
  <si>
    <t>alisonwonderlandrealtyt.blogspot.com</t>
  </si>
  <si>
    <t>aljaridanews.com</t>
  </si>
  <si>
    <t>Engineering Management</t>
  </si>
  <si>
    <t>all-you-search.com</t>
  </si>
  <si>
    <t>295K</t>
  </si>
  <si>
    <t>all.ind.in</t>
  </si>
  <si>
    <t>MLOps</t>
  </si>
  <si>
    <t>allaboutseo.net</t>
  </si>
  <si>
    <t>allbathe.blogspot.com</t>
  </si>
  <si>
    <t>LEARNING</t>
  </si>
  <si>
    <t>alliance-international.weebly.com</t>
  </si>
  <si>
    <t>alliedbioscienceasrnm.blogspot.com</t>
  </si>
  <si>
    <t>allreviews.in</t>
  </si>
  <si>
    <t>OpenCV</t>
  </si>
  <si>
    <t>allsquareinc.blogspot.com</t>
  </si>
  <si>
    <t>allwebsites.net</t>
  </si>
  <si>
    <t>alpana.co.in</t>
  </si>
  <si>
    <t>ClickBank</t>
  </si>
  <si>
    <t>alphatransasd.blogspot.com</t>
  </si>
  <si>
    <t>alphawtrs.blogspot.com</t>
  </si>
  <si>
    <t>TensorFlow</t>
  </si>
  <si>
    <t>alphawtrss.blogspot.com</t>
  </si>
  <si>
    <t>alternativefuelbidendo.blogspot.com</t>
  </si>
  <si>
    <t>Book Writing</t>
  </si>
  <si>
    <t>amalanandas.blogspot.com</t>
  </si>
  <si>
    <t>amazinglifeforall.com</t>
  </si>
  <si>
    <t>americaninternetmatrix.com</t>
  </si>
  <si>
    <t>Resume</t>
  </si>
  <si>
    <t>amyebdarlene.pages.dev</t>
  </si>
  <si>
    <t>anabalqdominica.pages.dev</t>
  </si>
  <si>
    <t>Data Collection</t>
  </si>
  <si>
    <t>analcausey.pages.dev</t>
  </si>
  <si>
    <t>analchemsci.com</t>
  </si>
  <si>
    <t>Business Report</t>
  </si>
  <si>
    <t>anganwadi.in</t>
  </si>
  <si>
    <t>anguillidaes.com</t>
  </si>
  <si>
    <t>annemainslima.blogspot.com</t>
  </si>
  <si>
    <t>Programs</t>
  </si>
  <si>
    <t>annie-lynch.pages.dev</t>
  </si>
  <si>
    <t>apmsystem.com.pl</t>
  </si>
  <si>
    <t>appletree.co.in</t>
  </si>
  <si>
    <t>apprenticeshipblog.wordpress.com</t>
  </si>
  <si>
    <t>New Product Innovation</t>
  </si>
  <si>
    <t>appunic.blogspot.com</t>
  </si>
  <si>
    <t>arabicwebdirectory.com</t>
  </si>
  <si>
    <t>Functional Testing</t>
  </si>
  <si>
    <t>arcaneinsights.com</t>
  </si>
  <si>
    <t>arontippinlimg.blogspot.com</t>
  </si>
  <si>
    <t>artnerdlablima.blogspot.com</t>
  </si>
  <si>
    <t>Supabase</t>
  </si>
  <si>
    <t>aryahindi.in</t>
  </si>
  <si>
    <t>asasbellaslimg.blogspot.com</t>
  </si>
  <si>
    <t>Google Maps API</t>
  </si>
  <si>
    <t>ascensioncafe.org</t>
  </si>
  <si>
    <t>asdinpreschool.eu</t>
  </si>
  <si>
    <t>Keap Marketing</t>
  </si>
  <si>
    <t>asfactce.blogspot.com</t>
  </si>
  <si>
    <t>asiavmichaelina.pages.dev</t>
  </si>
  <si>
    <t>Staff Recruitment , Management</t>
  </si>
  <si>
    <t>associellimg.blogspot.com</t>
  </si>
  <si>
    <t>ataraxiaas.blogspot.com</t>
  </si>
  <si>
    <t>Packaging Design</t>
  </si>
  <si>
    <t>ateliereleaurorei.ro</t>
  </si>
  <si>
    <t>atlantawishesh.com</t>
  </si>
  <si>
    <t>Email Campaign Optimization</t>
  </si>
  <si>
    <t>atoner.cz</t>
  </si>
  <si>
    <t>aucassami.blogspot.com</t>
  </si>
  <si>
    <t>Media Relations</t>
  </si>
  <si>
    <t>aucasunmnet.blogspot.com</t>
  </si>
  <si>
    <t>audyqkimberlee.pages.dev</t>
  </si>
  <si>
    <t>aulaperu.edu.pe</t>
  </si>
  <si>
    <t>NinjaTrader</t>
  </si>
  <si>
    <t>auraspirit.com</t>
  </si>
  <si>
    <t>australianwebdirectory.club</t>
  </si>
  <si>
    <t>AI-Generated Image</t>
  </si>
  <si>
    <t>averroesitlabs.com</t>
  </si>
  <si>
    <t>averyminibusinesscardpagesshirokuwa.blogspot.com</t>
  </si>
  <si>
    <t>Leonardo Ai</t>
  </si>
  <si>
    <t>avtgnw.blogspot.com</t>
  </si>
  <si>
    <t>awardsflow.com</t>
  </si>
  <si>
    <t>Balance Sheet</t>
  </si>
  <si>
    <t>az500subadds.blogspot.com</t>
  </si>
  <si>
    <t>b2bpricelists.com</t>
  </si>
  <si>
    <t>backfireascom.blogspot.com</t>
  </si>
  <si>
    <t>No-Code Landing Page</t>
  </si>
  <si>
    <t>backfireasuhnm.blogspot.com</t>
  </si>
  <si>
    <t>backlink-agency.online</t>
  </si>
  <si>
    <t>Product Video</t>
  </si>
  <si>
    <t>backlink-agency.pro</t>
  </si>
  <si>
    <t>backlinkbuilders.pro</t>
  </si>
  <si>
    <t>Scientific Writing</t>
  </si>
  <si>
    <t>backlinkmasters.online</t>
  </si>
  <si>
    <t>backlinkoptimizer.pro</t>
  </si>
  <si>
    <t>Product Review</t>
  </si>
  <si>
    <t>backlinkranker.pro</t>
  </si>
  <si>
    <t>backlinks.directory</t>
  </si>
  <si>
    <t>backlinksolutions.info</t>
  </si>
  <si>
    <t>AI Implementation</t>
  </si>
  <si>
    <t>backlinksolutions.online</t>
  </si>
  <si>
    <t>backlinksources.com</t>
  </si>
  <si>
    <t>Cooking</t>
  </si>
  <si>
    <t>badarap.blogspot.com</t>
  </si>
  <si>
    <t>bagniass.it</t>
  </si>
  <si>
    <t>Meeting Notes</t>
  </si>
  <si>
    <t>bake2bondh.blogspot.com</t>
  </si>
  <si>
    <t>Recipe Writing</t>
  </si>
  <si>
    <t>bake2bondj.blogspot.com</t>
  </si>
  <si>
    <t>bake2bondk.blogspot.com</t>
  </si>
  <si>
    <t>bake2bondl.blogspot.com</t>
  </si>
  <si>
    <t>Desktop Application Testing</t>
  </si>
  <si>
    <t>ballistaash.blogspot.com</t>
  </si>
  <si>
    <t>bancoge.blogspot.com</t>
  </si>
  <si>
    <t>Google Map Maker</t>
  </si>
  <si>
    <t>bandagllima.blogspot.com</t>
  </si>
  <si>
    <t>barramundiasd.blogspot.com</t>
  </si>
  <si>
    <t>WorkBook</t>
  </si>
  <si>
    <t>bathpages.co.uk</t>
  </si>
  <si>
    <t>baybraya.blogspot.com</t>
  </si>
  <si>
    <t>ERPNext</t>
  </si>
  <si>
    <t>baybreya.blogspot.com</t>
  </si>
  <si>
    <t>bayonasmotors.com</t>
  </si>
  <si>
    <t>iOS Development</t>
  </si>
  <si>
    <t>bdskigearlima.blogspot.com</t>
  </si>
  <si>
    <t>beautifullydivergent.com</t>
  </si>
  <si>
    <t>Instruction Manual</t>
  </si>
  <si>
    <t>behigheses.blogspot.com</t>
  </si>
  <si>
    <t>benebautzlimg.blogspot.com</t>
  </si>
  <si>
    <t>benefitallstars.com</t>
  </si>
  <si>
    <t>Autodesk Revit</t>
  </si>
  <si>
    <t>berlin-bolztasd.blogspot.com</t>
  </si>
  <si>
    <t>best10k.com</t>
  </si>
  <si>
    <t>Documentation</t>
  </si>
  <si>
    <t>bestadultdirectory.com</t>
  </si>
  <si>
    <t>bestmillion.net</t>
  </si>
  <si>
    <t>Document Localization</t>
  </si>
  <si>
    <t>bettyyferdinanda.pages.dev</t>
  </si>
  <si>
    <t>betwinas.blogspot.com</t>
  </si>
  <si>
    <t>beulaenglehart.my.id</t>
  </si>
  <si>
    <t>Call Center Management</t>
  </si>
  <si>
    <t>beyondgameras.blogspot.com</t>
  </si>
  <si>
    <t>Short Video</t>
  </si>
  <si>
    <t>bic-1.com</t>
  </si>
  <si>
    <t>binanciansas.blogspot.com</t>
  </si>
  <si>
    <t>biphasice.blogspot.com</t>
  </si>
  <si>
    <t>Combination Mark</t>
  </si>
  <si>
    <t>bisiani-collectionsasd.blogspot.com</t>
  </si>
  <si>
    <t>bisjhintus.com</t>
  </si>
  <si>
    <t>bisunis.netlify.app</t>
  </si>
  <si>
    <t>bizagility.org</t>
  </si>
  <si>
    <t>Meta Pixel</t>
  </si>
  <si>
    <t>bizelevate.info</t>
  </si>
  <si>
    <t>bkwsukorealimasd.blogspot.com</t>
  </si>
  <si>
    <t>blendcustomhairstudio.com</t>
  </si>
  <si>
    <t>Logomark</t>
  </si>
  <si>
    <t>blogdir.net</t>
  </si>
  <si>
    <t>blogpostgenerator.com</t>
  </si>
  <si>
    <t>Financial Translation</t>
  </si>
  <si>
    <t>bluecantera.com</t>
  </si>
  <si>
    <t>13.1K</t>
  </si>
  <si>
    <t>bobdelynlima.blogspot.com</t>
  </si>
  <si>
    <t>Subtitles</t>
  </si>
  <si>
    <t>bocion-architecte.fr</t>
  </si>
  <si>
    <t>bolaupdate.github.io</t>
  </si>
  <si>
    <t>ETL</t>
  </si>
  <si>
    <t>bonitaynariko.pages.dev</t>
  </si>
  <si>
    <t>bookergirllima.blogspot.com</t>
  </si>
  <si>
    <t>Migration</t>
  </si>
  <si>
    <t>bossnanny.com</t>
  </si>
  <si>
    <t>braid.in</t>
  </si>
  <si>
    <t>Microsoft SQL Server</t>
  </si>
  <si>
    <t>brffvgvzasd.blogspot.com</t>
  </si>
  <si>
    <t>brillatutalento.com</t>
  </si>
  <si>
    <t>brizbot.com</t>
  </si>
  <si>
    <t>History</t>
  </si>
  <si>
    <t>brobdingnagak.blogspot.com</t>
  </si>
  <si>
    <t>brotekno.bitbucket.io</t>
  </si>
  <si>
    <t>Research , Development</t>
  </si>
  <si>
    <t>bruce-iri.co.nz</t>
  </si>
  <si>
    <t>bugcrew.net</t>
  </si>
  <si>
    <t>Storybook</t>
  </si>
  <si>
    <t>bulkarticlewriting.com</t>
  </si>
  <si>
    <t>burnmusicalima.blogspot.com</t>
  </si>
  <si>
    <t>User Profile Creation</t>
  </si>
  <si>
    <t>businesscoursesposhikito.blogspot.com</t>
  </si>
  <si>
    <t>businessinvestionasd.blogspot.com</t>
  </si>
  <si>
    <t>businesslinksdirectory.com</t>
  </si>
  <si>
    <t>NotebookLM</t>
  </si>
  <si>
    <t>businessmanagementreviewapac.com</t>
  </si>
  <si>
    <t>businesstec.org</t>
  </si>
  <si>
    <t>Doodly</t>
  </si>
  <si>
    <t>businesstrainingfuyuyoko.blogspot.com</t>
  </si>
  <si>
    <t>businesstrainingvgolove.blogspot.com</t>
  </si>
  <si>
    <t>buy-quality-backlinks.online</t>
  </si>
  <si>
    <t>VideoScribe</t>
  </si>
  <si>
    <t>buyperfectsoftwarea.blogspot.com</t>
  </si>
  <si>
    <t>c6w2asd.blogspot.com</t>
  </si>
  <si>
    <t>Adobe Animate</t>
  </si>
  <si>
    <t>c6w3asd.blogspot.com</t>
  </si>
  <si>
    <t>c6y3asd.blogspot.com</t>
  </si>
  <si>
    <t>Academia</t>
  </si>
  <si>
    <t>c6y9asd.blogspot.com</t>
  </si>
  <si>
    <t>cadsuae.com</t>
  </si>
  <si>
    <t>Vector Art</t>
  </si>
  <si>
    <t>campingtours.in</t>
  </si>
  <si>
    <t>canadiancollegeofaestheticdermatology.ca</t>
  </si>
  <si>
    <t>canadiantechjobs.com</t>
  </si>
  <si>
    <t>Job Description Writing</t>
  </si>
  <si>
    <t>canariasgestalt.com</t>
  </si>
  <si>
    <t>cancerinfo.netlify.app</t>
  </si>
  <si>
    <t>Sourcing</t>
  </si>
  <si>
    <t>candlezone.eu</t>
  </si>
  <si>
    <t>cantrappedgascauseconstipationbungei.blogspot.com</t>
  </si>
  <si>
    <t>Scorm</t>
  </si>
  <si>
    <t>capurestolimg.blogspot.com</t>
  </si>
  <si>
    <t>careerbuildingtools.com</t>
  </si>
  <si>
    <t>Food , Beverage</t>
  </si>
  <si>
    <t>careersted.com</t>
  </si>
  <si>
    <t>caribbeanesportshowasenr.blogspot.com</t>
  </si>
  <si>
    <t>Color Theory</t>
  </si>
  <si>
    <t>carlswoodturningasd.blogspot.com</t>
  </si>
  <si>
    <t>carlybsallee.pages.dev</t>
  </si>
  <si>
    <t>carriealbin.com</t>
  </si>
  <si>
    <t>Audiovisual Translation</t>
  </si>
  <si>
    <t>cars-5894d.firebaseapp.com</t>
  </si>
  <si>
    <t>casemanagementcertificationprogramson.blogspot.com</t>
  </si>
  <si>
    <t>Interactive Video Game Dialogue</t>
  </si>
  <si>
    <t>cashbackdeals.in</t>
  </si>
  <si>
    <t>cashyouasd.blogspot.com</t>
  </si>
  <si>
    <t>Trading Automation</t>
  </si>
  <si>
    <t>cassyqmarion.pages.dev</t>
  </si>
  <si>
    <t>catalystpld.com</t>
  </si>
  <si>
    <t>Apache Spark</t>
  </si>
  <si>
    <t>catherine-cook.pages.dev</t>
  </si>
  <si>
    <t>cecilewhite.blogspot.com</t>
  </si>
  <si>
    <t>Academic Research</t>
  </si>
  <si>
    <t>cedartechtraining.com.my</t>
  </si>
  <si>
    <t>celebchronicles.in</t>
  </si>
  <si>
    <t>centivinclimsdf.blogspot.com</t>
  </si>
  <si>
    <t>centralc.pages.dev</t>
  </si>
  <si>
    <t>Outreach Strategy</t>
  </si>
  <si>
    <t>certificateprogramsnshihon.blogspot.com</t>
  </si>
  <si>
    <t>certificationprogramsonlinezankimo.blogspot.com</t>
  </si>
  <si>
    <t>Transcript</t>
  </si>
  <si>
    <t>chicagohomeasd.blogspot.com</t>
  </si>
  <si>
    <t>chilipaper.pages.dev</t>
  </si>
  <si>
    <t>discussed privately ask any additional questions you may have</t>
  </si>
  <si>
    <t>christianed.com</t>
  </si>
  <si>
    <t>christianentrepreneursmagazine.com</t>
  </si>
  <si>
    <t>LoRa</t>
  </si>
  <si>
    <t>christinescocinaes.blogspot.com</t>
  </si>
  <si>
    <t>chrisvassiliou.com</t>
  </si>
  <si>
    <t>ciko.pages.dev</t>
  </si>
  <si>
    <t>Chemistry</t>
  </si>
  <si>
    <t>citrixanywhereasrnm.blogspot.com</t>
  </si>
  <si>
    <t>cityreits.com</t>
  </si>
  <si>
    <t>Oracle Cloud</t>
  </si>
  <si>
    <t>ciwahacolim.blogspot.com</t>
  </si>
  <si>
    <t>claraqlisetta.pages.dev</t>
  </si>
  <si>
    <t>Sales Presentation</t>
  </si>
  <si>
    <t>clasjobs.com.au</t>
  </si>
  <si>
    <t>clubexxxcv.blogspot.com</t>
  </si>
  <si>
    <t>Brand Research</t>
  </si>
  <si>
    <t>cnetcafes.blogspot.com</t>
  </si>
  <si>
    <t>codenplay.com.br</t>
  </si>
  <si>
    <t>codeoflearning.com</t>
  </si>
  <si>
    <t>Kotlin</t>
  </si>
  <si>
    <t>colemanhh.blogspot.com</t>
  </si>
  <si>
    <t>colette.dev</t>
  </si>
  <si>
    <t>Academic Editing</t>
  </si>
  <si>
    <t>commtrol.com.br</t>
  </si>
  <si>
    <t>communicationplanstoday.blogspot.com</t>
  </si>
  <si>
    <t>Minecraft</t>
  </si>
  <si>
    <t>companyrecords.org</t>
  </si>
  <si>
    <t>competencybasedreruisa.blogspot.com</t>
  </si>
  <si>
    <t>AngularJS</t>
  </si>
  <si>
    <t>computer-techniciantoday.blogspot.com</t>
  </si>
  <si>
    <t>condigcorplimg.blogspot.com</t>
  </si>
  <si>
    <t>Incident Management</t>
  </si>
  <si>
    <t>constitute.net</t>
  </si>
  <si>
    <t>Zoho Desk</t>
  </si>
  <si>
    <t>constructionmanagementpuashia.blogspot.com</t>
  </si>
  <si>
    <t>contohlengkap.github.io</t>
  </si>
  <si>
    <t>$100K+</t>
  </si>
  <si>
    <t>cool18.cc</t>
  </si>
  <si>
    <t>coprencoasd.blogspot.com</t>
  </si>
  <si>
    <t>$3K+</t>
  </si>
  <si>
    <t>corestrategies.org</t>
  </si>
  <si>
    <t>corporatestories.wordpress.com</t>
  </si>
  <si>
    <t>corporation-course7asd.blogspot.com</t>
  </si>
  <si>
    <t>Research Methods</t>
  </si>
  <si>
    <t>corporationcourse-4asd.blogspot.com</t>
  </si>
  <si>
    <t>corporationcourse4asd.blogspot.com</t>
  </si>
  <si>
    <t>AI-Generated Code</t>
  </si>
  <si>
    <t>corpusoptima.blogspot.com</t>
  </si>
  <si>
    <t>course2-corporationasd.blogspot.com</t>
  </si>
  <si>
    <t>Flowchart</t>
  </si>
  <si>
    <t>coursestrat.com</t>
  </si>
  <si>
    <t>covidfreeeventasd.blogspot.com</t>
  </si>
  <si>
    <t>cqwzsjw.blogspot.com</t>
  </si>
  <si>
    <t>Firewall</t>
  </si>
  <si>
    <t>craigalan.wordpress.com</t>
  </si>
  <si>
    <t>creditnet-24.com</t>
  </si>
  <si>
    <t>Native Advertising</t>
  </si>
  <si>
    <t>cricketlive.co.in</t>
  </si>
  <si>
    <t>criminaljusticedegreenetsumima.blogspot.com</t>
  </si>
  <si>
    <t>Data Modeling</t>
  </si>
  <si>
    <t>criminaljusticedegreeplamen.blogspot.com</t>
  </si>
  <si>
    <t>crimsonreason.blogspot.com</t>
  </si>
  <si>
    <t>Cisco Certified Network Professional</t>
  </si>
  <si>
    <t>crimsonsagesoftworks.com</t>
  </si>
  <si>
    <t>Concept Review</t>
  </si>
  <si>
    <t>crucerixasd.blogspot.com</t>
  </si>
  <si>
    <t>cryptografasd.blogspot.com</t>
  </si>
  <si>
    <t>Microsoft PowerApps</t>
  </si>
  <si>
    <t>csyjiabnm.blogspot.com</t>
  </si>
  <si>
    <t>ctgf2048asd.blogspot.com</t>
  </si>
  <si>
    <t>ctracasd.blogspot.com</t>
  </si>
  <si>
    <t>Visual Design</t>
  </si>
  <si>
    <t>culcsomjik.wordpress.com</t>
  </si>
  <si>
    <t>currysranilim.blogspot.com</t>
  </si>
  <si>
    <t>VPN</t>
  </si>
  <si>
    <t>customelearning.wordpress.com</t>
  </si>
  <si>
    <t>customerservicesurveysoftwarepeiyana.blogspot.com</t>
  </si>
  <si>
    <t>Project Objectives</t>
  </si>
  <si>
    <t>cwmsss.blogspot.com</t>
  </si>
  <si>
    <t>ChatGPT API Integration</t>
  </si>
  <si>
    <t>d3b3asd.blogspot.com</t>
  </si>
  <si>
    <t>d3ur5s4dyg6skx.cloudfront.net</t>
  </si>
  <si>
    <t>Customer Feedback Documentation</t>
  </si>
  <si>
    <t>damswardhalimd.blogspot.com</t>
  </si>
  <si>
    <t>dannbutnerlimd.blogspot.com</t>
  </si>
  <si>
    <t>dapago.net</t>
  </si>
  <si>
    <t>$10K+</t>
  </si>
  <si>
    <t>datamarketview.com</t>
  </si>
  <si>
    <t>davidberrydotcom1.wordpress.com</t>
  </si>
  <si>
    <t>Interpersonal Skills</t>
  </si>
  <si>
    <t>Film Direction</t>
  </si>
  <si>
    <t>Microlearning</t>
  </si>
  <si>
    <t>davidphilemonasd.blogspot.com</t>
  </si>
  <si>
    <t>ddxscc.blogspot.com</t>
  </si>
  <si>
    <t>Heygen</t>
  </si>
  <si>
    <t>ddxsv.blogspot.com</t>
  </si>
  <si>
    <t>dealinsights.live</t>
  </si>
  <si>
    <t>debbiebridge.com</t>
  </si>
  <si>
    <t>platforms</t>
  </si>
  <si>
    <t>decovitaasd.blogspot.com</t>
  </si>
  <si>
    <t>demico.ca</t>
  </si>
  <si>
    <t>designjobs.careers</t>
  </si>
  <si>
    <t>System Configuration</t>
  </si>
  <si>
    <t>devatche.blogspot.com</t>
  </si>
  <si>
    <t>devmine.co.kr</t>
  </si>
  <si>
    <t>Salesforce Lightning</t>
  </si>
  <si>
    <t>dewastreamingasd.blogspot.com</t>
  </si>
  <si>
    <t>dfkcompany.com</t>
  </si>
  <si>
    <t>Google Sheets Automation</t>
  </si>
  <si>
    <t>dianaqannalee.pages.dev</t>
  </si>
  <si>
    <t>dibranchiatas.com</t>
  </si>
  <si>
    <t>Messaging Framework</t>
  </si>
  <si>
    <t>diedracreary.my.id</t>
  </si>
  <si>
    <t>dieseljenslimg.blogspot.com</t>
  </si>
  <si>
    <t>digilinkit.blogspot.com</t>
  </si>
  <si>
    <t>Caspio</t>
  </si>
  <si>
    <t>digitalgroundmedia.com</t>
  </si>
  <si>
    <t>digitaljobs.com</t>
  </si>
  <si>
    <t>Community Promotion , Growth Hacking</t>
  </si>
  <si>
    <t>dincsar.blogspot.com</t>
  </si>
  <si>
    <t>dinnybmarlane.pages.dev</t>
  </si>
  <si>
    <t>Transcription Timestamping</t>
  </si>
  <si>
    <t>directorylinkup.com</t>
  </si>
  <si>
    <t>discoveryhearts12.blogspot.com</t>
  </si>
  <si>
    <t>CI/CD</t>
  </si>
  <si>
    <t>discussion.co.in</t>
  </si>
  <si>
    <t>distrilist.eu</t>
  </si>
  <si>
    <t>13.4K</t>
  </si>
  <si>
    <t>App Design</t>
  </si>
  <si>
    <t>divinasfans.com</t>
  </si>
  <si>
    <t>djcheekeylimg.blogspot.com</t>
  </si>
  <si>
    <t>djestroelim.blogspot.com</t>
  </si>
  <si>
    <t>$100+</t>
  </si>
  <si>
    <t>dndrx.com</t>
  </si>
  <si>
    <t>dnww.io</t>
  </si>
  <si>
    <t>Hospitality , Tourism</t>
  </si>
  <si>
    <t>dokutogelasd.blogspot.com</t>
  </si>
  <si>
    <t>domainbutton.com</t>
  </si>
  <si>
    <t>Email Template Development</t>
  </si>
  <si>
    <t>domainnamesbook.com</t>
  </si>
  <si>
    <t>domainnameshub.com</t>
  </si>
  <si>
    <t>Book Cover</t>
  </si>
  <si>
    <t>domains.foundation</t>
  </si>
  <si>
    <t>domainsdirectory.org</t>
  </si>
  <si>
    <t>domainsquiz.com</t>
  </si>
  <si>
    <t>Employee Relations</t>
  </si>
  <si>
    <t>donasi-nurulfalahqw.blogspot.com</t>
  </si>
  <si>
    <t>donasi-nurulfalahu.blogspot.com</t>
  </si>
  <si>
    <t>EPUB</t>
  </si>
  <si>
    <t>doralutz.com</t>
  </si>
  <si>
    <t>dorianw931.wixsite.com</t>
  </si>
  <si>
    <t>LLaMA</t>
  </si>
  <si>
    <t>dorineqamalita.pages.dev</t>
  </si>
  <si>
    <t>doriseqdorelia.pages.dev</t>
  </si>
  <si>
    <t>Comedy</t>
  </si>
  <si>
    <t>dostapartlimwer.blogspot.com</t>
  </si>
  <si>
    <t>dotishasd.blogspot.com</t>
  </si>
  <si>
    <t>YouTube Automation</t>
  </si>
  <si>
    <t>doulab.net</t>
  </si>
  <si>
    <t>dowidth.com</t>
  </si>
  <si>
    <t>drexelartschoolrachinta.blogspot.com</t>
  </si>
  <si>
    <t>Photoshoot</t>
  </si>
  <si>
    <t>drrenaespangler.com</t>
  </si>
  <si>
    <t>drusieblivvie.pages.dev</t>
  </si>
  <si>
    <t>Pitch Deck</t>
  </si>
  <si>
    <t>dtkroagvasd.blogspot.com</t>
  </si>
  <si>
    <t>e-filmasd.blogspot.com</t>
  </si>
  <si>
    <t>VICIDIAL</t>
  </si>
  <si>
    <t>e-links-bhs.xyz</t>
  </si>
  <si>
    <t>eaceprep.com</t>
  </si>
  <si>
    <t>Business Intelligence</t>
  </si>
  <si>
    <t>earningsahead.com</t>
  </si>
  <si>
    <t>earnzmoney.com</t>
  </si>
  <si>
    <t>eastphoenixau.com</t>
  </si>
  <si>
    <t>Sentiment Analysis</t>
  </si>
  <si>
    <t>eastwestdevelopments.com</t>
  </si>
  <si>
    <t>easuyet.blogspot.com</t>
  </si>
  <si>
    <t>Personalized Trip Plan</t>
  </si>
  <si>
    <t>easydirectory.in</t>
  </si>
  <si>
    <t>ebaytakeslimg.blogspot.com</t>
  </si>
  <si>
    <t>ecofrennetwork.blogspot.com</t>
  </si>
  <si>
    <t>Mobile Game Development</t>
  </si>
  <si>
    <t>ecokouture.com</t>
  </si>
  <si>
    <t>edmiund.blogspot.com</t>
  </si>
  <si>
    <t>Teen</t>
  </si>
  <si>
    <t>edwardmckenzie.net</t>
  </si>
  <si>
    <t>elcoditohj.blogspot.com</t>
  </si>
  <si>
    <t>AR , VR</t>
  </si>
  <si>
    <t>elearncompany.com</t>
  </si>
  <si>
    <t>electricaltrainingastrash.blogspot.com</t>
  </si>
  <si>
    <t>electricaltrainingyokikei.blogspot.com</t>
  </si>
  <si>
    <t>MQTT</t>
  </si>
  <si>
    <t>electronjaal.com</t>
  </si>
  <si>
    <t>elenebvalaria.pages.dev</t>
  </si>
  <si>
    <t>Mobile Game</t>
  </si>
  <si>
    <t>elevatesells.com</t>
  </si>
  <si>
    <t>elnaqcorinna.pages.dev</t>
  </si>
  <si>
    <t>Senior Adult</t>
  </si>
  <si>
    <t>elodiebarathe.com</t>
  </si>
  <si>
    <t>elquizz.com</t>
  </si>
  <si>
    <t>elrn.pro</t>
  </si>
  <si>
    <t>I need a web design for a jazz festival event. The web needs to be ready by May 1.</t>
  </si>
  <si>
    <t>elshamadan.co</t>
  </si>
  <si>
    <t>email-verifier.io</t>
  </si>
  <si>
    <t>Zoho Sprints</t>
  </si>
  <si>
    <t>emailfcalimg.blogspot.com</t>
  </si>
  <si>
    <t>empowru.com</t>
  </si>
  <si>
    <t>Slack</t>
  </si>
  <si>
    <t>enceeenterpriseso.blogspot.com</t>
  </si>
  <si>
    <t>enceeenterprisesp.blogspot.com</t>
  </si>
  <si>
    <t>Watercolor</t>
  </si>
  <si>
    <t>enceeenterprisesu.blogspot.com</t>
  </si>
  <si>
    <t>enceeenterprisesy.blogspot.com</t>
  </si>
  <si>
    <t>TOGAF</t>
  </si>
  <si>
    <t>endsaq.blogspot.com</t>
  </si>
  <si>
    <t>endsk.blogspot.com</t>
  </si>
  <si>
    <t>endsrh.blogspot.com</t>
  </si>
  <si>
    <t>Acrylics Illustration</t>
  </si>
  <si>
    <t>endsta.blogspot.com</t>
  </si>
  <si>
    <t>endsui.blogspot.com</t>
  </si>
  <si>
    <t>Pencil Illustration</t>
  </si>
  <si>
    <t>engagementbuildingtools.com</t>
  </si>
  <si>
    <t>engines.pro</t>
  </si>
  <si>
    <t>Spotify</t>
  </si>
  <si>
    <t>engliasd.blogspot.com</t>
  </si>
  <si>
    <t>entiredomains.space</t>
  </si>
  <si>
    <t>Social Video Marketing</t>
  </si>
  <si>
    <t>ericapagemedia.com</t>
  </si>
  <si>
    <t>erickswebdesign.com</t>
  </si>
  <si>
    <t>ericnolte.com</t>
  </si>
  <si>
    <t>Receptionist Skills</t>
  </si>
  <si>
    <t>esenyurtbocekilaclamaasd.blogspot.com</t>
  </si>
  <si>
    <t>espaceassurances.sn</t>
  </si>
  <si>
    <t>Business with 100-999 Employees</t>
  </si>
  <si>
    <t>ettyytrescha.pages.dev</t>
  </si>
  <si>
    <t>eventopolisasd.blogspot.com</t>
  </si>
  <si>
    <t>Content Distribution , Promotion</t>
  </si>
  <si>
    <t>everythingforchurches.com</t>
  </si>
  <si>
    <t>everythingonline.in</t>
  </si>
  <si>
    <t>Microsoft Dynamics ERP</t>
  </si>
  <si>
    <t>evolucioncreativa.website</t>
  </si>
  <si>
    <t>evonneqbrittne.pages.dev</t>
  </si>
  <si>
    <t>exblog.me</t>
  </si>
  <si>
    <t>Operational Database</t>
  </si>
  <si>
    <t>exceptionaladminsjobs.com</t>
  </si>
  <si>
    <t>expertsmigration.com</t>
  </si>
  <si>
    <t>Following Procedures</t>
  </si>
  <si>
    <t>ezmall-tiffany.com</t>
  </si>
  <si>
    <t>eztill.co</t>
  </si>
  <si>
    <t>Movie</t>
  </si>
  <si>
    <t>faberk.com</t>
  </si>
  <si>
    <t>faithmacfarland.my.id</t>
  </si>
  <si>
    <t>Task Automation</t>
  </si>
  <si>
    <t>family-groupasd.blogspot.com</t>
  </si>
  <si>
    <t>faststart.net</t>
  </si>
  <si>
    <t>favefy.com</t>
  </si>
  <si>
    <t>Map Integration</t>
  </si>
  <si>
    <t>feelfree.in</t>
  </si>
  <si>
    <t>finallot.com</t>
  </si>
  <si>
    <t>finbplca.blogspot.com</t>
  </si>
  <si>
    <t>findelearningcompany.com</t>
  </si>
  <si>
    <t>findhere.in</t>
  </si>
  <si>
    <t>Project Delivery</t>
  </si>
  <si>
    <t>findmyplumber.com.au</t>
  </si>
  <si>
    <t>finnianbonds.blogspot.com</t>
  </si>
  <si>
    <t>Persuasive Tone</t>
  </si>
  <si>
    <t>fiskny.blogspot.com</t>
  </si>
  <si>
    <t>flakoacbn.blogspot.com</t>
  </si>
  <si>
    <t>Data Management</t>
  </si>
  <si>
    <t>flatskitlim.blogspot.com</t>
  </si>
  <si>
    <t>flight-tripss.blogspot.com</t>
  </si>
  <si>
    <t>flight24.me</t>
  </si>
  <si>
    <t>Microsoft Power BI Development</t>
  </si>
  <si>
    <t>floppa.cloud</t>
  </si>
  <si>
    <t>flynnsbatty.pages.dev</t>
  </si>
  <si>
    <t>PSD to WordPress</t>
  </si>
  <si>
    <t>footballeras.blogspot.com</t>
  </si>
  <si>
    <t>foreverlearning.blog</t>
  </si>
  <si>
    <t>QuickBooks Online API</t>
  </si>
  <si>
    <t>fractionals.fyi</t>
  </si>
  <si>
    <t>frasermarlow.com</t>
  </si>
  <si>
    <t>fredd.fr</t>
  </si>
  <si>
    <t>Pinterest</t>
  </si>
  <si>
    <t>freeethereumasd.blogspot.com</t>
  </si>
  <si>
    <t>freelancevirtualspace.com</t>
  </si>
  <si>
    <t>I am looking for a virtual assistant who is skilled in setting up my website, uploading my ppt , funnels, sales pages, bookings, etc</t>
  </si>
  <si>
    <t>freelancevirtualspot.wordpress.com</t>
  </si>
  <si>
    <t>freerobuxhack2020.web.app</t>
  </si>
  <si>
    <t>Transaction Data Entry</t>
  </si>
  <si>
    <t>freeworlddirectory.com</t>
  </si>
  <si>
    <t>frekasu.wixsite.com</t>
  </si>
  <si>
    <t>Lead Generation Analysis</t>
  </si>
  <si>
    <t>friese.me</t>
  </si>
  <si>
    <t>fsamso.org</t>
  </si>
  <si>
    <t>Custom GIF</t>
  </si>
  <si>
    <t>fsimmons.ca</t>
  </si>
  <si>
    <t>ftmconstruction.com</t>
  </si>
  <si>
    <t>fuckitasd.blogspot.com</t>
  </si>
  <si>
    <t>Embedded System</t>
  </si>
  <si>
    <t>fullimages23d.web.app</t>
  </si>
  <si>
    <t>fullimages45d.web.app</t>
  </si>
  <si>
    <t>British English Accent</t>
  </si>
  <si>
    <t>fullimages70d.web.app</t>
  </si>
  <si>
    <t>fullimagesd8.web.app</t>
  </si>
  <si>
    <t>fumiusaaa.blogspot.com</t>
  </si>
  <si>
    <t>Concept Design</t>
  </si>
  <si>
    <t>fungamesonly.com</t>
  </si>
  <si>
    <t>funover50.co.uk</t>
  </si>
  <si>
    <t>AI-Generated Audio</t>
  </si>
  <si>
    <t>futurecoworker.ai</t>
  </si>
  <si>
    <t>g-room.de</t>
  </si>
  <si>
    <t>galue.de</t>
  </si>
  <si>
    <t>lms</t>
  </si>
  <si>
    <t>gamerxeaa.blogspot.com</t>
  </si>
  <si>
    <t>gangnamstarak.blogspot.com</t>
  </si>
  <si>
    <t>Intellum Exceed</t>
  </si>
  <si>
    <t>garymalleras.blogspot.com</t>
  </si>
  <si>
    <t>gelbe-seitenasunm.blogspot.com</t>
  </si>
  <si>
    <t>Data Labeling</t>
  </si>
  <si>
    <t>gemeic.blogspot.com</t>
  </si>
  <si>
    <t>generalknowledge.net.in</t>
  </si>
  <si>
    <t>Marketing Consulting</t>
  </si>
  <si>
    <t>genuinewebdirectory.com</t>
  </si>
  <si>
    <t>geoffreymartt.my.id</t>
  </si>
  <si>
    <t>Contentful</t>
  </si>
  <si>
    <t>george52522.blogspot.com</t>
  </si>
  <si>
    <t>georgiapowerfootball.web.app</t>
  </si>
  <si>
    <t>ger-xuseraasd.blogspot.com</t>
  </si>
  <si>
    <t>Information Architecture</t>
  </si>
  <si>
    <t>gesit88s.blogspot.com</t>
  </si>
  <si>
    <t>get.ind.in</t>
  </si>
  <si>
    <t>geta360.com</t>
  </si>
  <si>
    <t>English to Czech Translation</t>
  </si>
  <si>
    <t>gethired365.com</t>
  </si>
  <si>
    <t>getlucit.com</t>
  </si>
  <si>
    <t>CAD</t>
  </si>
  <si>
    <t>getmoney4u.com</t>
  </si>
  <si>
    <t>gigglyz.com</t>
  </si>
  <si>
    <t>Microsoft SharePoint Designer</t>
  </si>
  <si>
    <t>gklab57.blogspot.com</t>
  </si>
  <si>
    <t>gladandwilda.blogspot.com</t>
  </si>
  <si>
    <t>WordPress, WooCommerce, Web Design, Web Development, Landing Page</t>
  </si>
  <si>
    <t>gladandwildf.blogspot.com</t>
  </si>
  <si>
    <t>gladandwilds.blogspot.com</t>
  </si>
  <si>
    <t>gliciousglimg.blogspot.com</t>
  </si>
  <si>
    <t>Voice Recording</t>
  </si>
  <si>
    <t>global-rank.vercel.app</t>
  </si>
  <si>
    <t>globalainews.tech</t>
  </si>
  <si>
    <t>Candidate Evaluation</t>
  </si>
  <si>
    <t>globalcocolk.com</t>
  </si>
  <si>
    <t>globalenergywriters.com</t>
  </si>
  <si>
    <t>I have a skool community and I am looking for community growth,community management and community automations .</t>
  </si>
  <si>
    <t>globalfusion.io</t>
  </si>
  <si>
    <t>globalinclusionstrategies.com</t>
  </si>
  <si>
    <t>Education, Digital Business Modeling, Business with 1-9 Employees</t>
  </si>
  <si>
    <t>globallinkdirectory.com</t>
  </si>
  <si>
    <t>globalnewsdistribution.com</t>
  </si>
  <si>
    <t>globalpsychometricscafe.com</t>
  </si>
  <si>
    <t>Tools Platforms</t>
  </si>
  <si>
    <t>globoforce.blogspot.com</t>
  </si>
  <si>
    <t>gmtitan.com</t>
  </si>
  <si>
    <t>This Role Does NOT Include</t>
  </si>
  <si>
    <t>goapplyjob.online</t>
  </si>
  <si>
    <t>godblessedtexasasd.blogspot.com</t>
  </si>
  <si>
    <t>AI Text-to-Speech</t>
  </si>
  <si>
    <t>goldieqmargery.pages.dev</t>
  </si>
  <si>
    <t>goodinfotips.com</t>
  </si>
  <si>
    <t>Analytics Plugin</t>
  </si>
  <si>
    <t>gorentals.com.pa</t>
  </si>
  <si>
    <t>gosiapytel83.net</t>
  </si>
  <si>
    <t>Asynchronous I/O</t>
  </si>
  <si>
    <t>govtwatch.com</t>
  </si>
  <si>
    <t>gpgov.com</t>
  </si>
  <si>
    <t>gpilearnplus.com</t>
  </si>
  <si>
    <t>Product Marketing</t>
  </si>
  <si>
    <t>gpsandy.com</t>
  </si>
  <si>
    <t>gpstrategieshub.com</t>
  </si>
  <si>
    <t>QA Testing</t>
  </si>
  <si>
    <t>gpstrategiesinc.com</t>
  </si>
  <si>
    <t>gpstrategiesinfo.com</t>
  </si>
  <si>
    <t>Hosting Online Meetings</t>
  </si>
  <si>
    <t>gracez.pages.dev</t>
  </si>
  <si>
    <t>gregus.ca</t>
  </si>
  <si>
    <t>Cooking Lesson</t>
  </si>
  <si>
    <t>griefcareese.blogspot.com</t>
  </si>
  <si>
    <t>griefcareh.blogspot.com</t>
  </si>
  <si>
    <t>griefcarek.blogspot.com</t>
  </si>
  <si>
    <t>Algebra 2 tutor for my son. Needs to be done via video conferencing 4-5 days per week.</t>
  </si>
  <si>
    <t>griefcarel.blogspot.com</t>
  </si>
  <si>
    <t>griefcarez.blogspot.com</t>
  </si>
  <si>
    <t>growinggreatideas.blogspot.com</t>
  </si>
  <si>
    <t>grumpyjoyesv.blogspot.com</t>
  </si>
  <si>
    <t>Geometry</t>
  </si>
  <si>
    <t>gsrghrththsghrhsee.shop</t>
  </si>
  <si>
    <t>gtarivalsaseunm.blogspot.com</t>
  </si>
  <si>
    <t>Trigonometry</t>
  </si>
  <si>
    <t>guambuiltlimddd.blogspot.com</t>
  </si>
  <si>
    <t>gulfjobfair.com</t>
  </si>
  <si>
    <t>Indonesian</t>
  </si>
  <si>
    <t>handvantage.com</t>
  </si>
  <si>
    <t>harian24.com</t>
  </si>
  <si>
    <t>headxhunt.com</t>
  </si>
  <si>
    <t>Statistics</t>
  </si>
  <si>
    <t>healthspanai.blogspot.com</t>
  </si>
  <si>
    <t>healupepleas.blogspot.com</t>
  </si>
  <si>
    <t>$400+</t>
  </si>
  <si>
    <t>heavenly-visor-630.notion.site</t>
  </si>
  <si>
    <t>hebagh.farm</t>
  </si>
  <si>
    <t>Social Media Audit</t>
  </si>
  <si>
    <t>helioz.web.app</t>
  </si>
  <si>
    <t>heresbot.it</t>
  </si>
  <si>
    <t>$6K+</t>
  </si>
  <si>
    <t>hieuvi.com</t>
  </si>
  <si>
    <t>hittahoea.blogspot.com</t>
  </si>
  <si>
    <t>Docker Compose</t>
  </si>
  <si>
    <t>hiwinghes.blogspot.com</t>
  </si>
  <si>
    <t>hmongwiki.org</t>
  </si>
  <si>
    <t>hmr27.fr</t>
  </si>
  <si>
    <t>$20K+</t>
  </si>
  <si>
    <t>hoho.ws</t>
  </si>
  <si>
    <t>holidayrep.com</t>
  </si>
  <si>
    <t>$5K+</t>
  </si>
  <si>
    <t>homemaniaes.blogspot.com</t>
  </si>
  <si>
    <t>hoohlesyndicationa.blogspot.com</t>
  </si>
  <si>
    <t>Medical Writing</t>
  </si>
  <si>
    <t>hosteriavalleazul.com.ar</t>
  </si>
  <si>
    <t>houseofwoos.blogspot.com</t>
  </si>
  <si>
    <t>Search Engine Marketing Strategy</t>
  </si>
  <si>
    <t>howardconews.com</t>
  </si>
  <si>
    <t>howtomakeio.blogspot.com</t>
  </si>
  <si>
    <t>howtomakeop.blogspot.com</t>
  </si>
  <si>
    <t>Graphic Design, Brand Guidelines, Digital Marketing Materials, Logo Design, Adobe Photoshop, Adobe Illustrator</t>
  </si>
  <si>
    <t>howtomakep.blogspot.com</t>
  </si>
  <si>
    <t>howtomakeui.blogspot.com</t>
  </si>
  <si>
    <t>Core Responsibilities</t>
  </si>
  <si>
    <t>hqbacklinks.pro</t>
  </si>
  <si>
    <t>hroptimum.com</t>
  </si>
  <si>
    <t>Dropshipping</t>
  </si>
  <si>
    <t>huldra.pages.dev</t>
  </si>
  <si>
    <t>humandev2.wixsite.com</t>
  </si>
  <si>
    <t>Multimodal Large Language Model</t>
  </si>
  <si>
    <t>humanizeaicontent.io</t>
  </si>
  <si>
    <t>humanresources.co.za</t>
  </si>
  <si>
    <t>humitsec8.blogspot.com</t>
  </si>
  <si>
    <t>Video editing or design</t>
  </si>
  <si>
    <t>husthzpaa.blogspot.com</t>
  </si>
  <si>
    <t>hybrideducation.eu</t>
  </si>
  <si>
    <t>Medical Report</t>
  </si>
  <si>
    <t>hydrogenfuelchidoii.blogspot.com</t>
  </si>
  <si>
    <t>hymnode.com</t>
  </si>
  <si>
    <t>Tax Preparation</t>
  </si>
  <si>
    <t>hypjobs.ca</t>
  </si>
  <si>
    <t>hypjobs.com</t>
  </si>
  <si>
    <t>Convolutional Neural Network</t>
  </si>
  <si>
    <t>hzuftadezz.blogspot.com</t>
  </si>
  <si>
    <t>i-links-bhs.xyz</t>
  </si>
  <si>
    <t>Organic , Natural Style</t>
  </si>
  <si>
    <t>ibmbigdatatashinri.blogspot.com</t>
  </si>
  <si>
    <t>ic2helpera.blogspot.com</t>
  </si>
  <si>
    <t>ic2helpere.blogspot.com</t>
  </si>
  <si>
    <t>Marathi</t>
  </si>
  <si>
    <t>ic2helperr.blogspot.com</t>
  </si>
  <si>
    <t>ic2helpers.blogspot.com</t>
  </si>
  <si>
    <t>Hello!
  I am looking for a Chemistry tutor for my daughter.</t>
  </si>
  <si>
    <t>icassct.com</t>
  </si>
  <si>
    <t>ideoarslimg.blogspot.com</t>
  </si>
  <si>
    <t>iflume.com</t>
  </si>
  <si>
    <t>Nursing</t>
  </si>
  <si>
    <t>ifwajmeras.blogspot.com</t>
  </si>
  <si>
    <t>ihelpkl.com</t>
  </si>
  <si>
    <t>Medical Editing</t>
  </si>
  <si>
    <t>ilysaqmarrilee.pages.dev</t>
  </si>
  <si>
    <t>immersivelearning.market</t>
  </si>
  <si>
    <t>Shopify Website Redesign</t>
  </si>
  <si>
    <t>impaledugas.blogspot.com</t>
  </si>
  <si>
    <t>in-photoshop.vercel.app</t>
  </si>
  <si>
    <t>Set Up Shopify Site</t>
  </si>
  <si>
    <t>in.homes</t>
  </si>
  <si>
    <t>incentive.expert</t>
  </si>
  <si>
    <t>income.net.in</t>
  </si>
  <si>
    <t>Travel Planning</t>
  </si>
  <si>
    <t>indbankguru.in</t>
  </si>
  <si>
    <t>indianapolisjobnetwork.com</t>
  </si>
  <si>
    <t>Aspiring dating coach looking to build a site to sell and deliver my online course. Also looking for landing pages and email funnel design.
  ( only)</t>
  </si>
  <si>
    <t>inewsps.com</t>
  </si>
  <si>
    <t>infologytech.blogspot.com</t>
  </si>
  <si>
    <t>Content Moderation</t>
  </si>
  <si>
    <t>information.net.in</t>
  </si>
  <si>
    <t>inforprime.com.br</t>
  </si>
  <si>
    <t>Product Support</t>
  </si>
  <si>
    <t>innertoouter.com</t>
  </si>
  <si>
    <t>insightmarketreports.com</t>
  </si>
  <si>
    <t>Ad Creative</t>
  </si>
  <si>
    <t>insiliqa.blogspot.com</t>
  </si>
  <si>
    <t>insurefitly.com</t>
  </si>
  <si>
    <t>Social Post Design</t>
  </si>
  <si>
    <t>int-secureta.blogspot.com</t>
  </si>
  <si>
    <t>int-securetd.blogspot.com</t>
  </si>
  <si>
    <t>int-securetf.blogspot.com</t>
  </si>
  <si>
    <t>Ahrefs</t>
  </si>
  <si>
    <t>int-securetss.blogspot.com</t>
  </si>
  <si>
    <t>intelliprompt.ai</t>
  </si>
  <si>
    <t>Instagram Post</t>
  </si>
  <si>
    <t>interled.at</t>
  </si>
  <si>
    <t>internet-advertising.org</t>
  </si>
  <si>
    <t>SEMrush</t>
  </si>
  <si>
    <t>intimocristina.com</t>
  </si>
  <si>
    <t>intonettvas.blogspot.com</t>
  </si>
  <si>
    <t>Meeting Agendas</t>
  </si>
  <si>
    <t>inturningparamida.blogspot.com</t>
  </si>
  <si>
    <t>invest-nbik.ru</t>
  </si>
  <si>
    <t>isabel-erickson.pages.dev</t>
  </si>
  <si>
    <t>Electronic Health Record</t>
  </si>
  <si>
    <t>isostar24.de</t>
  </si>
  <si>
    <t>istherelifeinsurancetanyogo.blogspot.com</t>
  </si>
  <si>
    <t>Live Performance</t>
  </si>
  <si>
    <t>it-learning.de</t>
  </si>
  <si>
    <t>italdesigndges.blogspot.com</t>
  </si>
  <si>
    <t>Oracle Accounting</t>
  </si>
  <si>
    <t>ivalueserversa.blogspot.com</t>
  </si>
  <si>
    <t>ivugangingo.com</t>
  </si>
  <si>
    <t>Augmented Reality</t>
  </si>
  <si>
    <t>iwallaceassociatesad.blogspot.com</t>
  </si>
  <si>
    <t>jameymiricle.my.id</t>
  </si>
  <si>
    <t>Typography</t>
  </si>
  <si>
    <t>janhit.in</t>
  </si>
  <si>
    <t>javednayeem.xyz</t>
  </si>
  <si>
    <t>jdonate.com</t>
  </si>
  <si>
    <t>Square</t>
  </si>
  <si>
    <t>jeaniebardo.com</t>
  </si>
  <si>
    <t>jiccp.blogspot.com</t>
  </si>
  <si>
    <t>Virtual Reality</t>
  </si>
  <si>
    <t>jinyizudaoas.blogspot.com</t>
  </si>
  <si>
    <t>jkhuffpcas.blogspot.com</t>
  </si>
  <si>
    <t>Bootstrap</t>
  </si>
  <si>
    <t>jnolanpaaz.blogspot.com</t>
  </si>
  <si>
    <t>job4teachers.in</t>
  </si>
  <si>
    <t>pandas</t>
  </si>
  <si>
    <t>jobeder.com</t>
  </si>
  <si>
    <t>jobfordallas.com</t>
  </si>
  <si>
    <t>jobforoakland.com</t>
  </si>
  <si>
    <t>IT Sourcing</t>
  </si>
  <si>
    <t>jobinfortworth.com</t>
  </si>
  <si>
    <t>jobinkolkata.in</t>
  </si>
  <si>
    <t>Gantt Chart</t>
  </si>
  <si>
    <t>jobsatdubai.com</t>
  </si>
  <si>
    <t>jobsforalbany.com</t>
  </si>
  <si>
    <t>CMS Product Upload</t>
  </si>
  <si>
    <t>jobsforcleveland.com</t>
  </si>
  <si>
    <t>jobsforcolumbus.com</t>
  </si>
  <si>
    <t>Directory</t>
  </si>
  <si>
    <t>jobsforirvine.com</t>
  </si>
  <si>
    <t>jobsfornewark.com</t>
  </si>
  <si>
    <t>Clipper</t>
  </si>
  <si>
    <t>jobsforrochester.com</t>
  </si>
  <si>
    <t>jobzonerisk.com</t>
  </si>
  <si>
    <t>jocwaterlimb.blogspot.com</t>
  </si>
  <si>
    <t>Custom PHP</t>
  </si>
  <si>
    <t>joicebruxel.com.br</t>
  </si>
  <si>
    <t>jolpoioou.blogspot.com</t>
  </si>
  <si>
    <t>jubular.blogspot.com</t>
  </si>
  <si>
    <t>WordPress Theme</t>
  </si>
  <si>
    <t>justmlilimz.blogspot.com</t>
  </si>
  <si>
    <t>jxnkjxaks.blogspot.com</t>
  </si>
  <si>
    <t>Drupal</t>
  </si>
  <si>
    <t>kajol.pw</t>
  </si>
  <si>
    <t>kaleidoscopiccoaching.com</t>
  </si>
  <si>
    <t>English to Portuguese Translation</t>
  </si>
  <si>
    <t>kalskills.com</t>
  </si>
  <si>
    <t>kamakhya.co.za</t>
  </si>
  <si>
    <t>Korean</t>
  </si>
  <si>
    <t>kampusguide.com</t>
  </si>
  <si>
    <t>kata.cz</t>
  </si>
  <si>
    <t>katariinasa.blogspot.com</t>
  </si>
  <si>
    <t>Brand Consulting</t>
  </si>
  <si>
    <t>kathleen-reine-7361.firebaseapp.com</t>
  </si>
  <si>
    <t>kcommunityfoundation.org</t>
  </si>
  <si>
    <t>Product Launch</t>
  </si>
  <si>
    <t>kesawanspinh.blogspot.com</t>
  </si>
  <si>
    <t>kesawanspinj.blogspot.com</t>
  </si>
  <si>
    <t>kesawanspinl.blogspot.com</t>
  </si>
  <si>
    <t>kirstysiansmall.com</t>
  </si>
  <si>
    <t>Calculus</t>
  </si>
  <si>
    <t>kitchen46.netlify.app</t>
  </si>
  <si>
    <t>klmrkqvxyz.blogspot.com</t>
  </si>
  <si>
    <t>Operations Analytics</t>
  </si>
  <si>
    <t>knzfz.shop</t>
  </si>
  <si>
    <t>kontrapro.online</t>
  </si>
  <si>
    <t>Cornerstone LMS</t>
  </si>
  <si>
    <t>korvadlimffd.blogspot.com</t>
  </si>
  <si>
    <t>kovtonyuk.inf.ua</t>
  </si>
  <si>
    <t>krautshowlimddf.blogspot.com</t>
  </si>
  <si>
    <t>Quiz Writing</t>
  </si>
  <si>
    <t>krazelk.blogspot.com</t>
  </si>
  <si>
    <t>kuakwcxfh.blogspot.com</t>
  </si>
  <si>
    <t>Educational Exercise</t>
  </si>
  <si>
    <t>kulc-hit-sky.com</t>
  </si>
  <si>
    <t>kumparans.github.io</t>
  </si>
  <si>
    <t>Litmos</t>
  </si>
  <si>
    <t>kyandangielims.blogspot.com</t>
  </si>
  <si>
    <t>kyrgyz.travel</t>
  </si>
  <si>
    <t>Healthcare</t>
  </si>
  <si>
    <t>lacluyselim.blogspot.com</t>
  </si>
  <si>
    <t>lacluyselimz.blogspot.com</t>
  </si>
  <si>
    <t>Nutrition</t>
  </si>
  <si>
    <t>lamer-feiser.site</t>
  </si>
  <si>
    <t>languagenow.co.uk</t>
  </si>
  <si>
    <t>lardk.blogspot.com</t>
  </si>
  <si>
    <t>QML</t>
  </si>
  <si>
    <t>lardl.blogspot.com</t>
  </si>
  <si>
    <t>lardw.blogspot.com</t>
  </si>
  <si>
    <t>Logo</t>
  </si>
  <si>
    <t>lardx.blogspot.com</t>
  </si>
  <si>
    <t>larrytalk.com</t>
  </si>
  <si>
    <t>Web Design Plugin</t>
  </si>
  <si>
    <t>lasvegasal.blogspot.com</t>
  </si>
  <si>
    <t>lasvegasbonuses.blogspot.com</t>
  </si>
  <si>
    <t>DeepL Translator</t>
  </si>
  <si>
    <t>latingirlseds.blogspot.com</t>
  </si>
  <si>
    <t>laurenkimler.com</t>
  </si>
  <si>
    <t>lausannemisr.com</t>
  </si>
  <si>
    <t>Mainly need help with customizing GoHighLevel for funels, sales estimates and need lead list as well.</t>
  </si>
  <si>
    <t>lcsohlimdd.blogspot.com</t>
  </si>
  <si>
    <t>leadership-101.web.app</t>
  </si>
  <si>
    <t>I need someone to help me organize my systeme.io interface. Landing pages, funnels and proper set up for courses and email marketing</t>
  </si>
  <si>
    <t>leadershipbuildingtools.com</t>
  </si>
  <si>
    <t>leadershiptrainingdzumetoku.blogspot.com</t>
  </si>
  <si>
    <t>English to Mandarin Chinese Translation</t>
  </si>
  <si>
    <t>leadfolsas.blogspot.com</t>
  </si>
  <si>
    <t>leanne-molina.pages.dev</t>
  </si>
  <si>
    <t>Microsoft Visual C++</t>
  </si>
  <si>
    <t>leapwerka.blogspot.com</t>
  </si>
  <si>
    <t>learnhelmas.blogspot.com</t>
  </si>
  <si>
    <t>DESIGN</t>
  </si>
  <si>
    <t>learningdesignbyhl.com</t>
  </si>
  <si>
    <t>learningfive.com</t>
  </si>
  <si>
    <t>Yii</t>
  </si>
  <si>
    <t>legalgenislimbf.blogspot.com</t>
  </si>
  <si>
    <t>letusbookmark.info</t>
  </si>
  <si>
    <t>Git</t>
  </si>
  <si>
    <t>lexgopc.com</t>
  </si>
  <si>
    <t>li429-229.members.linode.com</t>
  </si>
  <si>
    <t>liambi.com</t>
  </si>
  <si>
    <t>Terraform</t>
  </si>
  <si>
    <t>life-mudanya.vercel.app</t>
  </si>
  <si>
    <t>lifecurated.blog</t>
  </si>
  <si>
    <t>Cloud Engineering</t>
  </si>
  <si>
    <t>lifesblog.com</t>
  </si>
  <si>
    <t>lighthouse.tv</t>
  </si>
  <si>
    <t>Dietetics</t>
  </si>
  <si>
    <t>likelist.me</t>
  </si>
  <si>
    <t>linkdonation.com</t>
  </si>
  <si>
    <t>Account Management</t>
  </si>
  <si>
    <t>linkwebdirectory.com</t>
  </si>
  <si>
    <t>Scientific Illustration</t>
  </si>
  <si>
    <t>linnacus.blogspot.com</t>
  </si>
  <si>
    <t>liputan.bitbucket.io</t>
  </si>
  <si>
    <t>lisadseymour.pages.dev</t>
  </si>
  <si>
    <t>â€œI am looking for a specialist to launch an and promote it via TikTok, Instagram, website, with long-term collaboration in business growth.â€_x009d_</t>
  </si>
  <si>
    <t>lisaqardenia.pages.dev</t>
  </si>
  <si>
    <t>list.net.in</t>
  </si>
  <si>
    <t>UserTesting</t>
  </si>
  <si>
    <t>listmydomain.com</t>
  </si>
  <si>
    <t>listrecord.com</t>
  </si>
  <si>
    <t>litesonrclike.blogspot.com</t>
  </si>
  <si>
    <t>Page Layout Design</t>
  </si>
  <si>
    <t>livebacklinks.com</t>
  </si>
  <si>
    <t>lmp.com.mx</t>
  </si>
  <si>
    <t>Analytics Account Setup</t>
  </si>
  <si>
    <t>loawmelike.blogspot.com</t>
  </si>
  <si>
    <t>localdirectoryonline.us</t>
  </si>
  <si>
    <t>Google Apps Script</t>
  </si>
  <si>
    <t>localmedicalclinics.com</t>
  </si>
  <si>
    <t>login-directory.web.app</t>
  </si>
  <si>
    <t>Tax Return</t>
  </si>
  <si>
    <t>login-supports.com</t>
  </si>
  <si>
    <t>login-tutorial.pages.dev</t>
  </si>
  <si>
    <t>loginareas.web.app</t>
  </si>
  <si>
    <t>Corporate Tax</t>
  </si>
  <si>
    <t>loginka.com</t>
  </si>
  <si>
    <t>loginmanual.com</t>
  </si>
  <si>
    <t>AutoCAD Civil 3D</t>
  </si>
  <si>
    <t>logins-db.web.app</t>
  </si>
  <si>
    <t>loginsu.com</t>
  </si>
  <si>
    <t>Permaculture</t>
  </si>
  <si>
    <t>loginvast.com</t>
  </si>
  <si>
    <t>logoinspiration19.netlify.app</t>
  </si>
  <si>
    <t>Meeting Scheduling</t>
  </si>
  <si>
    <t>lombokcocoses.blogspot.com</t>
  </si>
  <si>
    <t>lookgpt.net</t>
  </si>
  <si>
    <t>Gardening</t>
  </si>
  <si>
    <t>loosehommees.blogspot.com</t>
  </si>
  <si>
    <t>lorinamayslike.blogspot.com</t>
  </si>
  <si>
    <t>PHP Script</t>
  </si>
  <si>
    <t>lostileadattoaituoicapellies.blogspot.com</t>
  </si>
  <si>
    <t>louf.run</t>
  </si>
  <si>
    <t>QA Automation</t>
  </si>
  <si>
    <t>love.net.in</t>
  </si>
  <si>
    <t>lpkgapura.com</t>
  </si>
  <si>
    <t>lrgsteel.com</t>
  </si>
  <si>
    <t>Finance</t>
  </si>
  <si>
    <t>lucitagency.com</t>
  </si>
  <si>
    <t>lucydownlim.blogspot.com</t>
  </si>
  <si>
    <t>Finite Element Analysis</t>
  </si>
  <si>
    <t>lucydownlimz.blogspot.com</t>
  </si>
  <si>
    <t>lunadaseslikeds.blogspot.com</t>
  </si>
  <si>
    <t>Personal Finance</t>
  </si>
  <si>
    <t>luterya.blogspot.com</t>
  </si>
  <si>
    <t>ANSYS</t>
  </si>
  <si>
    <t>luxeruchelim.blogspot.com</t>
  </si>
  <si>
    <t>Microbiology</t>
  </si>
  <si>
    <t>luxmiacorplimb.blogspot.com</t>
  </si>
  <si>
    <t>luxurycarsonrent.in</t>
  </si>
  <si>
    <t>Customer Retention</t>
  </si>
  <si>
    <t>lwnmusiclimz.blogspot.com</t>
  </si>
  <si>
    <t>lyncdiscoverserverm.blogspot.com</t>
  </si>
  <si>
    <t>Magazine</t>
  </si>
  <si>
    <t>lyncdiscoverservern.blogspot.com</t>
  </si>
  <si>
    <t>lyncdiscoverserverv.blogspot.com</t>
  </si>
  <si>
    <t>lyncdiscoverserverz.blogspot.com</t>
  </si>
  <si>
    <t>Copyright Law</t>
  </si>
  <si>
    <t>lynnqsusann.pages.dev</t>
  </si>
  <si>
    <t>machdz.com</t>
  </si>
  <si>
    <t>Autodesk Fusion 360</t>
  </si>
  <si>
    <t>madgruvelike.blogspot.com</t>
  </si>
  <si>
    <t>madisonjobnetwork.com</t>
  </si>
  <si>
    <t>Comic Art</t>
  </si>
  <si>
    <t>mafiaunitlimpq.blogspot.com</t>
  </si>
  <si>
    <t>makes.news</t>
  </si>
  <si>
    <t>maltamiralimd.blogspot.com</t>
  </si>
  <si>
    <t>Scaffolded Learning</t>
  </si>
  <si>
    <t>manageatq.blogspot.com</t>
  </si>
  <si>
    <t>manageurcontents.blogspot.com</t>
  </si>
  <si>
    <t>managingelearning.wordpress.com</t>
  </si>
  <si>
    <t>Logo Animation</t>
  </si>
  <si>
    <t>manazmentdomacnosti.sk</t>
  </si>
  <si>
    <t>mancheskipropertymanagmentes.blogspot.com</t>
  </si>
  <si>
    <t>Adobe Flash</t>
  </si>
  <si>
    <t>manninghammedicalcentre.com.au</t>
  </si>
  <si>
    <t>manylogins.com</t>
  </si>
  <si>
    <t>articulate</t>
  </si>
  <si>
    <t>mar-aon.blogspot.com</t>
  </si>
  <si>
    <t>marathilaws.com</t>
  </si>
  <si>
    <t>3D Printing</t>
  </si>
  <si>
    <t>margotwillotes.blogspot.com</t>
  </si>
  <si>
    <t>marin3d.com</t>
  </si>
  <si>
    <t>markaberdour.com</t>
  </si>
  <si>
    <t>Printable 3D Models</t>
  </si>
  <si>
    <t>markcelerate.com</t>
  </si>
  <si>
    <t>marketnewshawk.com</t>
  </si>
  <si>
    <t>SolidWorks</t>
  </si>
  <si>
    <t>marksruddlimi.blogspot.com</t>
  </si>
  <si>
    <t>marylandian.com</t>
  </si>
  <si>
    <t>Screenwriting</t>
  </si>
  <si>
    <t>marylandlatinonews.com</t>
  </si>
  <si>
    <t>masteraiclike.blogspot.com</t>
  </si>
  <si>
    <t>Marketing Automation Services</t>
  </si>
  <si>
    <t>masteraiclikeds.blogspot.com</t>
  </si>
  <si>
    <t>mastersccg.com</t>
  </si>
  <si>
    <t>mazkaucuklimu.blogspot.com</t>
  </si>
  <si>
    <t>mcgregorboyall.wordpress.com</t>
  </si>
  <si>
    <t>mckalajalimzdd.blogspot.com</t>
  </si>
  <si>
    <t>md-anasesv.blogspot.com</t>
  </si>
  <si>
    <t>megasaldaototales.blogspot.com</t>
  </si>
  <si>
    <t>Stop-Motion Animation</t>
  </si>
  <si>
    <t>meine-zukunftss.blogspot.com</t>
  </si>
  <si>
    <t>melanin.ventures</t>
  </si>
  <si>
    <t>mellissadaily.blogspot.com</t>
  </si>
  <si>
    <t>Film Screenplay</t>
  </si>
  <si>
    <t>melottoasbnm.blogspot.com</t>
  </si>
  <si>
    <t>menehune.pages.dev</t>
  </si>
  <si>
    <t>Sketching</t>
  </si>
  <si>
    <t>mengroffa.blogspot.com</t>
  </si>
  <si>
    <t>mensgroomingpro.com</t>
  </si>
  <si>
    <t>Visual Effects</t>
  </si>
  <si>
    <t>merceduclimz.blogspot.com</t>
  </si>
  <si>
    <t>mervinbaquet1963.blogspot.com</t>
  </si>
  <si>
    <t>Book Cover Design</t>
  </si>
  <si>
    <t>meterintelligence.com</t>
  </si>
  <si>
    <t>metroentregaes.blogspot.com</t>
  </si>
  <si>
    <t>Comics</t>
  </si>
  <si>
    <t>metrophiladelphiajob.com</t>
  </si>
  <si>
    <t>metrosanantoniojob.com</t>
  </si>
  <si>
    <t>metrosandiegojob.com</t>
  </si>
  <si>
    <t>3D Art</t>
  </si>
  <si>
    <t>mevansshopesmevansshopes.blogspot.com</t>
  </si>
  <si>
    <t>mevsbill.blogspot.com</t>
  </si>
  <si>
    <t>Design Telehealth website. Domain purchased. Desire Squarespace. Asking how busy you are currently, what your expected rough timeframe to complete</t>
  </si>
  <si>
    <t>mglanceylike.blogspot.com</t>
  </si>
  <si>
    <t>mgsp6.com</t>
  </si>
  <si>
    <t>miashackleford.my.id</t>
  </si>
  <si>
    <t>WordPress Bug Fix</t>
  </si>
  <si>
    <t>miatexpolikes.blogspot.com</t>
  </si>
  <si>
    <t>miban.cloud</t>
  </si>
  <si>
    <t>Diversity , Inclusion</t>
  </si>
  <si>
    <t>micfutureslimz.blogspot.com</t>
  </si>
  <si>
    <t>midasdanmark.blogspot.com</t>
  </si>
  <si>
    <t>Gravity Forms</t>
  </si>
  <si>
    <t>migentewlim.blogspot.com</t>
  </si>
  <si>
    <t>mikehamlyn.com</t>
  </si>
  <si>
    <t>WPLMS</t>
  </si>
  <si>
    <t>mikequaylelike.blogspot.com</t>
  </si>
  <si>
    <t>mikulikabnm.blogspot.com</t>
  </si>
  <si>
    <t>Brand Design</t>
  </si>
  <si>
    <t>millennial-zen.com</t>
  </si>
  <si>
    <t>millionairefinder.com</t>
  </si>
  <si>
    <t>Video Sales Letter</t>
  </si>
  <si>
    <t>miloriano.com</t>
  </si>
  <si>
    <t>minasoapccxxz.blogspot.com</t>
  </si>
  <si>
    <t>mindsharehr.com</t>
  </si>
  <si>
    <t>PCI</t>
  </si>
  <si>
    <t>minneapolisjobnetwork.com</t>
  </si>
  <si>
    <t>minwendtlimd.blogspot.com</t>
  </si>
  <si>
    <t>Community Goals , KPIs</t>
  </si>
  <si>
    <t>miraahora.net</t>
  </si>
  <si>
    <t>miraionhq.blogspot.com</t>
  </si>
  <si>
    <t>Online Giving</t>
  </si>
  <si>
    <t>miraionjj.blogspot.com</t>
  </si>
  <si>
    <t>miraionllq.blogspot.com</t>
  </si>
  <si>
    <t>miraionzz.blogspot.com</t>
  </si>
  <si>
    <t>misobrainlikemisobrainlike.blogspot.com</t>
  </si>
  <si>
    <t>mjcmmscx.blogspot.com</t>
  </si>
  <si>
    <t>Sales Copy</t>
  </si>
  <si>
    <t>mkechinesenewyear.com</t>
  </si>
  <si>
    <t>mlxchanguelimu.blogspot.com</t>
  </si>
  <si>
    <t>Community Management Services</t>
  </si>
  <si>
    <t>mmchonnlimfd.blogspot.com</t>
  </si>
  <si>
    <t>mmicproplimz.blogspot.com</t>
  </si>
  <si>
    <t>CREATION</t>
  </si>
  <si>
    <t>mobogginglimbf.blogspot.com</t>
  </si>
  <si>
    <t>modabudslimp.blogspot.com</t>
  </si>
  <si>
    <t>Quiz</t>
  </si>
  <si>
    <t>mohini.pw</t>
  </si>
  <si>
    <t>monmouthpclimc.blogspot.com</t>
  </si>
  <si>
    <t>Threat Detection</t>
  </si>
  <si>
    <t>moocsvasutka.blogspot.com</t>
  </si>
  <si>
    <t>morshedi.se</t>
  </si>
  <si>
    <t>Social Media Carousel</t>
  </si>
  <si>
    <t>mothersas.blogspot.com</t>
  </si>
  <si>
    <t>mrkoehnlike.blogspot.com</t>
  </si>
  <si>
    <t>MetaTrader 4</t>
  </si>
  <si>
    <t>mrnoogielike.blogspot.com</t>
  </si>
  <si>
    <t>mrnsizionlimd.blogspot.com</t>
  </si>
  <si>
    <t>mrprodata.wordpress.com</t>
  </si>
  <si>
    <t>Mocha Pro</t>
  </si>
  <si>
    <t>ms-marcum.com</t>
  </si>
  <si>
    <t>msctdflikec.blogspot.com</t>
  </si>
  <si>
    <t>Green Screen</t>
  </si>
  <si>
    <t>msflutelim.blogspot.com</t>
  </si>
  <si>
    <t>mshaworldlike.blogspot.com</t>
  </si>
  <si>
    <t>WordPress Migration</t>
  </si>
  <si>
    <t>mshayanblog.wordpress.com</t>
  </si>
  <si>
    <t>mslquestlike.blogspot.com</t>
  </si>
  <si>
    <t>msnbestbuylim.blogspot.com</t>
  </si>
  <si>
    <t>Typeform</t>
  </si>
  <si>
    <t>msolusindolimu.blogspot.com</t>
  </si>
  <si>
    <t>msphdsinstitute.org</t>
  </si>
  <si>
    <t>mteventerlike.blogspot.com</t>
  </si>
  <si>
    <t>Startup Company</t>
  </si>
  <si>
    <t>muchmore.in</t>
  </si>
  <si>
    <t>muitasalegriases.blogspot.com</t>
  </si>
  <si>
    <t>Chat , Messaging Software</t>
  </si>
  <si>
    <t>multiumaplike.blogspot.com</t>
  </si>
  <si>
    <t>myalexweblimdfse.blogspot.com</t>
  </si>
  <si>
    <t>Catalan</t>
  </si>
  <si>
    <t>mybigsiteslikemybigsiteslike.blogspot.com</t>
  </si>
  <si>
    <t>mybiziq.com</t>
  </si>
  <si>
    <t>Branding , Marketing</t>
  </si>
  <si>
    <t>mycelium.global</t>
  </si>
  <si>
    <t>mydomaininfo.com</t>
  </si>
  <si>
    <t>myemptydaylike.blogspot.com</t>
  </si>
  <si>
    <t>AI-Generated Art</t>
  </si>
  <si>
    <t>myjrpromlikede.blogspot.com</t>
  </si>
  <si>
    <t>mykaleioscopees.blogspot.com</t>
  </si>
  <si>
    <t>Precalculus</t>
  </si>
  <si>
    <t>mykleidoscopees.blogspot.com</t>
  </si>
  <si>
    <t>mymagiccdlimn.blogspot.com</t>
  </si>
  <si>
    <t>PipelineDeals</t>
  </si>
  <si>
    <t>mymeguiarslimz.blogspot.com</t>
  </si>
  <si>
    <t>mynlcraelimdsssssss.blogspot.com</t>
  </si>
  <si>
    <t>mypenangproperty.com</t>
  </si>
  <si>
    <t>Swift</t>
  </si>
  <si>
    <t>myseopro.co.uk</t>
  </si>
  <si>
    <t>Amazon SageMaker</t>
  </si>
  <si>
    <t>mysqlforgelimdds.blogspot.com</t>
  </si>
  <si>
    <t>mytechnokriti.blogspot.com</t>
  </si>
  <si>
    <t>Editorial Illustration</t>
  </si>
  <si>
    <t>namprc.blogspot.com</t>
  </si>
  <si>
    <t>nancy-gerwitz-ceo29.web.app</t>
  </si>
  <si>
    <t>Photography</t>
  </si>
  <si>
    <t>nancysdollrestorationes.blogspot.com</t>
  </si>
  <si>
    <t>naptownraplimbf.blogspot.com</t>
  </si>
  <si>
    <t>Children's Literature</t>
  </si>
  <si>
    <t>natdatumlimddssd.blogspot.com</t>
  </si>
  <si>
    <t>naturamasaes.blogspot.com</t>
  </si>
  <si>
    <t>navoartlimsdds.blogspot.com</t>
  </si>
  <si>
    <t>nba1314es.blogspot.com</t>
  </si>
  <si>
    <t>Customer Lifecycle Messaging</t>
  </si>
  <si>
    <t>neonatologyjobs.org</t>
  </si>
  <si>
    <t>neonflamingocreative.com</t>
  </si>
  <si>
    <t>PayPal Integration</t>
  </si>
  <si>
    <t>nettnicelimz.blogspot.com</t>
  </si>
  <si>
    <t>newedmartlimu.blogspot.com</t>
  </si>
  <si>
    <t>Braze</t>
  </si>
  <si>
    <t>newfilms.in</t>
  </si>
  <si>
    <t>newidea.fyi</t>
  </si>
  <si>
    <t>User Authentication</t>
  </si>
  <si>
    <t>news-distribution.com</t>
  </si>
  <si>
    <t>newtmusiclike.blogspot.com</t>
  </si>
  <si>
    <t>FlutterFlow</t>
  </si>
  <si>
    <t>newtownclimate.org</t>
  </si>
  <si>
    <t>newvocewes.blogspot.com</t>
  </si>
  <si>
    <t>newxocailike.blogspot.com</t>
  </si>
  <si>
    <t>SEO-Based Website</t>
  </si>
  <si>
    <t>nexareports.com</t>
  </si>
  <si>
    <t>nexcosyslimdg.blogspot.com</t>
  </si>
  <si>
    <t>Blog</t>
  </si>
  <si>
    <t>nexttravel.in</t>
  </si>
  <si>
    <t>nickeynovalike.blogspot.com</t>
  </si>
  <si>
    <t>Marketing Presentation</t>
  </si>
  <si>
    <t>nicoleloiswesta.blogspot.com</t>
  </si>
  <si>
    <t>nicolliaes.blogspot.com</t>
  </si>
  <si>
    <t>Apache Kafka</t>
  </si>
  <si>
    <t>nidhijoshii123.wixsite.com</t>
  </si>
  <si>
    <t>nirvananwlikenirvananwlike.blogspot.com</t>
  </si>
  <si>
    <t>nizzcaxlike.blogspot.com</t>
  </si>
  <si>
    <t>PlanSwift</t>
  </si>
  <si>
    <t>nlaticketlimzdd.blogspot.com</t>
  </si>
  <si>
    <t>nngccsd.blogspot.com</t>
  </si>
  <si>
    <t>Test Development</t>
  </si>
  <si>
    <t>noahpblike.blogspot.com</t>
  </si>
  <si>
    <t>noesisdeep.com</t>
  </si>
  <si>
    <t>Visual Presentation Design</t>
  </si>
  <si>
    <t>nokonellim.blogspot.com</t>
  </si>
  <si>
    <t>nomadsavings.com</t>
  </si>
  <si>
    <t>nominsangasd.blogspot.com</t>
  </si>
  <si>
    <t>Presentation Slide</t>
  </si>
  <si>
    <t>nomorethelimd.blogspot.com</t>
  </si>
  <si>
    <t>nonveteran.com</t>
  </si>
  <si>
    <t>Export Storyline files to SCORM 2004. I have a few Storyline files that I need to have exported to SCORM 2004. This is somewhat of a rush job.</t>
  </si>
  <si>
    <t>noorkayyali.com</t>
  </si>
  <si>
    <t>noswingerlimf.blogspot.com</t>
  </si>
  <si>
    <t>Salesforce Service Cloud</t>
  </si>
  <si>
    <t>notconnetlike.blogspot.com</t>
  </si>
  <si>
    <t>novulutions.com</t>
  </si>
  <si>
    <t>Thai</t>
  </si>
  <si>
    <t>ntaircolimzds.blogspot.com</t>
  </si>
  <si>
    <t>nuaspecxlikec.blogspot.com</t>
  </si>
  <si>
    <t>nwredhead.com</t>
  </si>
  <si>
    <t>Amazon DynamoDB</t>
  </si>
  <si>
    <t>nxpolskalikenxpolskalike.blogspot.com</t>
  </si>
  <si>
    <t>nycsnapshotses.blogspot.com</t>
  </si>
  <si>
    <t>Website Security</t>
  </si>
  <si>
    <t>nyreagentlimz.blogspot.com</t>
  </si>
  <si>
    <t>nzricelimu.blogspot.com</t>
  </si>
  <si>
    <t>TIBCO Spotfire</t>
  </si>
  <si>
    <t>o-links-bhs.xyz</t>
  </si>
  <si>
    <t>ocandlezwes.blogspot.com</t>
  </si>
  <si>
    <t>Punjabi</t>
  </si>
  <si>
    <t>office-schulungenes.blogspot.com</t>
  </si>
  <si>
    <t>officialcovid19news.web.app</t>
  </si>
  <si>
    <t>Windows Administration</t>
  </si>
  <si>
    <t>offshore-outsourcing-service.blogspot.com</t>
  </si>
  <si>
    <t>oftrinidadlimdffv.blogspot.com</t>
  </si>
  <si>
    <t>User Acceptance Testing</t>
  </si>
  <si>
    <t>ohkrystallim.blogspot.com</t>
  </si>
  <si>
    <t>okrainklike.blogspot.com</t>
  </si>
  <si>
    <t>olerioslimggb.blogspot.com</t>
  </si>
  <si>
    <t>Community Relations</t>
  </si>
  <si>
    <t>ollahhh.blogspot.com</t>
  </si>
  <si>
    <t>olopowerlogisticses.blogspot.com</t>
  </si>
  <si>
    <t>Press Distribution</t>
  </si>
  <si>
    <t>ombsplim.blogspot.com</t>
  </si>
  <si>
    <t>omkdglike.blogspot.com</t>
  </si>
  <si>
    <t>Press Release</t>
  </si>
  <si>
    <t>omkuglim.blogspot.com</t>
  </si>
  <si>
    <t>omniprnlike.blogspot.com</t>
  </si>
  <si>
    <t>OKTA</t>
  </si>
  <si>
    <t>one-cn.kg</t>
  </si>
  <si>
    <t>online-ads.org</t>
  </si>
  <si>
    <t>High Fidelity Design</t>
  </si>
  <si>
    <t>onlinecoursesdigital.com</t>
  </si>
  <si>
    <t>onlinecrsc.firebaseapp.com</t>
  </si>
  <si>
    <t>onlinedegreecoursesusa.com</t>
  </si>
  <si>
    <t>Flask</t>
  </si>
  <si>
    <t>onlinefestival.in</t>
  </si>
  <si>
    <t>onlineiscibordroes.blogspot.com</t>
  </si>
  <si>
    <t>Research Documentation</t>
  </si>
  <si>
    <t>onlinejendl.firebaseapp.com</t>
  </si>
  <si>
    <t>onlinejurts.firebaseapp.com</t>
  </si>
  <si>
    <t>Research Interviews</t>
  </si>
  <si>
    <t>onlinesourcesfreegl.firebaseapp.com</t>
  </si>
  <si>
    <t>onlncnsles.firebaseapp.com</t>
  </si>
  <si>
    <t>Dubsado</t>
  </si>
  <si>
    <t>onmessageonea.blogspot.com</t>
  </si>
  <si>
    <t>onsaleintorontoa.blogspot.com</t>
  </si>
  <si>
    <t>On-Screen Takeoff</t>
  </si>
  <si>
    <t>onthebuzz.in</t>
  </si>
  <si>
    <t>ook.ooo</t>
  </si>
  <si>
    <t>ooo.pink</t>
  </si>
  <si>
    <t>Music , Sound Design</t>
  </si>
  <si>
    <t>openrxbizlimn.blogspot.com</t>
  </si>
  <si>
    <t>operaskolelike.blogspot.com</t>
  </si>
  <si>
    <t>SAP</t>
  </si>
  <si>
    <t>opporanches.blogspot.com</t>
  </si>
  <si>
    <t>optic2000-puteauxes.blogspot.com</t>
  </si>
  <si>
    <t>Online Instruction, Learning Management System, Kajabi, Education</t>
  </si>
  <si>
    <t>oqenglishlike.blogspot.com</t>
  </si>
  <si>
    <t>orbitgaylimd.blogspot.com</t>
  </si>
  <si>
    <t>Moodle, Learning Management System, PHP, Web Development, MySQL, webhosting</t>
  </si>
  <si>
    <t>orfamouslimp.blogspot.com</t>
  </si>
  <si>
    <t>organizationalleadershipsonyado.blogspot.com</t>
  </si>
  <si>
    <t>Training Design, Accounting, Process Documentation, Content Creation, Learning Management System</t>
  </si>
  <si>
    <t>originscaes.blogspot.com</t>
  </si>
  <si>
    <t>osfvillaslikes.blogspot.com</t>
  </si>
  <si>
    <t>osfvillaslikeseew.blogspot.com</t>
  </si>
  <si>
    <t>Experiment Design</t>
  </si>
  <si>
    <t>oslcgc.blogspot.com</t>
  </si>
  <si>
    <t>osxservelikea.blogspot.com</t>
  </si>
  <si>
    <t>React, Docker, Kubernetes, MySQL, MongoDB, JavaScript, Python, Open edX deployment</t>
  </si>
  <si>
    <t>outwwarlike.blogspot.com</t>
  </si>
  <si>
    <t>ovigeneticwts.com</t>
  </si>
  <si>
    <t>User Manual</t>
  </si>
  <si>
    <t>ownerdirecthomesalesa.blogspot.com</t>
  </si>
  <si>
    <t>ozeangiftslimd.blogspot.com</t>
  </si>
  <si>
    <t>Kubernetes</t>
  </si>
  <si>
    <t>ozfarkwes.blogspot.com</t>
  </si>
  <si>
    <t>p-links-bhs.xyz</t>
  </si>
  <si>
    <t>p2pengagement.blogspot.com</t>
  </si>
  <si>
    <t>Financial Software</t>
  </si>
  <si>
    <t>paccastslike.blogspot.com</t>
  </si>
  <si>
    <t>packages.pw</t>
  </si>
  <si>
    <t>Why This Role Exists</t>
  </si>
  <si>
    <t>packersandmoversdirectory.com</t>
  </si>
  <si>
    <t>pacunldlim.blogspot.com</t>
  </si>
  <si>
    <t>WooCommerce, WordPress, Web Design, LMS Plugin</t>
  </si>
  <si>
    <t>pageoffoodlimbg.blogspot.com</t>
  </si>
  <si>
    <t>paintinginseattlees.blogspot.com</t>
  </si>
  <si>
    <t>Music Lesson</t>
  </si>
  <si>
    <t>pakmoneweser.blogspot.com</t>
  </si>
  <si>
    <t>pantherecslim.blogspot.com</t>
  </si>
  <si>
    <t>You understand businesses, not info-products only</t>
  </si>
  <si>
    <t>paranuklike.blogspot.com</t>
  </si>
  <si>
    <t>pasrichelimfff.blogspot.com</t>
  </si>
  <si>
    <t>pathdiseno.com</t>
  </si>
  <si>
    <t>Please include:</t>
  </si>
  <si>
    <t>patonestateagentsa.blogspot.com</t>
  </si>
  <si>
    <t>patricvwlimu.blogspot.com</t>
  </si>
  <si>
    <t>Release Notes</t>
  </si>
  <si>
    <t>pavidemalikec.blogspot.com</t>
  </si>
  <si>
    <t>pbcsleklike.blogspot.com</t>
  </si>
  <si>
    <t>Audio Recording</t>
  </si>
  <si>
    <t>pbld.co.uk</t>
  </si>
  <si>
    <t>pbramelweser.blogspot.com</t>
  </si>
  <si>
    <t>PDF</t>
  </si>
  <si>
    <t>pcfeedslike.blogspot.com</t>
  </si>
  <si>
    <t>pcgsportsasv.blogspot.com</t>
  </si>
  <si>
    <t>Advertisement</t>
  </si>
  <si>
    <t>pcpalllccxz.blogspot.com</t>
  </si>
  <si>
    <t>pcreggaeweser.blogspot.com</t>
  </si>
  <si>
    <t>pcshutlimdfg.blogspot.com</t>
  </si>
  <si>
    <t>Image Editing</t>
  </si>
  <si>
    <t>pdfbookee.com</t>
  </si>
  <si>
    <t>penny-bang.web.app</t>
  </si>
  <si>
    <t>Colorful Style</t>
  </si>
  <si>
    <t>people-development-team.com</t>
  </si>
  <si>
    <t>peopleelevate.com</t>
  </si>
  <si>
    <t>Elearning, Instructional Design, Online Instruction</t>
  </si>
  <si>
    <t>performancereviewhenseki.blogspot.com</t>
  </si>
  <si>
    <t>perhasolimd.blogspot.com</t>
  </si>
  <si>
    <t>Online Instruction, Employee Onboarding, Program Curriculum, Moodle, Learning Management System, Course, Elearning, Training Online LMS</t>
  </si>
  <si>
    <t>persecldalimzds.blogspot.com</t>
  </si>
  <si>
    <t>personae.nl</t>
  </si>
  <si>
    <t>Podia, Learning Management System, English, Articulate, Stripe, Elearning, Web Development</t>
  </si>
  <si>
    <t>petabarwes.blogspot.com</t>
  </si>
  <si>
    <t>petalsandseedconsulting.com</t>
  </si>
  <si>
    <t>petdatarxlimfde.blogspot.com</t>
  </si>
  <si>
    <t>Word Processing</t>
  </si>
  <si>
    <t>petermillingdubbo.blogspot.com</t>
  </si>
  <si>
    <t>pfmyerslikepfmyerslike.blogspot.com</t>
  </si>
  <si>
    <t>phadvertslimbf.blogspot.com</t>
  </si>
  <si>
    <t>Out-of-Home Campaign</t>
  </si>
  <si>
    <t>phdeck.com</t>
  </si>
  <si>
    <t>phrcert.com</t>
  </si>
  <si>
    <t>picpps.com</t>
  </si>
  <si>
    <t>Omnichannel Automation</t>
  </si>
  <si>
    <t>piermannilike.blogspot.com</t>
  </si>
  <si>
    <t>Facebook JavaScript</t>
  </si>
  <si>
    <t>pipeseed.com</t>
  </si>
  <si>
    <t>pitchinessscg.com</t>
  </si>
  <si>
    <t>Digital Photography , Cinematography</t>
  </si>
  <si>
    <t>pjxssjak.blogspot.com</t>
  </si>
  <si>
    <t>pkdeactlimd.blogspot.com</t>
  </si>
  <si>
    <t>Brand Identity</t>
  </si>
  <si>
    <t>placek.com.pl</t>
  </si>
  <si>
    <t>plachetepersonalizate.ro</t>
  </si>
  <si>
    <t>plademy.com</t>
  </si>
  <si>
    <t>Event Photography</t>
  </si>
  <si>
    <t>plainburstlike.blogspot.com</t>
  </si>
  <si>
    <t>planettalkcheapa.blogspot.com</t>
  </si>
  <si>
    <t>Animal Illustration</t>
  </si>
  <si>
    <t>plaquesrmelimffv.blogspot.com</t>
  </si>
  <si>
    <t>playertomelike.blogspot.com</t>
  </si>
  <si>
    <t>Hungarian</t>
  </si>
  <si>
    <t>pllush.com</t>
  </si>
  <si>
    <t>plocalloeilimpd.blogspot.com</t>
  </si>
  <si>
    <t>Static Banner Ad Design</t>
  </si>
  <si>
    <t>pluscreativo.com</t>
  </si>
  <si>
    <t>pmbclethablike.blogspot.com</t>
  </si>
  <si>
    <t>pngdownload-396e.web.app</t>
  </si>
  <si>
    <t>Static Banner Ad</t>
  </si>
  <si>
    <t>pngdownload-4c.web.app</t>
  </si>
  <si>
    <t>pnit-llces.blogspot.com</t>
  </si>
  <si>
    <t>Dear Maria Jose, please see attached file project description and give me a quote on hourly basis.</t>
  </si>
  <si>
    <t>pokonews.com</t>
  </si>
  <si>
    <t>polotikinglike.blogspot.com</t>
  </si>
  <si>
    <t>SWOT Analysis</t>
  </si>
  <si>
    <t>pop.bz</t>
  </si>
  <si>
    <t>popkanetlikes.blogspot.com</t>
  </si>
  <si>
    <t>pornseellike.blogspot.com</t>
  </si>
  <si>
    <t>Wireframe</t>
  </si>
  <si>
    <t>portalsoftware.com.br</t>
  </si>
  <si>
    <t>poweroutees.blogspot.com</t>
  </si>
  <si>
    <t>ppchypeweser.blogspot.com</t>
  </si>
  <si>
    <t>â€œI am looking for a specialist to launch an online and promote it via TikTok, Instagram, website, with long-term collaboration in business growth.â€_x009d_</t>
  </si>
  <si>
    <t>pphpcmslike.blogspot.com</t>
  </si>
  <si>
    <t>pramal.blogspot.com</t>
  </si>
  <si>
    <t>HTML, Web Design, CSS, Web Development, Animation Design, UI UIX, Graphic Design</t>
  </si>
  <si>
    <t>pratibha.pw</t>
  </si>
  <si>
    <t>precisiondriver.es</t>
  </si>
  <si>
    <t>Autodesk Maya</t>
  </si>
  <si>
    <t>precisionmarketview.com</t>
  </si>
  <si>
    <t>predischargingxtx.com</t>
  </si>
  <si>
    <t>pretzelegslimq.blogspot.com</t>
  </si>
  <si>
    <t>Video Editing, Video Post-Editing, Audio Editing, Instructional Design</t>
  </si>
  <si>
    <t>priemysellimsaa.blogspot.com</t>
  </si>
  <si>
    <t>prigop.blogspot.com</t>
  </si>
  <si>
    <t>Application Release Automation</t>
  </si>
  <si>
    <t>privacidadlibre.org</t>
  </si>
  <si>
    <t>processedfoodsmoreh.blogspot.com</t>
  </si>
  <si>
    <t>video recording, marketing assistant, Video Editing, Video Production, Explainer Video, Education</t>
  </si>
  <si>
    <t>productionfunctionusa.com</t>
  </si>
  <si>
    <t>progressivestrategies.org</t>
  </si>
  <si>
    <t>Philippines</t>
  </si>
  <si>
    <t>projectmanagementtrainingepeibaka.blogspot.com</t>
  </si>
  <si>
    <t>promoinsights.live</t>
  </si>
  <si>
    <t>PLC Programming</t>
  </si>
  <si>
    <t>prothor-ing.com</t>
  </si>
  <si>
    <t>prsslive.blogspot.com</t>
  </si>
  <si>
    <t>psacouncillike.blogspot.com</t>
  </si>
  <si>
    <t>Pen , Ink Illustration</t>
  </si>
  <si>
    <t>psgcnjnewsletter.wordpress.com</t>
  </si>
  <si>
    <t>psimedpdaylim.blogspot.com</t>
  </si>
  <si>
    <t>Electrical Engineering, Technical Writing, PLC Programming, Automation, Instructional Design, SCADA, Content Writing, Proof reading, Technical Editing</t>
  </si>
  <si>
    <t>psionxmcweser.blogspot.com</t>
  </si>
  <si>
    <t>psobbanklimds.blogspot.com</t>
  </si>
  <si>
    <t>Online Instruction, Content Writing, English, ESL Teaching, Instructional Design, Writing</t>
  </si>
  <si>
    <t>psuhrma.blogspot.com</t>
  </si>
  <si>
    <t>ptishoeslike.blogspot.com</t>
  </si>
  <si>
    <t>pubegipsylimps.blogspot.com</t>
  </si>
  <si>
    <t>Environmental, Health , Safety Software</t>
  </si>
  <si>
    <t>puca.pages.dev</t>
  </si>
  <si>
    <t>pumahoglikepumahoglike.blogspot.com</t>
  </si>
  <si>
    <t>ELearning</t>
  </si>
  <si>
    <t>pureburgess.shop</t>
  </si>
  <si>
    <t>purehealthz.com</t>
  </si>
  <si>
    <t>English, Mining, Workplace Safety , Health, Environmental, Health , Safety Software, Quality, Health, Safety , Environment Management</t>
  </si>
  <si>
    <t>pwykybbggf.blogspot.com</t>
  </si>
  <si>
    <t>pzhwonlike.blogspot.com</t>
  </si>
  <si>
    <t>q-links-bhs.xyz</t>
  </si>
  <si>
    <t>Intercultural Communication</t>
  </si>
  <si>
    <t>qdologlimzddd.blogspot.com</t>
  </si>
  <si>
    <t>qdsxxlike.blogspot.com</t>
  </si>
  <si>
    <t>Atlassian Confluence</t>
  </si>
  <si>
    <t>qdypyblikea.blogspot.com</t>
  </si>
  <si>
    <t>qrfonlinelike.blogspot.com</t>
  </si>
  <si>
    <t>WordPress, Learning Management System, Web Development, CSS</t>
  </si>
  <si>
    <t>quidditch.info</t>
  </si>
  <si>
    <t>qzhmltcxz.blogspot.com</t>
  </si>
  <si>
    <t>r-links-bhs.xyz</t>
  </si>
  <si>
    <t>MP4, Self-Help, How To, Elearning Video, Explainer Video, Elearning, Education, Graphic Design, Instructional Design, Video Editing</t>
  </si>
  <si>
    <t>radikalkurlimbs.blogspot.com</t>
  </si>
  <si>
    <t>radiosllatina.net</t>
  </si>
  <si>
    <t>Implement value ladder logic:</t>
  </si>
  <si>
    <t>radrappycxz.blogspot.com</t>
  </si>
  <si>
    <t>raethernetlimdd.blogspot.com</t>
  </si>
  <si>
    <t>Build automations (email, upsells, access, tagging)</t>
  </si>
  <si>
    <t>raftragslimsd.blogspot.com</t>
  </si>
  <si>
    <t>rahasiasuksesbelajar.web.app</t>
  </si>
  <si>
    <t>raildatasciencees.blogspot.com</t>
  </si>
  <si>
    <t>90-Day Success Metrics</t>
  </si>
  <si>
    <t>ramiroiniguez.my.id</t>
  </si>
  <si>
    <t>Box Breakerâ„¢ live in (On-Demand + Guided)</t>
  </si>
  <si>
    <t>ramoncorrea.art</t>
  </si>
  <si>
    <t>random-thought.net</t>
  </si>
  <si>
    <t>Consultation Session</t>
  </si>
  <si>
    <t>randomunboxtv.com</t>
  </si>
  <si>
    <t>rangresha.blogspot.com</t>
  </si>
  <si>
    <t>rankvance-agency.online</t>
  </si>
  <si>
    <t>Entrepreneurship</t>
  </si>
  <si>
    <t>rankvance.info</t>
  </si>
  <si>
    <t>rankvance.online</t>
  </si>
  <si>
    <t>.</t>
  </si>
  <si>
    <t>rankvance.website</t>
  </si>
  <si>
    <t>rankvanceagency.info</t>
  </si>
  <si>
    <t>AI Image Editing</t>
  </si>
  <si>
    <t>rankvanceauthority.info</t>
  </si>
  <si>
    <t>rankvanceboost.info</t>
  </si>
  <si>
    <t>STORYBOARD</t>
  </si>
  <si>
    <t>rankvancelinks.info</t>
  </si>
  <si>
    <t>rankvancelinks.online</t>
  </si>
  <si>
    <t>Lumen5</t>
  </si>
  <si>
    <t>rankvanceseo.website</t>
  </si>
  <si>
    <t>rapedtoplimddd.blogspot.com</t>
  </si>
  <si>
    <t>Resume Screening</t>
  </si>
  <si>
    <t>rate-experience.live</t>
  </si>
  <si>
    <t>rateimprovement.com</t>
  </si>
  <si>
    <t>rauthanhph.blogspot.com</t>
  </si>
  <si>
    <t>Hospitality</t>
  </si>
  <si>
    <t>raymond-seifert-f152.firebaseapp.com</t>
  </si>
  <si>
    <t>rbreconlimz.blogspot.com</t>
  </si>
  <si>
    <t>Problem Resolution</t>
  </si>
  <si>
    <t>readingpages.co.uk</t>
  </si>
  <si>
    <t>reagentsglobalmarket.com</t>
  </si>
  <si>
    <t>Freehand Digital Illustration</t>
  </si>
  <si>
    <t>recherchimbarks.blogspot.com</t>
  </si>
  <si>
    <t>redact-pdf.ai</t>
  </si>
  <si>
    <t>Education, Video Editing, Video Production, Elearning, Artificial Intelligence, AI tools, Vibe Coding</t>
  </si>
  <si>
    <t>redhberlistlim.blogspot.com</t>
  </si>
  <si>
    <t>reditateasb.blogspot.com</t>
  </si>
  <si>
    <t>Adalo</t>
  </si>
  <si>
    <t>redqtiplike.blogspot.com</t>
  </si>
  <si>
    <t>reducmotolims.blogspot.com</t>
  </si>
  <si>
    <t>reeqlilyan.pages.dev</t>
  </si>
  <si>
    <t>Education, Elearning, Artificial Intelligence, AI Tools, Video Editing, Video Production</t>
  </si>
  <si>
    <t>refinantzlimzsx.blogspot.com</t>
  </si>
  <si>
    <t>reflets-riveoes.blogspot.com</t>
  </si>
  <si>
    <t>reillyprolime.blogspot.com</t>
  </si>
  <si>
    <t>relexportslike.blogspot.com</t>
  </si>
  <si>
    <t>Digital Asset Management</t>
  </si>
  <si>
    <t>remarkableminds.net</t>
  </si>
  <si>
    <t>remote.marketing</t>
  </si>
  <si>
    <t>Adobe Lightroom</t>
  </si>
  <si>
    <t>remotechakri.com</t>
  </si>
  <si>
    <t>remotehrjobs.net</t>
  </si>
  <si>
    <t>Marketing Localization</t>
  </si>
  <si>
    <t>remotejobshive.com</t>
  </si>
  <si>
    <t>rencontre-sex.ovh</t>
  </si>
  <si>
    <t>renemathilde.pages.dev</t>
  </si>
  <si>
    <t>SEO Localization</t>
  </si>
  <si>
    <t>reportpinnacle.com</t>
  </si>
  <si>
    <t>researchaxiom.com</t>
  </si>
  <si>
    <t>responsibledigitaleuropeancitizens.blogspot.com</t>
  </si>
  <si>
    <t>retekanbnm.blogspot.com</t>
  </si>
  <si>
    <t>Multimedia Development</t>
  </si>
  <si>
    <t>retoolingretail.com</t>
  </si>
  <si>
    <t>revaliew.com</t>
  </si>
  <si>
    <t>21K</t>
  </si>
  <si>
    <t>Payment Functionality</t>
  </si>
  <si>
    <t>revan-me.com</t>
  </si>
  <si>
    <t>revueunionlimdddds.blogspot.com</t>
  </si>
  <si>
    <t>AWS Cloud9</t>
  </si>
  <si>
    <t>rewdimglim.blogspot.com</t>
  </si>
  <si>
    <t>rewfclklimbgf.blogspot.com</t>
  </si>
  <si>
    <t>rewfimglimfds.blogspot.com</t>
  </si>
  <si>
    <t>IT Management</t>
  </si>
  <si>
    <t>rhobetaslimf.blogspot.com</t>
  </si>
  <si>
    <t>riadanda.com</t>
  </si>
  <si>
    <t>Security Management</t>
  </si>
  <si>
    <t>richbelizelimpd.blogspot.com</t>
  </si>
  <si>
    <t>richlandnjlike.blogspot.com</t>
  </si>
  <si>
    <t>Amazon Seller Central</t>
  </si>
  <si>
    <t>rickedralike.blogspot.com</t>
  </si>
  <si>
    <t>rickedralikeyyyy.blogspot.com</t>
  </si>
  <si>
    <t>Facility Design</t>
  </si>
  <si>
    <t>rightbrainblogs.blogspot.com</t>
  </si>
  <si>
    <t>rikbo.com</t>
  </si>
  <si>
    <t>rinamellie.pages.dev</t>
  </si>
  <si>
    <t>Design , Usability Research</t>
  </si>
  <si>
    <t>risc83.com</t>
  </si>
  <si>
    <t>ritetastewaterasd.blogspot.com</t>
  </si>
  <si>
    <t>Neuroscience</t>
  </si>
  <si>
    <t>ritzhospitality.edu.np</t>
  </si>
  <si>
    <t>rlipkinglikes.blogspot.com</t>
  </si>
  <si>
    <t>Facilities Management Software</t>
  </si>
  <si>
    <t>rlmlearninginnovations.ca</t>
  </si>
  <si>
    <t>rlsteplimbgf.blogspot.com</t>
  </si>
  <si>
    <t>Facilities Management</t>
  </si>
  <si>
    <t>rmcadamsweser.blogspot.com</t>
  </si>
  <si>
    <t>rmcecolike.blogspot.com</t>
  </si>
  <si>
    <t>rmdigmanlikec.blogspot.com</t>
  </si>
  <si>
    <t>rmpcalciolimdsff.blogspot.com</t>
  </si>
  <si>
    <t>Human Science</t>
  </si>
  <si>
    <t>rmsuckslike.blogspot.com</t>
  </si>
  <si>
    <t>road2redemption.org.nz</t>
  </si>
  <si>
    <t>roadmender.net</t>
  </si>
  <si>
    <t>Content Rewriting</t>
  </si>
  <si>
    <t>robertillemann.com</t>
  </si>
  <si>
    <t>robobevellim.blogspot.com</t>
  </si>
  <si>
    <t>robobevellimz.blogspot.com</t>
  </si>
  <si>
    <t>robopullerlimff.blogspot.com</t>
  </si>
  <si>
    <t>rochelleplimdds.blogspot.com</t>
  </si>
  <si>
    <t>AVEVA PDMS</t>
  </si>
  <si>
    <t>rokiclanlike.blogspot.com</t>
  </si>
  <si>
    <t>romanpklimds.blogspot.com</t>
  </si>
  <si>
    <t>PIPESIM</t>
  </si>
  <si>
    <t>roomdedidactica.blogspot.com</t>
  </si>
  <si>
    <t>ropocalikec.blogspot.com</t>
  </si>
  <si>
    <t>Aspen HYSYS</t>
  </si>
  <si>
    <t>rosannekelikerosannekelike.blogspot.com</t>
  </si>
  <si>
    <t>rosariorementer.my.id</t>
  </si>
  <si>
    <t>Aspen Plus</t>
  </si>
  <si>
    <t>roseycashlimbf.blogspot.com</t>
  </si>
  <si>
    <t>roundtablelearningdev.com</t>
  </si>
  <si>
    <t>Podcast Production</t>
  </si>
  <si>
    <t>rsiooslikeccc.blogspot.com</t>
  </si>
  <si>
    <t>rsspolicelim.blogspot.com</t>
  </si>
  <si>
    <t>Customer Insight Analysis</t>
  </si>
  <si>
    <t>rubric.co.jp</t>
  </si>
  <si>
    <t>rubric.co.uk</t>
  </si>
  <si>
    <t>rubric.ltd</t>
  </si>
  <si>
    <t>SnagIt</t>
  </si>
  <si>
    <t>runwnylikec.blogspot.com</t>
  </si>
  <si>
    <t>rurfieslike.blogspot.com</t>
  </si>
  <si>
    <t>FAQ</t>
  </si>
  <si>
    <t>rusnicklike.blogspot.com</t>
  </si>
  <si>
    <t>rvsalesitelimssa.blogspot.com</t>
  </si>
  <si>
    <t>Facebook Audience Network</t>
  </si>
  <si>
    <t>sablegales.blogspot.com</t>
  </si>
  <si>
    <t>sabzevarylimew.blogspot.com</t>
  </si>
  <si>
    <t>sachabenda.com</t>
  </si>
  <si>
    <t>Energetic Tone</t>
  </si>
  <si>
    <t>saibahinilike.blogspot.com</t>
  </si>
  <si>
    <t>saisncweser.blogspot.com</t>
  </si>
  <si>
    <t>Object Detection , Tracking</t>
  </si>
  <si>
    <t>saisonaharu.com</t>
  </si>
  <si>
    <t>salemmcrlikec.blogspot.com</t>
  </si>
  <si>
    <t>Reddit Marketing</t>
  </si>
  <si>
    <t>salgskurser.info</t>
  </si>
  <si>
    <t>salonbyjaslimbg.blogspot.com</t>
  </si>
  <si>
    <t>Microsoft Ads</t>
  </si>
  <si>
    <t>sammymaycakesa.blogspot.com</t>
  </si>
  <si>
    <t>sampleprofessionallydesignedtemplates.blogspot.com</t>
  </si>
  <si>
    <t>sanairambiente.com</t>
  </si>
  <si>
    <t>Google Analytics 4</t>
  </si>
  <si>
    <t>sandiegolifecoaches.com</t>
  </si>
  <si>
    <t>sandycorp.com</t>
  </si>
  <si>
    <t>Sales Promotion</t>
  </si>
  <si>
    <t>sangfaeweser.blogspot.com</t>
  </si>
  <si>
    <t>sapphopialimddd.blogspot.com</t>
  </si>
  <si>
    <t>sarahmackus.com</t>
  </si>
  <si>
    <t>Sales Writing</t>
  </si>
  <si>
    <t>sarahreebs.com</t>
  </si>
  <si>
    <t>sarkariresultsupdates.com</t>
  </si>
  <si>
    <t>Sales Letter</t>
  </si>
  <si>
    <t>satighelim.blogspot.com</t>
  </si>
  <si>
    <t>saturngrlimd.blogspot.com</t>
  </si>
  <si>
    <t>Articulate Storyline, LearnWorlds, Elearning, Instructional Design, Graphic Design</t>
  </si>
  <si>
    <t>savant.app</t>
  </si>
  <si>
    <t>savoyny.blogspot.com</t>
  </si>
  <si>
    <t>Instructional Design, Course Design</t>
  </si>
  <si>
    <t>sazanassami.blogspot.com</t>
  </si>
  <si>
    <t>sbgslotslimfffb.blogspot.com</t>
  </si>
  <si>
    <t>Bitrix24</t>
  </si>
  <si>
    <t>scadancelike.blogspot.com</t>
  </si>
  <si>
    <t>scandavoiplike.blogspot.com</t>
  </si>
  <si>
    <t>scgolfnewslimf.blogspot.com</t>
  </si>
  <si>
    <t>Amazon EC2</t>
  </si>
  <si>
    <t>schfitzlike.blogspot.com</t>
  </si>
  <si>
    <t>scholtzkylike.blogspot.com</t>
  </si>
  <si>
    <t>Amazon S3</t>
  </si>
  <si>
    <t>scholtzkylimb.blogspot.com</t>
  </si>
  <si>
    <t>schouralikes.blogspot.com</t>
  </si>
  <si>
    <t>Auth0</t>
  </si>
  <si>
    <t>sciplinilimoa.blogspot.com</t>
  </si>
  <si>
    <t>scooppin.com</t>
  </si>
  <si>
    <t>course structures (modules, lessons, access logic)</t>
  </si>
  <si>
    <t>scottishsearch.com</t>
  </si>
  <si>
    <t>screclublike.blogspot.com</t>
  </si>
  <si>
    <t>Vector Graphic</t>
  </si>
  <si>
    <t>scrims.xyz</t>
  </si>
  <si>
    <t>scsiscanlike.blogspot.com</t>
  </si>
  <si>
    <t>People Illustration</t>
  </si>
  <si>
    <t>sdcatanlike.blogspot.com</t>
  </si>
  <si>
    <t>sddsindongartlim.blogspot.com</t>
  </si>
  <si>
    <t>sdtfsxlike.blogspot.com</t>
  </si>
  <si>
    <t>Create video for advertising 
  upload and create 
  website merge
  marketing solutions</t>
  </si>
  <si>
    <t>sdtfsxlikea.blogspot.com</t>
  </si>
  <si>
    <t>Special Education</t>
  </si>
  <si>
    <t>AI Model Training Prompt</t>
  </si>
  <si>
    <t>searchalldomains.com</t>
  </si>
  <si>
    <t>searchlistinghub.com</t>
  </si>
  <si>
    <t>searchweb.com</t>
  </si>
  <si>
    <t>NVIDIA Omniverse</t>
  </si>
  <si>
    <t>searchweb.se</t>
  </si>
  <si>
    <t>seavirinlike.blogspot.com</t>
  </si>
  <si>
    <t>Mediation</t>
  </si>
  <si>
    <t>secbreklike.blogspot.com</t>
  </si>
  <si>
    <t>securitymanagementhankayu.blogspot.com</t>
  </si>
  <si>
    <t>Alternative Dispute Resolution</t>
  </si>
  <si>
    <t>seefxnowlimz.blogspot.com</t>
  </si>
  <si>
    <t>seegetitlimd.blogspot.com</t>
  </si>
  <si>
    <t>seferfilmlimpddsvg.blogspot.com</t>
  </si>
  <si>
    <t>ISO 14001</t>
  </si>
  <si>
    <t>seimargtlikecc.blogspot.com</t>
  </si>
  <si>
    <t>selectinet.com</t>
  </si>
  <si>
    <t>Environmental Engineering</t>
  </si>
  <si>
    <t>selfbentolike.blogspot.com</t>
  </si>
  <si>
    <t>selfsensei.com</t>
  </si>
  <si>
    <t>Environmental Science</t>
  </si>
  <si>
    <t>sellypro.com</t>
  </si>
  <si>
    <t>semeetcolikecc.blogspot.com</t>
  </si>
  <si>
    <t>Accounting Software</t>
  </si>
  <si>
    <t>semmargensasb.blogspot.com</t>
  </si>
  <si>
    <t>senkodenkilike.blogspot.com</t>
  </si>
  <si>
    <t>seoauthority.online</t>
  </si>
  <si>
    <t>seodiff.io</t>
  </si>
  <si>
    <t>Google Display Network</t>
  </si>
  <si>
    <t>seoulvetlimdda.blogspot.com</t>
  </si>
  <si>
    <t>seourldirectory.com</t>
  </si>
  <si>
    <t>Scrum</t>
  </si>
  <si>
    <t>sergentmaclike.blogspot.com</t>
  </si>
  <si>
    <t>serylinelikec.blogspot.com</t>
  </si>
  <si>
    <t>HootSuite</t>
  </si>
  <si>
    <t>setec.dev.br</t>
  </si>
  <si>
    <t>sewletsewlike.blogspot.com</t>
  </si>
  <si>
    <t>Sales Operations</t>
  </si>
  <si>
    <t>sexbojylike.blogspot.com</t>
  </si>
  <si>
    <t>sexonojolikecf.blogspot.com</t>
  </si>
  <si>
    <t>sexyexitlikec.blogspot.com</t>
  </si>
  <si>
    <t>Report Writing</t>
  </si>
  <si>
    <t>sflwiringlimp.blogspot.com</t>
  </si>
  <si>
    <t>sfonnbclimn.blogspot.com</t>
  </si>
  <si>
    <t>Instagram Ad Campaign</t>
  </si>
  <si>
    <t>sfsuforumlimbgfx.blogspot.com</t>
  </si>
  <si>
    <t>sgconard.blogspot.com</t>
  </si>
  <si>
    <t>Ad Campaign</t>
  </si>
  <si>
    <t>sgogouas.blogspot.com</t>
  </si>
  <si>
    <t>sgproindialikes.blogspot.com</t>
  </si>
  <si>
    <t>sharjahmarketing.blogspot.com</t>
  </si>
  <si>
    <t>Information Literacy</t>
  </si>
  <si>
    <t>sharkzpokera.blogspot.com</t>
  </si>
  <si>
    <t>shaunstoltz.com</t>
  </si>
  <si>
    <t>Shopify Website Design</t>
  </si>
  <si>
    <t>sherisececil.my.id</t>
  </si>
  <si>
    <t>shijikeruilimdss.blogspot.com</t>
  </si>
  <si>
    <t>shinglaifslike.blogspot.com</t>
  </si>
  <si>
    <t>Store Audit</t>
  </si>
  <si>
    <t>shockedsexlims.blogspot.com</t>
  </si>
  <si>
    <t>shoplogist.com</t>
  </si>
  <si>
    <t>showdirectory.in</t>
  </si>
  <si>
    <t>United Kingdom</t>
  </si>
  <si>
    <t>shroodmyasslim.blogspot.com</t>
  </si>
  <si>
    <t>shuendowes.blogspot.com</t>
  </si>
  <si>
    <t>shuifunklikec.blogspot.com</t>
  </si>
  <si>
    <t>Environmental Law</t>
  </si>
  <si>
    <t>sidagmlike.blogspot.com</t>
  </si>
  <si>
    <t>siireynosalike.blogspot.com</t>
  </si>
  <si>
    <t>HIPAA</t>
  </si>
  <si>
    <t>silverlandasd.blogspot.com</t>
  </si>
  <si>
    <t>singooleaa.blogspot.com</t>
  </si>
  <si>
    <t>Ruby</t>
  </si>
  <si>
    <t>sisfoperch.edu.pe</t>
  </si>
  <si>
    <t>sissilunelimb.blogspot.com</t>
  </si>
  <si>
    <t>sitetweets.net</t>
  </si>
  <si>
    <t>Need support developing a personal ai agent infrastructure</t>
  </si>
  <si>
    <t>sitnstaypetsittera.blogspot.com</t>
  </si>
  <si>
    <t>sixpaglimds.blogspot.com</t>
  </si>
  <si>
    <t>Real Estate Cold Calling</t>
  </si>
  <si>
    <t>sixxs.com</t>
  </si>
  <si>
    <t>sizzlerasen.blogspot.com</t>
  </si>
  <si>
    <t>Order Processing</t>
  </si>
  <si>
    <t>skillyou.org</t>
  </si>
  <si>
    <t>skolenibozp.online</t>
  </si>
  <si>
    <t>Customer Acquisition</t>
  </si>
  <si>
    <t>skyeno.com</t>
  </si>
  <si>
    <t>slfjjilimd.blogspot.com</t>
  </si>
  <si>
    <t>slngcobn.blogspot.com</t>
  </si>
  <si>
    <t>Cloud Database</t>
  </si>
  <si>
    <t>smallbiztrrends.com</t>
  </si>
  <si>
    <t>smartcustomessays.com</t>
  </si>
  <si>
    <t>Conversational User Interface</t>
  </si>
  <si>
    <t>smtrading-companyes.blogspot.com</t>
  </si>
  <si>
    <t>snltilelimd.blogspot.com</t>
  </si>
  <si>
    <t>Japanese</t>
  </si>
  <si>
    <t>snmputbn.blogspot.com</t>
  </si>
  <si>
    <t>snohomishcountyweddings.com</t>
  </si>
  <si>
    <t>Lead Magnet</t>
  </si>
  <si>
    <t>sobeblulike.blogspot.com</t>
  </si>
  <si>
    <t>socialbookmarklink.com</t>
  </si>
  <si>
    <t>Adobe Photoshop Elements</t>
  </si>
  <si>
    <t>socialnetworkaudit.com</t>
  </si>
  <si>
    <t>softottnetlike.blogspot.com</t>
  </si>
  <si>
    <t>softwareandlearning.com</t>
  </si>
  <si>
    <t>Content Analysis</t>
  </si>
  <si>
    <t>solarcullikec.blogspot.com</t>
  </si>
  <si>
    <t>somduchsurflim.blogspot.com</t>
  </si>
  <si>
    <t>LMS Expert</t>
  </si>
  <si>
    <t>somnavuelimp.blogspot.com</t>
  </si>
  <si>
    <t>somuchinfo.com</t>
  </si>
  <si>
    <t>website buildout -copy from for a creation</t>
  </si>
  <si>
    <t>souiptvlike.blogspot.com</t>
  </si>
  <si>
    <t>soulclodwnlim.blogspot.com</t>
  </si>
  <si>
    <t>Litigation</t>
  </si>
  <si>
    <t>souriyacweser.blogspot.com</t>
  </si>
  <si>
    <t>spactivalimpv.blogspot.com</t>
  </si>
  <si>
    <t>sparkalfly.com</t>
  </si>
  <si>
    <t>Legal Drafting</t>
  </si>
  <si>
    <t>spascliplimtg.blogspot.com</t>
  </si>
  <si>
    <t>spatherapyasb.blogspot.com</t>
  </si>
  <si>
    <t>Twilio API</t>
  </si>
  <si>
    <t>spawnjob.com</t>
  </si>
  <si>
    <t>spdaysxswes.blogspot.com</t>
  </si>
  <si>
    <t>Information Retrieval</t>
  </si>
  <si>
    <t>spdrwlflike.blogspot.com</t>
  </si>
  <si>
    <t>specigo29.web.app</t>
  </si>
  <si>
    <t>Enterprise Resource Planning</t>
  </si>
  <si>
    <t>specigo37.web.app</t>
  </si>
  <si>
    <t>speleoweblike.blogspot.com</t>
  </si>
  <si>
    <t>spfasoftlimn.blogspot.com</t>
  </si>
  <si>
    <t>System Analysis</t>
  </si>
  <si>
    <t>spillcontainmentpallet.com</t>
  </si>
  <si>
    <t>spondyluscreationes.blogspot.com</t>
  </si>
  <si>
    <t>Visual Art</t>
  </si>
  <si>
    <t>sportsbikeparts.pk</t>
  </si>
  <si>
    <t>sportscourts.com.au</t>
  </si>
  <si>
    <t>End-to-End Testing</t>
  </si>
  <si>
    <t>sportsitzq.blogspot.com</t>
  </si>
  <si>
    <t>spp-printedpackaging.com</t>
  </si>
  <si>
    <t>Software QA</t>
  </si>
  <si>
    <t>sprcteralikea.blogspot.com</t>
  </si>
  <si>
    <t>spritemslimp.blogspot.com</t>
  </si>
  <si>
    <t>spursitoasen.blogspot.com</t>
  </si>
  <si>
    <t>Microsoft PowerPoint, Presentation Design, Training Presentation, Presentations, Business Presentation, Instructional Design</t>
  </si>
  <si>
    <t>sreejobs.com</t>
  </si>
  <si>
    <t>ss168aaes.blogspot.com</t>
  </si>
  <si>
    <t>COurse</t>
  </si>
  <si>
    <t>ssasunlikec.blogspot.com</t>
  </si>
  <si>
    <t>stablefm.blogspot.com</t>
  </si>
  <si>
    <t>bbPress, LearnDash, WooCommerce, WordPress, Learning Management System</t>
  </si>
  <si>
    <t>staelcorplike.blogspot.com</t>
  </si>
  <si>
    <t>staging33.wordpress.com</t>
  </si>
  <si>
    <t>Superhero</t>
  </si>
  <si>
    <t>stakingsces.blogspot.com</t>
  </si>
  <si>
    <t>stampingkylike.blogspot.com</t>
  </si>
  <si>
    <t>Realistic</t>
  </si>
  <si>
    <t>starbldeamlim.blogspot.com</t>
  </si>
  <si>
    <t>starkidslearn.com</t>
  </si>
  <si>
    <t>starowy.blogspot.com</t>
  </si>
  <si>
    <t>startontek.com</t>
  </si>
  <si>
    <t>Traditional Illustration</t>
  </si>
  <si>
    <t>staypawsasb.blogspot.com</t>
  </si>
  <si>
    <t>stblplclikec.blogspot.com</t>
  </si>
  <si>
    <t>a leadership program for a coach - mini and motivation program and must have relevent experience</t>
  </si>
  <si>
    <t>stdklanlime.blogspot.com</t>
  </si>
  <si>
    <t>steezboyzgamingasnet.blogspot.com</t>
  </si>
  <si>
    <t>Develop a leadership program for a coach - mini and motivation program and must have relevent experience</t>
  </si>
  <si>
    <t>steinassteinas.blogspot.com</t>
  </si>
  <si>
    <t>stevefallaas.blogspot.com</t>
  </si>
  <si>
    <t>stfconsortium.org</t>
  </si>
  <si>
    <t>Content Editing</t>
  </si>
  <si>
    <t>stimulus.se</t>
  </si>
  <si>
    <t>stincpacweser.blogspot.com</t>
  </si>
  <si>
    <t>Vertex AI</t>
  </si>
  <si>
    <t>stocksmartpro.com</t>
  </si>
  <si>
    <t>stokercies.blogspot.com</t>
  </si>
  <si>
    <t>Python Scikit-Learn</t>
  </si>
  <si>
    <t>stonycreekmotela.blogspot.com</t>
  </si>
  <si>
    <t>storedoorasd.blogspot.com</t>
  </si>
  <si>
    <t>OpenAI Codex</t>
  </si>
  <si>
    <t>strangecalimdfff.blogspot.com</t>
  </si>
  <si>
    <t>strategic-solutions-coaching.com</t>
  </si>
  <si>
    <t>stronghub.net</t>
  </si>
  <si>
    <t>Zoho PageSense</t>
  </si>
  <si>
    <t>studiotwg.com</t>
  </si>
  <si>
    <t>sturebanken.com</t>
  </si>
  <si>
    <t>Database Integration</t>
  </si>
  <si>
    <t>stycacorticiferousaa.blogspot.com</t>
  </si>
  <si>
    <t>suadienlanhhaiduong.com</t>
  </si>
  <si>
    <t>Ruby on Rails</t>
  </si>
  <si>
    <t>suaranews.github.io</t>
  </si>
  <si>
    <t>subome.blogspot.com</t>
  </si>
  <si>
    <t>Due Diligence</t>
  </si>
  <si>
    <t>subsites.net</t>
  </si>
  <si>
    <t>subwarsak.blogspot.com</t>
  </si>
  <si>
    <t>Graduate School</t>
  </si>
  <si>
    <t>sucicintalawes.blogspot.com</t>
  </si>
  <si>
    <t>sudohack.net</t>
  </si>
  <si>
    <t>Virtual LAN</t>
  </si>
  <si>
    <t>suggaras.blogspot.com</t>
  </si>
  <si>
    <t>sultloadesc.blogspot.com</t>
  </si>
  <si>
    <t>summrefestlimz.blogspot.com</t>
  </si>
  <si>
    <t>Developmental Editing</t>
  </si>
  <si>
    <t>sunamdecor.blogspot.com</t>
  </si>
  <si>
    <t>sunkissedbybeanes.blogspot.com</t>
  </si>
  <si>
    <t>Commenting</t>
  </si>
  <si>
    <t>sunsiqinglim.blogspot.com</t>
  </si>
  <si>
    <t>superdiscount.live</t>
  </si>
  <si>
    <t>WAN Optimization</t>
  </si>
  <si>
    <t>superpowercyberpunka.blogspot.com</t>
  </si>
  <si>
    <t>superpowersevillea.blogspot.com</t>
  </si>
  <si>
    <t>OSPF</t>
  </si>
  <si>
    <t>suppressiongamingas.blogspot.com</t>
  </si>
  <si>
    <t>supreme-owl.web.app</t>
  </si>
  <si>
    <t>suraxifslimbgf.blogspot.com</t>
  </si>
  <si>
    <t>Computer Systems Engineering</t>
  </si>
  <si>
    <t>surekha.co.in</t>
  </si>
  <si>
    <t>surfchemsci.com</t>
  </si>
  <si>
    <t>Infrastructure as Code</t>
  </si>
  <si>
    <t>surfsessionsas.blogspot.com</t>
  </si>
  <si>
    <t>surfthesurlimd.blogspot.com</t>
  </si>
  <si>
    <t>Internet Protocol Security</t>
  </si>
  <si>
    <t>surgepblikefd.blogspot.com</t>
  </si>
  <si>
    <t>susan-bright.pages.dev</t>
  </si>
  <si>
    <t>Cloud Computing</t>
  </si>
  <si>
    <t>sushila.co.in</t>
  </si>
  <si>
    <t>susiasuk.blogspot.com</t>
  </si>
  <si>
    <t>sustainabilityconsulting.blogspot.com</t>
  </si>
  <si>
    <t>Microsoft Exchange Server</t>
  </si>
  <si>
    <t>svadhambnm.blogspot.com</t>
  </si>
  <si>
    <t>swedishfishas.blogspot.com</t>
  </si>
  <si>
    <t>Network Equipment</t>
  </si>
  <si>
    <t>swhatchlike.blogspot.com</t>
  </si>
  <si>
    <t>sxscjcbb.blogspot.com</t>
  </si>
  <si>
    <t>Cisco IOS</t>
  </si>
  <si>
    <t>sxsjgqap.blogspot.com</t>
  </si>
  <si>
    <t>sydneysocialmediaservices.com</t>
  </si>
  <si>
    <t>Document Automation</t>
  </si>
  <si>
    <t>sydstrike.co.uk</t>
  </si>
  <si>
    <t>syifariabn.blogspot.com</t>
  </si>
  <si>
    <t>Mandarin Dialect</t>
  </si>
  <si>
    <t>sylihonglikejk.blogspot.com</t>
  </si>
  <si>
    <t>szmeishab.blogspot.com</t>
  </si>
  <si>
    <t>sznandaweser.blogspot.com</t>
  </si>
  <si>
    <t>Spring Boot</t>
  </si>
  <si>
    <t>sznewview.cn</t>
  </si>
  <si>
    <t>sztonxinlikes.blogspot.com</t>
  </si>
  <si>
    <t>Dynamic Transition</t>
  </si>
  <si>
    <t>szylynbnmrs.blogspot.com</t>
  </si>
  <si>
    <t>t-links-bhs.xyz</t>
  </si>
  <si>
    <t>International Accounting Standards</t>
  </si>
  <si>
    <t>tabstrekb.blogspot.com</t>
  </si>
  <si>
    <t>taejamlikex.blogspot.com</t>
  </si>
  <si>
    <t>Account Reconciliation</t>
  </si>
  <si>
    <t>tagzzas.blogspot.com</t>
  </si>
  <si>
    <t>tahdaamlike.blogspot.com</t>
  </si>
  <si>
    <t>takeyoursharees.blogspot.com</t>
  </si>
  <si>
    <t>Benefits</t>
  </si>
  <si>
    <t>talrothlikec.blogspot.com</t>
  </si>
  <si>
    <t>taluno.app</t>
  </si>
  <si>
    <t>Lyrics Video</t>
  </si>
  <si>
    <t>tammiqrachele.pages.dev</t>
  </si>
  <si>
    <t>tapetenn.netlify.app</t>
  </si>
  <si>
    <t>Personal Branding</t>
  </si>
  <si>
    <t>tarbamaqgh.blogspot.com</t>
  </si>
  <si>
    <t>taxoutletmallsa.blogspot.com</t>
  </si>
  <si>
    <t>Create repeatable course templates future frameworks</t>
  </si>
  <si>
    <t>tbnews.co</t>
  </si>
  <si>
    <t>tcbyfvliketcbyfvlike.blogspot.com</t>
  </si>
  <si>
    <t>tcdasen.blogspot.com</t>
  </si>
  <si>
    <t>Laravel, MySQL, Web Development, PHP</t>
  </si>
  <si>
    <t>tcgcxzlikea.blogspot.com</t>
  </si>
  <si>
    <t>tdla.org</t>
  </si>
  <si>
    <t>Display Ad Campaign</t>
  </si>
  <si>
    <t>teamrealthing.com</t>
  </si>
  <si>
    <t>techbytenews.com</t>
  </si>
  <si>
    <t>technology24foryou.blogspot.com</t>
  </si>
  <si>
    <t>Custom Ecommerce Store</t>
  </si>
  <si>
    <t>tecupdate.com</t>
  </si>
  <si>
    <t>teemfulness.com</t>
  </si>
  <si>
    <t>Lectora, Articulate Storyline, Instructional Design, Course</t>
  </si>
  <si>
    <t>teenidoluslimg.blogspot.com</t>
  </si>
  <si>
    <t>teesladlike.blogspot.com</t>
  </si>
  <si>
    <t>Need help learning how tomplace contacts in zoho and send emails professional</t>
  </si>
  <si>
    <t>teesladlim.blogspot.com</t>
  </si>
  <si>
    <t>teesladlimz.blogspot.com</t>
  </si>
  <si>
    <t>Customer Satisfaction</t>
  </si>
  <si>
    <t>telosmi.com</t>
  </si>
  <si>
    <t>terpsi.web.app</t>
  </si>
  <si>
    <t>terrasweeplimff.blogspot.com</t>
  </si>
  <si>
    <t>General Transcription</t>
  </si>
  <si>
    <t>teshamillslike.blogspot.com</t>
  </si>
  <si>
    <t>testertyz.blogspot.com</t>
  </si>
  <si>
    <t>Apex</t>
  </si>
  <si>
    <t>textsmithpk.blogspot.com</t>
  </si>
  <si>
    <t>th3r3v3rsal.com</t>
  </si>
  <si>
    <t>Agriculture , Forestry</t>
  </si>
  <si>
    <t>thatfirefly.com</t>
  </si>
  <si>
    <t>thatfirefly.rocks</t>
  </si>
  <si>
    <t>Facebook Shops</t>
  </si>
  <si>
    <t>the-internet.co</t>
  </si>
  <si>
    <t>the-world.me</t>
  </si>
  <si>
    <t>theannefidler.com</t>
  </si>
  <si>
    <t>Graphic Design Software</t>
  </si>
  <si>
    <t>theanxietycoach.net</t>
  </si>
  <si>
    <t>theboidyslimn.blogspot.com</t>
  </si>
  <si>
    <t>Microsoft Visio</t>
  </si>
  <si>
    <t>thecompletetrainer.blogspot.com</t>
  </si>
  <si>
    <t>theeqworkshop.com</t>
  </si>
  <si>
    <t>thefuntrove.com</t>
  </si>
  <si>
    <t>theglobe.at</t>
  </si>
  <si>
    <t>WeWeb</t>
  </si>
  <si>
    <t>theglobe.in</t>
  </si>
  <si>
    <t>Campaign Monitor</t>
  </si>
  <si>
    <t>theglobe.mx</t>
  </si>
  <si>
    <t>theglobe.onl</t>
  </si>
  <si>
    <t>theglobe.pt</t>
  </si>
  <si>
    <t>Spokesperson Video</t>
  </si>
  <si>
    <t>theglobe.se</t>
  </si>
  <si>
    <t>thegreatwizardingexpresses.blogspot.com</t>
  </si>
  <si>
    <t>thehcdgroup.com</t>
  </si>
  <si>
    <t>Transportation</t>
  </si>
  <si>
    <t>thehistoriesinworld.netlify.app</t>
  </si>
  <si>
    <t>theinternet.es</t>
  </si>
  <si>
    <t>Pharmaceutical Industry</t>
  </si>
  <si>
    <t>thelearningacademy.info</t>
  </si>
  <si>
    <t>thelearningdigest.com</t>
  </si>
  <si>
    <t>Jasper AI</t>
  </si>
  <si>
    <t>thelearningedge.com</t>
  </si>
  <si>
    <t>theleminslike.blogspot.com</t>
  </si>
  <si>
    <t>themeasurementmap.com</t>
  </si>
  <si>
    <t>Youâ€™ve built multiple ecosystems, not just single courses</t>
  </si>
  <si>
    <t>themefightlimhrm.blogspot.com</t>
  </si>
  <si>
    <t>thenew4u2.com</t>
  </si>
  <si>
    <t>(Circle, Delenta familiarity is a plus)</t>
  </si>
  <si>
    <t>theoneq.com</t>
  </si>
  <si>
    <t>thesamachar.in</t>
  </si>
  <si>
    <t>Animated GIF</t>
  </si>
  <si>
    <t>thesocialhouseja.com</t>
  </si>
  <si>
    <t>thetarotalk.com</t>
  </si>
  <si>
    <t>thetraveloffers.com</t>
  </si>
  <si>
    <t>Meditation</t>
  </si>
  <si>
    <t>thevillagesofbanyangrove.com</t>
  </si>
  <si>
    <t>theworld.diamonds</t>
  </si>
  <si>
    <t>Google Calendar</t>
  </si>
  <si>
    <t>theworld.university</t>
  </si>
  <si>
    <t>thewrightlearning.co.uk</t>
  </si>
  <si>
    <t>Workshop Facilitation</t>
  </si>
  <si>
    <t>think4growth.com</t>
  </si>
  <si>
    <t>thmichurhasd.blogspot.com</t>
  </si>
  <si>
    <t>UX , UI, Mobile App Redesign, Mockup, Prototyping, UI/UX Prototyping, User Experience Design</t>
  </si>
  <si>
    <t>thompson-mabel2987.firebaseapp.com</t>
  </si>
  <si>
    <t>thouw.blogspot.com</t>
  </si>
  <si>
    <t>thtbits.com</t>
  </si>
  <si>
    <t>Lesson, Instructional Design, Program Curriculum, Academic K-12, Course, Online Instruction, Curriculum Design, Curriculum Development</t>
  </si>
  <si>
    <t>tierneysadler.com</t>
  </si>
  <si>
    <t>tildiqjaquenette.pages.dev</t>
  </si>
  <si>
    <t>Usability Testing, Education, Educational Leadership</t>
  </si>
  <si>
    <t>timegpstrategies.com</t>
  </si>
  <si>
    <t>WordPress, LearnDash, Learning Management System, Web Design</t>
  </si>
  <si>
    <t>tire1devote.blogspot.com</t>
  </si>
  <si>
    <t>tiualiafg.blogspot.com</t>
  </si>
  <si>
    <t>Startup Consulting</t>
  </si>
  <si>
    <t>tiualiagh.blogspot.com</t>
  </si>
  <si>
    <t>tjpussywes.blogspot.com</t>
  </si>
  <si>
    <t>Lua</t>
  </si>
  <si>
    <t>tmhgtlcxz.blogspot.com</t>
  </si>
  <si>
    <t>tnpleaguelimzss.blogspot.com</t>
  </si>
  <si>
    <t>toclansweser.blogspot.com</t>
  </si>
  <si>
    <t>Game Development Bug Fix</t>
  </si>
  <si>
    <t>tocutetoyslimp.blogspot.com</t>
  </si>
  <si>
    <t>tokhmaklike.blogspot.com</t>
  </si>
  <si>
    <t>Trainings</t>
  </si>
  <si>
    <t>tokogiantlimds.blogspot.com</t>
  </si>
  <si>
    <t>tomorrotellim.blogspot.com</t>
  </si>
  <si>
    <t>Residential Remodeling</t>
  </si>
  <si>
    <t>tonjavilleda.my.id</t>
  </si>
  <si>
    <t>tonypburgess.com</t>
  </si>
  <si>
    <t>Construction Estimating</t>
  </si>
  <si>
    <t>toonimialikex.blogspot.com</t>
  </si>
  <si>
    <t>topdir.net</t>
  </si>
  <si>
    <t>Chief Architect</t>
  </si>
  <si>
    <t>topdirectory.co.in</t>
  </si>
  <si>
    <t>topdirectory.in</t>
  </si>
  <si>
    <t>Moodle, Elearning, Learning Management System, Training Online LMS, Instructional Design, Course</t>
  </si>
  <si>
    <t>toplikevideo.com</t>
  </si>
  <si>
    <t>topwallzone24.web.app</t>
  </si>
  <si>
    <t>AI Product Management</t>
  </si>
  <si>
    <t>topwebsiterank.com</t>
  </si>
  <si>
    <t>toriidsnlike.blogspot.com</t>
  </si>
  <si>
    <t>YouTube Ads</t>
  </si>
  <si>
    <t>toshasoftlimz.blogspot.com</t>
  </si>
  <si>
    <t>totrapelimu.blogspot.com</t>
  </si>
  <si>
    <t>tournudelimpss.blogspot.com</t>
  </si>
  <si>
    <t>Teaching Spanish</t>
  </si>
  <si>
    <t>tpaaspwes.blogspot.com</t>
  </si>
  <si>
    <t>tracerelog.blogspot.com</t>
  </si>
  <si>
    <t>ISO 27001</t>
  </si>
  <si>
    <t>tracerzoolimz.blogspot.com</t>
  </si>
  <si>
    <t>tradingraters.com</t>
  </si>
  <si>
    <t>Windows Server</t>
  </si>
  <si>
    <t>traininganddevelopmentabotar.blogspot.com</t>
  </si>
  <si>
    <t>trainingbnaruzil.blogspot.com</t>
  </si>
  <si>
    <t>LinkedIn Recruiting</t>
  </si>
  <si>
    <t>trainingcompanieshotorifu.blogspot.com</t>
  </si>
  <si>
    <t>trainingcoursespopadal.blogspot.com</t>
  </si>
  <si>
    <t>Time Series Analysis</t>
  </si>
  <si>
    <t>trainingplansachok.blogspot.com</t>
  </si>
  <si>
    <t>trainingprogramstalik.blogspot.com</t>
  </si>
  <si>
    <t>trainingprovidersirikadi.blogspot.com</t>
  </si>
  <si>
    <t>MapKit</t>
  </si>
  <si>
    <t>trainthetrainergdezka.blogspot.com</t>
  </si>
  <si>
    <t>trascouletlike.blogspot.com</t>
  </si>
  <si>
    <t>Ecommerce Order Fulfillment</t>
  </si>
  <si>
    <t>trascouletlim.blogspot.com</t>
  </si>
  <si>
    <t>treebeacon.com</t>
  </si>
  <si>
    <t>Compliance Testing</t>
  </si>
  <si>
    <t>trendingindones.web.app</t>
  </si>
  <si>
    <t>triangofflimdfffs.blogspot.com</t>
  </si>
  <si>
    <t>Database Testing</t>
  </si>
  <si>
    <t>tribalcommunitydevelopmentes.blogspot.com</t>
  </si>
  <si>
    <t>triblimplike.blogspot.com</t>
  </si>
  <si>
    <t>tribunnewsupdate.github.io</t>
  </si>
  <si>
    <t>Large Language Model</t>
  </si>
  <si>
    <t>triptoli.com</t>
  </si>
  <si>
    <t>trntrvllike.blogspot.com</t>
  </si>
  <si>
    <t>WhatsApp</t>
  </si>
  <si>
    <t>trolilandaes.blogspot.com</t>
  </si>
  <si>
    <t>trollbeadscollectorscasegeruteki.blogspot.com</t>
  </si>
  <si>
    <t>Whimsical</t>
  </si>
  <si>
    <t>troovtoweser.blogspot.com</t>
  </si>
  <si>
    <t>tru-sr.com</t>
  </si>
  <si>
    <t>Diagram</t>
  </si>
  <si>
    <t>true-fiction.com</t>
  </si>
  <si>
    <t>truebookies.com</t>
  </si>
  <si>
    <t>trueinsightsreports.com</t>
  </si>
  <si>
    <t>Topaz Video AI</t>
  </si>
  <si>
    <t>trurayscxz.blogspot.com</t>
  </si>
  <si>
    <t>trust-jobs.com</t>
  </si>
  <si>
    <t>Camera Operation</t>
  </si>
  <si>
    <t>turamalllikec.blogspot.com</t>
  </si>
  <si>
    <t>tuxdvdslikea.blogspot.com</t>
  </si>
  <si>
    <t>tuyetblew.my.id</t>
  </si>
  <si>
    <t>Organizational Behavior</t>
  </si>
  <si>
    <t>tworca.ai</t>
  </si>
  <si>
    <t>twptolimp.blogspot.com</t>
  </si>
  <si>
    <t>Bubble.io</t>
  </si>
  <si>
    <t>twumrxwes.blogspot.com</t>
  </si>
  <si>
    <t>txemslogisticses.blogspot.com</t>
  </si>
  <si>
    <t>Product owner, QA, UI/UX</t>
  </si>
  <si>
    <t>u-gohs.blogspot.com</t>
  </si>
  <si>
    <t>u-links-bhs.xyz</t>
  </si>
  <si>
    <t>Art Direction</t>
  </si>
  <si>
    <t>uabdallaslike.blogspot.com</t>
  </si>
  <si>
    <t>ucalybooks.com</t>
  </si>
  <si>
    <t>Ebook Formatting</t>
  </si>
  <si>
    <t>uhmgcmca.blogspot.com</t>
  </si>
  <si>
    <t>uk-customerservice.co.uk</t>
  </si>
  <si>
    <t>ulsantexilim.blogspot.com</t>
  </si>
  <si>
    <t>I am developing a for the first time and have most of the instructors content, however I am missing parts and I dont know how to format a .</t>
  </si>
  <si>
    <t>unboxed-web-production.herokuapp.com</t>
  </si>
  <si>
    <t>unboxedtech.com</t>
  </si>
  <si>
    <t>Medical Referrals</t>
  </si>
  <si>
    <t>underabelllikeunderabelllike.blogspot.com</t>
  </si>
  <si>
    <t>unitexbjweser.blogspot.com</t>
  </si>
  <si>
    <t>unlashescg.com</t>
  </si>
  <si>
    <t>untdconsulting.com</t>
  </si>
  <si>
    <t>create ads for me to sell my and platforms online.</t>
  </si>
  <si>
    <t>upsenglandlimn.blogspot.com</t>
  </si>
  <si>
    <t>urldirectory.net</t>
  </si>
  <si>
    <t>Facebook Business Page</t>
  </si>
  <si>
    <t>usabizdir.com</t>
  </si>
  <si>
    <t>usavueazty.blogspot.com</t>
  </si>
  <si>
    <t>American Psychological Association</t>
  </si>
  <si>
    <t>usawellcare.com</t>
  </si>
  <si>
    <t>usbuadlim.blogspot.com</t>
  </si>
  <si>
    <t>ussbdirectory.com</t>
  </si>
  <si>
    <t>Zabbix</t>
  </si>
  <si>
    <t>uswebdirectory.com</t>
  </si>
  <si>
    <t>utdprods.blogspot.com</t>
  </si>
  <si>
    <t>Audience Research</t>
  </si>
  <si>
    <t>uttectlike.blogspot.com</t>
  </si>
  <si>
    <t>uvsourcinglimpss.blogspot.com</t>
  </si>
  <si>
    <t>Reddit</t>
  </si>
  <si>
    <t>uxuilist.com</t>
  </si>
  <si>
    <t>uytfvhjkdasdwqes.blogspot.com</t>
  </si>
  <si>
    <t>Twitter/X</t>
  </si>
  <si>
    <t>uytygaas.blogspot.com</t>
  </si>
  <si>
    <t>uzhengce.blogspot.com</t>
  </si>
  <si>
    <t>Ocoya</t>
  </si>
  <si>
    <t>valleyofdecision2020.com</t>
  </si>
  <si>
    <t>vatmienlike.blogspot.com</t>
  </si>
  <si>
    <t>vcgovvvlike.blogspot.com</t>
  </si>
  <si>
    <t>Azure OpenAI Service</t>
  </si>
  <si>
    <t>vcgovvvlimbnf.blogspot.com</t>
  </si>
  <si>
    <t>vdervallike.blogspot.com</t>
  </si>
  <si>
    <t>CMS Made Simple</t>
  </si>
  <si>
    <t>vectorbank-1p.web.app</t>
  </si>
  <si>
    <t>vectorvaults.com</t>
  </si>
  <si>
    <t>vectorvms1.com</t>
  </si>
  <si>
    <t>vegashosts.blogspot.com</t>
  </si>
  <si>
    <t>Contact List</t>
  </si>
  <si>
    <t>vegasvrd.blogspot.com</t>
  </si>
  <si>
    <t>vendiditcxz.blogspot.com</t>
  </si>
  <si>
    <t>Consumer Review</t>
  </si>
  <si>
    <t>venezendcxz.blogspot.com</t>
  </si>
  <si>
    <t>verbexa.com</t>
  </si>
  <si>
    <t>Freelance Marketing</t>
  </si>
  <si>
    <t>vfvvminopensarlimd.blogspot.com</t>
  </si>
  <si>
    <t>vicmillimddds.blogspot.com</t>
  </si>
  <si>
    <t>victoiredeboisguilbertes.blogspot.com</t>
  </si>
  <si>
    <t>Microsoft Power BI Data Visualization</t>
  </si>
  <si>
    <t>victoriaticket.ca</t>
  </si>
  <si>
    <t>videassami.blogspot.com</t>
  </si>
  <si>
    <t>I have a website that is partially built and I need help finishing it! I also need immediate help creating a portal for my current .</t>
  </si>
  <si>
    <t>video-answer.com</t>
  </si>
  <si>
    <t>video-radeon.com</t>
  </si>
  <si>
    <t>Weâ€™re looking for a Certified Expert to simplify how users will get to the from sales page or websites cta button to offer pages or checkout pages</t>
  </si>
  <si>
    <t>vindicationas.blogspot.com</t>
  </si>
  <si>
    <t>viplsnalike.blogspot.com</t>
  </si>
  <si>
    <t>vipslotsonline.blogspot.com</t>
  </si>
  <si>
    <t>FinTech</t>
  </si>
  <si>
    <t>virginiacareerchange.com</t>
  </si>
  <si>
    <t>virtualizeitas.blogspot.com</t>
  </si>
  <si>
    <t>Regulatory Compliance</t>
  </si>
  <si>
    <t>visadizaynlimf.blogspot.com</t>
  </si>
  <si>
    <t>visionariospvd.com</t>
  </si>
  <si>
    <t>Instructional Design, Elearning Design, Curriculum Development, Elearning, Educational</t>
  </si>
  <si>
    <t>visionarydatareports.com</t>
  </si>
  <si>
    <t>visualfilmfocuses.blogspot.com</t>
  </si>
  <si>
    <t>visurapidelike.blogspot.com</t>
  </si>
  <si>
    <t>Cross Functional Team Leadership</t>
  </si>
  <si>
    <t>vnebuildlikec.blogspot.com</t>
  </si>
  <si>
    <t>voipvidslims.blogspot.com</t>
  </si>
  <si>
    <t>Short Story Writing</t>
  </si>
  <si>
    <t>vonlanthenevents.email</t>
  </si>
  <si>
    <t>voovio.cloud</t>
  </si>
  <si>
    <t>Beta Testing</t>
  </si>
  <si>
    <t>vophonixlimn.blogspot.com</t>
  </si>
  <si>
    <t>vorkee.com</t>
  </si>
  <si>
    <t>Music Composition</t>
  </si>
  <si>
    <t>vouleragora.blogspot.com</t>
  </si>
  <si>
    <t>voxt.ru</t>
  </si>
  <si>
    <t>vpntipsy.blogspot.com</t>
  </si>
  <si>
    <t>H5P, Camtasia, Adobe Captivate, Higher Education, Organizational Development, Moodle, Elearning, Learning Management System, Instructional Design, PHP</t>
  </si>
  <si>
    <t>vrefer.wordpress.com</t>
  </si>
  <si>
    <t>vrejoinslaterrees.blogspot.com</t>
  </si>
  <si>
    <t>Blog Development</t>
  </si>
  <si>
    <t>vrrockwalllimdfds.blogspot.com</t>
  </si>
  <si>
    <t>newsblogsports.site</t>
  </si>
  <si>
    <t>Software Localization</t>
  </si>
  <si>
    <t>bhs-links-df.xyz</t>
  </si>
  <si>
    <t>bhs-links-fg.xyz</t>
  </si>
  <si>
    <t>English to German Translation</t>
  </si>
  <si>
    <t>bhs-links-hb.xyz</t>
  </si>
  <si>
    <t>bhs-links-hj.xyz</t>
  </si>
  <si>
    <t>bhs-links-km.xyz</t>
  </si>
  <si>
    <t>Test Automation</t>
  </si>
  <si>
    <t>bhs-links-lk.xyz</t>
  </si>
  <si>
    <t>bhs-links-qa.xyz</t>
  </si>
  <si>
    <t>Web Content Accessibility Guidelines</t>
  </si>
  <si>
    <t>bhs-links-sd.xyz</t>
  </si>
  <si>
    <t>bhs-links-vf.xyz</t>
  </si>
  <si>
    <t>English to Dutch Translation</t>
  </si>
  <si>
    <t>bhs-links-zx.xyz</t>
  </si>
  <si>
    <t>reports.webredirect.org</t>
  </si>
  <si>
    <t>English to Turkish Translation</t>
  </si>
  <si>
    <t>Content Writing, Graphic Design, Instructional Design, Writing, PowerPoint Presentation, AI Builder, AI Agent Development</t>
  </si>
  <si>
    <t>Stripe, Tax Preparation, Accounting, Stripe Tax, Quaderno, LearnWorlds, Learning Management System, Sales Tax</t>
  </si>
  <si>
    <t>Graphic Design, Curriculum Development, LearnWorlds</t>
  </si>
  <si>
    <t>One reusable course template future programs</t>
  </si>
  <si>
    <t>Looking for an Expert to Build High-Quality</t>
  </si>
  <si>
    <t>Copyright</t>
  </si>
  <si>
    <t>Quebec French Dialect</t>
  </si>
  <si>
    <t>User Identity Management</t>
  </si>
  <si>
    <t>create course in moodle, teacher sgin in , student , discusstion pannel</t>
  </si>
  <si>
    <t>create course in moodle, teacher sgin in training, student training, discusstion pannel</t>
  </si>
  <si>
    <t>Young Adult</t>
  </si>
  <si>
    <t>ChatGPT API</t>
  </si>
  <si>
    <t>Prescription Refills</t>
  </si>
  <si>
    <t>AUS</t>
  </si>
  <si>
    <t>Order Management</t>
  </si>
  <si>
    <t>MINDBODY</t>
  </si>
  <si>
    <t>EMR Data Entry</t>
  </si>
  <si>
    <t>Fiction</t>
  </si>
  <si>
    <t>Commerce Cloud</t>
  </si>
  <si>
    <t>MariaDB</t>
  </si>
  <si>
    <t>Minor Design Touchup, Canva, Microsoft PowerPoint, Training Presentation, English</t>
  </si>
  <si>
    <t>Build out: 
  Automated email funnel for uploaded lists
  Build funnel for initial offer
  build out weekly live webinar funnel</t>
  </si>
  <si>
    <t>Website Maintenance</t>
  </si>
  <si>
    <t>React Bootstrap</t>
  </si>
  <si>
    <t>Short Story</t>
  </si>
  <si>
    <t>Promotion</t>
  </si>
  <si>
    <t>Google AdSense</t>
  </si>
  <si>
    <t>Bing Ads</t>
  </si>
  <si>
    <t>Draft Documentation</t>
  </si>
  <si>
    <t>File Documentation</t>
  </si>
  <si>
    <t>Legal Writing</t>
  </si>
  <si>
    <t>NetSuite Development</t>
  </si>
  <si>
    <t>Optimize member experience and retention pathways</t>
  </si>
  <si>
    <t>Animation for Kids</t>
  </si>
  <si>
    <t>scorm</t>
  </si>
  <si>
    <t>Desktop Application</t>
  </si>
  <si>
    <t>ASP.NET</t>
  </si>
  <si>
    <t>i need help choosing the right plugin, adding my branding and learning content, and maybe some as well.</t>
  </si>
  <si>
    <t>Fundraising</t>
  </si>
  <si>
    <t>i need help choosing the right plugin, adding my branding and learning content, and maybe some creation as well.</t>
  </si>
  <si>
    <t>Greek</t>
  </si>
  <si>
    <t>Magazine Layout</t>
  </si>
  <si>
    <t>Adobe Creative Cloud</t>
  </si>
  <si>
    <t>To Apply (Required)</t>
  </si>
  <si>
    <t>Translate detailed coursebooks into clean digital learning flows</t>
  </si>
  <si>
    <t>Hosting Setup</t>
  </si>
  <si>
    <t>Lead Generation Content Creation</t>
  </si>
  <si>
    <t>Web Application, Website Redesign, WordPress, Web Development, JavaScript, PHP, Web Design, HTML5, LMS Plugin, API</t>
  </si>
  <si>
    <t>Website Prototyping</t>
  </si>
  <si>
    <t>Short 1 minute video
  Professional and engaging
  Showcase the offering</t>
  </si>
  <si>
    <t>Caribbean English Accent</t>
  </si>
  <si>
    <t>Stripe API</t>
  </si>
  <si>
    <t>Spanish English Accent</t>
  </si>
  <si>
    <t>Video Editing, Course Creation, English, Audio Editing, Education</t>
  </si>
  <si>
    <t>, Stripe, Zapier, Notion</t>
  </si>
  <si>
    <t>Community Management Software</t>
  </si>
  <si>
    <t>LinkedIn Campaign Manager</t>
  </si>
  <si>
    <t>Custom Graphics</t>
  </si>
  <si>
    <t>WordPress Security</t>
  </si>
  <si>
    <t>Desktop , Laptop Support</t>
  </si>
  <si>
    <t>Network Analysis</t>
  </si>
  <si>
    <t>GraphQL</t>
  </si>
  <si>
    <t>Rust</t>
  </si>
  <si>
    <t>Encryption</t>
  </si>
  <si>
    <t>Clear upgrade and cross-offer logic implemented</t>
  </si>
  <si>
    <t>Human-Centered Design</t>
  </si>
  <si>
    <t>Icon Design</t>
  </si>
  <si>
    <t>Cyber Threat Intelligence</t>
  </si>
  <si>
    <t>Cover Letter Writing</t>
  </si>
  <si>
    <t>Web Component Design</t>
  </si>
  <si>
    <t>I need someone to move my online coaching program from CIrcle.io to a GHL whiitelabel tool. I need someone to do thi ASAP.</t>
  </si>
  <si>
    <t>Responsive Design Testing</t>
  </si>
  <si>
    <t>HEYGEN</t>
  </si>
  <si>
    <t>OAuth</t>
  </si>
  <si>
    <t>Robotic Process Automation</t>
  </si>
  <si>
    <t>UiPath</t>
  </si>
  <si>
    <t>Social Media Ad Campaign</t>
  </si>
  <si>
    <t>Chatbot Prompt</t>
  </si>
  <si>
    <t>LearnWorlds Creator is needed.
  I've already created the . It just needs some fine-tuning like making the "Completion Certificates" more attractive.</t>
  </si>
  <si>
    <t>Reverse Recruiting</t>
  </si>
  <si>
    <t>ServiceNow</t>
  </si>
  <si>
    <t>If you think in systems, sequencing, and member experience, youâ€™ll thrive here.</t>
  </si>
  <si>
    <t>Audio Transcription</t>
  </si>
  <si>
    <t>Lecture Notes</t>
  </si>
  <si>
    <t>Closed Captioning</t>
  </si>
  <si>
    <t>Business Process Modeling</t>
  </si>
  <si>
    <t>Web Application Development</t>
  </si>
  <si>
    <t>Requirement Analysis</t>
  </si>
  <si>
    <t>Narrative</t>
  </si>
  <si>
    <t>Synchronous Learning, Job Aid, Workshop, Class, Leadership Training, Instructional Design, Course, Program Curriculum, Online Instruction, Lesson</t>
  </si>
  <si>
    <t>Instructional Design, Adobe Illustrator, Online Instruction, Graphic Design, Program Curriculum, Academic K-12, Syntesia</t>
  </si>
  <si>
    <t>Schoology</t>
  </si>
  <si>
    <t>Jotform</t>
  </si>
  <si>
    <t>Conversational AI</t>
  </si>
  <si>
    <t>Online Help</t>
  </si>
  <si>
    <t>Wedding , Event Video</t>
  </si>
  <si>
    <t>Project Risk Management</t>
  </si>
  <si>
    <t>or facilitation</t>
  </si>
  <si>
    <t>Content ideation</t>
  </si>
  <si>
    <t>Who This Is</t>
  </si>
  <si>
    <t>Free â†’ On-Demand â†’ Guided â†’ Intensive</t>
  </si>
  <si>
    <t>Blockchain</t>
  </si>
  <si>
    <t>ArcGIS</t>
  </si>
  <si>
    <t>GIS</t>
  </si>
  <si>
    <t>Plugin Installation</t>
  </si>
  <si>
    <t>Platform Plugin</t>
  </si>
  <si>
    <t>Plugin Customization</t>
  </si>
  <si>
    <t>video</t>
  </si>
  <si>
    <t>App Store Optimization</t>
  </si>
  <si>
    <t>Social Video Enhancement</t>
  </si>
  <si>
    <t>You care about structure, clarity, and learner flow</t>
  </si>
  <si>
    <t>Articulate Storyline, Course, Training Presentation, Graphic Design, Articulate, Elearning</t>
  </si>
  <si>
    <t>Adobe Audition</t>
  </si>
  <si>
    <t>Camera</t>
  </si>
  <si>
    <t>Fusha Arabic</t>
  </si>
  <si>
    <t>Newsletter</t>
  </si>
  <si>
    <t>Software Architecture</t>
  </si>
  <si>
    <t>A Learning Management System integrated with our AI Role Play Application and Power BI</t>
  </si>
  <si>
    <t>Urgent - I need to transfer 5 cours and contents from my French online school + Contact to my new moodle platform. Quick Job</t>
  </si>
  <si>
    <t>Portuguese to Spanish Translation</t>
  </si>
  <si>
    <t>Information Design</t>
  </si>
  <si>
    <t>WordPress, LearnDash, WordPress Plugin, Web Development</t>
  </si>
  <si>
    <t>Social Customer Service</t>
  </si>
  <si>
    <t>Forum Posting</t>
  </si>
  <si>
    <t>Singing</t>
  </si>
  <si>
    <t>Forum Moderation</t>
  </si>
  <si>
    <t>Deployment Automation</t>
  </si>
  <si>
    <t>LearnWorlds, online course, Content Writing, Copywriting, Instructional Design ,Writing, Teachable, Learning Management System</t>
  </si>
  <si>
    <t>Clean ladder: Better Everyday â†’ KTM â†’ ILP</t>
  </si>
  <si>
    <t>Nearpod</t>
  </si>
  <si>
    <t>Box</t>
  </si>
  <si>
    <t>Covers , Packaging</t>
  </si>
  <si>
    <t>Regression Testing</t>
  </si>
  <si>
    <t>Video Capture Device</t>
  </si>
  <si>
    <t>Benchmarking</t>
  </si>
  <si>
    <t>Case Studies</t>
  </si>
  <si>
    <t>Statement of Purpose</t>
  </si>
  <si>
    <t>Live Interpretation</t>
  </si>
  <si>
    <t>Framer</t>
  </si>
  <si>
    <t>Corporate Law</t>
  </si>
  <si>
    <t>Legal Consulting</t>
  </si>
  <si>
    <t>Digital Ad Campaign</t>
  </si>
  <si>
    <t>Inbound Inquiry</t>
  </si>
  <si>
    <t>Constant Contact</t>
  </si>
  <si>
    <t>TikTok Marketing</t>
  </si>
  <si>
    <t>Content Upload</t>
  </si>
  <si>
    <t>Reinforcement Learning</t>
  </si>
  <si>
    <t>Unsupervised Learning</t>
  </si>
  <si>
    <t>Content Writing, Marketing Strategy, Copywriting, Web Development, Web Design</t>
  </si>
  <si>
    <t>Narrative Video, Corporate Video, Video Intro , Outro, YouTube Video, Explainer Video</t>
  </si>
  <si>
    <t>WordPress, Moodle, PHP, Office 365</t>
  </si>
  <si>
    <t>Landing Page, User Flow, Web Development, LearnWorlds, Learning Management System</t>
  </si>
  <si>
    <t>Instructional Design, Higher Education, Course, Lesson, Moodle, Elearning, Learning Management System, Compliance Training, Training Online LMS</t>
  </si>
  <si>
    <t>Instructional Design, Online Instruction, Synchronous Learning, Higher Education, Course, Elearning Design, Academic Content Development</t>
  </si>
  <si>
    <t>Teaching Algebra</t>
  </si>
  <si>
    <t>Algorithm Development</t>
  </si>
  <si>
    <t>Cartoon Style</t>
  </si>
  <si>
    <t>Toon Boom Studio</t>
  </si>
  <si>
    <t>AI Code Generator</t>
  </si>
  <si>
    <t>Occupational Health</t>
  </si>
  <si>
    <t>Safety Assessment</t>
  </si>
  <si>
    <t>Online Instruction, Lesson, Instructional Design, Graphic Design, Web Design, WordPress, Adobe Illustrator</t>
  </si>
  <si>
    <t>Legal Practice Management</t>
  </si>
  <si>
    <t>Brochure Design</t>
  </si>
  <si>
    <t>Information Technology Strategy</t>
  </si>
  <si>
    <t>K-12 Online</t>
  </si>
  <si>
    <t>User Experience Strategy</t>
  </si>
  <si>
    <t>IT Consultation</t>
  </si>
  <si>
    <t>Leadership Development</t>
  </si>
  <si>
    <t>Google Workspace Administration</t>
  </si>
  <si>
    <t>Knowledge Management</t>
  </si>
  <si>
    <t>Keras</t>
  </si>
  <si>
    <t>Artificial Neural Network</t>
  </si>
  <si>
    <t>Data Analysis Consultation</t>
  </si>
  <si>
    <t>Unbounce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</si>
</sst>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
    <numFmt numFmtId="166" formatCode="0.000"/>
  </numFmts>
  <fonts count="23">
    <font>
      <sz val="11.0"/>
      <color rgb="FF000000"/>
      <name val="Calibri"/>
      <scheme val="minor"/>
    </font>
    <font>
      <b/>
      <sz val="18.0"/>
      <color rgb="FFFFFFFF"/>
      <name val="Carlito"/>
    </font>
    <font>
      <i/>
      <sz val="10.0"/>
      <color rgb="FF17324D"/>
      <name val="Carlito"/>
    </font>
    <font>
      <b/>
      <sz val="12.0"/>
      <color rgb="FFFFFFFF"/>
      <name val="Carlito"/>
    </font>
    <font>
      <b/>
      <sz val="11.0"/>
      <color rgb="FF17324D"/>
      <name val="Carlito"/>
    </font>
    <font>
      <b/>
      <sz val="14.0"/>
      <color rgb="FF27496D"/>
      <name val="Carlito"/>
    </font>
    <font>
      <b/>
      <sz val="10.0"/>
      <color rgb="FFFFFFFF"/>
      <name val="Carlito"/>
    </font>
    <font>
      <b/>
      <sz val="12.0"/>
      <color rgb="FF27496D"/>
      <name val="Carlito"/>
    </font>
    <font>
      <b/>
      <sz val="11.0"/>
      <color rgb="FFFFFFFF"/>
      <name val="Carlito"/>
    </font>
    <font>
      <sz val="11.0"/>
      <color theme="1"/>
      <name val="Carlito"/>
    </font>
    <font>
      <sz val="9.0"/>
      <color rgb="FF1F2937"/>
      <name val="Carlito"/>
    </font>
    <font>
      <b/>
      <sz val="16.0"/>
      <color theme="1"/>
      <name val="Calibri"/>
      <scheme val="minor"/>
    </font>
    <font>
      <b/>
      <sz val="13.0"/>
      <color theme="1"/>
      <name val="Calibri"/>
      <scheme val="minor"/>
    </font>
    <font/>
    <font>
      <b/>
      <color theme="1"/>
      <name val="Calibri"/>
      <scheme val="minor"/>
    </font>
    <font>
      <sz val="11.0"/>
      <color theme="1"/>
      <name val="Calibri"/>
    </font>
    <font>
      <b/>
      <sz val="8.0"/>
      <color rgb="FF1F2937"/>
      <name val="Carlito"/>
    </font>
    <font>
      <sz val="8.0"/>
      <color rgb="FF1F2937"/>
      <name val="Carlito"/>
    </font>
    <font>
      <b/>
      <sz val="8.0"/>
      <color rgb="FFFFFFFF"/>
      <name val="Carlito"/>
    </font>
    <font>
      <color rgb="FFFFFFFF"/>
      <name val="Calibri"/>
      <scheme val="minor"/>
    </font>
    <font>
      <b/>
      <sz val="11.0"/>
      <color rgb="FF27496D"/>
      <name val="Carlito"/>
    </font>
    <font>
      <b/>
      <sz val="11.0"/>
      <color rgb="FF216E39"/>
      <name val="Carlito"/>
    </font>
    <font>
      <sz val="11.0"/>
      <color rgb="FF1155CC"/>
      <name val="Carlito"/>
    </font>
  </fonts>
  <fills count="10">
    <fill>
      <patternFill patternType="none"/>
    </fill>
    <fill>
      <patternFill patternType="lightGray"/>
    </fill>
    <fill>
      <patternFill patternType="solid">
        <fgColor rgb="FF27496D"/>
        <bgColor rgb="FF27496D"/>
      </patternFill>
    </fill>
    <fill>
      <patternFill patternType="solid">
        <fgColor rgb="FFEAF1F7"/>
        <bgColor rgb="FFEAF1F7"/>
      </patternFill>
    </fill>
    <fill>
      <patternFill patternType="solid">
        <fgColor rgb="FF77BA55"/>
        <bgColor rgb="FF77BA55"/>
      </patternFill>
    </fill>
    <fill>
      <patternFill patternType="solid">
        <fgColor rgb="FFEDF7E8"/>
        <bgColor rgb="FFEDF7E8"/>
      </patternFill>
    </fill>
    <fill>
      <patternFill patternType="solid">
        <fgColor rgb="FF17324D"/>
        <bgColor rgb="FF17324D"/>
      </patternFill>
    </fill>
    <fill>
      <patternFill patternType="solid">
        <fgColor rgb="FFE8E0F7"/>
        <bgColor rgb="FFE8E0F7"/>
      </patternFill>
    </fill>
    <fill>
      <patternFill patternType="solid">
        <fgColor rgb="FFF2F2F2"/>
        <bgColor rgb="FFF2F2F2"/>
      </patternFill>
    </fill>
    <fill>
      <patternFill patternType="solid">
        <fgColor rgb="FF6B7280"/>
        <bgColor rgb="FF6B7280"/>
      </patternFill>
    </fill>
  </fills>
  <borders count="6">
    <border/>
    <border>
      <left/>
      <top/>
      <bottom/>
    </border>
    <border>
      <top/>
      <bottom/>
    </border>
    <border>
      <right/>
      <top/>
      <bottom/>
    </border>
    <border>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3" fontId="2" numFmtId="0" xfId="0" applyAlignment="1" applyFill="1" applyFont="1">
      <alignment shrinkToFit="0" vertical="center" wrapText="1"/>
    </xf>
    <xf borderId="0" fillId="4" fontId="3" numFmtId="0" xfId="0" applyAlignment="1" applyFill="1" applyFont="1">
      <alignment vertical="center"/>
    </xf>
    <xf borderId="0" fillId="0" fontId="4" numFmtId="0" xfId="0" applyFont="1"/>
    <xf borderId="0" fillId="5" fontId="5" numFmtId="0" xfId="0" applyAlignment="1" applyFill="1" applyFont="1">
      <alignment horizontal="center" vertical="center"/>
    </xf>
    <xf borderId="1" fillId="6" fontId="6" numFmtId="0" xfId="0" applyAlignment="1" applyBorder="1" applyFill="1" applyFont="1">
      <alignment horizontal="center" shrinkToFit="0" vertical="center" wrapText="1"/>
    </xf>
    <xf borderId="2" fillId="6" fontId="6" numFmtId="0" xfId="0" applyAlignment="1" applyBorder="1" applyFill="1" applyFont="1">
      <alignment horizontal="center" shrinkToFit="0" vertical="center" wrapText="1"/>
    </xf>
    <xf borderId="0" fillId="3" fontId="7" numFmtId="0" xfId="0" applyAlignment="1" applyFill="1" applyFont="1">
      <alignment horizontal="center" vertical="center"/>
    </xf>
    <xf borderId="0" fillId="4" fontId="8" numFmtId="0" xfId="0" applyAlignment="1" applyFill="1" applyFont="1">
      <alignment horizontal="center"/>
    </xf>
    <xf borderId="0" fillId="0" fontId="9" numFmtId="0" xfId="0" applyAlignment="1" applyFont="1">
      <alignment shrinkToFit="0" wrapText="1"/>
    </xf>
    <xf borderId="3" fillId="6" fontId="6" numFmtId="0" xfId="0" applyAlignment="1" applyBorder="1" applyFill="1" applyFont="1">
      <alignment horizontal="center" shrinkToFit="0" vertical="center" wrapText="1"/>
    </xf>
    <xf borderId="0" fillId="0" fontId="10" numFmtId="0" xfId="0" applyAlignment="1" applyFont="1">
      <alignment shrinkToFit="0" vertical="top" wrapText="1"/>
    </xf>
    <xf borderId="0" fillId="0" fontId="10" numFmtId="164" xfId="0" applyAlignment="1" applyFont="1" applyNumberFormat="1">
      <alignment shrinkToFit="0" vertical="top" wrapText="1"/>
    </xf>
    <xf borderId="0" fillId="0" fontId="10" numFmtId="3" xfId="0" applyAlignment="1" applyFont="1" applyNumberFormat="1">
      <alignment shrinkToFit="0" vertical="top" wrapText="1"/>
    </xf>
    <xf borderId="0" fillId="0" fontId="10" numFmtId="1" xfId="0" applyAlignment="1" applyFont="1" applyNumberFormat="1">
      <alignment shrinkToFit="0" vertical="top" wrapText="1"/>
    </xf>
    <xf borderId="4" fillId="5" fontId="5" numFmtId="0" xfId="0" applyAlignment="1" applyBorder="1" applyFill="1" applyFont="1">
      <alignment horizontal="center" vertical="center"/>
    </xf>
    <xf borderId="4" fillId="4" fontId="8" numFmtId="0" xfId="0" applyAlignment="1" applyBorder="1" applyFill="1" applyFont="1">
      <alignment horizontal="center"/>
    </xf>
    <xf borderId="0" fillId="0" fontId="10" numFmtId="165" xfId="0" applyAlignment="1" applyFont="1" applyNumberFormat="1">
      <alignment shrinkToFit="0" vertical="top" wrapText="1"/>
    </xf>
    <xf borderId="4" fillId="3" fontId="7" numFmtId="10" xfId="0" applyAlignment="1" applyBorder="1" applyFill="1" applyFont="1" applyNumberFormat="1">
      <alignment horizontal="center" vertical="center"/>
    </xf>
    <xf borderId="1" fillId="6" fontId="6" numFmtId="0" xfId="0" applyAlignment="1" applyBorder="1" applyFill="1" applyFont="1">
      <alignment horizontal="center" shrinkToFit="0" vertical="center" wrapText="1"/>
    </xf>
    <xf borderId="2" fillId="6" fontId="6" numFmtId="0" xfId="0" applyAlignment="1" applyBorder="1" applyFill="1" applyFont="1">
      <alignment horizontal="center" shrinkToFit="0" vertical="center" wrapText="1"/>
    </xf>
    <xf borderId="3" fillId="6" fontId="6" numFmtId="0" xfId="0" applyAlignment="1" applyBorder="1" applyFill="1" applyFont="1">
      <alignment horizontal="center" shrinkToFit="0" vertical="center" wrapText="1"/>
    </xf>
    <xf borderId="0" fillId="0" fontId="10" numFmtId="0" xfId="0" applyAlignment="1" applyFont="1">
      <alignment shrinkToFit="0" vertical="top" wrapText="1"/>
    </xf>
    <xf borderId="0" fillId="0" fontId="10" numFmtId="164" xfId="0" applyAlignment="1" applyFont="1" applyNumberFormat="1">
      <alignment shrinkToFit="0" vertical="top" wrapText="1"/>
    </xf>
    <xf borderId="0" fillId="0" fontId="10" numFmtId="10" xfId="0" applyAlignment="1" applyFont="1" applyNumberFormat="1">
      <alignment shrinkToFit="0" vertical="top" wrapText="1"/>
    </xf>
    <xf borderId="0" fillId="0" fontId="10" numFmtId="2" xfId="0" applyAlignment="1" applyFont="1" applyNumberFormat="1">
      <alignment shrinkToFit="0" vertical="top" wrapText="1"/>
    </xf>
    <xf borderId="0" fillId="0" fontId="10" numFmtId="166" xfId="0" applyAlignment="1" applyFont="1" applyNumberFormat="1">
      <alignment shrinkToFit="0" vertical="top" wrapText="1"/>
    </xf>
    <xf borderId="0" fillId="0" fontId="11" numFmtId="0" xfId="0" applyFont="1"/>
    <xf borderId="1" fillId="7" fontId="12" numFmtId="0" xfId="0" applyBorder="1" applyFill="1" applyFont="1"/>
    <xf borderId="2" fillId="0" fontId="13" numFmtId="0" xfId="0" applyBorder="1" applyFont="1"/>
    <xf borderId="3" fillId="0" fontId="13" numFmtId="0" xfId="0" applyBorder="1" applyFont="1"/>
    <xf borderId="5" fillId="8" fontId="14" numFmtId="0" xfId="0" applyAlignment="1" applyBorder="1" applyFill="1" applyFont="1">
      <alignment shrinkToFit="0" vertical="top" wrapText="1"/>
    </xf>
    <xf borderId="5" fillId="0" fontId="15" numFmtId="0" xfId="0" applyAlignment="1" applyBorder="1" applyFont="1">
      <alignment shrinkToFit="0" vertical="top" wrapText="1"/>
    </xf>
    <xf borderId="0" fillId="9" fontId="16" numFmtId="0" xfId="0" applyAlignment="1" applyFill="1" applyFont="1">
      <alignment shrinkToFit="0" wrapText="1"/>
    </xf>
    <xf borderId="0" fillId="0" fontId="17" numFmtId="0" xfId="0" applyAlignment="1" applyFont="1">
      <alignment shrinkToFit="0" wrapText="1"/>
    </xf>
    <xf borderId="0" fillId="9" fontId="18" numFmtId="0" xfId="0" applyAlignment="1" applyFill="1" applyFont="1">
      <alignment shrinkToFit="0" wrapText="1"/>
    </xf>
    <xf borderId="0" fillId="0" fontId="19" numFmtId="0" xfId="0" applyFont="1"/>
    <xf borderId="0" fillId="2" fontId="1" numFmtId="0" xfId="0" applyAlignment="1" applyFill="1" applyFont="1">
      <alignment horizontal="left" vertical="top"/>
    </xf>
    <xf borderId="0" fillId="3" fontId="2" numFmtId="0" xfId="0" applyAlignment="1" applyFill="1" applyFont="1">
      <alignment shrinkToFit="0" vertical="top" wrapText="1"/>
    </xf>
    <xf borderId="0" fillId="0" fontId="9" numFmtId="0" xfId="0" applyAlignment="1" applyFont="1">
      <alignment vertical="top"/>
    </xf>
    <xf borderId="0" fillId="4" fontId="3" numFmtId="0" xfId="0" applyAlignment="1" applyFill="1" applyFont="1">
      <alignment vertical="top"/>
    </xf>
    <xf borderId="0" fillId="4" fontId="8" numFmtId="0" xfId="0" applyAlignment="1" applyFill="1" applyFont="1">
      <alignment horizontal="center" vertical="top"/>
    </xf>
    <xf borderId="0" fillId="0" fontId="4" numFmtId="0" xfId="0" applyAlignment="1" applyFont="1">
      <alignment vertical="top"/>
    </xf>
    <xf borderId="0" fillId="0" fontId="9" numFmtId="0" xfId="0" applyAlignment="1" applyFont="1">
      <alignment shrinkToFit="0" vertical="top" wrapText="1"/>
    </xf>
    <xf borderId="4" fillId="4" fontId="8" numFmtId="0" xfId="0" applyAlignment="1" applyBorder="1" applyFill="1" applyFont="1">
      <alignment horizontal="center" vertical="top"/>
    </xf>
    <xf borderId="0" fillId="3" fontId="20" numFmtId="0" xfId="0" applyAlignment="1" applyFill="1" applyFont="1">
      <alignment shrinkToFit="0" vertical="top" wrapText="1"/>
    </xf>
    <xf borderId="0" fillId="0" fontId="4" numFmtId="0" xfId="0" applyAlignment="1" applyFont="1">
      <alignment shrinkToFit="0" vertical="top" wrapText="1"/>
    </xf>
    <xf borderId="4" fillId="3" fontId="20" numFmtId="0" xfId="0" applyAlignment="1" applyBorder="1" applyFill="1" applyFont="1">
      <alignment shrinkToFit="0" vertical="top" wrapText="1"/>
    </xf>
    <xf borderId="1" fillId="6" fontId="6" numFmtId="0" xfId="0" applyAlignment="1" applyBorder="1" applyFill="1" applyFont="1">
      <alignment horizontal="center" shrinkToFit="0" vertical="top" wrapText="1"/>
    </xf>
    <xf borderId="2" fillId="6" fontId="6" numFmtId="0" xfId="0" applyAlignment="1" applyBorder="1" applyFill="1" applyFont="1">
      <alignment horizontal="center" shrinkToFit="0" vertical="top" wrapText="1"/>
    </xf>
    <xf borderId="3" fillId="6" fontId="6" numFmtId="0" xfId="0" applyAlignment="1" applyBorder="1" applyFill="1" applyFont="1">
      <alignment horizontal="center" shrinkToFit="0" vertical="top" wrapText="1"/>
    </xf>
    <xf borderId="0" fillId="5" fontId="21" numFmtId="0" xfId="0" applyAlignment="1" applyFill="1" applyFont="1">
      <alignment shrinkToFit="0" vertical="top" wrapText="1"/>
    </xf>
    <xf borderId="4" fillId="5" fontId="21" numFmtId="0" xfId="0" applyAlignment="1" applyBorder="1" applyFill="1" applyFont="1">
      <alignment shrinkToFit="0" vertical="top" wrapText="1"/>
    </xf>
    <xf borderId="0" fillId="0" fontId="22" numFmtId="0" xfId="0" applyAlignment="1" applyFont="1">
      <alignment shrinkToFit="0" vertical="top" wrapText="1"/>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b/>
        <color rgb="FF216E39"/>
      </font>
      <fill>
        <patternFill patternType="solid">
          <fgColor rgb="FFE7F6E2"/>
          <bgColor rgb="FFE7F6E2"/>
        </patternFill>
      </fill>
      <border/>
    </dxf>
    <dxf>
      <font/>
      <fill>
        <patternFill patternType="solid">
          <fgColor rgb="FFE8F1FB"/>
          <bgColor rgb="FFE8F1FB"/>
        </patternFill>
      </fill>
      <border/>
    </dxf>
    <dxf>
      <font>
        <b/>
        <color rgb="FFA61B1B"/>
      </font>
      <fill>
        <patternFill patternType="solid">
          <fgColor rgb="FFFDE8E8"/>
          <bgColor rgb="FFFDE8E8"/>
        </patternFill>
      </fill>
      <border/>
    </dxf>
    <dxf>
      <font/>
      <fill>
        <patternFill patternType="solid">
          <fgColor rgb="FFFFF4D6"/>
          <bgColor rgb="FFFFF4D6"/>
        </patternFill>
      </fill>
      <border/>
    </dxf>
    <dxf>
      <font/>
      <fill>
        <patternFill patternType="solid">
          <fgColor rgb="FFF3F5F7"/>
          <bgColor rgb="FFF3F5F7"/>
        </patternFill>
      </fill>
      <border/>
    </dxf>
  </dxfs>
  <tableStyles count="9">
    <tableStyle count="3" pivot="0" name="01 Task Board-style">
      <tableStyleElement dxfId="1" type="headerRow"/>
      <tableStyleElement dxfId="2" type="firstRowStripe"/>
      <tableStyleElement dxfId="3" type="secondRowStripe"/>
    </tableStyle>
    <tableStyle count="3" pivot="0" name="02 Keyword Map-style">
      <tableStyleElement dxfId="1" type="headerRow"/>
      <tableStyleElement dxfId="2" type="firstRowStripe"/>
      <tableStyleElement dxfId="3" type="secondRowStripe"/>
    </tableStyle>
    <tableStyle count="3" pivot="0" name="03 Content Pipeline-style">
      <tableStyleElement dxfId="1" type="headerRow"/>
      <tableStyleElement dxfId="2" type="firstRowStripe"/>
      <tableStyleElement dxfId="3" type="secondRowStripe"/>
    </tableStyle>
    <tableStyle count="3" pivot="0" name="04 Technical Issues-style">
      <tableStyleElement dxfId="1" type="headerRow"/>
      <tableStyleElement dxfId="2" type="firstRowStripe"/>
      <tableStyleElement dxfId="3" type="secondRowStripe"/>
    </tableStyle>
    <tableStyle count="3" pivot="0" name="05 Performance-style">
      <tableStyleElement dxfId="1" type="headerRow"/>
      <tableStyleElement dxfId="2" type="firstRowStripe"/>
      <tableStyleElement dxfId="3" type="secondRowStripe"/>
    </tableStyle>
    <tableStyle count="3" pivot="0" name="06 Competitors-style">
      <tableStyleElement dxfId="1" type="headerRow"/>
      <tableStyleElement dxfId="2" type="firstRowStripe"/>
      <tableStyleElement dxfId="3" type="secondRowStripe"/>
    </tableStyle>
    <tableStyle count="3" pivot="0" name="07 Link Opportunities-style">
      <tableStyleElement dxfId="1" type="headerRow"/>
      <tableStyleElement dxfId="2" type="firstRowStripe"/>
      <tableStyleElement dxfId="3" type="secondRowStripe"/>
    </tableStyle>
    <tableStyle count="3" pivot="0" name="08 AI Visibility-style">
      <tableStyleElement dxfId="1" type="headerRow"/>
      <tableStyleElement dxfId="2" type="firstRowStripe"/>
      <tableStyleElement dxfId="3" type="secondRowStripe"/>
    </tableStyle>
    <tableStyle count="3" pivot="0" name="09 SOP Checklis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Organic Traffic and Keyword Trend</a:t>
            </a:r>
          </a:p>
        </c:rich>
      </c:tx>
      <c:overlay val="0"/>
    </c:title>
    <c:plotArea>
      <c:layout/>
      <c:lineChart>
        <c:ser>
          <c:idx val="0"/>
          <c:order val="0"/>
          <c:tx>
            <c:v>Organic Traffic</c:v>
          </c:tx>
          <c:spPr>
            <a:ln cmpd="sng">
              <a:solidFill>
                <a:srgbClr val="4F81BD"/>
              </a:solidFill>
            </a:ln>
          </c:spPr>
          <c:marker>
            <c:symbol val="none"/>
          </c:marker>
          <c:cat>
            <c:strRef>
              <c:f>'05 Performance'!$A$5:$A$7</c:f>
            </c:strRef>
          </c:cat>
          <c:val>
            <c:numRef>
              <c:f>'05 Performance'!$B$5:$B$7</c:f>
              <c:numCache/>
            </c:numRef>
          </c:val>
          <c:smooth val="0"/>
        </c:ser>
        <c:ser>
          <c:idx val="1"/>
          <c:order val="1"/>
          <c:tx>
            <c:v>Organic Keywords</c:v>
          </c:tx>
          <c:spPr>
            <a:ln cmpd="sng">
              <a:solidFill>
                <a:srgbClr val="C0504D"/>
              </a:solidFill>
            </a:ln>
          </c:spPr>
          <c:marker>
            <c:symbol val="none"/>
          </c:marker>
          <c:cat>
            <c:strRef>
              <c:f>'05 Performance'!$A$5:$A$7</c:f>
            </c:strRef>
          </c:cat>
          <c:val>
            <c:numRef>
              <c:f>'05 Performance'!$C$5:$C$7</c:f>
              <c:numCache/>
            </c:numRef>
          </c:val>
          <c:smooth val="0"/>
        </c:ser>
        <c:axId val="723414495"/>
        <c:axId val="254041601"/>
      </c:lineChart>
      <c:catAx>
        <c:axId val="7234144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254041601"/>
      </c:catAx>
      <c:valAx>
        <c:axId val="2540416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723414495"/>
      </c:valAx>
    </c:plotArea>
    <c:legend>
      <c:legendPos val="b"/>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107</xdr:row>
      <xdr:rowOff>0</xdr:rowOff>
    </xdr:from>
    <xdr:ext cx="9677400" cy="38004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R304" displayName="Table_1" name="Table_1" id="1">
  <tableColumns count="18">
    <tableColumn name="Task ID" id="1"/>
    <tableColumn name="Date Added" id="2"/>
    <tableColumn name="Due Date" id="3"/>
    <tableColumn name="Frequency" id="4"/>
    <tableColumn name="Workstream" id="5"/>
    <tableColumn name="Task" id="6"/>
    <tableColumn name="Page / URL" id="7"/>
    <tableColumn name="Priority" id="8"/>
    <tableColumn name="Owner" id="9"/>
    <tableColumn name="Status" id="10"/>
    <tableColumn name="Dependency / Blocker" id="11"/>
    <tableColumn name="Evidence / Work Link" id="12"/>
    <tableColumn name="Result / Notes" id="13"/>
    <tableColumn name="QA Owner" id="14"/>
    <tableColumn name="QA Status" id="15"/>
    <tableColumn name="Completed Date" id="16"/>
    <tableColumn name="Days Open" id="17"/>
    <tableColumn name="SLA" id="18"/>
  </tableColumns>
  <tableStyleInfo name="01 Task Board-style" showColumnStripes="0" showFirstColumn="1" showLastColumn="1" showRowStripes="1"/>
</table>
</file>

<file path=xl/tables/table2.xml><?xml version="1.0" encoding="utf-8"?>
<table xmlns="http://schemas.openxmlformats.org/spreadsheetml/2006/main" ref="A4:T304" displayName="Table_3" name="Table_3" id="3">
  <tableColumns count="20">
    <tableColumn name="Keyword ID" id="1"/>
    <tableColumn name="Keyword" id="2"/>
    <tableColumn name="Local Volume" id="3"/>
    <tableColumn name="Global Volume" id="4"/>
    <tableColumn name="KD" id="5"/>
    <tableColumn name="Intent" id="6"/>
    <tableColumn name="Cluster / Service" id="7"/>
    <tableColumn name="Target Page" id="8"/>
    <tableColumn name="Page Type" id="9"/>
    <tableColumn name="Keyword Role" id="10"/>
    <tableColumn name="Current URL" id="11"/>
    <tableColumn name="Mapping Status" id="12"/>
    <tableColumn name="Owner" id="13"/>
    <tableColumn name="Opportunity Score" id="14"/>
    <tableColumn name="Suggested Title / Brief" id="15"/>
    <tableColumn name="Meta Description" id="16"/>
    <tableColumn name="Source" id="17"/>
    <tableColumn name="Last Reviewed" id="18"/>
    <tableColumn name="Next Action" id="19"/>
    <tableColumn name="Notes" id="20"/>
  </tableColumns>
  <tableStyleInfo name="02 Keyword Map-style" showColumnStripes="0" showFirstColumn="1" showLastColumn="1" showRowStripes="1"/>
</table>
</file>

<file path=xl/tables/table3.xml><?xml version="1.0" encoding="utf-8"?>
<table xmlns="http://schemas.openxmlformats.org/spreadsheetml/2006/main" ref="A4:T204" displayName="Table_2" name="Table_2" id="2">
  <tableColumns count="20">
    <tableColumn name="Content ID" id="1"/>
    <tableColumn name="Content / Page" id="2"/>
    <tableColumn name="Type" id="3"/>
    <tableColumn name="Cluster" id="4"/>
    <tableColumn name="Primary Keyword" id="5"/>
    <tableColumn name="Intent" id="6"/>
    <tableColumn name="Funnel Stage" id="7"/>
    <tableColumn name="Current URL" id="8"/>
    <tableColumn name="Draft / Brief Link" id="9"/>
    <tableColumn name="Status" id="10"/>
    <tableColumn name="Priority" id="11"/>
    <tableColumn name="Owner" id="12"/>
    <tableColumn name="Due Date" id="13"/>
    <tableColumn name="Publish Date" id="14"/>
    <tableColumn name="Primary CTA" id="15"/>
    <tableColumn name="Internal Links to Add" id="16"/>
    <tableColumn name="Schema" id="17"/>
    <tableColumn name="Index Status" id="18"/>
    <tableColumn name="Last Refresh" id="19"/>
    <tableColumn name="Notes" id="20"/>
  </tableColumns>
  <tableStyleInfo name="03 Content Pipeline-style" showColumnStripes="0" showFirstColumn="1" showLastColumn="1" showRowStripes="1"/>
</table>
</file>

<file path=xl/tables/table4.xml><?xml version="1.0" encoding="utf-8"?>
<table xmlns="http://schemas.openxmlformats.org/spreadsheetml/2006/main" ref="A4:Q204" displayName="Table_4" name="Table_4" id="4">
  <tableColumns count="17">
    <tableColumn name="Issue ID" id="1"/>
    <tableColumn name="Detected Date" id="2"/>
    <tableColumn name="Source" id="3"/>
    <tableColumn name="Severity" id="4"/>
    <tableColumn name="Category" id="5"/>
    <tableColumn name="URL" id="6"/>
    <tableColumn name="Issue" id="7"/>
    <tableColumn name="SEO / Business Impact" id="8"/>
    <tableColumn name="Recommended Fix" id="9"/>
    <tableColumn name="Owner" id="10"/>
    <tableColumn name="Status" id="11"/>
    <tableColumn name="Due Date" id="12"/>
    <tableColumn name="Evidence" id="13"/>
    <tableColumn name="Validation Method" id="14"/>
    <tableColumn name="Resolved Date" id="15"/>
    <tableColumn name="Recurrence" id="16"/>
    <tableColumn name="Notes" id="17"/>
  </tableColumns>
  <tableStyleInfo name="04 Technical Issues-style" showColumnStripes="0" showFirstColumn="1" showLastColumn="1" showRowStripes="1"/>
</table>
</file>

<file path=xl/tables/table5.xml><?xml version="1.0" encoding="utf-8"?>
<table xmlns="http://schemas.openxmlformats.org/spreadsheetml/2006/main" ref="A4:V104" displayName="Table_5" name="Table_5" id="5">
  <tableColumns count="22">
    <tableColumn name="Date" id="1"/>
    <tableColumn name="Organic Traffic" id="2"/>
    <tableColumn name="Organic Keywords" id="3"/>
    <tableColumn name="Authority" id="4"/>
    <tableColumn name="Referring Domains" id="5"/>
    <tableColumn name="Backlinks" id="6"/>
    <tableColumn name="Dofollow" id="7"/>
    <tableColumn name="Nofollow" id="8"/>
    <tableColumn name="AI Visibility" id="9"/>
    <tableColumn name="AI Mentions" id="10"/>
    <tableColumn name="Cited Pages" id="11"/>
    <tableColumn name="GSC Clicks" id="12"/>
    <tableColumn name="GSC Impressions" id="13"/>
    <tableColumn name="GSC CTR" id="14"/>
    <tableColumn name="Average Position" id="15"/>
    <tableColumn name="GA4 Organic Sessions" id="16"/>
    <tableColumn name="Organic Leads" id="17"/>
    <tableColumn name="Conversion Rate" id="18"/>
    <tableColumn name="LCP (s)" id="19"/>
    <tableColumn name="INP (ms)" id="20"/>
    <tableColumn name="CLS" id="21"/>
    <tableColumn name="Notes" id="22"/>
  </tableColumns>
  <tableStyleInfo name="05 Performance-style" showColumnStripes="0" showFirstColumn="1" showLastColumn="1" showRowStripes="1"/>
</table>
</file>

<file path=xl/tables/table6.xml><?xml version="1.0" encoding="utf-8"?>
<table xmlns="http://schemas.openxmlformats.org/spreadsheetml/2006/main" ref="A4:R104" displayName="Table_6" name="Table_6" id="6">
  <tableColumns count="18">
    <tableColumn name="Competitor ID" id="1"/>
    <tableColumn name="Competitor" id="2"/>
    <tableColumn name="Organic Traffic" id="3"/>
    <tableColumn name="Organic Keywords" id="4"/>
    <tableColumn name="Authority" id="5"/>
    <tableColumn name="Backlinks" id="6"/>
    <tableColumn name="AI Visibility" id="7"/>
    <tableColumn name="AI Mentions" id="8"/>
    <tableColumn name="Snapshot Date" id="9"/>
    <tableColumn name="Refresh Status" id="10"/>
    <tableColumn name="Top Strength" id="11"/>
    <tableColumn name="Content Gap for TheEduAssist" id="12"/>
    <tableColumn name="Link Gap / Source" id="13"/>
    <tableColumn name="Priority" id="14"/>
    <tableColumn name="Owner" id="15"/>
    <tableColumn name="Last Checked" id="16"/>
    <tableColumn name="Next Action" id="17"/>
    <tableColumn name="Notes" id="18"/>
  </tableColumns>
  <tableStyleInfo name="06 Competitors-style" showColumnStripes="0" showFirstColumn="1" showLastColumn="1" showRowStripes="1"/>
</table>
</file>

<file path=xl/tables/table7.xml><?xml version="1.0" encoding="utf-8"?>
<table xmlns="http://schemas.openxmlformats.org/spreadsheetml/2006/main" ref="A4:O254" displayName="Table_7" name="Table_7" id="7">
  <tableColumns count="15">
    <tableColumn name="Opportunity ID" id="1"/>
    <tableColumn name="Domain" id="2"/>
    <tableColumn name="Example URL" id="3"/>
    <tableColumn name="Authority" id="4"/>
    <tableColumn name="Monthly Visits" id="5"/>
    <tableColumn name="Why Relevant" id="6"/>
    <tableColumn name="Opportunity Type" id="7"/>
    <tableColumn name="Target Page" id="8"/>
    <tableColumn name="Contact / Submission Route" id="9"/>
    <tableColumn name="Risk Check" id="10"/>
    <tableColumn name="Status" id="11"/>
    <tableColumn name="Owner" id="12"/>
    <tableColumn name="Last Checked" id="13"/>
    <tableColumn name="Next Step" id="14"/>
    <tableColumn name="Notes" id="15"/>
  </tableColumns>
  <tableStyleInfo name="07 Link Opportunities-style" showColumnStripes="0" showFirstColumn="1" showLastColumn="1" showRowStripes="1"/>
</table>
</file>

<file path=xl/tables/table8.xml><?xml version="1.0" encoding="utf-8"?>
<table xmlns="http://schemas.openxmlformats.org/spreadsheetml/2006/main" ref="A4:R104" displayName="Table_8" name="Table_8" id="8">
  <tableColumns count="18">
    <tableColumn name="Query ID" id="1"/>
    <tableColumn name="Question / Prompt" id="2"/>
    <tableColumn name="Topic" id="3"/>
    <tableColumn name="Platform" id="4"/>
    <tableColumn name="Date Checked" id="5"/>
    <tableColumn name="Brand Mentioned" id="6"/>
    <tableColumn name="Cited" id="7"/>
    <tableColumn name="Cited URL" id="8"/>
    <tableColumn name="Prominence" id="9"/>
    <tableColumn name="Competitor Cited" id="10"/>
    <tableColumn name="Answer Accurate" id="11"/>
    <tableColumn name="Sentiment" id="12"/>
    <tableColumn name="Opportunity / Missing Information" id="13"/>
    <tableColumn name="Owner" id="14"/>
    <tableColumn name="Status" id="15"/>
    <tableColumn name="Next Check" id="16"/>
    <tableColumn name="Evidence" id="17"/>
    <tableColumn name="Notes" id="18"/>
  </tableColumns>
  <tableStyleInfo name="08 AI Visibility-style" showColumnStripes="0" showFirstColumn="1" showLastColumn="1" showRowStripes="1"/>
</table>
</file>

<file path=xl/tables/table9.xml><?xml version="1.0" encoding="utf-8"?>
<table xmlns="http://schemas.openxmlformats.org/spreadsheetml/2006/main" ref="A4:J80" displayName="Table_9" name="Table_9" id="9">
  <tableColumns count="10">
    <tableColumn name="Cadence / Trigger" id="1"/>
    <tableColumn name="When" id="2"/>
    <tableColumn name="Workstream" id="3"/>
    <tableColumn name="Checklist Item" id="4"/>
    <tableColumn name="Tool / Source" id="5"/>
    <tableColumn name="Primary Owner" id="6"/>
    <tableColumn name="Evidence Required" id="7"/>
    <tableColumn name="QA Check" id="8"/>
    <tableColumn name="Escalate When" id="9"/>
    <tableColumn name="Notes" id="10"/>
  </tableColumns>
  <tableStyleInfo name="09 SOP Checklis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2" width="13.71"/>
    <col customWidth="1" min="3" max="3" width="36.57"/>
    <col customWidth="1" min="4" max="4" width="34.29"/>
    <col customWidth="1" min="5" max="5" width="29.71"/>
    <col customWidth="1" min="6" max="6" width="13.71"/>
    <col customWidth="1" min="7" max="7" width="16.0"/>
    <col customWidth="1" min="8" max="8" width="20.57"/>
    <col customWidth="1" min="9" max="9" width="9.14"/>
    <col customWidth="1" min="10" max="10" width="41.14"/>
    <col customWidth="1" min="11" max="11" width="13.71"/>
    <col customWidth="1" min="12" max="12" width="25.14"/>
    <col customWidth="1" min="13" max="26" width="9.86"/>
  </cols>
  <sheetData>
    <row r="1" ht="33.75" customHeight="1">
      <c r="A1" s="1" t="s">
        <v>0</v>
      </c>
    </row>
    <row r="2" ht="27.75" customHeight="1">
      <c r="A2" s="2" t="s">
        <v>1</v>
      </c>
    </row>
    <row r="4" ht="24.0" customHeight="1">
      <c r="A4" s="3" t="s">
        <v>2</v>
      </c>
      <c r="E4" s="3" t="s">
        <v>3</v>
      </c>
      <c r="I4" s="3" t="s">
        <v>4</v>
      </c>
    </row>
    <row r="5" ht="33.75" customHeight="1">
      <c r="A5" s="4" t="s">
        <v>5</v>
      </c>
      <c r="B5" s="5">
        <f>COUNTIFS('01 Task Board'!$A$5:$A$304,"&lt;&gt;",'01 Task Board'!$J$5:$J$304,"&lt;&gt;Done")</f>
        <v>14</v>
      </c>
      <c r="E5" s="4" t="s">
        <v>7</v>
      </c>
      <c r="F5" s="8">
        <f>IFERROR(LOOKUP(2,1/('05 Performance'!$A$5:$A$104&lt;&gt;""),'05 Performance'!$B$5:$B$104),0)</f>
        <v>3900</v>
      </c>
      <c r="I5" s="9" t="s">
        <v>16</v>
      </c>
      <c r="J5" s="10" t="s">
        <v>19</v>
      </c>
    </row>
    <row r="6" ht="33.75" customHeight="1">
      <c r="A6" s="4" t="s">
        <v>23</v>
      </c>
      <c r="B6" s="5">
        <f>COUNTIFS('01 Task Board'!$A$5:$A$304,"&lt;&gt;",'01 Task Board'!$H$5:$H$304,"Critical",'01 Task Board'!$J$5:$J$304,"&lt;&gt;Done")</f>
        <v>4</v>
      </c>
      <c r="E6" s="4" t="s">
        <v>50</v>
      </c>
      <c r="F6" s="8">
        <f>IFERROR(LOOKUP(2,1/('05 Performance'!$A$5:$A$104&lt;&gt;""),'05 Performance'!$C$5:$C$104),0)</f>
        <v>201</v>
      </c>
      <c r="I6" s="9" t="s">
        <v>77</v>
      </c>
      <c r="J6" s="10" t="s">
        <v>78</v>
      </c>
    </row>
    <row r="7" ht="33.75" customHeight="1">
      <c r="A7" s="4" t="s">
        <v>81</v>
      </c>
      <c r="B7" s="5">
        <f>COUNTIFS('01 Task Board'!$A$5:$A$304,"&lt;&gt;",'01 Task Board'!$R$5:$R$304,"Overdue")</f>
        <v>14</v>
      </c>
      <c r="E7" s="4" t="s">
        <v>89</v>
      </c>
      <c r="F7" s="8">
        <f>IFERROR(LOOKUP(2,1/('05 Performance'!$A$5:$A$104&lt;&gt;""),'05 Performance'!$D$5:$D$104),0)</f>
        <v>8</v>
      </c>
      <c r="I7" s="9" t="s">
        <v>100</v>
      </c>
      <c r="J7" s="10" t="s">
        <v>103</v>
      </c>
    </row>
    <row r="8" ht="33.75" customHeight="1">
      <c r="A8" s="4" t="s">
        <v>105</v>
      </c>
      <c r="B8" s="5">
        <f>COUNTIFS('04 Technical Issues'!$A$5:$A$204,"&lt;&gt;",'04 Technical Issues'!$K$5:$K$204,"&lt;&gt;Resolved")</f>
        <v>9</v>
      </c>
      <c r="E8" s="4" t="s">
        <v>116</v>
      </c>
      <c r="F8" s="8">
        <f>IFERROR(LOOKUP(2,1/('05 Performance'!$A$5:$A$104&lt;&gt;""),'05 Performance'!$E$5:$E$104),0)</f>
        <v>0</v>
      </c>
      <c r="I8" s="9" t="s">
        <v>131</v>
      </c>
      <c r="J8" s="10" t="s">
        <v>132</v>
      </c>
    </row>
    <row r="9" ht="33.75" customHeight="1">
      <c r="A9" s="4" t="s">
        <v>133</v>
      </c>
      <c r="B9" s="16">
        <f>COUNTIFS('03 Content Pipeline'!$A$5:$A$204,"&lt;&gt;",'03 Content Pipeline'!$J$5:$J$204,"Published")</f>
        <v>6</v>
      </c>
      <c r="E9" s="4" t="s">
        <v>149</v>
      </c>
      <c r="F9" s="8">
        <f>IFERROR(LOOKUP(2,1/('05 Performance'!$A$5:$A$104&lt;&gt;""),'05 Performance'!$L$5:$L$104),0)</f>
        <v>0</v>
      </c>
      <c r="I9" s="9" t="s">
        <v>158</v>
      </c>
      <c r="J9" s="10" t="s">
        <v>159</v>
      </c>
    </row>
    <row r="10" ht="33.75" customHeight="1">
      <c r="E10" s="4" t="s">
        <v>160</v>
      </c>
      <c r="F10" s="8">
        <f>IFERROR(LOOKUP(2,1/('05 Performance'!$A$5:$A$104&lt;&gt;""),'05 Performance'!$Q$5:$Q$104),0)</f>
        <v>0</v>
      </c>
      <c r="I10" s="17" t="s">
        <v>176</v>
      </c>
      <c r="J10" s="10" t="s">
        <v>177</v>
      </c>
    </row>
    <row r="11" ht="27.0" customHeight="1">
      <c r="E11" s="4" t="s">
        <v>179</v>
      </c>
      <c r="F11" s="19">
        <f>IFERROR(LOOKUP(2,1/('05 Performance'!$A$5:$A$104&lt;&gt;""),'05 Performance'!$R$5:$R$104),0)</f>
        <v>0</v>
      </c>
    </row>
    <row r="13" ht="24.0" customHeight="1">
      <c r="A13" s="3" t="s">
        <v>201</v>
      </c>
    </row>
    <row r="14" ht="30.0" customHeight="1">
      <c r="A14" s="20" t="s">
        <v>20</v>
      </c>
      <c r="B14" s="21" t="s">
        <v>15</v>
      </c>
      <c r="C14" s="21" t="s">
        <v>213</v>
      </c>
      <c r="D14" s="21" t="s">
        <v>215</v>
      </c>
      <c r="E14" s="21" t="s">
        <v>21</v>
      </c>
      <c r="F14" s="21" t="s">
        <v>216</v>
      </c>
      <c r="G14" s="21" t="s">
        <v>22</v>
      </c>
      <c r="H14" s="21" t="s">
        <v>217</v>
      </c>
      <c r="I14" s="21" t="s">
        <v>134</v>
      </c>
      <c r="J14" s="21" t="s">
        <v>221</v>
      </c>
      <c r="K14" s="21" t="s">
        <v>223</v>
      </c>
      <c r="L14" s="22" t="s">
        <v>76</v>
      </c>
    </row>
    <row r="15">
      <c r="A15" s="23" t="s">
        <v>230</v>
      </c>
      <c r="B15" s="23" t="s">
        <v>231</v>
      </c>
      <c r="C15" s="23" t="s">
        <v>233</v>
      </c>
      <c r="D15" s="23" t="s">
        <v>234</v>
      </c>
      <c r="E15" s="23" t="s">
        <v>61</v>
      </c>
      <c r="F15" s="24"/>
      <c r="G15" s="23" t="s">
        <v>65</v>
      </c>
      <c r="H15" s="23"/>
      <c r="I15" s="23" t="s">
        <v>72</v>
      </c>
      <c r="J15" s="23" t="s">
        <v>236</v>
      </c>
      <c r="K15" s="23" t="s">
        <v>120</v>
      </c>
      <c r="L15" s="23"/>
    </row>
    <row r="16">
      <c r="A16" s="23" t="s">
        <v>230</v>
      </c>
      <c r="B16" s="23" t="s">
        <v>231</v>
      </c>
      <c r="C16" s="23" t="s">
        <v>242</v>
      </c>
      <c r="D16" s="23" t="s">
        <v>243</v>
      </c>
      <c r="E16" s="23" t="s">
        <v>61</v>
      </c>
      <c r="F16" s="24"/>
      <c r="G16" s="23" t="s">
        <v>65</v>
      </c>
      <c r="H16" s="23"/>
      <c r="I16" s="23" t="s">
        <v>134</v>
      </c>
      <c r="J16" s="23" t="s">
        <v>244</v>
      </c>
      <c r="K16" s="23" t="s">
        <v>120</v>
      </c>
      <c r="L16" s="23"/>
    </row>
    <row r="17">
      <c r="A17" s="23" t="s">
        <v>230</v>
      </c>
      <c r="B17" s="23" t="s">
        <v>248</v>
      </c>
      <c r="C17" s="23" t="s">
        <v>249</v>
      </c>
      <c r="D17" s="23" t="s">
        <v>250</v>
      </c>
      <c r="E17" s="23" t="s">
        <v>72</v>
      </c>
      <c r="F17" s="24"/>
      <c r="G17" s="23" t="s">
        <v>65</v>
      </c>
      <c r="H17" s="23"/>
      <c r="I17" s="23" t="s">
        <v>135</v>
      </c>
      <c r="J17" s="23" t="s">
        <v>252</v>
      </c>
      <c r="K17" s="23" t="s">
        <v>120</v>
      </c>
      <c r="L17" s="23"/>
    </row>
    <row r="18">
      <c r="A18" s="23" t="s">
        <v>253</v>
      </c>
      <c r="B18" s="23" t="s">
        <v>255</v>
      </c>
      <c r="C18" s="23" t="s">
        <v>258</v>
      </c>
      <c r="D18" s="23" t="s">
        <v>260</v>
      </c>
      <c r="E18" s="23" t="s">
        <v>72</v>
      </c>
      <c r="F18" s="24"/>
      <c r="G18" s="23" t="s">
        <v>65</v>
      </c>
      <c r="H18" s="23"/>
      <c r="I18" s="23" t="s">
        <v>175</v>
      </c>
      <c r="J18" s="23" t="s">
        <v>263</v>
      </c>
      <c r="K18" s="23" t="s">
        <v>120</v>
      </c>
      <c r="L18"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L1"/>
    <mergeCell ref="A2:L2"/>
    <mergeCell ref="A4:C4"/>
    <mergeCell ref="E4:G4"/>
    <mergeCell ref="I4:L4"/>
    <mergeCell ref="A13:L13"/>
  </mergeCells>
  <conditionalFormatting sqref="G15:G18">
    <cfRule type="expression" dxfId="4" priority="1">
      <formula>G15="Done"</formula>
    </cfRule>
  </conditionalFormatting>
  <conditionalFormatting sqref="G15:G18">
    <cfRule type="expression" dxfId="5" priority="2">
      <formula>G15="In Progress"</formula>
    </cfRule>
  </conditionalFormatting>
  <conditionalFormatting sqref="G15:G18">
    <cfRule type="expression" dxfId="6" priority="3">
      <formula>G15="Blocked"</formula>
    </cfRule>
  </conditionalFormatting>
  <conditionalFormatting sqref="G15:G18">
    <cfRule type="expression" dxfId="7" priority="4">
      <formula>G15="Needs Review"</formula>
    </cfRule>
  </conditionalFormatting>
  <conditionalFormatting sqref="G15:G18">
    <cfRule type="expression" dxfId="7" priority="5">
      <formula>G15="Needs Revalidation"</formula>
    </cfRule>
  </conditionalFormatting>
  <dataValidations>
    <dataValidation type="list" allowBlank="1" sqref="G15:G18">
      <formula1>"Not Started,In Progress,Needs Review,Blocked,Done"</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3.71"/>
    <col customWidth="1" min="5" max="5" width="20.57"/>
    <col customWidth="1" min="6" max="6" width="43.43"/>
    <col customWidth="1" min="7" max="7" width="38.86"/>
    <col customWidth="1" min="8" max="8" width="11.43"/>
    <col customWidth="1" min="9" max="9" width="16.0"/>
    <col customWidth="1" min="10" max="10" width="17.14"/>
    <col customWidth="1" min="11" max="11" width="29.71"/>
    <col customWidth="1" min="12" max="12" width="32.0"/>
    <col customWidth="1" min="13" max="13" width="36.57"/>
    <col customWidth="1" min="14" max="14" width="16.0"/>
    <col customWidth="1" min="15" max="15" width="17.14"/>
    <col customWidth="1" min="16" max="16" width="14.86"/>
    <col customWidth="1" min="17" max="17" width="11.43"/>
    <col customWidth="1" min="18" max="18" width="13.71"/>
    <col customWidth="1" min="19" max="26" width="9.86"/>
  </cols>
  <sheetData>
    <row r="1" ht="33.75" customHeight="1">
      <c r="A1" s="1" t="s">
        <v>6</v>
      </c>
    </row>
    <row r="2" ht="27.75" customHeight="1">
      <c r="A2" s="2" t="s">
        <v>8</v>
      </c>
    </row>
    <row r="4" ht="30.0" customHeight="1">
      <c r="A4" s="6" t="s">
        <v>9</v>
      </c>
      <c r="B4" s="7" t="s">
        <v>10</v>
      </c>
      <c r="C4" s="7" t="s">
        <v>12</v>
      </c>
      <c r="D4" s="7" t="s">
        <v>13</v>
      </c>
      <c r="E4" s="7" t="s">
        <v>15</v>
      </c>
      <c r="F4" s="7" t="s">
        <v>17</v>
      </c>
      <c r="G4" s="7" t="s">
        <v>18</v>
      </c>
      <c r="H4" s="7" t="s">
        <v>20</v>
      </c>
      <c r="I4" s="7" t="s">
        <v>21</v>
      </c>
      <c r="J4" s="7" t="s">
        <v>22</v>
      </c>
      <c r="K4" s="7" t="s">
        <v>24</v>
      </c>
      <c r="L4" s="7" t="s">
        <v>25</v>
      </c>
      <c r="M4" s="7" t="s">
        <v>26</v>
      </c>
      <c r="N4" s="7" t="s">
        <v>28</v>
      </c>
      <c r="O4" s="7" t="s">
        <v>30</v>
      </c>
      <c r="P4" s="7" t="s">
        <v>31</v>
      </c>
      <c r="Q4" s="7" t="s">
        <v>32</v>
      </c>
      <c r="R4" s="11" t="s">
        <v>33</v>
      </c>
    </row>
    <row r="5">
      <c r="A5" s="12" t="s">
        <v>36</v>
      </c>
      <c r="B5" s="13">
        <v>46230.0</v>
      </c>
      <c r="C5" s="13">
        <v>46232.0</v>
      </c>
      <c r="D5" s="12" t="s">
        <v>46</v>
      </c>
      <c r="E5" s="12" t="s">
        <v>53</v>
      </c>
      <c r="F5" s="12" t="s">
        <v>56</v>
      </c>
      <c r="G5" s="12" t="s">
        <v>57</v>
      </c>
      <c r="H5" s="12" t="s">
        <v>59</v>
      </c>
      <c r="I5" s="12" t="s">
        <v>61</v>
      </c>
      <c r="J5" s="12" t="s">
        <v>65</v>
      </c>
      <c r="K5" s="12"/>
      <c r="L5" s="12"/>
      <c r="M5" s="12"/>
      <c r="N5" s="12" t="s">
        <v>72</v>
      </c>
      <c r="O5" s="12" t="s">
        <v>75</v>
      </c>
      <c r="P5" s="13"/>
      <c r="Q5" s="15">
        <f t="shared" ref="Q5:Q304" si="1">IF(B5="","",IF(J5="Done",IF(P5="","",P5-B5),TODAY()-B5))</f>
        <v>62</v>
      </c>
      <c r="R5" s="12" t="str">
        <f t="shared" ref="R5:R304" si="2">IF(B5="","",IF(J5="Done","Closed",IF(C5="","No due date",IF(C5&lt;TODAY(),"Overdue",IF(C5-TODAY()&lt;=2,"Due soon","On track")))))</f>
        <v>Overdue</v>
      </c>
    </row>
    <row r="6">
      <c r="A6" s="12" t="s">
        <v>122</v>
      </c>
      <c r="B6" s="13">
        <v>46230.0</v>
      </c>
      <c r="C6" s="13">
        <v>46233.0</v>
      </c>
      <c r="D6" s="12" t="s">
        <v>46</v>
      </c>
      <c r="E6" s="12" t="s">
        <v>53</v>
      </c>
      <c r="F6" s="12" t="s">
        <v>127</v>
      </c>
      <c r="G6" s="12" t="s">
        <v>57</v>
      </c>
      <c r="H6" s="12" t="s">
        <v>59</v>
      </c>
      <c r="I6" s="12" t="s">
        <v>61</v>
      </c>
      <c r="J6" s="12" t="s">
        <v>65</v>
      </c>
      <c r="K6" s="12"/>
      <c r="L6" s="12"/>
      <c r="M6" s="12"/>
      <c r="N6" s="12" t="s">
        <v>134</v>
      </c>
      <c r="O6" s="12" t="s">
        <v>75</v>
      </c>
      <c r="P6" s="13"/>
      <c r="Q6" s="15">
        <f t="shared" si="1"/>
        <v>62</v>
      </c>
      <c r="R6" s="12" t="str">
        <f t="shared" si="2"/>
        <v>Overdue</v>
      </c>
    </row>
    <row r="7">
      <c r="A7" s="12" t="s">
        <v>142</v>
      </c>
      <c r="B7" s="13">
        <v>46230.0</v>
      </c>
      <c r="C7" s="13">
        <v>46234.0</v>
      </c>
      <c r="D7" s="12" t="s">
        <v>46</v>
      </c>
      <c r="E7" s="12" t="s">
        <v>144</v>
      </c>
      <c r="F7" s="12" t="s">
        <v>145</v>
      </c>
      <c r="G7" s="12" t="s">
        <v>146</v>
      </c>
      <c r="H7" s="12" t="s">
        <v>120</v>
      </c>
      <c r="I7" s="12" t="s">
        <v>72</v>
      </c>
      <c r="J7" s="12" t="s">
        <v>65</v>
      </c>
      <c r="K7" s="12"/>
      <c r="L7" s="12"/>
      <c r="M7" s="12"/>
      <c r="N7" s="12" t="s">
        <v>134</v>
      </c>
      <c r="O7" s="12" t="s">
        <v>75</v>
      </c>
      <c r="P7" s="13"/>
      <c r="Q7" s="15">
        <f t="shared" si="1"/>
        <v>62</v>
      </c>
      <c r="R7" s="12" t="str">
        <f t="shared" si="2"/>
        <v>Overdue</v>
      </c>
    </row>
    <row r="8">
      <c r="A8" s="12" t="s">
        <v>156</v>
      </c>
      <c r="B8" s="13">
        <v>46230.0</v>
      </c>
      <c r="C8" s="13">
        <v>46235.0</v>
      </c>
      <c r="D8" s="12" t="s">
        <v>46</v>
      </c>
      <c r="E8" s="12" t="s">
        <v>144</v>
      </c>
      <c r="F8" s="12" t="s">
        <v>157</v>
      </c>
      <c r="G8" s="12" t="s">
        <v>155</v>
      </c>
      <c r="H8" s="12" t="s">
        <v>120</v>
      </c>
      <c r="I8" s="12" t="s">
        <v>135</v>
      </c>
      <c r="J8" s="12" t="s">
        <v>65</v>
      </c>
      <c r="K8" s="12"/>
      <c r="L8" s="12"/>
      <c r="M8" s="12"/>
      <c r="N8" s="12" t="s">
        <v>72</v>
      </c>
      <c r="O8" s="12" t="s">
        <v>75</v>
      </c>
      <c r="P8" s="13"/>
      <c r="Q8" s="15">
        <f t="shared" si="1"/>
        <v>62</v>
      </c>
      <c r="R8" s="12" t="str">
        <f t="shared" si="2"/>
        <v>Overdue</v>
      </c>
    </row>
    <row r="9">
      <c r="A9" s="12" t="s">
        <v>161</v>
      </c>
      <c r="B9" s="13">
        <v>46230.0</v>
      </c>
      <c r="C9" s="13">
        <v>46236.0</v>
      </c>
      <c r="D9" s="12" t="s">
        <v>165</v>
      </c>
      <c r="E9" s="12" t="s">
        <v>167</v>
      </c>
      <c r="F9" s="12" t="s">
        <v>168</v>
      </c>
      <c r="G9" s="12" t="s">
        <v>170</v>
      </c>
      <c r="H9" s="12" t="s">
        <v>120</v>
      </c>
      <c r="I9" s="12" t="s">
        <v>72</v>
      </c>
      <c r="J9" s="12" t="s">
        <v>65</v>
      </c>
      <c r="K9" s="12"/>
      <c r="L9" s="12"/>
      <c r="M9" s="12"/>
      <c r="N9" s="12" t="s">
        <v>175</v>
      </c>
      <c r="O9" s="12" t="s">
        <v>75</v>
      </c>
      <c r="P9" s="13"/>
      <c r="Q9" s="15">
        <f t="shared" si="1"/>
        <v>62</v>
      </c>
      <c r="R9" s="12" t="str">
        <f t="shared" si="2"/>
        <v>Overdue</v>
      </c>
    </row>
    <row r="10">
      <c r="A10" s="12" t="s">
        <v>180</v>
      </c>
      <c r="B10" s="13">
        <v>46230.0</v>
      </c>
      <c r="C10" s="13">
        <v>46236.0</v>
      </c>
      <c r="D10" s="12" t="s">
        <v>165</v>
      </c>
      <c r="E10" s="12" t="s">
        <v>188</v>
      </c>
      <c r="F10" s="12" t="s">
        <v>190</v>
      </c>
      <c r="G10" s="12" t="s">
        <v>191</v>
      </c>
      <c r="H10" s="12" t="s">
        <v>120</v>
      </c>
      <c r="I10" s="12" t="s">
        <v>72</v>
      </c>
      <c r="J10" s="12" t="s">
        <v>65</v>
      </c>
      <c r="K10" s="12"/>
      <c r="L10" s="12"/>
      <c r="M10" s="12"/>
      <c r="N10" s="12" t="s">
        <v>135</v>
      </c>
      <c r="O10" s="12" t="s">
        <v>75</v>
      </c>
      <c r="P10" s="13"/>
      <c r="Q10" s="15">
        <f t="shared" si="1"/>
        <v>62</v>
      </c>
      <c r="R10" s="12" t="str">
        <f t="shared" si="2"/>
        <v>Overdue</v>
      </c>
    </row>
    <row r="11">
      <c r="A11" s="12" t="s">
        <v>202</v>
      </c>
      <c r="B11" s="13">
        <v>46230.0</v>
      </c>
      <c r="C11" s="13">
        <v>46237.0</v>
      </c>
      <c r="D11" s="12" t="s">
        <v>165</v>
      </c>
      <c r="E11" s="12" t="s">
        <v>206</v>
      </c>
      <c r="F11" s="12" t="s">
        <v>207</v>
      </c>
      <c r="G11" s="12" t="s">
        <v>209</v>
      </c>
      <c r="H11" s="12" t="s">
        <v>210</v>
      </c>
      <c r="I11" s="12" t="s">
        <v>211</v>
      </c>
      <c r="J11" s="12" t="s">
        <v>65</v>
      </c>
      <c r="K11" s="12"/>
      <c r="L11" s="12"/>
      <c r="M11" s="12"/>
      <c r="N11" s="12" t="s">
        <v>72</v>
      </c>
      <c r="O11" s="12" t="s">
        <v>75</v>
      </c>
      <c r="P11" s="13"/>
      <c r="Q11" s="15">
        <f t="shared" si="1"/>
        <v>62</v>
      </c>
      <c r="R11" s="12" t="str">
        <f t="shared" si="2"/>
        <v>Overdue</v>
      </c>
    </row>
    <row r="12">
      <c r="A12" s="12" t="s">
        <v>220</v>
      </c>
      <c r="B12" s="13">
        <v>46230.0</v>
      </c>
      <c r="C12" s="13">
        <v>46237.0</v>
      </c>
      <c r="D12" s="12" t="s">
        <v>165</v>
      </c>
      <c r="E12" s="12" t="s">
        <v>53</v>
      </c>
      <c r="F12" s="12" t="s">
        <v>228</v>
      </c>
      <c r="G12" s="12" t="s">
        <v>229</v>
      </c>
      <c r="H12" s="12" t="s">
        <v>120</v>
      </c>
      <c r="I12" s="12" t="s">
        <v>72</v>
      </c>
      <c r="J12" s="12" t="s">
        <v>65</v>
      </c>
      <c r="K12" s="12"/>
      <c r="L12" s="12"/>
      <c r="M12" s="12"/>
      <c r="N12" s="12" t="s">
        <v>61</v>
      </c>
      <c r="O12" s="12" t="s">
        <v>75</v>
      </c>
      <c r="P12" s="13"/>
      <c r="Q12" s="15">
        <f t="shared" si="1"/>
        <v>62</v>
      </c>
      <c r="R12" s="12" t="str">
        <f t="shared" si="2"/>
        <v>Overdue</v>
      </c>
    </row>
    <row r="13">
      <c r="A13" s="12" t="s">
        <v>235</v>
      </c>
      <c r="B13" s="13">
        <v>46230.0</v>
      </c>
      <c r="C13" s="13">
        <v>46238.0</v>
      </c>
      <c r="D13" s="12" t="s">
        <v>165</v>
      </c>
      <c r="E13" s="12" t="s">
        <v>237</v>
      </c>
      <c r="F13" s="12" t="s">
        <v>239</v>
      </c>
      <c r="G13" s="12" t="s">
        <v>241</v>
      </c>
      <c r="H13" s="12" t="s">
        <v>210</v>
      </c>
      <c r="I13" s="12" t="s">
        <v>72</v>
      </c>
      <c r="J13" s="12" t="s">
        <v>65</v>
      </c>
      <c r="K13" s="12"/>
      <c r="L13" s="12"/>
      <c r="M13" s="12"/>
      <c r="N13" s="12" t="s">
        <v>135</v>
      </c>
      <c r="O13" s="12" t="s">
        <v>75</v>
      </c>
      <c r="P13" s="13"/>
      <c r="Q13" s="15">
        <f t="shared" si="1"/>
        <v>62</v>
      </c>
      <c r="R13" s="12" t="str">
        <f t="shared" si="2"/>
        <v>Overdue</v>
      </c>
    </row>
    <row r="14">
      <c r="A14" s="12" t="s">
        <v>251</v>
      </c>
      <c r="B14" s="13">
        <v>46230.0</v>
      </c>
      <c r="C14" s="13">
        <v>46238.0</v>
      </c>
      <c r="D14" s="12" t="s">
        <v>165</v>
      </c>
      <c r="E14" s="12" t="s">
        <v>254</v>
      </c>
      <c r="F14" s="12" t="s">
        <v>257</v>
      </c>
      <c r="G14" s="12" t="s">
        <v>261</v>
      </c>
      <c r="H14" s="12" t="s">
        <v>210</v>
      </c>
      <c r="I14" s="12" t="s">
        <v>262</v>
      </c>
      <c r="J14" s="12" t="s">
        <v>65</v>
      </c>
      <c r="K14" s="12"/>
      <c r="L14" s="12"/>
      <c r="M14" s="12"/>
      <c r="N14" s="12" t="s">
        <v>72</v>
      </c>
      <c r="O14" s="12" t="s">
        <v>75</v>
      </c>
      <c r="P14" s="13"/>
      <c r="Q14" s="15">
        <f t="shared" si="1"/>
        <v>62</v>
      </c>
      <c r="R14" s="12" t="str">
        <f t="shared" si="2"/>
        <v>Overdue</v>
      </c>
    </row>
    <row r="15">
      <c r="A15" s="12" t="s">
        <v>265</v>
      </c>
      <c r="B15" s="13">
        <v>46230.0</v>
      </c>
      <c r="C15" s="13">
        <v>46239.0</v>
      </c>
      <c r="D15" s="12" t="s">
        <v>266</v>
      </c>
      <c r="E15" s="12" t="s">
        <v>255</v>
      </c>
      <c r="F15" s="12" t="s">
        <v>269</v>
      </c>
      <c r="G15" s="12" t="s">
        <v>270</v>
      </c>
      <c r="H15" s="12" t="s">
        <v>59</v>
      </c>
      <c r="I15" s="12" t="s">
        <v>72</v>
      </c>
      <c r="J15" s="12" t="s">
        <v>65</v>
      </c>
      <c r="K15" s="12"/>
      <c r="L15" s="12"/>
      <c r="M15" s="12"/>
      <c r="N15" s="12" t="s">
        <v>175</v>
      </c>
      <c r="O15" s="12" t="s">
        <v>75</v>
      </c>
      <c r="P15" s="13"/>
      <c r="Q15" s="15">
        <f t="shared" si="1"/>
        <v>62</v>
      </c>
      <c r="R15" s="12" t="str">
        <f t="shared" si="2"/>
        <v>Overdue</v>
      </c>
    </row>
    <row r="16">
      <c r="A16" s="12" t="s">
        <v>274</v>
      </c>
      <c r="B16" s="13">
        <v>46230.0</v>
      </c>
      <c r="C16" s="13">
        <v>46239.0</v>
      </c>
      <c r="D16" s="12" t="s">
        <v>46</v>
      </c>
      <c r="E16" s="12" t="s">
        <v>275</v>
      </c>
      <c r="F16" s="12" t="s">
        <v>276</v>
      </c>
      <c r="G16" s="12" t="s">
        <v>277</v>
      </c>
      <c r="H16" s="12" t="s">
        <v>120</v>
      </c>
      <c r="I16" s="12" t="s">
        <v>72</v>
      </c>
      <c r="J16" s="12" t="s">
        <v>278</v>
      </c>
      <c r="K16" s="12"/>
      <c r="L16" s="12" t="s">
        <v>279</v>
      </c>
      <c r="M16" s="12" t="s">
        <v>280</v>
      </c>
      <c r="N16" s="12" t="s">
        <v>175</v>
      </c>
      <c r="O16" s="12" t="s">
        <v>283</v>
      </c>
      <c r="P16" s="13">
        <v>46230.0</v>
      </c>
      <c r="Q16" s="15">
        <f t="shared" si="1"/>
        <v>0</v>
      </c>
      <c r="R16" s="12" t="str">
        <f t="shared" si="2"/>
        <v>Closed</v>
      </c>
    </row>
    <row r="17">
      <c r="A17" s="12" t="s">
        <v>286</v>
      </c>
      <c r="B17" s="13">
        <v>46230.0</v>
      </c>
      <c r="C17" s="13">
        <v>46240.0</v>
      </c>
      <c r="D17" s="12" t="s">
        <v>46</v>
      </c>
      <c r="E17" s="12" t="s">
        <v>254</v>
      </c>
      <c r="F17" s="12" t="s">
        <v>288</v>
      </c>
      <c r="G17" s="12" t="s">
        <v>261</v>
      </c>
      <c r="H17" s="12" t="s">
        <v>120</v>
      </c>
      <c r="I17" s="12" t="s">
        <v>262</v>
      </c>
      <c r="J17" s="12" t="s">
        <v>289</v>
      </c>
      <c r="K17" s="12"/>
      <c r="L17" s="12"/>
      <c r="M17" s="12"/>
      <c r="N17" s="12" t="s">
        <v>72</v>
      </c>
      <c r="O17" s="12" t="s">
        <v>75</v>
      </c>
      <c r="P17" s="13"/>
      <c r="Q17" s="15">
        <f t="shared" si="1"/>
        <v>62</v>
      </c>
      <c r="R17" s="12" t="str">
        <f t="shared" si="2"/>
        <v>Overdue</v>
      </c>
    </row>
    <row r="18">
      <c r="A18" s="12" t="s">
        <v>293</v>
      </c>
      <c r="B18" s="13">
        <v>46230.0</v>
      </c>
      <c r="C18" s="13">
        <v>46240.0</v>
      </c>
      <c r="D18" s="12" t="s">
        <v>46</v>
      </c>
      <c r="E18" s="12" t="s">
        <v>296</v>
      </c>
      <c r="F18" s="12" t="s">
        <v>297</v>
      </c>
      <c r="G18" s="12" t="s">
        <v>298</v>
      </c>
      <c r="H18" s="12" t="s">
        <v>59</v>
      </c>
      <c r="I18" s="12" t="s">
        <v>61</v>
      </c>
      <c r="J18" s="12" t="s">
        <v>65</v>
      </c>
      <c r="K18" s="12"/>
      <c r="L18" s="12"/>
      <c r="M18" s="12"/>
      <c r="N18" s="12" t="s">
        <v>72</v>
      </c>
      <c r="O18" s="12" t="s">
        <v>75</v>
      </c>
      <c r="P18" s="13"/>
      <c r="Q18" s="15">
        <f t="shared" si="1"/>
        <v>62</v>
      </c>
      <c r="R18" s="12" t="str">
        <f t="shared" si="2"/>
        <v>Overdue</v>
      </c>
    </row>
    <row r="19">
      <c r="A19" s="12" t="s">
        <v>302</v>
      </c>
      <c r="B19" s="13">
        <v>46230.0</v>
      </c>
      <c r="C19" s="13">
        <v>46241.0</v>
      </c>
      <c r="D19" s="12" t="s">
        <v>46</v>
      </c>
      <c r="E19" s="12" t="s">
        <v>69</v>
      </c>
      <c r="F19" s="12" t="s">
        <v>303</v>
      </c>
      <c r="G19" s="12" t="s">
        <v>305</v>
      </c>
      <c r="H19" s="12" t="s">
        <v>120</v>
      </c>
      <c r="I19" s="12" t="s">
        <v>61</v>
      </c>
      <c r="J19" s="12" t="s">
        <v>65</v>
      </c>
      <c r="K19" s="12"/>
      <c r="L19" s="12"/>
      <c r="M19" s="12"/>
      <c r="N19" s="12" t="s">
        <v>72</v>
      </c>
      <c r="O19" s="12" t="s">
        <v>75</v>
      </c>
      <c r="P19" s="13"/>
      <c r="Q19" s="15">
        <f t="shared" si="1"/>
        <v>62</v>
      </c>
      <c r="R19" s="12" t="str">
        <f t="shared" si="2"/>
        <v>Overdue</v>
      </c>
    </row>
    <row r="20">
      <c r="A20" s="12"/>
      <c r="B20" s="13"/>
      <c r="C20" s="13"/>
      <c r="D20" s="12"/>
      <c r="E20" s="12"/>
      <c r="F20" s="12"/>
      <c r="G20" s="12"/>
      <c r="H20" s="12"/>
      <c r="I20" s="12"/>
      <c r="J20" s="12"/>
      <c r="K20" s="12"/>
      <c r="L20" s="12"/>
      <c r="M20" s="12"/>
      <c r="N20" s="12"/>
      <c r="O20" s="12"/>
      <c r="P20" s="13"/>
      <c r="Q20" s="15" t="str">
        <f t="shared" si="1"/>
        <v/>
      </c>
      <c r="R20" s="12" t="str">
        <f t="shared" si="2"/>
        <v/>
      </c>
    </row>
    <row r="21" ht="15.75" customHeight="1">
      <c r="A21" s="12"/>
      <c r="B21" s="13"/>
      <c r="C21" s="13"/>
      <c r="D21" s="12"/>
      <c r="E21" s="12"/>
      <c r="F21" s="12"/>
      <c r="G21" s="12"/>
      <c r="H21" s="12"/>
      <c r="I21" s="12"/>
      <c r="J21" s="12"/>
      <c r="K21" s="12"/>
      <c r="L21" s="12"/>
      <c r="M21" s="12"/>
      <c r="N21" s="12"/>
      <c r="O21" s="12"/>
      <c r="P21" s="13"/>
      <c r="Q21" s="15" t="str">
        <f t="shared" si="1"/>
        <v/>
      </c>
      <c r="R21" s="12" t="str">
        <f t="shared" si="2"/>
        <v/>
      </c>
    </row>
    <row r="22" ht="15.75" customHeight="1">
      <c r="A22" s="12"/>
      <c r="B22" s="13"/>
      <c r="C22" s="13"/>
      <c r="D22" s="12"/>
      <c r="E22" s="12"/>
      <c r="F22" s="12"/>
      <c r="G22" s="12"/>
      <c r="H22" s="12"/>
      <c r="I22" s="12"/>
      <c r="J22" s="12"/>
      <c r="K22" s="12"/>
      <c r="L22" s="12"/>
      <c r="M22" s="12"/>
      <c r="N22" s="12"/>
      <c r="O22" s="12"/>
      <c r="P22" s="13"/>
      <c r="Q22" s="15" t="str">
        <f t="shared" si="1"/>
        <v/>
      </c>
      <c r="R22" s="12" t="str">
        <f t="shared" si="2"/>
        <v/>
      </c>
    </row>
    <row r="23" ht="15.75" customHeight="1">
      <c r="A23" s="12"/>
      <c r="B23" s="13"/>
      <c r="C23" s="13"/>
      <c r="D23" s="12"/>
      <c r="E23" s="12"/>
      <c r="F23" s="12"/>
      <c r="G23" s="12"/>
      <c r="H23" s="12"/>
      <c r="I23" s="12"/>
      <c r="J23" s="12"/>
      <c r="K23" s="12"/>
      <c r="L23" s="12"/>
      <c r="M23" s="12"/>
      <c r="N23" s="12"/>
      <c r="O23" s="12"/>
      <c r="P23" s="13"/>
      <c r="Q23" s="15" t="str">
        <f t="shared" si="1"/>
        <v/>
      </c>
      <c r="R23" s="12" t="str">
        <f t="shared" si="2"/>
        <v/>
      </c>
    </row>
    <row r="24" ht="15.75" customHeight="1">
      <c r="A24" s="12"/>
      <c r="B24" s="13"/>
      <c r="C24" s="13"/>
      <c r="D24" s="12"/>
      <c r="E24" s="12"/>
      <c r="F24" s="12"/>
      <c r="G24" s="12"/>
      <c r="H24" s="12"/>
      <c r="I24" s="12"/>
      <c r="J24" s="12"/>
      <c r="K24" s="12"/>
      <c r="L24" s="12"/>
      <c r="M24" s="12"/>
      <c r="N24" s="12"/>
      <c r="O24" s="12"/>
      <c r="P24" s="13"/>
      <c r="Q24" s="15" t="str">
        <f t="shared" si="1"/>
        <v/>
      </c>
      <c r="R24" s="12" t="str">
        <f t="shared" si="2"/>
        <v/>
      </c>
    </row>
    <row r="25" ht="15.75" customHeight="1">
      <c r="A25" s="12"/>
      <c r="B25" s="13"/>
      <c r="C25" s="13"/>
      <c r="D25" s="12"/>
      <c r="E25" s="12"/>
      <c r="F25" s="12"/>
      <c r="G25" s="12"/>
      <c r="H25" s="12"/>
      <c r="I25" s="12"/>
      <c r="J25" s="12"/>
      <c r="K25" s="12"/>
      <c r="L25" s="12"/>
      <c r="M25" s="12"/>
      <c r="N25" s="12"/>
      <c r="O25" s="12"/>
      <c r="P25" s="13"/>
      <c r="Q25" s="15" t="str">
        <f t="shared" si="1"/>
        <v/>
      </c>
      <c r="R25" s="12" t="str">
        <f t="shared" si="2"/>
        <v/>
      </c>
    </row>
    <row r="26" ht="15.75" customHeight="1">
      <c r="A26" s="12"/>
      <c r="B26" s="13"/>
      <c r="C26" s="13"/>
      <c r="D26" s="12"/>
      <c r="E26" s="12"/>
      <c r="F26" s="12"/>
      <c r="G26" s="12"/>
      <c r="H26" s="12"/>
      <c r="I26" s="12"/>
      <c r="J26" s="12"/>
      <c r="K26" s="12"/>
      <c r="L26" s="12"/>
      <c r="M26" s="12"/>
      <c r="N26" s="12"/>
      <c r="O26" s="12"/>
      <c r="P26" s="13"/>
      <c r="Q26" s="15" t="str">
        <f t="shared" si="1"/>
        <v/>
      </c>
      <c r="R26" s="12" t="str">
        <f t="shared" si="2"/>
        <v/>
      </c>
    </row>
    <row r="27" ht="15.75" customHeight="1">
      <c r="A27" s="12"/>
      <c r="B27" s="13"/>
      <c r="C27" s="13"/>
      <c r="D27" s="12"/>
      <c r="E27" s="12"/>
      <c r="F27" s="12"/>
      <c r="G27" s="12"/>
      <c r="H27" s="12"/>
      <c r="I27" s="12"/>
      <c r="J27" s="12"/>
      <c r="K27" s="12"/>
      <c r="L27" s="12"/>
      <c r="M27" s="12"/>
      <c r="N27" s="12"/>
      <c r="O27" s="12"/>
      <c r="P27" s="13"/>
      <c r="Q27" s="15" t="str">
        <f t="shared" si="1"/>
        <v/>
      </c>
      <c r="R27" s="12" t="str">
        <f t="shared" si="2"/>
        <v/>
      </c>
    </row>
    <row r="28" ht="15.75" customHeight="1">
      <c r="A28" s="12"/>
      <c r="B28" s="13"/>
      <c r="C28" s="13"/>
      <c r="D28" s="12"/>
      <c r="E28" s="12"/>
      <c r="F28" s="12"/>
      <c r="G28" s="12"/>
      <c r="H28" s="12"/>
      <c r="I28" s="12"/>
      <c r="J28" s="12"/>
      <c r="K28" s="12"/>
      <c r="L28" s="12"/>
      <c r="M28" s="12"/>
      <c r="N28" s="12"/>
      <c r="O28" s="12"/>
      <c r="P28" s="13"/>
      <c r="Q28" s="15" t="str">
        <f t="shared" si="1"/>
        <v/>
      </c>
      <c r="R28" s="12" t="str">
        <f t="shared" si="2"/>
        <v/>
      </c>
    </row>
    <row r="29" ht="15.75" customHeight="1">
      <c r="A29" s="12"/>
      <c r="B29" s="13"/>
      <c r="C29" s="13"/>
      <c r="D29" s="12"/>
      <c r="E29" s="12"/>
      <c r="F29" s="12"/>
      <c r="G29" s="12"/>
      <c r="H29" s="12"/>
      <c r="I29" s="12"/>
      <c r="J29" s="12"/>
      <c r="K29" s="12"/>
      <c r="L29" s="12"/>
      <c r="M29" s="12"/>
      <c r="N29" s="12"/>
      <c r="O29" s="12"/>
      <c r="P29" s="13"/>
      <c r="Q29" s="15" t="str">
        <f t="shared" si="1"/>
        <v/>
      </c>
      <c r="R29" s="12" t="str">
        <f t="shared" si="2"/>
        <v/>
      </c>
    </row>
    <row r="30" ht="15.75" customHeight="1">
      <c r="A30" s="12"/>
      <c r="B30" s="13"/>
      <c r="C30" s="13"/>
      <c r="D30" s="12"/>
      <c r="E30" s="12"/>
      <c r="F30" s="12"/>
      <c r="G30" s="12"/>
      <c r="H30" s="12"/>
      <c r="I30" s="12"/>
      <c r="J30" s="12"/>
      <c r="K30" s="12"/>
      <c r="L30" s="12"/>
      <c r="M30" s="12"/>
      <c r="N30" s="12"/>
      <c r="O30" s="12"/>
      <c r="P30" s="13"/>
      <c r="Q30" s="15" t="str">
        <f t="shared" si="1"/>
        <v/>
      </c>
      <c r="R30" s="12" t="str">
        <f t="shared" si="2"/>
        <v/>
      </c>
    </row>
    <row r="31" ht="15.75" customHeight="1">
      <c r="A31" s="12"/>
      <c r="B31" s="13"/>
      <c r="C31" s="13"/>
      <c r="D31" s="12"/>
      <c r="E31" s="12"/>
      <c r="F31" s="12"/>
      <c r="G31" s="12"/>
      <c r="H31" s="12"/>
      <c r="I31" s="12"/>
      <c r="J31" s="12"/>
      <c r="K31" s="12"/>
      <c r="L31" s="12"/>
      <c r="M31" s="12"/>
      <c r="N31" s="12"/>
      <c r="O31" s="12"/>
      <c r="P31" s="13"/>
      <c r="Q31" s="15" t="str">
        <f t="shared" si="1"/>
        <v/>
      </c>
      <c r="R31" s="12" t="str">
        <f t="shared" si="2"/>
        <v/>
      </c>
    </row>
    <row r="32" ht="15.75" customHeight="1">
      <c r="A32" s="12"/>
      <c r="B32" s="13"/>
      <c r="C32" s="13"/>
      <c r="D32" s="12"/>
      <c r="E32" s="12"/>
      <c r="F32" s="12"/>
      <c r="G32" s="12"/>
      <c r="H32" s="12"/>
      <c r="I32" s="12"/>
      <c r="J32" s="12"/>
      <c r="K32" s="12"/>
      <c r="L32" s="12"/>
      <c r="M32" s="12"/>
      <c r="N32" s="12"/>
      <c r="O32" s="12"/>
      <c r="P32" s="13"/>
      <c r="Q32" s="15" t="str">
        <f t="shared" si="1"/>
        <v/>
      </c>
      <c r="R32" s="12" t="str">
        <f t="shared" si="2"/>
        <v/>
      </c>
    </row>
    <row r="33" ht="15.75" customHeight="1">
      <c r="A33" s="12"/>
      <c r="B33" s="13"/>
      <c r="C33" s="13"/>
      <c r="D33" s="12"/>
      <c r="E33" s="12"/>
      <c r="F33" s="12"/>
      <c r="G33" s="12"/>
      <c r="H33" s="12"/>
      <c r="I33" s="12"/>
      <c r="J33" s="12"/>
      <c r="K33" s="12"/>
      <c r="L33" s="12"/>
      <c r="M33" s="12"/>
      <c r="N33" s="12"/>
      <c r="O33" s="12"/>
      <c r="P33" s="13"/>
      <c r="Q33" s="15" t="str">
        <f t="shared" si="1"/>
        <v/>
      </c>
      <c r="R33" s="12" t="str">
        <f t="shared" si="2"/>
        <v/>
      </c>
    </row>
    <row r="34" ht="15.75" customHeight="1">
      <c r="A34" s="12"/>
      <c r="B34" s="13"/>
      <c r="C34" s="13"/>
      <c r="D34" s="12"/>
      <c r="E34" s="12"/>
      <c r="F34" s="12"/>
      <c r="G34" s="12"/>
      <c r="H34" s="12"/>
      <c r="I34" s="12"/>
      <c r="J34" s="12"/>
      <c r="K34" s="12"/>
      <c r="L34" s="12"/>
      <c r="M34" s="12"/>
      <c r="N34" s="12"/>
      <c r="O34" s="12"/>
      <c r="P34" s="13"/>
      <c r="Q34" s="15" t="str">
        <f t="shared" si="1"/>
        <v/>
      </c>
      <c r="R34" s="12" t="str">
        <f t="shared" si="2"/>
        <v/>
      </c>
    </row>
    <row r="35" ht="15.75" customHeight="1">
      <c r="A35" s="12"/>
      <c r="B35" s="13"/>
      <c r="C35" s="13"/>
      <c r="D35" s="12"/>
      <c r="E35" s="12"/>
      <c r="F35" s="12"/>
      <c r="G35" s="12"/>
      <c r="H35" s="12"/>
      <c r="I35" s="12"/>
      <c r="J35" s="12"/>
      <c r="K35" s="12"/>
      <c r="L35" s="12"/>
      <c r="M35" s="12"/>
      <c r="N35" s="12"/>
      <c r="O35" s="12"/>
      <c r="P35" s="13"/>
      <c r="Q35" s="15" t="str">
        <f t="shared" si="1"/>
        <v/>
      </c>
      <c r="R35" s="12" t="str">
        <f t="shared" si="2"/>
        <v/>
      </c>
    </row>
    <row r="36" ht="15.75" customHeight="1">
      <c r="A36" s="12"/>
      <c r="B36" s="13"/>
      <c r="C36" s="13"/>
      <c r="D36" s="12"/>
      <c r="E36" s="12"/>
      <c r="F36" s="12"/>
      <c r="G36" s="12"/>
      <c r="H36" s="12"/>
      <c r="I36" s="12"/>
      <c r="J36" s="12"/>
      <c r="K36" s="12"/>
      <c r="L36" s="12"/>
      <c r="M36" s="12"/>
      <c r="N36" s="12"/>
      <c r="O36" s="12"/>
      <c r="P36" s="13"/>
      <c r="Q36" s="15" t="str">
        <f t="shared" si="1"/>
        <v/>
      </c>
      <c r="R36" s="12" t="str">
        <f t="shared" si="2"/>
        <v/>
      </c>
    </row>
    <row r="37" ht="15.75" customHeight="1">
      <c r="A37" s="12"/>
      <c r="B37" s="13"/>
      <c r="C37" s="13"/>
      <c r="D37" s="12"/>
      <c r="E37" s="12"/>
      <c r="F37" s="12"/>
      <c r="G37" s="12"/>
      <c r="H37" s="12"/>
      <c r="I37" s="12"/>
      <c r="J37" s="12"/>
      <c r="K37" s="12"/>
      <c r="L37" s="12"/>
      <c r="M37" s="12"/>
      <c r="N37" s="12"/>
      <c r="O37" s="12"/>
      <c r="P37" s="13"/>
      <c r="Q37" s="15" t="str">
        <f t="shared" si="1"/>
        <v/>
      </c>
      <c r="R37" s="12" t="str">
        <f t="shared" si="2"/>
        <v/>
      </c>
    </row>
    <row r="38" ht="15.75" customHeight="1">
      <c r="A38" s="12"/>
      <c r="B38" s="13"/>
      <c r="C38" s="13"/>
      <c r="D38" s="12"/>
      <c r="E38" s="12"/>
      <c r="F38" s="12"/>
      <c r="G38" s="12"/>
      <c r="H38" s="12"/>
      <c r="I38" s="12"/>
      <c r="J38" s="12"/>
      <c r="K38" s="12"/>
      <c r="L38" s="12"/>
      <c r="M38" s="12"/>
      <c r="N38" s="12"/>
      <c r="O38" s="12"/>
      <c r="P38" s="13"/>
      <c r="Q38" s="15" t="str">
        <f t="shared" si="1"/>
        <v/>
      </c>
      <c r="R38" s="12" t="str">
        <f t="shared" si="2"/>
        <v/>
      </c>
    </row>
    <row r="39" ht="15.75" customHeight="1">
      <c r="A39" s="12"/>
      <c r="B39" s="13"/>
      <c r="C39" s="13"/>
      <c r="D39" s="12"/>
      <c r="E39" s="12"/>
      <c r="F39" s="12"/>
      <c r="G39" s="12"/>
      <c r="H39" s="12"/>
      <c r="I39" s="12"/>
      <c r="J39" s="12"/>
      <c r="K39" s="12"/>
      <c r="L39" s="12"/>
      <c r="M39" s="12"/>
      <c r="N39" s="12"/>
      <c r="O39" s="12"/>
      <c r="P39" s="13"/>
      <c r="Q39" s="15" t="str">
        <f t="shared" si="1"/>
        <v/>
      </c>
      <c r="R39" s="12" t="str">
        <f t="shared" si="2"/>
        <v/>
      </c>
    </row>
    <row r="40" ht="15.75" customHeight="1">
      <c r="A40" s="12"/>
      <c r="B40" s="13"/>
      <c r="C40" s="13"/>
      <c r="D40" s="12"/>
      <c r="E40" s="12"/>
      <c r="F40" s="12"/>
      <c r="G40" s="12"/>
      <c r="H40" s="12"/>
      <c r="I40" s="12"/>
      <c r="J40" s="12"/>
      <c r="K40" s="12"/>
      <c r="L40" s="12"/>
      <c r="M40" s="12"/>
      <c r="N40" s="12"/>
      <c r="O40" s="12"/>
      <c r="P40" s="13"/>
      <c r="Q40" s="15" t="str">
        <f t="shared" si="1"/>
        <v/>
      </c>
      <c r="R40" s="12" t="str">
        <f t="shared" si="2"/>
        <v/>
      </c>
    </row>
    <row r="41" ht="15.75" customHeight="1">
      <c r="A41" s="12"/>
      <c r="B41" s="13"/>
      <c r="C41" s="13"/>
      <c r="D41" s="12"/>
      <c r="E41" s="12"/>
      <c r="F41" s="12"/>
      <c r="G41" s="12"/>
      <c r="H41" s="12"/>
      <c r="I41" s="12"/>
      <c r="J41" s="12"/>
      <c r="K41" s="12"/>
      <c r="L41" s="12"/>
      <c r="M41" s="12"/>
      <c r="N41" s="12"/>
      <c r="O41" s="12"/>
      <c r="P41" s="13"/>
      <c r="Q41" s="15" t="str">
        <f t="shared" si="1"/>
        <v/>
      </c>
      <c r="R41" s="12" t="str">
        <f t="shared" si="2"/>
        <v/>
      </c>
    </row>
    <row r="42" ht="15.75" customHeight="1">
      <c r="A42" s="12"/>
      <c r="B42" s="13"/>
      <c r="C42" s="13"/>
      <c r="D42" s="12"/>
      <c r="E42" s="12"/>
      <c r="F42" s="12"/>
      <c r="G42" s="12"/>
      <c r="H42" s="12"/>
      <c r="I42" s="12"/>
      <c r="J42" s="12"/>
      <c r="K42" s="12"/>
      <c r="L42" s="12"/>
      <c r="M42" s="12"/>
      <c r="N42" s="12"/>
      <c r="O42" s="12"/>
      <c r="P42" s="13"/>
      <c r="Q42" s="15" t="str">
        <f t="shared" si="1"/>
        <v/>
      </c>
      <c r="R42" s="12" t="str">
        <f t="shared" si="2"/>
        <v/>
      </c>
    </row>
    <row r="43" ht="15.75" customHeight="1">
      <c r="A43" s="12"/>
      <c r="B43" s="13"/>
      <c r="C43" s="13"/>
      <c r="D43" s="12"/>
      <c r="E43" s="12"/>
      <c r="F43" s="12"/>
      <c r="G43" s="12"/>
      <c r="H43" s="12"/>
      <c r="I43" s="12"/>
      <c r="J43" s="12"/>
      <c r="K43" s="12"/>
      <c r="L43" s="12"/>
      <c r="M43" s="12"/>
      <c r="N43" s="12"/>
      <c r="O43" s="12"/>
      <c r="P43" s="13"/>
      <c r="Q43" s="15" t="str">
        <f t="shared" si="1"/>
        <v/>
      </c>
      <c r="R43" s="12" t="str">
        <f t="shared" si="2"/>
        <v/>
      </c>
    </row>
    <row r="44" ht="15.75" customHeight="1">
      <c r="A44" s="12"/>
      <c r="B44" s="13"/>
      <c r="C44" s="13"/>
      <c r="D44" s="12"/>
      <c r="E44" s="12"/>
      <c r="F44" s="12"/>
      <c r="G44" s="12"/>
      <c r="H44" s="12"/>
      <c r="I44" s="12"/>
      <c r="J44" s="12"/>
      <c r="K44" s="12"/>
      <c r="L44" s="12"/>
      <c r="M44" s="12"/>
      <c r="N44" s="12"/>
      <c r="O44" s="12"/>
      <c r="P44" s="13"/>
      <c r="Q44" s="15" t="str">
        <f t="shared" si="1"/>
        <v/>
      </c>
      <c r="R44" s="12" t="str">
        <f t="shared" si="2"/>
        <v/>
      </c>
    </row>
    <row r="45" ht="15.75" customHeight="1">
      <c r="A45" s="12"/>
      <c r="B45" s="13"/>
      <c r="C45" s="13"/>
      <c r="D45" s="12"/>
      <c r="E45" s="12"/>
      <c r="F45" s="12"/>
      <c r="G45" s="12"/>
      <c r="H45" s="12"/>
      <c r="I45" s="12"/>
      <c r="J45" s="12"/>
      <c r="K45" s="12"/>
      <c r="L45" s="12"/>
      <c r="M45" s="12"/>
      <c r="N45" s="12"/>
      <c r="O45" s="12"/>
      <c r="P45" s="13"/>
      <c r="Q45" s="15" t="str">
        <f t="shared" si="1"/>
        <v/>
      </c>
      <c r="R45" s="12" t="str">
        <f t="shared" si="2"/>
        <v/>
      </c>
    </row>
    <row r="46" ht="15.75" customHeight="1">
      <c r="A46" s="12"/>
      <c r="B46" s="13"/>
      <c r="C46" s="13"/>
      <c r="D46" s="12"/>
      <c r="E46" s="12"/>
      <c r="F46" s="12"/>
      <c r="G46" s="12"/>
      <c r="H46" s="12"/>
      <c r="I46" s="12"/>
      <c r="J46" s="12"/>
      <c r="K46" s="12"/>
      <c r="L46" s="12"/>
      <c r="M46" s="12"/>
      <c r="N46" s="12"/>
      <c r="O46" s="12"/>
      <c r="P46" s="13"/>
      <c r="Q46" s="15" t="str">
        <f t="shared" si="1"/>
        <v/>
      </c>
      <c r="R46" s="12" t="str">
        <f t="shared" si="2"/>
        <v/>
      </c>
    </row>
    <row r="47" ht="15.75" customHeight="1">
      <c r="A47" s="12"/>
      <c r="B47" s="13"/>
      <c r="C47" s="13"/>
      <c r="D47" s="12"/>
      <c r="E47" s="12"/>
      <c r="F47" s="12"/>
      <c r="G47" s="12"/>
      <c r="H47" s="12"/>
      <c r="I47" s="12"/>
      <c r="J47" s="12"/>
      <c r="K47" s="12"/>
      <c r="L47" s="12"/>
      <c r="M47" s="12"/>
      <c r="N47" s="12"/>
      <c r="O47" s="12"/>
      <c r="P47" s="13"/>
      <c r="Q47" s="15" t="str">
        <f t="shared" si="1"/>
        <v/>
      </c>
      <c r="R47" s="12" t="str">
        <f t="shared" si="2"/>
        <v/>
      </c>
    </row>
    <row r="48" ht="15.75" customHeight="1">
      <c r="A48" s="12"/>
      <c r="B48" s="13"/>
      <c r="C48" s="13"/>
      <c r="D48" s="12"/>
      <c r="E48" s="12"/>
      <c r="F48" s="12"/>
      <c r="G48" s="12"/>
      <c r="H48" s="12"/>
      <c r="I48" s="12"/>
      <c r="J48" s="12"/>
      <c r="K48" s="12"/>
      <c r="L48" s="12"/>
      <c r="M48" s="12"/>
      <c r="N48" s="12"/>
      <c r="O48" s="12"/>
      <c r="P48" s="13"/>
      <c r="Q48" s="15" t="str">
        <f t="shared" si="1"/>
        <v/>
      </c>
      <c r="R48" s="12" t="str">
        <f t="shared" si="2"/>
        <v/>
      </c>
    </row>
    <row r="49" ht="15.75" customHeight="1">
      <c r="A49" s="12"/>
      <c r="B49" s="13"/>
      <c r="C49" s="13"/>
      <c r="D49" s="12"/>
      <c r="E49" s="12"/>
      <c r="F49" s="12"/>
      <c r="G49" s="12"/>
      <c r="H49" s="12"/>
      <c r="I49" s="12"/>
      <c r="J49" s="12"/>
      <c r="K49" s="12"/>
      <c r="L49" s="12"/>
      <c r="M49" s="12"/>
      <c r="N49" s="12"/>
      <c r="O49" s="12"/>
      <c r="P49" s="13"/>
      <c r="Q49" s="15" t="str">
        <f t="shared" si="1"/>
        <v/>
      </c>
      <c r="R49" s="12" t="str">
        <f t="shared" si="2"/>
        <v/>
      </c>
    </row>
    <row r="50" ht="15.75" customHeight="1">
      <c r="A50" s="12"/>
      <c r="B50" s="13"/>
      <c r="C50" s="13"/>
      <c r="D50" s="12"/>
      <c r="E50" s="12"/>
      <c r="F50" s="12"/>
      <c r="G50" s="12"/>
      <c r="H50" s="12"/>
      <c r="I50" s="12"/>
      <c r="J50" s="12"/>
      <c r="K50" s="12"/>
      <c r="L50" s="12"/>
      <c r="M50" s="12"/>
      <c r="N50" s="12"/>
      <c r="O50" s="12"/>
      <c r="P50" s="13"/>
      <c r="Q50" s="15" t="str">
        <f t="shared" si="1"/>
        <v/>
      </c>
      <c r="R50" s="12" t="str">
        <f t="shared" si="2"/>
        <v/>
      </c>
    </row>
    <row r="51" ht="15.75" customHeight="1">
      <c r="A51" s="12"/>
      <c r="B51" s="13"/>
      <c r="C51" s="13"/>
      <c r="D51" s="12"/>
      <c r="E51" s="12"/>
      <c r="F51" s="12"/>
      <c r="G51" s="12"/>
      <c r="H51" s="12"/>
      <c r="I51" s="12"/>
      <c r="J51" s="12"/>
      <c r="K51" s="12"/>
      <c r="L51" s="12"/>
      <c r="M51" s="12"/>
      <c r="N51" s="12"/>
      <c r="O51" s="12"/>
      <c r="P51" s="13"/>
      <c r="Q51" s="15" t="str">
        <f t="shared" si="1"/>
        <v/>
      </c>
      <c r="R51" s="12" t="str">
        <f t="shared" si="2"/>
        <v/>
      </c>
    </row>
    <row r="52" ht="15.75" customHeight="1">
      <c r="A52" s="12"/>
      <c r="B52" s="13"/>
      <c r="C52" s="13"/>
      <c r="D52" s="12"/>
      <c r="E52" s="12"/>
      <c r="F52" s="12"/>
      <c r="G52" s="12"/>
      <c r="H52" s="12"/>
      <c r="I52" s="12"/>
      <c r="J52" s="12"/>
      <c r="K52" s="12"/>
      <c r="L52" s="12"/>
      <c r="M52" s="12"/>
      <c r="N52" s="12"/>
      <c r="O52" s="12"/>
      <c r="P52" s="13"/>
      <c r="Q52" s="15" t="str">
        <f t="shared" si="1"/>
        <v/>
      </c>
      <c r="R52" s="12" t="str">
        <f t="shared" si="2"/>
        <v/>
      </c>
    </row>
    <row r="53" ht="15.75" customHeight="1">
      <c r="A53" s="12"/>
      <c r="B53" s="13"/>
      <c r="C53" s="13"/>
      <c r="D53" s="12"/>
      <c r="E53" s="12"/>
      <c r="F53" s="12"/>
      <c r="G53" s="12"/>
      <c r="H53" s="12"/>
      <c r="I53" s="12"/>
      <c r="J53" s="12"/>
      <c r="K53" s="12"/>
      <c r="L53" s="12"/>
      <c r="M53" s="12"/>
      <c r="N53" s="12"/>
      <c r="O53" s="12"/>
      <c r="P53" s="13"/>
      <c r="Q53" s="15" t="str">
        <f t="shared" si="1"/>
        <v/>
      </c>
      <c r="R53" s="12" t="str">
        <f t="shared" si="2"/>
        <v/>
      </c>
    </row>
    <row r="54" ht="15.75" customHeight="1">
      <c r="A54" s="12"/>
      <c r="B54" s="13"/>
      <c r="C54" s="13"/>
      <c r="D54" s="12"/>
      <c r="E54" s="12"/>
      <c r="F54" s="12"/>
      <c r="G54" s="12"/>
      <c r="H54" s="12"/>
      <c r="I54" s="12"/>
      <c r="J54" s="12"/>
      <c r="K54" s="12"/>
      <c r="L54" s="12"/>
      <c r="M54" s="12"/>
      <c r="N54" s="12"/>
      <c r="O54" s="12"/>
      <c r="P54" s="13"/>
      <c r="Q54" s="15" t="str">
        <f t="shared" si="1"/>
        <v/>
      </c>
      <c r="R54" s="12" t="str">
        <f t="shared" si="2"/>
        <v/>
      </c>
    </row>
    <row r="55" ht="15.75" customHeight="1">
      <c r="A55" s="12"/>
      <c r="B55" s="13"/>
      <c r="C55" s="13"/>
      <c r="D55" s="12"/>
      <c r="E55" s="12"/>
      <c r="F55" s="12"/>
      <c r="G55" s="12"/>
      <c r="H55" s="12"/>
      <c r="I55" s="12"/>
      <c r="J55" s="12"/>
      <c r="K55" s="12"/>
      <c r="L55" s="12"/>
      <c r="M55" s="12"/>
      <c r="N55" s="12"/>
      <c r="O55" s="12"/>
      <c r="P55" s="13"/>
      <c r="Q55" s="15" t="str">
        <f t="shared" si="1"/>
        <v/>
      </c>
      <c r="R55" s="12" t="str">
        <f t="shared" si="2"/>
        <v/>
      </c>
    </row>
    <row r="56" ht="15.75" customHeight="1">
      <c r="A56" s="12"/>
      <c r="B56" s="13"/>
      <c r="C56" s="13"/>
      <c r="D56" s="12"/>
      <c r="E56" s="12"/>
      <c r="F56" s="12"/>
      <c r="G56" s="12"/>
      <c r="H56" s="12"/>
      <c r="I56" s="12"/>
      <c r="J56" s="12"/>
      <c r="K56" s="12"/>
      <c r="L56" s="12"/>
      <c r="M56" s="12"/>
      <c r="N56" s="12"/>
      <c r="O56" s="12"/>
      <c r="P56" s="13"/>
      <c r="Q56" s="15" t="str">
        <f t="shared" si="1"/>
        <v/>
      </c>
      <c r="R56" s="12" t="str">
        <f t="shared" si="2"/>
        <v/>
      </c>
    </row>
    <row r="57" ht="15.75" customHeight="1">
      <c r="A57" s="12"/>
      <c r="B57" s="13"/>
      <c r="C57" s="13"/>
      <c r="D57" s="12"/>
      <c r="E57" s="12"/>
      <c r="F57" s="12"/>
      <c r="G57" s="12"/>
      <c r="H57" s="12"/>
      <c r="I57" s="12"/>
      <c r="J57" s="12"/>
      <c r="K57" s="12"/>
      <c r="L57" s="12"/>
      <c r="M57" s="12"/>
      <c r="N57" s="12"/>
      <c r="O57" s="12"/>
      <c r="P57" s="13"/>
      <c r="Q57" s="15" t="str">
        <f t="shared" si="1"/>
        <v/>
      </c>
      <c r="R57" s="12" t="str">
        <f t="shared" si="2"/>
        <v/>
      </c>
    </row>
    <row r="58" ht="15.75" customHeight="1">
      <c r="A58" s="12"/>
      <c r="B58" s="13"/>
      <c r="C58" s="13"/>
      <c r="D58" s="12"/>
      <c r="E58" s="12"/>
      <c r="F58" s="12"/>
      <c r="G58" s="12"/>
      <c r="H58" s="12"/>
      <c r="I58" s="12"/>
      <c r="J58" s="12"/>
      <c r="K58" s="12"/>
      <c r="L58" s="12"/>
      <c r="M58" s="12"/>
      <c r="N58" s="12"/>
      <c r="O58" s="12"/>
      <c r="P58" s="13"/>
      <c r="Q58" s="15" t="str">
        <f t="shared" si="1"/>
        <v/>
      </c>
      <c r="R58" s="12" t="str">
        <f t="shared" si="2"/>
        <v/>
      </c>
    </row>
    <row r="59" ht="15.75" customHeight="1">
      <c r="A59" s="12"/>
      <c r="B59" s="13"/>
      <c r="C59" s="13"/>
      <c r="D59" s="12"/>
      <c r="E59" s="12"/>
      <c r="F59" s="12"/>
      <c r="G59" s="12"/>
      <c r="H59" s="12"/>
      <c r="I59" s="12"/>
      <c r="J59" s="12"/>
      <c r="K59" s="12"/>
      <c r="L59" s="12"/>
      <c r="M59" s="12"/>
      <c r="N59" s="12"/>
      <c r="O59" s="12"/>
      <c r="P59" s="13"/>
      <c r="Q59" s="15" t="str">
        <f t="shared" si="1"/>
        <v/>
      </c>
      <c r="R59" s="12" t="str">
        <f t="shared" si="2"/>
        <v/>
      </c>
    </row>
    <row r="60" ht="15.75" customHeight="1">
      <c r="A60" s="12"/>
      <c r="B60" s="13"/>
      <c r="C60" s="13"/>
      <c r="D60" s="12"/>
      <c r="E60" s="12"/>
      <c r="F60" s="12"/>
      <c r="G60" s="12"/>
      <c r="H60" s="12"/>
      <c r="I60" s="12"/>
      <c r="J60" s="12"/>
      <c r="K60" s="12"/>
      <c r="L60" s="12"/>
      <c r="M60" s="12"/>
      <c r="N60" s="12"/>
      <c r="O60" s="12"/>
      <c r="P60" s="13"/>
      <c r="Q60" s="15" t="str">
        <f t="shared" si="1"/>
        <v/>
      </c>
      <c r="R60" s="12" t="str">
        <f t="shared" si="2"/>
        <v/>
      </c>
    </row>
    <row r="61" ht="15.75" customHeight="1">
      <c r="A61" s="12"/>
      <c r="B61" s="13"/>
      <c r="C61" s="13"/>
      <c r="D61" s="12"/>
      <c r="E61" s="12"/>
      <c r="F61" s="12"/>
      <c r="G61" s="12"/>
      <c r="H61" s="12"/>
      <c r="I61" s="12"/>
      <c r="J61" s="12"/>
      <c r="K61" s="12"/>
      <c r="L61" s="12"/>
      <c r="M61" s="12"/>
      <c r="N61" s="12"/>
      <c r="O61" s="12"/>
      <c r="P61" s="13"/>
      <c r="Q61" s="15" t="str">
        <f t="shared" si="1"/>
        <v/>
      </c>
      <c r="R61" s="12" t="str">
        <f t="shared" si="2"/>
        <v/>
      </c>
    </row>
    <row r="62" ht="15.75" customHeight="1">
      <c r="A62" s="12"/>
      <c r="B62" s="13"/>
      <c r="C62" s="13"/>
      <c r="D62" s="12"/>
      <c r="E62" s="12"/>
      <c r="F62" s="12"/>
      <c r="G62" s="12"/>
      <c r="H62" s="12"/>
      <c r="I62" s="12"/>
      <c r="J62" s="12"/>
      <c r="K62" s="12"/>
      <c r="L62" s="12"/>
      <c r="M62" s="12"/>
      <c r="N62" s="12"/>
      <c r="O62" s="12"/>
      <c r="P62" s="13"/>
      <c r="Q62" s="15" t="str">
        <f t="shared" si="1"/>
        <v/>
      </c>
      <c r="R62" s="12" t="str">
        <f t="shared" si="2"/>
        <v/>
      </c>
    </row>
    <row r="63" ht="15.75" customHeight="1">
      <c r="A63" s="12"/>
      <c r="B63" s="13"/>
      <c r="C63" s="13"/>
      <c r="D63" s="12"/>
      <c r="E63" s="12"/>
      <c r="F63" s="12"/>
      <c r="G63" s="12"/>
      <c r="H63" s="12"/>
      <c r="I63" s="12"/>
      <c r="J63" s="12"/>
      <c r="K63" s="12"/>
      <c r="L63" s="12"/>
      <c r="M63" s="12"/>
      <c r="N63" s="12"/>
      <c r="O63" s="12"/>
      <c r="P63" s="13"/>
      <c r="Q63" s="15" t="str">
        <f t="shared" si="1"/>
        <v/>
      </c>
      <c r="R63" s="12" t="str">
        <f t="shared" si="2"/>
        <v/>
      </c>
    </row>
    <row r="64" ht="15.75" customHeight="1">
      <c r="A64" s="12"/>
      <c r="B64" s="13"/>
      <c r="C64" s="13"/>
      <c r="D64" s="12"/>
      <c r="E64" s="12"/>
      <c r="F64" s="12"/>
      <c r="G64" s="12"/>
      <c r="H64" s="12"/>
      <c r="I64" s="12"/>
      <c r="J64" s="12"/>
      <c r="K64" s="12"/>
      <c r="L64" s="12"/>
      <c r="M64" s="12"/>
      <c r="N64" s="12"/>
      <c r="O64" s="12"/>
      <c r="P64" s="13"/>
      <c r="Q64" s="15" t="str">
        <f t="shared" si="1"/>
        <v/>
      </c>
      <c r="R64" s="12" t="str">
        <f t="shared" si="2"/>
        <v/>
      </c>
    </row>
    <row r="65" ht="15.75" customHeight="1">
      <c r="A65" s="12"/>
      <c r="B65" s="13"/>
      <c r="C65" s="13"/>
      <c r="D65" s="12"/>
      <c r="E65" s="12"/>
      <c r="F65" s="12"/>
      <c r="G65" s="12"/>
      <c r="H65" s="12"/>
      <c r="I65" s="12"/>
      <c r="J65" s="12"/>
      <c r="K65" s="12"/>
      <c r="L65" s="12"/>
      <c r="M65" s="12"/>
      <c r="N65" s="12"/>
      <c r="O65" s="12"/>
      <c r="P65" s="13"/>
      <c r="Q65" s="15" t="str">
        <f t="shared" si="1"/>
        <v/>
      </c>
      <c r="R65" s="12" t="str">
        <f t="shared" si="2"/>
        <v/>
      </c>
    </row>
    <row r="66" ht="15.75" customHeight="1">
      <c r="A66" s="12"/>
      <c r="B66" s="13"/>
      <c r="C66" s="13"/>
      <c r="D66" s="12"/>
      <c r="E66" s="12"/>
      <c r="F66" s="12"/>
      <c r="G66" s="12"/>
      <c r="H66" s="12"/>
      <c r="I66" s="12"/>
      <c r="J66" s="12"/>
      <c r="K66" s="12"/>
      <c r="L66" s="12"/>
      <c r="M66" s="12"/>
      <c r="N66" s="12"/>
      <c r="O66" s="12"/>
      <c r="P66" s="13"/>
      <c r="Q66" s="15" t="str">
        <f t="shared" si="1"/>
        <v/>
      </c>
      <c r="R66" s="12" t="str">
        <f t="shared" si="2"/>
        <v/>
      </c>
    </row>
    <row r="67" ht="15.75" customHeight="1">
      <c r="A67" s="12"/>
      <c r="B67" s="13"/>
      <c r="C67" s="13"/>
      <c r="D67" s="12"/>
      <c r="E67" s="12"/>
      <c r="F67" s="12"/>
      <c r="G67" s="12"/>
      <c r="H67" s="12"/>
      <c r="I67" s="12"/>
      <c r="J67" s="12"/>
      <c r="K67" s="12"/>
      <c r="L67" s="12"/>
      <c r="M67" s="12"/>
      <c r="N67" s="12"/>
      <c r="O67" s="12"/>
      <c r="P67" s="13"/>
      <c r="Q67" s="15" t="str">
        <f t="shared" si="1"/>
        <v/>
      </c>
      <c r="R67" s="12" t="str">
        <f t="shared" si="2"/>
        <v/>
      </c>
    </row>
    <row r="68" ht="15.75" customHeight="1">
      <c r="A68" s="12"/>
      <c r="B68" s="13"/>
      <c r="C68" s="13"/>
      <c r="D68" s="12"/>
      <c r="E68" s="12"/>
      <c r="F68" s="12"/>
      <c r="G68" s="12"/>
      <c r="H68" s="12"/>
      <c r="I68" s="12"/>
      <c r="J68" s="12"/>
      <c r="K68" s="12"/>
      <c r="L68" s="12"/>
      <c r="M68" s="12"/>
      <c r="N68" s="12"/>
      <c r="O68" s="12"/>
      <c r="P68" s="13"/>
      <c r="Q68" s="15" t="str">
        <f t="shared" si="1"/>
        <v/>
      </c>
      <c r="R68" s="12" t="str">
        <f t="shared" si="2"/>
        <v/>
      </c>
    </row>
    <row r="69" ht="15.75" customHeight="1">
      <c r="A69" s="12"/>
      <c r="B69" s="13"/>
      <c r="C69" s="13"/>
      <c r="D69" s="12"/>
      <c r="E69" s="12"/>
      <c r="F69" s="12"/>
      <c r="G69" s="12"/>
      <c r="H69" s="12"/>
      <c r="I69" s="12"/>
      <c r="J69" s="12"/>
      <c r="K69" s="12"/>
      <c r="L69" s="12"/>
      <c r="M69" s="12"/>
      <c r="N69" s="12"/>
      <c r="O69" s="12"/>
      <c r="P69" s="13"/>
      <c r="Q69" s="15" t="str">
        <f t="shared" si="1"/>
        <v/>
      </c>
      <c r="R69" s="12" t="str">
        <f t="shared" si="2"/>
        <v/>
      </c>
    </row>
    <row r="70" ht="15.75" customHeight="1">
      <c r="A70" s="12"/>
      <c r="B70" s="13"/>
      <c r="C70" s="13"/>
      <c r="D70" s="12"/>
      <c r="E70" s="12"/>
      <c r="F70" s="12"/>
      <c r="G70" s="12"/>
      <c r="H70" s="12"/>
      <c r="I70" s="12"/>
      <c r="J70" s="12"/>
      <c r="K70" s="12"/>
      <c r="L70" s="12"/>
      <c r="M70" s="12"/>
      <c r="N70" s="12"/>
      <c r="O70" s="12"/>
      <c r="P70" s="13"/>
      <c r="Q70" s="15" t="str">
        <f t="shared" si="1"/>
        <v/>
      </c>
      <c r="R70" s="12" t="str">
        <f t="shared" si="2"/>
        <v/>
      </c>
    </row>
    <row r="71" ht="15.75" customHeight="1">
      <c r="A71" s="12"/>
      <c r="B71" s="13"/>
      <c r="C71" s="13"/>
      <c r="D71" s="12"/>
      <c r="E71" s="12"/>
      <c r="F71" s="12"/>
      <c r="G71" s="12"/>
      <c r="H71" s="12"/>
      <c r="I71" s="12"/>
      <c r="J71" s="12"/>
      <c r="K71" s="12"/>
      <c r="L71" s="12"/>
      <c r="M71" s="12"/>
      <c r="N71" s="12"/>
      <c r="O71" s="12"/>
      <c r="P71" s="13"/>
      <c r="Q71" s="15" t="str">
        <f t="shared" si="1"/>
        <v/>
      </c>
      <c r="R71" s="12" t="str">
        <f t="shared" si="2"/>
        <v/>
      </c>
    </row>
    <row r="72" ht="15.75" customHeight="1">
      <c r="A72" s="12"/>
      <c r="B72" s="13"/>
      <c r="C72" s="13"/>
      <c r="D72" s="12"/>
      <c r="E72" s="12"/>
      <c r="F72" s="12"/>
      <c r="G72" s="12"/>
      <c r="H72" s="12"/>
      <c r="I72" s="12"/>
      <c r="J72" s="12"/>
      <c r="K72" s="12"/>
      <c r="L72" s="12"/>
      <c r="M72" s="12"/>
      <c r="N72" s="12"/>
      <c r="O72" s="12"/>
      <c r="P72" s="13"/>
      <c r="Q72" s="15" t="str">
        <f t="shared" si="1"/>
        <v/>
      </c>
      <c r="R72" s="12" t="str">
        <f t="shared" si="2"/>
        <v/>
      </c>
    </row>
    <row r="73" ht="15.75" customHeight="1">
      <c r="A73" s="12"/>
      <c r="B73" s="13"/>
      <c r="C73" s="13"/>
      <c r="D73" s="12"/>
      <c r="E73" s="12"/>
      <c r="F73" s="12"/>
      <c r="G73" s="12"/>
      <c r="H73" s="12"/>
      <c r="I73" s="12"/>
      <c r="J73" s="12"/>
      <c r="K73" s="12"/>
      <c r="L73" s="12"/>
      <c r="M73" s="12"/>
      <c r="N73" s="12"/>
      <c r="O73" s="12"/>
      <c r="P73" s="13"/>
      <c r="Q73" s="15" t="str">
        <f t="shared" si="1"/>
        <v/>
      </c>
      <c r="R73" s="12" t="str">
        <f t="shared" si="2"/>
        <v/>
      </c>
    </row>
    <row r="74" ht="15.75" customHeight="1">
      <c r="A74" s="12"/>
      <c r="B74" s="13"/>
      <c r="C74" s="13"/>
      <c r="D74" s="12"/>
      <c r="E74" s="12"/>
      <c r="F74" s="12"/>
      <c r="G74" s="12"/>
      <c r="H74" s="12"/>
      <c r="I74" s="12"/>
      <c r="J74" s="12"/>
      <c r="K74" s="12"/>
      <c r="L74" s="12"/>
      <c r="M74" s="12"/>
      <c r="N74" s="12"/>
      <c r="O74" s="12"/>
      <c r="P74" s="13"/>
      <c r="Q74" s="15" t="str">
        <f t="shared" si="1"/>
        <v/>
      </c>
      <c r="R74" s="12" t="str">
        <f t="shared" si="2"/>
        <v/>
      </c>
    </row>
    <row r="75" ht="15.75" customHeight="1">
      <c r="A75" s="12"/>
      <c r="B75" s="13"/>
      <c r="C75" s="13"/>
      <c r="D75" s="12"/>
      <c r="E75" s="12"/>
      <c r="F75" s="12"/>
      <c r="G75" s="12"/>
      <c r="H75" s="12"/>
      <c r="I75" s="12"/>
      <c r="J75" s="12"/>
      <c r="K75" s="12"/>
      <c r="L75" s="12"/>
      <c r="M75" s="12"/>
      <c r="N75" s="12"/>
      <c r="O75" s="12"/>
      <c r="P75" s="13"/>
      <c r="Q75" s="15" t="str">
        <f t="shared" si="1"/>
        <v/>
      </c>
      <c r="R75" s="12" t="str">
        <f t="shared" si="2"/>
        <v/>
      </c>
    </row>
    <row r="76" ht="15.75" customHeight="1">
      <c r="A76" s="12"/>
      <c r="B76" s="13"/>
      <c r="C76" s="13"/>
      <c r="D76" s="12"/>
      <c r="E76" s="12"/>
      <c r="F76" s="12"/>
      <c r="G76" s="12"/>
      <c r="H76" s="12"/>
      <c r="I76" s="12"/>
      <c r="J76" s="12"/>
      <c r="K76" s="12"/>
      <c r="L76" s="12"/>
      <c r="M76" s="12"/>
      <c r="N76" s="12"/>
      <c r="O76" s="12"/>
      <c r="P76" s="13"/>
      <c r="Q76" s="15" t="str">
        <f t="shared" si="1"/>
        <v/>
      </c>
      <c r="R76" s="12" t="str">
        <f t="shared" si="2"/>
        <v/>
      </c>
    </row>
    <row r="77" ht="15.75" customHeight="1">
      <c r="A77" s="12"/>
      <c r="B77" s="13"/>
      <c r="C77" s="13"/>
      <c r="D77" s="12"/>
      <c r="E77" s="12"/>
      <c r="F77" s="12"/>
      <c r="G77" s="12"/>
      <c r="H77" s="12"/>
      <c r="I77" s="12"/>
      <c r="J77" s="12"/>
      <c r="K77" s="12"/>
      <c r="L77" s="12"/>
      <c r="M77" s="12"/>
      <c r="N77" s="12"/>
      <c r="O77" s="12"/>
      <c r="P77" s="13"/>
      <c r="Q77" s="15" t="str">
        <f t="shared" si="1"/>
        <v/>
      </c>
      <c r="R77" s="12" t="str">
        <f t="shared" si="2"/>
        <v/>
      </c>
    </row>
    <row r="78" ht="15.75" customHeight="1">
      <c r="A78" s="12"/>
      <c r="B78" s="13"/>
      <c r="C78" s="13"/>
      <c r="D78" s="12"/>
      <c r="E78" s="12"/>
      <c r="F78" s="12"/>
      <c r="G78" s="12"/>
      <c r="H78" s="12"/>
      <c r="I78" s="12"/>
      <c r="J78" s="12"/>
      <c r="K78" s="12"/>
      <c r="L78" s="12"/>
      <c r="M78" s="12"/>
      <c r="N78" s="12"/>
      <c r="O78" s="12"/>
      <c r="P78" s="13"/>
      <c r="Q78" s="15" t="str">
        <f t="shared" si="1"/>
        <v/>
      </c>
      <c r="R78" s="12" t="str">
        <f t="shared" si="2"/>
        <v/>
      </c>
    </row>
    <row r="79" ht="15.75" customHeight="1">
      <c r="A79" s="12"/>
      <c r="B79" s="13"/>
      <c r="C79" s="13"/>
      <c r="D79" s="12"/>
      <c r="E79" s="12"/>
      <c r="F79" s="12"/>
      <c r="G79" s="12"/>
      <c r="H79" s="12"/>
      <c r="I79" s="12"/>
      <c r="J79" s="12"/>
      <c r="K79" s="12"/>
      <c r="L79" s="12"/>
      <c r="M79" s="12"/>
      <c r="N79" s="12"/>
      <c r="O79" s="12"/>
      <c r="P79" s="13"/>
      <c r="Q79" s="15" t="str">
        <f t="shared" si="1"/>
        <v/>
      </c>
      <c r="R79" s="12" t="str">
        <f t="shared" si="2"/>
        <v/>
      </c>
    </row>
    <row r="80" ht="15.75" customHeight="1">
      <c r="A80" s="12"/>
      <c r="B80" s="13"/>
      <c r="C80" s="13"/>
      <c r="D80" s="12"/>
      <c r="E80" s="12"/>
      <c r="F80" s="12"/>
      <c r="G80" s="12"/>
      <c r="H80" s="12"/>
      <c r="I80" s="12"/>
      <c r="J80" s="12"/>
      <c r="K80" s="12"/>
      <c r="L80" s="12"/>
      <c r="M80" s="12"/>
      <c r="N80" s="12"/>
      <c r="O80" s="12"/>
      <c r="P80" s="13"/>
      <c r="Q80" s="15" t="str">
        <f t="shared" si="1"/>
        <v/>
      </c>
      <c r="R80" s="12" t="str">
        <f t="shared" si="2"/>
        <v/>
      </c>
    </row>
    <row r="81" ht="15.75" customHeight="1">
      <c r="A81" s="12"/>
      <c r="B81" s="13"/>
      <c r="C81" s="13"/>
      <c r="D81" s="12"/>
      <c r="E81" s="12"/>
      <c r="F81" s="12"/>
      <c r="G81" s="12"/>
      <c r="H81" s="12"/>
      <c r="I81" s="12"/>
      <c r="J81" s="12"/>
      <c r="K81" s="12"/>
      <c r="L81" s="12"/>
      <c r="M81" s="12"/>
      <c r="N81" s="12"/>
      <c r="O81" s="12"/>
      <c r="P81" s="13"/>
      <c r="Q81" s="15" t="str">
        <f t="shared" si="1"/>
        <v/>
      </c>
      <c r="R81" s="12" t="str">
        <f t="shared" si="2"/>
        <v/>
      </c>
    </row>
    <row r="82" ht="15.75" customHeight="1">
      <c r="A82" s="12"/>
      <c r="B82" s="13"/>
      <c r="C82" s="13"/>
      <c r="D82" s="12"/>
      <c r="E82" s="12"/>
      <c r="F82" s="12"/>
      <c r="G82" s="12"/>
      <c r="H82" s="12"/>
      <c r="I82" s="12"/>
      <c r="J82" s="12"/>
      <c r="K82" s="12"/>
      <c r="L82" s="12"/>
      <c r="M82" s="12"/>
      <c r="N82" s="12"/>
      <c r="O82" s="12"/>
      <c r="P82" s="13"/>
      <c r="Q82" s="15" t="str">
        <f t="shared" si="1"/>
        <v/>
      </c>
      <c r="R82" s="12" t="str">
        <f t="shared" si="2"/>
        <v/>
      </c>
    </row>
    <row r="83" ht="15.75" customHeight="1">
      <c r="A83" s="12"/>
      <c r="B83" s="13"/>
      <c r="C83" s="13"/>
      <c r="D83" s="12"/>
      <c r="E83" s="12"/>
      <c r="F83" s="12"/>
      <c r="G83" s="12"/>
      <c r="H83" s="12"/>
      <c r="I83" s="12"/>
      <c r="J83" s="12"/>
      <c r="K83" s="12"/>
      <c r="L83" s="12"/>
      <c r="M83" s="12"/>
      <c r="N83" s="12"/>
      <c r="O83" s="12"/>
      <c r="P83" s="13"/>
      <c r="Q83" s="15" t="str">
        <f t="shared" si="1"/>
        <v/>
      </c>
      <c r="R83" s="12" t="str">
        <f t="shared" si="2"/>
        <v/>
      </c>
    </row>
    <row r="84" ht="15.75" customHeight="1">
      <c r="A84" s="12"/>
      <c r="B84" s="13"/>
      <c r="C84" s="13"/>
      <c r="D84" s="12"/>
      <c r="E84" s="12"/>
      <c r="F84" s="12"/>
      <c r="G84" s="12"/>
      <c r="H84" s="12"/>
      <c r="I84" s="12"/>
      <c r="J84" s="12"/>
      <c r="K84" s="12"/>
      <c r="L84" s="12"/>
      <c r="M84" s="12"/>
      <c r="N84" s="12"/>
      <c r="O84" s="12"/>
      <c r="P84" s="13"/>
      <c r="Q84" s="15" t="str">
        <f t="shared" si="1"/>
        <v/>
      </c>
      <c r="R84" s="12" t="str">
        <f t="shared" si="2"/>
        <v/>
      </c>
    </row>
    <row r="85" ht="15.75" customHeight="1">
      <c r="A85" s="12"/>
      <c r="B85" s="13"/>
      <c r="C85" s="13"/>
      <c r="D85" s="12"/>
      <c r="E85" s="12"/>
      <c r="F85" s="12"/>
      <c r="G85" s="12"/>
      <c r="H85" s="12"/>
      <c r="I85" s="12"/>
      <c r="J85" s="12"/>
      <c r="K85" s="12"/>
      <c r="L85" s="12"/>
      <c r="M85" s="12"/>
      <c r="N85" s="12"/>
      <c r="O85" s="12"/>
      <c r="P85" s="13"/>
      <c r="Q85" s="15" t="str">
        <f t="shared" si="1"/>
        <v/>
      </c>
      <c r="R85" s="12" t="str">
        <f t="shared" si="2"/>
        <v/>
      </c>
    </row>
    <row r="86" ht="15.75" customHeight="1">
      <c r="A86" s="12"/>
      <c r="B86" s="13"/>
      <c r="C86" s="13"/>
      <c r="D86" s="12"/>
      <c r="E86" s="12"/>
      <c r="F86" s="12"/>
      <c r="G86" s="12"/>
      <c r="H86" s="12"/>
      <c r="I86" s="12"/>
      <c r="J86" s="12"/>
      <c r="K86" s="12"/>
      <c r="L86" s="12"/>
      <c r="M86" s="12"/>
      <c r="N86" s="12"/>
      <c r="O86" s="12"/>
      <c r="P86" s="13"/>
      <c r="Q86" s="15" t="str">
        <f t="shared" si="1"/>
        <v/>
      </c>
      <c r="R86" s="12" t="str">
        <f t="shared" si="2"/>
        <v/>
      </c>
    </row>
    <row r="87" ht="15.75" customHeight="1">
      <c r="A87" s="12"/>
      <c r="B87" s="13"/>
      <c r="C87" s="13"/>
      <c r="D87" s="12"/>
      <c r="E87" s="12"/>
      <c r="F87" s="12"/>
      <c r="G87" s="12"/>
      <c r="H87" s="12"/>
      <c r="I87" s="12"/>
      <c r="J87" s="12"/>
      <c r="K87" s="12"/>
      <c r="L87" s="12"/>
      <c r="M87" s="12"/>
      <c r="N87" s="12"/>
      <c r="O87" s="12"/>
      <c r="P87" s="13"/>
      <c r="Q87" s="15" t="str">
        <f t="shared" si="1"/>
        <v/>
      </c>
      <c r="R87" s="12" t="str">
        <f t="shared" si="2"/>
        <v/>
      </c>
    </row>
    <row r="88" ht="15.75" customHeight="1">
      <c r="A88" s="12"/>
      <c r="B88" s="13"/>
      <c r="C88" s="13"/>
      <c r="D88" s="12"/>
      <c r="E88" s="12"/>
      <c r="F88" s="12"/>
      <c r="G88" s="12"/>
      <c r="H88" s="12"/>
      <c r="I88" s="12"/>
      <c r="J88" s="12"/>
      <c r="K88" s="12"/>
      <c r="L88" s="12"/>
      <c r="M88" s="12"/>
      <c r="N88" s="12"/>
      <c r="O88" s="12"/>
      <c r="P88" s="13"/>
      <c r="Q88" s="15" t="str">
        <f t="shared" si="1"/>
        <v/>
      </c>
      <c r="R88" s="12" t="str">
        <f t="shared" si="2"/>
        <v/>
      </c>
    </row>
    <row r="89" ht="15.75" customHeight="1">
      <c r="A89" s="12"/>
      <c r="B89" s="13"/>
      <c r="C89" s="13"/>
      <c r="D89" s="12"/>
      <c r="E89" s="12"/>
      <c r="F89" s="12"/>
      <c r="G89" s="12"/>
      <c r="H89" s="12"/>
      <c r="I89" s="12"/>
      <c r="J89" s="12"/>
      <c r="K89" s="12"/>
      <c r="L89" s="12"/>
      <c r="M89" s="12"/>
      <c r="N89" s="12"/>
      <c r="O89" s="12"/>
      <c r="P89" s="13"/>
      <c r="Q89" s="15" t="str">
        <f t="shared" si="1"/>
        <v/>
      </c>
      <c r="R89" s="12" t="str">
        <f t="shared" si="2"/>
        <v/>
      </c>
    </row>
    <row r="90" ht="15.75" customHeight="1">
      <c r="A90" s="12"/>
      <c r="B90" s="13"/>
      <c r="C90" s="13"/>
      <c r="D90" s="12"/>
      <c r="E90" s="12"/>
      <c r="F90" s="12"/>
      <c r="G90" s="12"/>
      <c r="H90" s="12"/>
      <c r="I90" s="12"/>
      <c r="J90" s="12"/>
      <c r="K90" s="12"/>
      <c r="L90" s="12"/>
      <c r="M90" s="12"/>
      <c r="N90" s="12"/>
      <c r="O90" s="12"/>
      <c r="P90" s="13"/>
      <c r="Q90" s="15" t="str">
        <f t="shared" si="1"/>
        <v/>
      </c>
      <c r="R90" s="12" t="str">
        <f t="shared" si="2"/>
        <v/>
      </c>
    </row>
    <row r="91" ht="15.75" customHeight="1">
      <c r="A91" s="12"/>
      <c r="B91" s="13"/>
      <c r="C91" s="13"/>
      <c r="D91" s="12"/>
      <c r="E91" s="12"/>
      <c r="F91" s="12"/>
      <c r="G91" s="12"/>
      <c r="H91" s="12"/>
      <c r="I91" s="12"/>
      <c r="J91" s="12"/>
      <c r="K91" s="12"/>
      <c r="L91" s="12"/>
      <c r="M91" s="12"/>
      <c r="N91" s="12"/>
      <c r="O91" s="12"/>
      <c r="P91" s="13"/>
      <c r="Q91" s="15" t="str">
        <f t="shared" si="1"/>
        <v/>
      </c>
      <c r="R91" s="12" t="str">
        <f t="shared" si="2"/>
        <v/>
      </c>
    </row>
    <row r="92" ht="15.75" customHeight="1">
      <c r="A92" s="12"/>
      <c r="B92" s="13"/>
      <c r="C92" s="13"/>
      <c r="D92" s="12"/>
      <c r="E92" s="12"/>
      <c r="F92" s="12"/>
      <c r="G92" s="12"/>
      <c r="H92" s="12"/>
      <c r="I92" s="12"/>
      <c r="J92" s="12"/>
      <c r="K92" s="12"/>
      <c r="L92" s="12"/>
      <c r="M92" s="12"/>
      <c r="N92" s="12"/>
      <c r="O92" s="12"/>
      <c r="P92" s="13"/>
      <c r="Q92" s="15" t="str">
        <f t="shared" si="1"/>
        <v/>
      </c>
      <c r="R92" s="12" t="str">
        <f t="shared" si="2"/>
        <v/>
      </c>
    </row>
    <row r="93" ht="15.75" customHeight="1">
      <c r="A93" s="12"/>
      <c r="B93" s="13"/>
      <c r="C93" s="13"/>
      <c r="D93" s="12"/>
      <c r="E93" s="12"/>
      <c r="F93" s="12"/>
      <c r="G93" s="12"/>
      <c r="H93" s="12"/>
      <c r="I93" s="12"/>
      <c r="J93" s="12"/>
      <c r="K93" s="12"/>
      <c r="L93" s="12"/>
      <c r="M93" s="12"/>
      <c r="N93" s="12"/>
      <c r="O93" s="12"/>
      <c r="P93" s="13"/>
      <c r="Q93" s="15" t="str">
        <f t="shared" si="1"/>
        <v/>
      </c>
      <c r="R93" s="12" t="str">
        <f t="shared" si="2"/>
        <v/>
      </c>
    </row>
    <row r="94" ht="15.75" customHeight="1">
      <c r="A94" s="12"/>
      <c r="B94" s="13"/>
      <c r="C94" s="13"/>
      <c r="D94" s="12"/>
      <c r="E94" s="12"/>
      <c r="F94" s="12"/>
      <c r="G94" s="12"/>
      <c r="H94" s="12"/>
      <c r="I94" s="12"/>
      <c r="J94" s="12"/>
      <c r="K94" s="12"/>
      <c r="L94" s="12"/>
      <c r="M94" s="12"/>
      <c r="N94" s="12"/>
      <c r="O94" s="12"/>
      <c r="P94" s="13"/>
      <c r="Q94" s="15" t="str">
        <f t="shared" si="1"/>
        <v/>
      </c>
      <c r="R94" s="12" t="str">
        <f t="shared" si="2"/>
        <v/>
      </c>
    </row>
    <row r="95" ht="15.75" customHeight="1">
      <c r="A95" s="12"/>
      <c r="B95" s="13"/>
      <c r="C95" s="13"/>
      <c r="D95" s="12"/>
      <c r="E95" s="12"/>
      <c r="F95" s="12"/>
      <c r="G95" s="12"/>
      <c r="H95" s="12"/>
      <c r="I95" s="12"/>
      <c r="J95" s="12"/>
      <c r="K95" s="12"/>
      <c r="L95" s="12"/>
      <c r="M95" s="12"/>
      <c r="N95" s="12"/>
      <c r="O95" s="12"/>
      <c r="P95" s="13"/>
      <c r="Q95" s="15" t="str">
        <f t="shared" si="1"/>
        <v/>
      </c>
      <c r="R95" s="12" t="str">
        <f t="shared" si="2"/>
        <v/>
      </c>
    </row>
    <row r="96" ht="15.75" customHeight="1">
      <c r="A96" s="12"/>
      <c r="B96" s="13"/>
      <c r="C96" s="13"/>
      <c r="D96" s="12"/>
      <c r="E96" s="12"/>
      <c r="F96" s="12"/>
      <c r="G96" s="12"/>
      <c r="H96" s="12"/>
      <c r="I96" s="12"/>
      <c r="J96" s="12"/>
      <c r="K96" s="12"/>
      <c r="L96" s="12"/>
      <c r="M96" s="12"/>
      <c r="N96" s="12"/>
      <c r="O96" s="12"/>
      <c r="P96" s="13"/>
      <c r="Q96" s="15" t="str">
        <f t="shared" si="1"/>
        <v/>
      </c>
      <c r="R96" s="12" t="str">
        <f t="shared" si="2"/>
        <v/>
      </c>
    </row>
    <row r="97" ht="15.75" customHeight="1">
      <c r="A97" s="12"/>
      <c r="B97" s="13"/>
      <c r="C97" s="13"/>
      <c r="D97" s="12"/>
      <c r="E97" s="12"/>
      <c r="F97" s="12"/>
      <c r="G97" s="12"/>
      <c r="H97" s="12"/>
      <c r="I97" s="12"/>
      <c r="J97" s="12"/>
      <c r="K97" s="12"/>
      <c r="L97" s="12"/>
      <c r="M97" s="12"/>
      <c r="N97" s="12"/>
      <c r="O97" s="12"/>
      <c r="P97" s="13"/>
      <c r="Q97" s="15" t="str">
        <f t="shared" si="1"/>
        <v/>
      </c>
      <c r="R97" s="12" t="str">
        <f t="shared" si="2"/>
        <v/>
      </c>
    </row>
    <row r="98" ht="15.75" customHeight="1">
      <c r="A98" s="12"/>
      <c r="B98" s="13"/>
      <c r="C98" s="13"/>
      <c r="D98" s="12"/>
      <c r="E98" s="12"/>
      <c r="F98" s="12"/>
      <c r="G98" s="12"/>
      <c r="H98" s="12"/>
      <c r="I98" s="12"/>
      <c r="J98" s="12"/>
      <c r="K98" s="12"/>
      <c r="L98" s="12"/>
      <c r="M98" s="12"/>
      <c r="N98" s="12"/>
      <c r="O98" s="12"/>
      <c r="P98" s="13"/>
      <c r="Q98" s="15" t="str">
        <f t="shared" si="1"/>
        <v/>
      </c>
      <c r="R98" s="12" t="str">
        <f t="shared" si="2"/>
        <v/>
      </c>
    </row>
    <row r="99" ht="15.75" customHeight="1">
      <c r="A99" s="12"/>
      <c r="B99" s="13"/>
      <c r="C99" s="13"/>
      <c r="D99" s="12"/>
      <c r="E99" s="12"/>
      <c r="F99" s="12"/>
      <c r="G99" s="12"/>
      <c r="H99" s="12"/>
      <c r="I99" s="12"/>
      <c r="J99" s="12"/>
      <c r="K99" s="12"/>
      <c r="L99" s="12"/>
      <c r="M99" s="12"/>
      <c r="N99" s="12"/>
      <c r="O99" s="12"/>
      <c r="P99" s="13"/>
      <c r="Q99" s="15" t="str">
        <f t="shared" si="1"/>
        <v/>
      </c>
      <c r="R99" s="12" t="str">
        <f t="shared" si="2"/>
        <v/>
      </c>
    </row>
    <row r="100" ht="15.75" customHeight="1">
      <c r="A100" s="12"/>
      <c r="B100" s="13"/>
      <c r="C100" s="13"/>
      <c r="D100" s="12"/>
      <c r="E100" s="12"/>
      <c r="F100" s="12"/>
      <c r="G100" s="12"/>
      <c r="H100" s="12"/>
      <c r="I100" s="12"/>
      <c r="J100" s="12"/>
      <c r="K100" s="12"/>
      <c r="L100" s="12"/>
      <c r="M100" s="12"/>
      <c r="N100" s="12"/>
      <c r="O100" s="12"/>
      <c r="P100" s="13"/>
      <c r="Q100" s="15" t="str">
        <f t="shared" si="1"/>
        <v/>
      </c>
      <c r="R100" s="12" t="str">
        <f t="shared" si="2"/>
        <v/>
      </c>
    </row>
    <row r="101" ht="15.75" customHeight="1">
      <c r="A101" s="12"/>
      <c r="B101" s="13"/>
      <c r="C101" s="13"/>
      <c r="D101" s="12"/>
      <c r="E101" s="12"/>
      <c r="F101" s="12"/>
      <c r="G101" s="12"/>
      <c r="H101" s="12"/>
      <c r="I101" s="12"/>
      <c r="J101" s="12"/>
      <c r="K101" s="12"/>
      <c r="L101" s="12"/>
      <c r="M101" s="12"/>
      <c r="N101" s="12"/>
      <c r="O101" s="12"/>
      <c r="P101" s="13"/>
      <c r="Q101" s="15" t="str">
        <f t="shared" si="1"/>
        <v/>
      </c>
      <c r="R101" s="12" t="str">
        <f t="shared" si="2"/>
        <v/>
      </c>
    </row>
    <row r="102" ht="15.75" customHeight="1">
      <c r="A102" s="12"/>
      <c r="B102" s="13"/>
      <c r="C102" s="13"/>
      <c r="D102" s="12"/>
      <c r="E102" s="12"/>
      <c r="F102" s="12"/>
      <c r="G102" s="12"/>
      <c r="H102" s="12"/>
      <c r="I102" s="12"/>
      <c r="J102" s="12"/>
      <c r="K102" s="12"/>
      <c r="L102" s="12"/>
      <c r="M102" s="12"/>
      <c r="N102" s="12"/>
      <c r="O102" s="12"/>
      <c r="P102" s="13"/>
      <c r="Q102" s="15" t="str">
        <f t="shared" si="1"/>
        <v/>
      </c>
      <c r="R102" s="12" t="str">
        <f t="shared" si="2"/>
        <v/>
      </c>
    </row>
    <row r="103" ht="15.75" customHeight="1">
      <c r="A103" s="12"/>
      <c r="B103" s="13"/>
      <c r="C103" s="13"/>
      <c r="D103" s="12"/>
      <c r="E103" s="12"/>
      <c r="F103" s="12"/>
      <c r="G103" s="12"/>
      <c r="H103" s="12"/>
      <c r="I103" s="12"/>
      <c r="J103" s="12"/>
      <c r="K103" s="12"/>
      <c r="L103" s="12"/>
      <c r="M103" s="12"/>
      <c r="N103" s="12"/>
      <c r="O103" s="12"/>
      <c r="P103" s="13"/>
      <c r="Q103" s="15" t="str">
        <f t="shared" si="1"/>
        <v/>
      </c>
      <c r="R103" s="12" t="str">
        <f t="shared" si="2"/>
        <v/>
      </c>
    </row>
    <row r="104" ht="15.75" customHeight="1">
      <c r="A104" s="12"/>
      <c r="B104" s="13"/>
      <c r="C104" s="13"/>
      <c r="D104" s="12"/>
      <c r="E104" s="12"/>
      <c r="F104" s="12"/>
      <c r="G104" s="12"/>
      <c r="H104" s="12"/>
      <c r="I104" s="12"/>
      <c r="J104" s="12"/>
      <c r="K104" s="12"/>
      <c r="L104" s="12"/>
      <c r="M104" s="12"/>
      <c r="N104" s="12"/>
      <c r="O104" s="12"/>
      <c r="P104" s="13"/>
      <c r="Q104" s="15" t="str">
        <f t="shared" si="1"/>
        <v/>
      </c>
      <c r="R104" s="12" t="str">
        <f t="shared" si="2"/>
        <v/>
      </c>
    </row>
    <row r="105" ht="15.75" customHeight="1">
      <c r="A105" s="12"/>
      <c r="B105" s="13"/>
      <c r="C105" s="13"/>
      <c r="D105" s="12"/>
      <c r="E105" s="12"/>
      <c r="F105" s="12"/>
      <c r="G105" s="12"/>
      <c r="H105" s="12"/>
      <c r="I105" s="12"/>
      <c r="J105" s="12"/>
      <c r="K105" s="12"/>
      <c r="L105" s="12"/>
      <c r="M105" s="12"/>
      <c r="N105" s="12"/>
      <c r="O105" s="12"/>
      <c r="P105" s="13"/>
      <c r="Q105" s="15" t="str">
        <f t="shared" si="1"/>
        <v/>
      </c>
      <c r="R105" s="12" t="str">
        <f t="shared" si="2"/>
        <v/>
      </c>
    </row>
    <row r="106" ht="15.75" customHeight="1">
      <c r="A106" s="12"/>
      <c r="B106" s="13"/>
      <c r="C106" s="13"/>
      <c r="D106" s="12"/>
      <c r="E106" s="12"/>
      <c r="F106" s="12"/>
      <c r="G106" s="12"/>
      <c r="H106" s="12"/>
      <c r="I106" s="12"/>
      <c r="J106" s="12"/>
      <c r="K106" s="12"/>
      <c r="L106" s="12"/>
      <c r="M106" s="12"/>
      <c r="N106" s="12"/>
      <c r="O106" s="12"/>
      <c r="P106" s="13"/>
      <c r="Q106" s="15" t="str">
        <f t="shared" si="1"/>
        <v/>
      </c>
      <c r="R106" s="12" t="str">
        <f t="shared" si="2"/>
        <v/>
      </c>
    </row>
    <row r="107" ht="15.75" customHeight="1">
      <c r="A107" s="12"/>
      <c r="B107" s="13"/>
      <c r="C107" s="13"/>
      <c r="D107" s="12"/>
      <c r="E107" s="12"/>
      <c r="F107" s="12"/>
      <c r="G107" s="12"/>
      <c r="H107" s="12"/>
      <c r="I107" s="12"/>
      <c r="J107" s="12"/>
      <c r="K107" s="12"/>
      <c r="L107" s="12"/>
      <c r="M107" s="12"/>
      <c r="N107" s="12"/>
      <c r="O107" s="12"/>
      <c r="P107" s="13"/>
      <c r="Q107" s="15" t="str">
        <f t="shared" si="1"/>
        <v/>
      </c>
      <c r="R107" s="12" t="str">
        <f t="shared" si="2"/>
        <v/>
      </c>
    </row>
    <row r="108" ht="15.75" customHeight="1">
      <c r="A108" s="12"/>
      <c r="B108" s="13"/>
      <c r="C108" s="13"/>
      <c r="D108" s="12"/>
      <c r="E108" s="12"/>
      <c r="F108" s="12"/>
      <c r="G108" s="12"/>
      <c r="H108" s="12"/>
      <c r="I108" s="12"/>
      <c r="J108" s="12"/>
      <c r="K108" s="12"/>
      <c r="L108" s="12"/>
      <c r="M108" s="12"/>
      <c r="N108" s="12"/>
      <c r="O108" s="12"/>
      <c r="P108" s="13"/>
      <c r="Q108" s="15" t="str">
        <f t="shared" si="1"/>
        <v/>
      </c>
      <c r="R108" s="12" t="str">
        <f t="shared" si="2"/>
        <v/>
      </c>
    </row>
    <row r="109" ht="15.75" customHeight="1">
      <c r="A109" s="12"/>
      <c r="B109" s="13"/>
      <c r="C109" s="13"/>
      <c r="D109" s="12"/>
      <c r="E109" s="12"/>
      <c r="F109" s="12"/>
      <c r="G109" s="12"/>
      <c r="H109" s="12"/>
      <c r="I109" s="12"/>
      <c r="J109" s="12"/>
      <c r="K109" s="12"/>
      <c r="L109" s="12"/>
      <c r="M109" s="12"/>
      <c r="N109" s="12"/>
      <c r="O109" s="12"/>
      <c r="P109" s="13"/>
      <c r="Q109" s="15" t="str">
        <f t="shared" si="1"/>
        <v/>
      </c>
      <c r="R109" s="12" t="str">
        <f t="shared" si="2"/>
        <v/>
      </c>
    </row>
    <row r="110" ht="15.75" customHeight="1">
      <c r="A110" s="12"/>
      <c r="B110" s="13"/>
      <c r="C110" s="13"/>
      <c r="D110" s="12"/>
      <c r="E110" s="12"/>
      <c r="F110" s="12"/>
      <c r="G110" s="12"/>
      <c r="H110" s="12"/>
      <c r="I110" s="12"/>
      <c r="J110" s="12"/>
      <c r="K110" s="12"/>
      <c r="L110" s="12"/>
      <c r="M110" s="12"/>
      <c r="N110" s="12"/>
      <c r="O110" s="12"/>
      <c r="P110" s="13"/>
      <c r="Q110" s="15" t="str">
        <f t="shared" si="1"/>
        <v/>
      </c>
      <c r="R110" s="12" t="str">
        <f t="shared" si="2"/>
        <v/>
      </c>
    </row>
    <row r="111" ht="15.75" customHeight="1">
      <c r="A111" s="12"/>
      <c r="B111" s="13"/>
      <c r="C111" s="13"/>
      <c r="D111" s="12"/>
      <c r="E111" s="12"/>
      <c r="F111" s="12"/>
      <c r="G111" s="12"/>
      <c r="H111" s="12"/>
      <c r="I111" s="12"/>
      <c r="J111" s="12"/>
      <c r="K111" s="12"/>
      <c r="L111" s="12"/>
      <c r="M111" s="12"/>
      <c r="N111" s="12"/>
      <c r="O111" s="12"/>
      <c r="P111" s="13"/>
      <c r="Q111" s="15" t="str">
        <f t="shared" si="1"/>
        <v/>
      </c>
      <c r="R111" s="12" t="str">
        <f t="shared" si="2"/>
        <v/>
      </c>
    </row>
    <row r="112" ht="15.75" customHeight="1">
      <c r="A112" s="12"/>
      <c r="B112" s="13"/>
      <c r="C112" s="13"/>
      <c r="D112" s="12"/>
      <c r="E112" s="12"/>
      <c r="F112" s="12"/>
      <c r="G112" s="12"/>
      <c r="H112" s="12"/>
      <c r="I112" s="12"/>
      <c r="J112" s="12"/>
      <c r="K112" s="12"/>
      <c r="L112" s="12"/>
      <c r="M112" s="12"/>
      <c r="N112" s="12"/>
      <c r="O112" s="12"/>
      <c r="P112" s="13"/>
      <c r="Q112" s="15" t="str">
        <f t="shared" si="1"/>
        <v/>
      </c>
      <c r="R112" s="12" t="str">
        <f t="shared" si="2"/>
        <v/>
      </c>
    </row>
    <row r="113" ht="15.75" customHeight="1">
      <c r="A113" s="12"/>
      <c r="B113" s="13"/>
      <c r="C113" s="13"/>
      <c r="D113" s="12"/>
      <c r="E113" s="12"/>
      <c r="F113" s="12"/>
      <c r="G113" s="12"/>
      <c r="H113" s="12"/>
      <c r="I113" s="12"/>
      <c r="J113" s="12"/>
      <c r="K113" s="12"/>
      <c r="L113" s="12"/>
      <c r="M113" s="12"/>
      <c r="N113" s="12"/>
      <c r="O113" s="12"/>
      <c r="P113" s="13"/>
      <c r="Q113" s="15" t="str">
        <f t="shared" si="1"/>
        <v/>
      </c>
      <c r="R113" s="12" t="str">
        <f t="shared" si="2"/>
        <v/>
      </c>
    </row>
    <row r="114" ht="15.75" customHeight="1">
      <c r="A114" s="12"/>
      <c r="B114" s="13"/>
      <c r="C114" s="13"/>
      <c r="D114" s="12"/>
      <c r="E114" s="12"/>
      <c r="F114" s="12"/>
      <c r="G114" s="12"/>
      <c r="H114" s="12"/>
      <c r="I114" s="12"/>
      <c r="J114" s="12"/>
      <c r="K114" s="12"/>
      <c r="L114" s="12"/>
      <c r="M114" s="12"/>
      <c r="N114" s="12"/>
      <c r="O114" s="12"/>
      <c r="P114" s="13"/>
      <c r="Q114" s="15" t="str">
        <f t="shared" si="1"/>
        <v/>
      </c>
      <c r="R114" s="12" t="str">
        <f t="shared" si="2"/>
        <v/>
      </c>
    </row>
    <row r="115" ht="15.75" customHeight="1">
      <c r="A115" s="12"/>
      <c r="B115" s="13"/>
      <c r="C115" s="13"/>
      <c r="D115" s="12"/>
      <c r="E115" s="12"/>
      <c r="F115" s="12"/>
      <c r="G115" s="12"/>
      <c r="H115" s="12"/>
      <c r="I115" s="12"/>
      <c r="J115" s="12"/>
      <c r="K115" s="12"/>
      <c r="L115" s="12"/>
      <c r="M115" s="12"/>
      <c r="N115" s="12"/>
      <c r="O115" s="12"/>
      <c r="P115" s="13"/>
      <c r="Q115" s="15" t="str">
        <f t="shared" si="1"/>
        <v/>
      </c>
      <c r="R115" s="12" t="str">
        <f t="shared" si="2"/>
        <v/>
      </c>
    </row>
    <row r="116" ht="15.75" customHeight="1">
      <c r="A116" s="12"/>
      <c r="B116" s="13"/>
      <c r="C116" s="13"/>
      <c r="D116" s="12"/>
      <c r="E116" s="12"/>
      <c r="F116" s="12"/>
      <c r="G116" s="12"/>
      <c r="H116" s="12"/>
      <c r="I116" s="12"/>
      <c r="J116" s="12"/>
      <c r="K116" s="12"/>
      <c r="L116" s="12"/>
      <c r="M116" s="12"/>
      <c r="N116" s="12"/>
      <c r="O116" s="12"/>
      <c r="P116" s="13"/>
      <c r="Q116" s="15" t="str">
        <f t="shared" si="1"/>
        <v/>
      </c>
      <c r="R116" s="12" t="str">
        <f t="shared" si="2"/>
        <v/>
      </c>
    </row>
    <row r="117" ht="15.75" customHeight="1">
      <c r="A117" s="12"/>
      <c r="B117" s="13"/>
      <c r="C117" s="13"/>
      <c r="D117" s="12"/>
      <c r="E117" s="12"/>
      <c r="F117" s="12"/>
      <c r="G117" s="12"/>
      <c r="H117" s="12"/>
      <c r="I117" s="12"/>
      <c r="J117" s="12"/>
      <c r="K117" s="12"/>
      <c r="L117" s="12"/>
      <c r="M117" s="12"/>
      <c r="N117" s="12"/>
      <c r="O117" s="12"/>
      <c r="P117" s="13"/>
      <c r="Q117" s="15" t="str">
        <f t="shared" si="1"/>
        <v/>
      </c>
      <c r="R117" s="12" t="str">
        <f t="shared" si="2"/>
        <v/>
      </c>
    </row>
    <row r="118" ht="15.75" customHeight="1">
      <c r="A118" s="12"/>
      <c r="B118" s="13"/>
      <c r="C118" s="13"/>
      <c r="D118" s="12"/>
      <c r="E118" s="12"/>
      <c r="F118" s="12"/>
      <c r="G118" s="12"/>
      <c r="H118" s="12"/>
      <c r="I118" s="12"/>
      <c r="J118" s="12"/>
      <c r="K118" s="12"/>
      <c r="L118" s="12"/>
      <c r="M118" s="12"/>
      <c r="N118" s="12"/>
      <c r="O118" s="12"/>
      <c r="P118" s="13"/>
      <c r="Q118" s="15" t="str">
        <f t="shared" si="1"/>
        <v/>
      </c>
      <c r="R118" s="12" t="str">
        <f t="shared" si="2"/>
        <v/>
      </c>
    </row>
    <row r="119" ht="15.75" customHeight="1">
      <c r="A119" s="12"/>
      <c r="B119" s="13"/>
      <c r="C119" s="13"/>
      <c r="D119" s="12"/>
      <c r="E119" s="12"/>
      <c r="F119" s="12"/>
      <c r="G119" s="12"/>
      <c r="H119" s="12"/>
      <c r="I119" s="12"/>
      <c r="J119" s="12"/>
      <c r="K119" s="12"/>
      <c r="L119" s="12"/>
      <c r="M119" s="12"/>
      <c r="N119" s="12"/>
      <c r="O119" s="12"/>
      <c r="P119" s="13"/>
      <c r="Q119" s="15" t="str">
        <f t="shared" si="1"/>
        <v/>
      </c>
      <c r="R119" s="12" t="str">
        <f t="shared" si="2"/>
        <v/>
      </c>
    </row>
    <row r="120" ht="15.75" customHeight="1">
      <c r="A120" s="12"/>
      <c r="B120" s="13"/>
      <c r="C120" s="13"/>
      <c r="D120" s="12"/>
      <c r="E120" s="12"/>
      <c r="F120" s="12"/>
      <c r="G120" s="12"/>
      <c r="H120" s="12"/>
      <c r="I120" s="12"/>
      <c r="J120" s="12"/>
      <c r="K120" s="12"/>
      <c r="L120" s="12"/>
      <c r="M120" s="12"/>
      <c r="N120" s="12"/>
      <c r="O120" s="12"/>
      <c r="P120" s="13"/>
      <c r="Q120" s="15" t="str">
        <f t="shared" si="1"/>
        <v/>
      </c>
      <c r="R120" s="12" t="str">
        <f t="shared" si="2"/>
        <v/>
      </c>
    </row>
    <row r="121" ht="15.75" customHeight="1">
      <c r="A121" s="12"/>
      <c r="B121" s="13"/>
      <c r="C121" s="13"/>
      <c r="D121" s="12"/>
      <c r="E121" s="12"/>
      <c r="F121" s="12"/>
      <c r="G121" s="12"/>
      <c r="H121" s="12"/>
      <c r="I121" s="12"/>
      <c r="J121" s="12"/>
      <c r="K121" s="12"/>
      <c r="L121" s="12"/>
      <c r="M121" s="12"/>
      <c r="N121" s="12"/>
      <c r="O121" s="12"/>
      <c r="P121" s="13"/>
      <c r="Q121" s="15" t="str">
        <f t="shared" si="1"/>
        <v/>
      </c>
      <c r="R121" s="12" t="str">
        <f t="shared" si="2"/>
        <v/>
      </c>
    </row>
    <row r="122" ht="15.75" customHeight="1">
      <c r="A122" s="12"/>
      <c r="B122" s="13"/>
      <c r="C122" s="13"/>
      <c r="D122" s="12"/>
      <c r="E122" s="12"/>
      <c r="F122" s="12"/>
      <c r="G122" s="12"/>
      <c r="H122" s="12"/>
      <c r="I122" s="12"/>
      <c r="J122" s="12"/>
      <c r="K122" s="12"/>
      <c r="L122" s="12"/>
      <c r="M122" s="12"/>
      <c r="N122" s="12"/>
      <c r="O122" s="12"/>
      <c r="P122" s="13"/>
      <c r="Q122" s="15" t="str">
        <f t="shared" si="1"/>
        <v/>
      </c>
      <c r="R122" s="12" t="str">
        <f t="shared" si="2"/>
        <v/>
      </c>
    </row>
    <row r="123" ht="15.75" customHeight="1">
      <c r="A123" s="12"/>
      <c r="B123" s="13"/>
      <c r="C123" s="13"/>
      <c r="D123" s="12"/>
      <c r="E123" s="12"/>
      <c r="F123" s="12"/>
      <c r="G123" s="12"/>
      <c r="H123" s="12"/>
      <c r="I123" s="12"/>
      <c r="J123" s="12"/>
      <c r="K123" s="12"/>
      <c r="L123" s="12"/>
      <c r="M123" s="12"/>
      <c r="N123" s="12"/>
      <c r="O123" s="12"/>
      <c r="P123" s="13"/>
      <c r="Q123" s="15" t="str">
        <f t="shared" si="1"/>
        <v/>
      </c>
      <c r="R123" s="12" t="str">
        <f t="shared" si="2"/>
        <v/>
      </c>
    </row>
    <row r="124" ht="15.75" customHeight="1">
      <c r="A124" s="12"/>
      <c r="B124" s="13"/>
      <c r="C124" s="13"/>
      <c r="D124" s="12"/>
      <c r="E124" s="12"/>
      <c r="F124" s="12"/>
      <c r="G124" s="12"/>
      <c r="H124" s="12"/>
      <c r="I124" s="12"/>
      <c r="J124" s="12"/>
      <c r="K124" s="12"/>
      <c r="L124" s="12"/>
      <c r="M124" s="12"/>
      <c r="N124" s="12"/>
      <c r="O124" s="12"/>
      <c r="P124" s="13"/>
      <c r="Q124" s="15" t="str">
        <f t="shared" si="1"/>
        <v/>
      </c>
      <c r="R124" s="12" t="str">
        <f t="shared" si="2"/>
        <v/>
      </c>
    </row>
    <row r="125" ht="15.75" customHeight="1">
      <c r="A125" s="12"/>
      <c r="B125" s="13"/>
      <c r="C125" s="13"/>
      <c r="D125" s="12"/>
      <c r="E125" s="12"/>
      <c r="F125" s="12"/>
      <c r="G125" s="12"/>
      <c r="H125" s="12"/>
      <c r="I125" s="12"/>
      <c r="J125" s="12"/>
      <c r="K125" s="12"/>
      <c r="L125" s="12"/>
      <c r="M125" s="12"/>
      <c r="N125" s="12"/>
      <c r="O125" s="12"/>
      <c r="P125" s="13"/>
      <c r="Q125" s="15" t="str">
        <f t="shared" si="1"/>
        <v/>
      </c>
      <c r="R125" s="12" t="str">
        <f t="shared" si="2"/>
        <v/>
      </c>
    </row>
    <row r="126" ht="15.75" customHeight="1">
      <c r="A126" s="12"/>
      <c r="B126" s="13"/>
      <c r="C126" s="13"/>
      <c r="D126" s="12"/>
      <c r="E126" s="12"/>
      <c r="F126" s="12"/>
      <c r="G126" s="12"/>
      <c r="H126" s="12"/>
      <c r="I126" s="12"/>
      <c r="J126" s="12"/>
      <c r="K126" s="12"/>
      <c r="L126" s="12"/>
      <c r="M126" s="12"/>
      <c r="N126" s="12"/>
      <c r="O126" s="12"/>
      <c r="P126" s="13"/>
      <c r="Q126" s="15" t="str">
        <f t="shared" si="1"/>
        <v/>
      </c>
      <c r="R126" s="12" t="str">
        <f t="shared" si="2"/>
        <v/>
      </c>
    </row>
    <row r="127" ht="15.75" customHeight="1">
      <c r="A127" s="12"/>
      <c r="B127" s="13"/>
      <c r="C127" s="13"/>
      <c r="D127" s="12"/>
      <c r="E127" s="12"/>
      <c r="F127" s="12"/>
      <c r="G127" s="12"/>
      <c r="H127" s="12"/>
      <c r="I127" s="12"/>
      <c r="J127" s="12"/>
      <c r="K127" s="12"/>
      <c r="L127" s="12"/>
      <c r="M127" s="12"/>
      <c r="N127" s="12"/>
      <c r="O127" s="12"/>
      <c r="P127" s="13"/>
      <c r="Q127" s="15" t="str">
        <f t="shared" si="1"/>
        <v/>
      </c>
      <c r="R127" s="12" t="str">
        <f t="shared" si="2"/>
        <v/>
      </c>
    </row>
    <row r="128" ht="15.75" customHeight="1">
      <c r="A128" s="12"/>
      <c r="B128" s="13"/>
      <c r="C128" s="13"/>
      <c r="D128" s="12"/>
      <c r="E128" s="12"/>
      <c r="F128" s="12"/>
      <c r="G128" s="12"/>
      <c r="H128" s="12"/>
      <c r="I128" s="12"/>
      <c r="J128" s="12"/>
      <c r="K128" s="12"/>
      <c r="L128" s="12"/>
      <c r="M128" s="12"/>
      <c r="N128" s="12"/>
      <c r="O128" s="12"/>
      <c r="P128" s="13"/>
      <c r="Q128" s="15" t="str">
        <f t="shared" si="1"/>
        <v/>
      </c>
      <c r="R128" s="12" t="str">
        <f t="shared" si="2"/>
        <v/>
      </c>
    </row>
    <row r="129" ht="15.75" customHeight="1">
      <c r="A129" s="12"/>
      <c r="B129" s="13"/>
      <c r="C129" s="13"/>
      <c r="D129" s="12"/>
      <c r="E129" s="12"/>
      <c r="F129" s="12"/>
      <c r="G129" s="12"/>
      <c r="H129" s="12"/>
      <c r="I129" s="12"/>
      <c r="J129" s="12"/>
      <c r="K129" s="12"/>
      <c r="L129" s="12"/>
      <c r="M129" s="12"/>
      <c r="N129" s="12"/>
      <c r="O129" s="12"/>
      <c r="P129" s="13"/>
      <c r="Q129" s="15" t="str">
        <f t="shared" si="1"/>
        <v/>
      </c>
      <c r="R129" s="12" t="str">
        <f t="shared" si="2"/>
        <v/>
      </c>
    </row>
    <row r="130" ht="15.75" customHeight="1">
      <c r="A130" s="12"/>
      <c r="B130" s="13"/>
      <c r="C130" s="13"/>
      <c r="D130" s="12"/>
      <c r="E130" s="12"/>
      <c r="F130" s="12"/>
      <c r="G130" s="12"/>
      <c r="H130" s="12"/>
      <c r="I130" s="12"/>
      <c r="J130" s="12"/>
      <c r="K130" s="12"/>
      <c r="L130" s="12"/>
      <c r="M130" s="12"/>
      <c r="N130" s="12"/>
      <c r="O130" s="12"/>
      <c r="P130" s="13"/>
      <c r="Q130" s="15" t="str">
        <f t="shared" si="1"/>
        <v/>
      </c>
      <c r="R130" s="12" t="str">
        <f t="shared" si="2"/>
        <v/>
      </c>
    </row>
    <row r="131" ht="15.75" customHeight="1">
      <c r="A131" s="12"/>
      <c r="B131" s="13"/>
      <c r="C131" s="13"/>
      <c r="D131" s="12"/>
      <c r="E131" s="12"/>
      <c r="F131" s="12"/>
      <c r="G131" s="12"/>
      <c r="H131" s="12"/>
      <c r="I131" s="12"/>
      <c r="J131" s="12"/>
      <c r="K131" s="12"/>
      <c r="L131" s="12"/>
      <c r="M131" s="12"/>
      <c r="N131" s="12"/>
      <c r="O131" s="12"/>
      <c r="P131" s="13"/>
      <c r="Q131" s="15" t="str">
        <f t="shared" si="1"/>
        <v/>
      </c>
      <c r="R131" s="12" t="str">
        <f t="shared" si="2"/>
        <v/>
      </c>
    </row>
    <row r="132" ht="15.75" customHeight="1">
      <c r="A132" s="12"/>
      <c r="B132" s="13"/>
      <c r="C132" s="13"/>
      <c r="D132" s="12"/>
      <c r="E132" s="12"/>
      <c r="F132" s="12"/>
      <c r="G132" s="12"/>
      <c r="H132" s="12"/>
      <c r="I132" s="12"/>
      <c r="J132" s="12"/>
      <c r="K132" s="12"/>
      <c r="L132" s="12"/>
      <c r="M132" s="12"/>
      <c r="N132" s="12"/>
      <c r="O132" s="12"/>
      <c r="P132" s="13"/>
      <c r="Q132" s="15" t="str">
        <f t="shared" si="1"/>
        <v/>
      </c>
      <c r="R132" s="12" t="str">
        <f t="shared" si="2"/>
        <v/>
      </c>
    </row>
    <row r="133" ht="15.75" customHeight="1">
      <c r="A133" s="12"/>
      <c r="B133" s="13"/>
      <c r="C133" s="13"/>
      <c r="D133" s="12"/>
      <c r="E133" s="12"/>
      <c r="F133" s="12"/>
      <c r="G133" s="12"/>
      <c r="H133" s="12"/>
      <c r="I133" s="12"/>
      <c r="J133" s="12"/>
      <c r="K133" s="12"/>
      <c r="L133" s="12"/>
      <c r="M133" s="12"/>
      <c r="N133" s="12"/>
      <c r="O133" s="12"/>
      <c r="P133" s="13"/>
      <c r="Q133" s="15" t="str">
        <f t="shared" si="1"/>
        <v/>
      </c>
      <c r="R133" s="12" t="str">
        <f t="shared" si="2"/>
        <v/>
      </c>
    </row>
    <row r="134" ht="15.75" customHeight="1">
      <c r="A134" s="12"/>
      <c r="B134" s="13"/>
      <c r="C134" s="13"/>
      <c r="D134" s="12"/>
      <c r="E134" s="12"/>
      <c r="F134" s="12"/>
      <c r="G134" s="12"/>
      <c r="H134" s="12"/>
      <c r="I134" s="12"/>
      <c r="J134" s="12"/>
      <c r="K134" s="12"/>
      <c r="L134" s="12"/>
      <c r="M134" s="12"/>
      <c r="N134" s="12"/>
      <c r="O134" s="12"/>
      <c r="P134" s="13"/>
      <c r="Q134" s="15" t="str">
        <f t="shared" si="1"/>
        <v/>
      </c>
      <c r="R134" s="12" t="str">
        <f t="shared" si="2"/>
        <v/>
      </c>
    </row>
    <row r="135" ht="15.75" customHeight="1">
      <c r="A135" s="12"/>
      <c r="B135" s="13"/>
      <c r="C135" s="13"/>
      <c r="D135" s="12"/>
      <c r="E135" s="12"/>
      <c r="F135" s="12"/>
      <c r="G135" s="12"/>
      <c r="H135" s="12"/>
      <c r="I135" s="12"/>
      <c r="J135" s="12"/>
      <c r="K135" s="12"/>
      <c r="L135" s="12"/>
      <c r="M135" s="12"/>
      <c r="N135" s="12"/>
      <c r="O135" s="12"/>
      <c r="P135" s="13"/>
      <c r="Q135" s="15" t="str">
        <f t="shared" si="1"/>
        <v/>
      </c>
      <c r="R135" s="12" t="str">
        <f t="shared" si="2"/>
        <v/>
      </c>
    </row>
    <row r="136" ht="15.75" customHeight="1">
      <c r="A136" s="12"/>
      <c r="B136" s="13"/>
      <c r="C136" s="13"/>
      <c r="D136" s="12"/>
      <c r="E136" s="12"/>
      <c r="F136" s="12"/>
      <c r="G136" s="12"/>
      <c r="H136" s="12"/>
      <c r="I136" s="12"/>
      <c r="J136" s="12"/>
      <c r="K136" s="12"/>
      <c r="L136" s="12"/>
      <c r="M136" s="12"/>
      <c r="N136" s="12"/>
      <c r="O136" s="12"/>
      <c r="P136" s="13"/>
      <c r="Q136" s="15" t="str">
        <f t="shared" si="1"/>
        <v/>
      </c>
      <c r="R136" s="12" t="str">
        <f t="shared" si="2"/>
        <v/>
      </c>
    </row>
    <row r="137" ht="15.75" customHeight="1">
      <c r="A137" s="12"/>
      <c r="B137" s="13"/>
      <c r="C137" s="13"/>
      <c r="D137" s="12"/>
      <c r="E137" s="12"/>
      <c r="F137" s="12"/>
      <c r="G137" s="12"/>
      <c r="H137" s="12"/>
      <c r="I137" s="12"/>
      <c r="J137" s="12"/>
      <c r="K137" s="12"/>
      <c r="L137" s="12"/>
      <c r="M137" s="12"/>
      <c r="N137" s="12"/>
      <c r="O137" s="12"/>
      <c r="P137" s="13"/>
      <c r="Q137" s="15" t="str">
        <f t="shared" si="1"/>
        <v/>
      </c>
      <c r="R137" s="12" t="str">
        <f t="shared" si="2"/>
        <v/>
      </c>
    </row>
    <row r="138" ht="15.75" customHeight="1">
      <c r="A138" s="12"/>
      <c r="B138" s="13"/>
      <c r="C138" s="13"/>
      <c r="D138" s="12"/>
      <c r="E138" s="12"/>
      <c r="F138" s="12"/>
      <c r="G138" s="12"/>
      <c r="H138" s="12"/>
      <c r="I138" s="12"/>
      <c r="J138" s="12"/>
      <c r="K138" s="12"/>
      <c r="L138" s="12"/>
      <c r="M138" s="12"/>
      <c r="N138" s="12"/>
      <c r="O138" s="12"/>
      <c r="P138" s="13"/>
      <c r="Q138" s="15" t="str">
        <f t="shared" si="1"/>
        <v/>
      </c>
      <c r="R138" s="12" t="str">
        <f t="shared" si="2"/>
        <v/>
      </c>
    </row>
    <row r="139" ht="15.75" customHeight="1">
      <c r="A139" s="12"/>
      <c r="B139" s="13"/>
      <c r="C139" s="13"/>
      <c r="D139" s="12"/>
      <c r="E139" s="12"/>
      <c r="F139" s="12"/>
      <c r="G139" s="12"/>
      <c r="H139" s="12"/>
      <c r="I139" s="12"/>
      <c r="J139" s="12"/>
      <c r="K139" s="12"/>
      <c r="L139" s="12"/>
      <c r="M139" s="12"/>
      <c r="N139" s="12"/>
      <c r="O139" s="12"/>
      <c r="P139" s="13"/>
      <c r="Q139" s="15" t="str">
        <f t="shared" si="1"/>
        <v/>
      </c>
      <c r="R139" s="12" t="str">
        <f t="shared" si="2"/>
        <v/>
      </c>
    </row>
    <row r="140" ht="15.75" customHeight="1">
      <c r="A140" s="12"/>
      <c r="B140" s="13"/>
      <c r="C140" s="13"/>
      <c r="D140" s="12"/>
      <c r="E140" s="12"/>
      <c r="F140" s="12"/>
      <c r="G140" s="12"/>
      <c r="H140" s="12"/>
      <c r="I140" s="12"/>
      <c r="J140" s="12"/>
      <c r="K140" s="12"/>
      <c r="L140" s="12"/>
      <c r="M140" s="12"/>
      <c r="N140" s="12"/>
      <c r="O140" s="12"/>
      <c r="P140" s="13"/>
      <c r="Q140" s="15" t="str">
        <f t="shared" si="1"/>
        <v/>
      </c>
      <c r="R140" s="12" t="str">
        <f t="shared" si="2"/>
        <v/>
      </c>
    </row>
    <row r="141" ht="15.75" customHeight="1">
      <c r="A141" s="12"/>
      <c r="B141" s="13"/>
      <c r="C141" s="13"/>
      <c r="D141" s="12"/>
      <c r="E141" s="12"/>
      <c r="F141" s="12"/>
      <c r="G141" s="12"/>
      <c r="H141" s="12"/>
      <c r="I141" s="12"/>
      <c r="J141" s="12"/>
      <c r="K141" s="12"/>
      <c r="L141" s="12"/>
      <c r="M141" s="12"/>
      <c r="N141" s="12"/>
      <c r="O141" s="12"/>
      <c r="P141" s="13"/>
      <c r="Q141" s="15" t="str">
        <f t="shared" si="1"/>
        <v/>
      </c>
      <c r="R141" s="12" t="str">
        <f t="shared" si="2"/>
        <v/>
      </c>
    </row>
    <row r="142" ht="15.75" customHeight="1">
      <c r="A142" s="12"/>
      <c r="B142" s="13"/>
      <c r="C142" s="13"/>
      <c r="D142" s="12"/>
      <c r="E142" s="12"/>
      <c r="F142" s="12"/>
      <c r="G142" s="12"/>
      <c r="H142" s="12"/>
      <c r="I142" s="12"/>
      <c r="J142" s="12"/>
      <c r="K142" s="12"/>
      <c r="L142" s="12"/>
      <c r="M142" s="12"/>
      <c r="N142" s="12"/>
      <c r="O142" s="12"/>
      <c r="P142" s="13"/>
      <c r="Q142" s="15" t="str">
        <f t="shared" si="1"/>
        <v/>
      </c>
      <c r="R142" s="12" t="str">
        <f t="shared" si="2"/>
        <v/>
      </c>
    </row>
    <row r="143" ht="15.75" customHeight="1">
      <c r="A143" s="12"/>
      <c r="B143" s="13"/>
      <c r="C143" s="13"/>
      <c r="D143" s="12"/>
      <c r="E143" s="12"/>
      <c r="F143" s="12"/>
      <c r="G143" s="12"/>
      <c r="H143" s="12"/>
      <c r="I143" s="12"/>
      <c r="J143" s="12"/>
      <c r="K143" s="12"/>
      <c r="L143" s="12"/>
      <c r="M143" s="12"/>
      <c r="N143" s="12"/>
      <c r="O143" s="12"/>
      <c r="P143" s="13"/>
      <c r="Q143" s="15" t="str">
        <f t="shared" si="1"/>
        <v/>
      </c>
      <c r="R143" s="12" t="str">
        <f t="shared" si="2"/>
        <v/>
      </c>
    </row>
    <row r="144" ht="15.75" customHeight="1">
      <c r="A144" s="12"/>
      <c r="B144" s="13"/>
      <c r="C144" s="13"/>
      <c r="D144" s="12"/>
      <c r="E144" s="12"/>
      <c r="F144" s="12"/>
      <c r="G144" s="12"/>
      <c r="H144" s="12"/>
      <c r="I144" s="12"/>
      <c r="J144" s="12"/>
      <c r="K144" s="12"/>
      <c r="L144" s="12"/>
      <c r="M144" s="12"/>
      <c r="N144" s="12"/>
      <c r="O144" s="12"/>
      <c r="P144" s="13"/>
      <c r="Q144" s="15" t="str">
        <f t="shared" si="1"/>
        <v/>
      </c>
      <c r="R144" s="12" t="str">
        <f t="shared" si="2"/>
        <v/>
      </c>
    </row>
    <row r="145" ht="15.75" customHeight="1">
      <c r="A145" s="12"/>
      <c r="B145" s="13"/>
      <c r="C145" s="13"/>
      <c r="D145" s="12"/>
      <c r="E145" s="12"/>
      <c r="F145" s="12"/>
      <c r="G145" s="12"/>
      <c r="H145" s="12"/>
      <c r="I145" s="12"/>
      <c r="J145" s="12"/>
      <c r="K145" s="12"/>
      <c r="L145" s="12"/>
      <c r="M145" s="12"/>
      <c r="N145" s="12"/>
      <c r="O145" s="12"/>
      <c r="P145" s="13"/>
      <c r="Q145" s="15" t="str">
        <f t="shared" si="1"/>
        <v/>
      </c>
      <c r="R145" s="12" t="str">
        <f t="shared" si="2"/>
        <v/>
      </c>
    </row>
    <row r="146" ht="15.75" customHeight="1">
      <c r="A146" s="12"/>
      <c r="B146" s="13"/>
      <c r="C146" s="13"/>
      <c r="D146" s="12"/>
      <c r="E146" s="12"/>
      <c r="F146" s="12"/>
      <c r="G146" s="12"/>
      <c r="H146" s="12"/>
      <c r="I146" s="12"/>
      <c r="J146" s="12"/>
      <c r="K146" s="12"/>
      <c r="L146" s="12"/>
      <c r="M146" s="12"/>
      <c r="N146" s="12"/>
      <c r="O146" s="12"/>
      <c r="P146" s="13"/>
      <c r="Q146" s="15" t="str">
        <f t="shared" si="1"/>
        <v/>
      </c>
      <c r="R146" s="12" t="str">
        <f t="shared" si="2"/>
        <v/>
      </c>
    </row>
    <row r="147" ht="15.75" customHeight="1">
      <c r="A147" s="12"/>
      <c r="B147" s="13"/>
      <c r="C147" s="13"/>
      <c r="D147" s="12"/>
      <c r="E147" s="12"/>
      <c r="F147" s="12"/>
      <c r="G147" s="12"/>
      <c r="H147" s="12"/>
      <c r="I147" s="12"/>
      <c r="J147" s="12"/>
      <c r="K147" s="12"/>
      <c r="L147" s="12"/>
      <c r="M147" s="12"/>
      <c r="N147" s="12"/>
      <c r="O147" s="12"/>
      <c r="P147" s="13"/>
      <c r="Q147" s="15" t="str">
        <f t="shared" si="1"/>
        <v/>
      </c>
      <c r="R147" s="12" t="str">
        <f t="shared" si="2"/>
        <v/>
      </c>
    </row>
    <row r="148" ht="15.75" customHeight="1">
      <c r="A148" s="12"/>
      <c r="B148" s="13"/>
      <c r="C148" s="13"/>
      <c r="D148" s="12"/>
      <c r="E148" s="12"/>
      <c r="F148" s="12"/>
      <c r="G148" s="12"/>
      <c r="H148" s="12"/>
      <c r="I148" s="12"/>
      <c r="J148" s="12"/>
      <c r="K148" s="12"/>
      <c r="L148" s="12"/>
      <c r="M148" s="12"/>
      <c r="N148" s="12"/>
      <c r="O148" s="12"/>
      <c r="P148" s="13"/>
      <c r="Q148" s="15" t="str">
        <f t="shared" si="1"/>
        <v/>
      </c>
      <c r="R148" s="12" t="str">
        <f t="shared" si="2"/>
        <v/>
      </c>
    </row>
    <row r="149" ht="15.75" customHeight="1">
      <c r="A149" s="12"/>
      <c r="B149" s="13"/>
      <c r="C149" s="13"/>
      <c r="D149" s="12"/>
      <c r="E149" s="12"/>
      <c r="F149" s="12"/>
      <c r="G149" s="12"/>
      <c r="H149" s="12"/>
      <c r="I149" s="12"/>
      <c r="J149" s="12"/>
      <c r="K149" s="12"/>
      <c r="L149" s="12"/>
      <c r="M149" s="12"/>
      <c r="N149" s="12"/>
      <c r="O149" s="12"/>
      <c r="P149" s="13"/>
      <c r="Q149" s="15" t="str">
        <f t="shared" si="1"/>
        <v/>
      </c>
      <c r="R149" s="12" t="str">
        <f t="shared" si="2"/>
        <v/>
      </c>
    </row>
    <row r="150" ht="15.75" customHeight="1">
      <c r="A150" s="12"/>
      <c r="B150" s="13"/>
      <c r="C150" s="13"/>
      <c r="D150" s="12"/>
      <c r="E150" s="12"/>
      <c r="F150" s="12"/>
      <c r="G150" s="12"/>
      <c r="H150" s="12"/>
      <c r="I150" s="12"/>
      <c r="J150" s="12"/>
      <c r="K150" s="12"/>
      <c r="L150" s="12"/>
      <c r="M150" s="12"/>
      <c r="N150" s="12"/>
      <c r="O150" s="12"/>
      <c r="P150" s="13"/>
      <c r="Q150" s="15" t="str">
        <f t="shared" si="1"/>
        <v/>
      </c>
      <c r="R150" s="12" t="str">
        <f t="shared" si="2"/>
        <v/>
      </c>
    </row>
    <row r="151" ht="15.75" customHeight="1">
      <c r="A151" s="12"/>
      <c r="B151" s="13"/>
      <c r="C151" s="13"/>
      <c r="D151" s="12"/>
      <c r="E151" s="12"/>
      <c r="F151" s="12"/>
      <c r="G151" s="12"/>
      <c r="H151" s="12"/>
      <c r="I151" s="12"/>
      <c r="J151" s="12"/>
      <c r="K151" s="12"/>
      <c r="L151" s="12"/>
      <c r="M151" s="12"/>
      <c r="N151" s="12"/>
      <c r="O151" s="12"/>
      <c r="P151" s="13"/>
      <c r="Q151" s="15" t="str">
        <f t="shared" si="1"/>
        <v/>
      </c>
      <c r="R151" s="12" t="str">
        <f t="shared" si="2"/>
        <v/>
      </c>
    </row>
    <row r="152" ht="15.75" customHeight="1">
      <c r="A152" s="12"/>
      <c r="B152" s="13"/>
      <c r="C152" s="13"/>
      <c r="D152" s="12"/>
      <c r="E152" s="12"/>
      <c r="F152" s="12"/>
      <c r="G152" s="12"/>
      <c r="H152" s="12"/>
      <c r="I152" s="12"/>
      <c r="J152" s="12"/>
      <c r="K152" s="12"/>
      <c r="L152" s="12"/>
      <c r="M152" s="12"/>
      <c r="N152" s="12"/>
      <c r="O152" s="12"/>
      <c r="P152" s="13"/>
      <c r="Q152" s="15" t="str">
        <f t="shared" si="1"/>
        <v/>
      </c>
      <c r="R152" s="12" t="str">
        <f t="shared" si="2"/>
        <v/>
      </c>
    </row>
    <row r="153" ht="15.75" customHeight="1">
      <c r="A153" s="12"/>
      <c r="B153" s="13"/>
      <c r="C153" s="13"/>
      <c r="D153" s="12"/>
      <c r="E153" s="12"/>
      <c r="F153" s="12"/>
      <c r="G153" s="12"/>
      <c r="H153" s="12"/>
      <c r="I153" s="12"/>
      <c r="J153" s="12"/>
      <c r="K153" s="12"/>
      <c r="L153" s="12"/>
      <c r="M153" s="12"/>
      <c r="N153" s="12"/>
      <c r="O153" s="12"/>
      <c r="P153" s="13"/>
      <c r="Q153" s="15" t="str">
        <f t="shared" si="1"/>
        <v/>
      </c>
      <c r="R153" s="12" t="str">
        <f t="shared" si="2"/>
        <v/>
      </c>
    </row>
    <row r="154" ht="15.75" customHeight="1">
      <c r="A154" s="12"/>
      <c r="B154" s="13"/>
      <c r="C154" s="13"/>
      <c r="D154" s="12"/>
      <c r="E154" s="12"/>
      <c r="F154" s="12"/>
      <c r="G154" s="12"/>
      <c r="H154" s="12"/>
      <c r="I154" s="12"/>
      <c r="J154" s="12"/>
      <c r="K154" s="12"/>
      <c r="L154" s="12"/>
      <c r="M154" s="12"/>
      <c r="N154" s="12"/>
      <c r="O154" s="12"/>
      <c r="P154" s="13"/>
      <c r="Q154" s="15" t="str">
        <f t="shared" si="1"/>
        <v/>
      </c>
      <c r="R154" s="12" t="str">
        <f t="shared" si="2"/>
        <v/>
      </c>
    </row>
    <row r="155" ht="15.75" customHeight="1">
      <c r="A155" s="12"/>
      <c r="B155" s="13"/>
      <c r="C155" s="13"/>
      <c r="D155" s="12"/>
      <c r="E155" s="12"/>
      <c r="F155" s="12"/>
      <c r="G155" s="12"/>
      <c r="H155" s="12"/>
      <c r="I155" s="12"/>
      <c r="J155" s="12"/>
      <c r="K155" s="12"/>
      <c r="L155" s="12"/>
      <c r="M155" s="12"/>
      <c r="N155" s="12"/>
      <c r="O155" s="12"/>
      <c r="P155" s="13"/>
      <c r="Q155" s="15" t="str">
        <f t="shared" si="1"/>
        <v/>
      </c>
      <c r="R155" s="12" t="str">
        <f t="shared" si="2"/>
        <v/>
      </c>
    </row>
    <row r="156" ht="15.75" customHeight="1">
      <c r="A156" s="12"/>
      <c r="B156" s="13"/>
      <c r="C156" s="13"/>
      <c r="D156" s="12"/>
      <c r="E156" s="12"/>
      <c r="F156" s="12"/>
      <c r="G156" s="12"/>
      <c r="H156" s="12"/>
      <c r="I156" s="12"/>
      <c r="J156" s="12"/>
      <c r="K156" s="12"/>
      <c r="L156" s="12"/>
      <c r="M156" s="12"/>
      <c r="N156" s="12"/>
      <c r="O156" s="12"/>
      <c r="P156" s="13"/>
      <c r="Q156" s="15" t="str">
        <f t="shared" si="1"/>
        <v/>
      </c>
      <c r="R156" s="12" t="str">
        <f t="shared" si="2"/>
        <v/>
      </c>
    </row>
    <row r="157" ht="15.75" customHeight="1">
      <c r="A157" s="12"/>
      <c r="B157" s="13"/>
      <c r="C157" s="13"/>
      <c r="D157" s="12"/>
      <c r="E157" s="12"/>
      <c r="F157" s="12"/>
      <c r="G157" s="12"/>
      <c r="H157" s="12"/>
      <c r="I157" s="12"/>
      <c r="J157" s="12"/>
      <c r="K157" s="12"/>
      <c r="L157" s="12"/>
      <c r="M157" s="12"/>
      <c r="N157" s="12"/>
      <c r="O157" s="12"/>
      <c r="P157" s="13"/>
      <c r="Q157" s="15" t="str">
        <f t="shared" si="1"/>
        <v/>
      </c>
      <c r="R157" s="12" t="str">
        <f t="shared" si="2"/>
        <v/>
      </c>
    </row>
    <row r="158" ht="15.75" customHeight="1">
      <c r="A158" s="12"/>
      <c r="B158" s="13"/>
      <c r="C158" s="13"/>
      <c r="D158" s="12"/>
      <c r="E158" s="12"/>
      <c r="F158" s="12"/>
      <c r="G158" s="12"/>
      <c r="H158" s="12"/>
      <c r="I158" s="12"/>
      <c r="J158" s="12"/>
      <c r="K158" s="12"/>
      <c r="L158" s="12"/>
      <c r="M158" s="12"/>
      <c r="N158" s="12"/>
      <c r="O158" s="12"/>
      <c r="P158" s="13"/>
      <c r="Q158" s="15" t="str">
        <f t="shared" si="1"/>
        <v/>
      </c>
      <c r="R158" s="12" t="str">
        <f t="shared" si="2"/>
        <v/>
      </c>
    </row>
    <row r="159" ht="15.75" customHeight="1">
      <c r="A159" s="12"/>
      <c r="B159" s="13"/>
      <c r="C159" s="13"/>
      <c r="D159" s="12"/>
      <c r="E159" s="12"/>
      <c r="F159" s="12"/>
      <c r="G159" s="12"/>
      <c r="H159" s="12"/>
      <c r="I159" s="12"/>
      <c r="J159" s="12"/>
      <c r="K159" s="12"/>
      <c r="L159" s="12"/>
      <c r="M159" s="12"/>
      <c r="N159" s="12"/>
      <c r="O159" s="12"/>
      <c r="P159" s="13"/>
      <c r="Q159" s="15" t="str">
        <f t="shared" si="1"/>
        <v/>
      </c>
      <c r="R159" s="12" t="str">
        <f t="shared" si="2"/>
        <v/>
      </c>
    </row>
    <row r="160" ht="15.75" customHeight="1">
      <c r="A160" s="12"/>
      <c r="B160" s="13"/>
      <c r="C160" s="13"/>
      <c r="D160" s="12"/>
      <c r="E160" s="12"/>
      <c r="F160" s="12"/>
      <c r="G160" s="12"/>
      <c r="H160" s="12"/>
      <c r="I160" s="12"/>
      <c r="J160" s="12"/>
      <c r="K160" s="12"/>
      <c r="L160" s="12"/>
      <c r="M160" s="12"/>
      <c r="N160" s="12"/>
      <c r="O160" s="12"/>
      <c r="P160" s="13"/>
      <c r="Q160" s="15" t="str">
        <f t="shared" si="1"/>
        <v/>
      </c>
      <c r="R160" s="12" t="str">
        <f t="shared" si="2"/>
        <v/>
      </c>
    </row>
    <row r="161" ht="15.75" customHeight="1">
      <c r="A161" s="12"/>
      <c r="B161" s="13"/>
      <c r="C161" s="13"/>
      <c r="D161" s="12"/>
      <c r="E161" s="12"/>
      <c r="F161" s="12"/>
      <c r="G161" s="12"/>
      <c r="H161" s="12"/>
      <c r="I161" s="12"/>
      <c r="J161" s="12"/>
      <c r="K161" s="12"/>
      <c r="L161" s="12"/>
      <c r="M161" s="12"/>
      <c r="N161" s="12"/>
      <c r="O161" s="12"/>
      <c r="P161" s="13"/>
      <c r="Q161" s="15" t="str">
        <f t="shared" si="1"/>
        <v/>
      </c>
      <c r="R161" s="12" t="str">
        <f t="shared" si="2"/>
        <v/>
      </c>
    </row>
    <row r="162" ht="15.75" customHeight="1">
      <c r="A162" s="12"/>
      <c r="B162" s="13"/>
      <c r="C162" s="13"/>
      <c r="D162" s="12"/>
      <c r="E162" s="12"/>
      <c r="F162" s="12"/>
      <c r="G162" s="12"/>
      <c r="H162" s="12"/>
      <c r="I162" s="12"/>
      <c r="J162" s="12"/>
      <c r="K162" s="12"/>
      <c r="L162" s="12"/>
      <c r="M162" s="12"/>
      <c r="N162" s="12"/>
      <c r="O162" s="12"/>
      <c r="P162" s="13"/>
      <c r="Q162" s="15" t="str">
        <f t="shared" si="1"/>
        <v/>
      </c>
      <c r="R162" s="12" t="str">
        <f t="shared" si="2"/>
        <v/>
      </c>
    </row>
    <row r="163" ht="15.75" customHeight="1">
      <c r="A163" s="12"/>
      <c r="B163" s="13"/>
      <c r="C163" s="13"/>
      <c r="D163" s="12"/>
      <c r="E163" s="12"/>
      <c r="F163" s="12"/>
      <c r="G163" s="12"/>
      <c r="H163" s="12"/>
      <c r="I163" s="12"/>
      <c r="J163" s="12"/>
      <c r="K163" s="12"/>
      <c r="L163" s="12"/>
      <c r="M163" s="12"/>
      <c r="N163" s="12"/>
      <c r="O163" s="12"/>
      <c r="P163" s="13"/>
      <c r="Q163" s="15" t="str">
        <f t="shared" si="1"/>
        <v/>
      </c>
      <c r="R163" s="12" t="str">
        <f t="shared" si="2"/>
        <v/>
      </c>
    </row>
    <row r="164" ht="15.75" customHeight="1">
      <c r="A164" s="12"/>
      <c r="B164" s="13"/>
      <c r="C164" s="13"/>
      <c r="D164" s="12"/>
      <c r="E164" s="12"/>
      <c r="F164" s="12"/>
      <c r="G164" s="12"/>
      <c r="H164" s="12"/>
      <c r="I164" s="12"/>
      <c r="J164" s="12"/>
      <c r="K164" s="12"/>
      <c r="L164" s="12"/>
      <c r="M164" s="12"/>
      <c r="N164" s="12"/>
      <c r="O164" s="12"/>
      <c r="P164" s="13"/>
      <c r="Q164" s="15" t="str">
        <f t="shared" si="1"/>
        <v/>
      </c>
      <c r="R164" s="12" t="str">
        <f t="shared" si="2"/>
        <v/>
      </c>
    </row>
    <row r="165" ht="15.75" customHeight="1">
      <c r="A165" s="12"/>
      <c r="B165" s="13"/>
      <c r="C165" s="13"/>
      <c r="D165" s="12"/>
      <c r="E165" s="12"/>
      <c r="F165" s="12"/>
      <c r="G165" s="12"/>
      <c r="H165" s="12"/>
      <c r="I165" s="12"/>
      <c r="J165" s="12"/>
      <c r="K165" s="12"/>
      <c r="L165" s="12"/>
      <c r="M165" s="12"/>
      <c r="N165" s="12"/>
      <c r="O165" s="12"/>
      <c r="P165" s="13"/>
      <c r="Q165" s="15" t="str">
        <f t="shared" si="1"/>
        <v/>
      </c>
      <c r="R165" s="12" t="str">
        <f t="shared" si="2"/>
        <v/>
      </c>
    </row>
    <row r="166" ht="15.75" customHeight="1">
      <c r="A166" s="12"/>
      <c r="B166" s="13"/>
      <c r="C166" s="13"/>
      <c r="D166" s="12"/>
      <c r="E166" s="12"/>
      <c r="F166" s="12"/>
      <c r="G166" s="12"/>
      <c r="H166" s="12"/>
      <c r="I166" s="12"/>
      <c r="J166" s="12"/>
      <c r="K166" s="12"/>
      <c r="L166" s="12"/>
      <c r="M166" s="12"/>
      <c r="N166" s="12"/>
      <c r="O166" s="12"/>
      <c r="P166" s="13"/>
      <c r="Q166" s="15" t="str">
        <f t="shared" si="1"/>
        <v/>
      </c>
      <c r="R166" s="12" t="str">
        <f t="shared" si="2"/>
        <v/>
      </c>
    </row>
    <row r="167" ht="15.75" customHeight="1">
      <c r="A167" s="12"/>
      <c r="B167" s="13"/>
      <c r="C167" s="13"/>
      <c r="D167" s="12"/>
      <c r="E167" s="12"/>
      <c r="F167" s="12"/>
      <c r="G167" s="12"/>
      <c r="H167" s="12"/>
      <c r="I167" s="12"/>
      <c r="J167" s="12"/>
      <c r="K167" s="12"/>
      <c r="L167" s="12"/>
      <c r="M167" s="12"/>
      <c r="N167" s="12"/>
      <c r="O167" s="12"/>
      <c r="P167" s="13"/>
      <c r="Q167" s="15" t="str">
        <f t="shared" si="1"/>
        <v/>
      </c>
      <c r="R167" s="12" t="str">
        <f t="shared" si="2"/>
        <v/>
      </c>
    </row>
    <row r="168" ht="15.75" customHeight="1">
      <c r="A168" s="12"/>
      <c r="B168" s="13"/>
      <c r="C168" s="13"/>
      <c r="D168" s="12"/>
      <c r="E168" s="12"/>
      <c r="F168" s="12"/>
      <c r="G168" s="12"/>
      <c r="H168" s="12"/>
      <c r="I168" s="12"/>
      <c r="J168" s="12"/>
      <c r="K168" s="12"/>
      <c r="L168" s="12"/>
      <c r="M168" s="12"/>
      <c r="N168" s="12"/>
      <c r="O168" s="12"/>
      <c r="P168" s="13"/>
      <c r="Q168" s="15" t="str">
        <f t="shared" si="1"/>
        <v/>
      </c>
      <c r="R168" s="12" t="str">
        <f t="shared" si="2"/>
        <v/>
      </c>
    </row>
    <row r="169" ht="15.75" customHeight="1">
      <c r="A169" s="12"/>
      <c r="B169" s="13"/>
      <c r="C169" s="13"/>
      <c r="D169" s="12"/>
      <c r="E169" s="12"/>
      <c r="F169" s="12"/>
      <c r="G169" s="12"/>
      <c r="H169" s="12"/>
      <c r="I169" s="12"/>
      <c r="J169" s="12"/>
      <c r="K169" s="12"/>
      <c r="L169" s="12"/>
      <c r="M169" s="12"/>
      <c r="N169" s="12"/>
      <c r="O169" s="12"/>
      <c r="P169" s="13"/>
      <c r="Q169" s="15" t="str">
        <f t="shared" si="1"/>
        <v/>
      </c>
      <c r="R169" s="12" t="str">
        <f t="shared" si="2"/>
        <v/>
      </c>
    </row>
    <row r="170" ht="15.75" customHeight="1">
      <c r="A170" s="12"/>
      <c r="B170" s="13"/>
      <c r="C170" s="13"/>
      <c r="D170" s="12"/>
      <c r="E170" s="12"/>
      <c r="F170" s="12"/>
      <c r="G170" s="12"/>
      <c r="H170" s="12"/>
      <c r="I170" s="12"/>
      <c r="J170" s="12"/>
      <c r="K170" s="12"/>
      <c r="L170" s="12"/>
      <c r="M170" s="12"/>
      <c r="N170" s="12"/>
      <c r="O170" s="12"/>
      <c r="P170" s="13"/>
      <c r="Q170" s="15" t="str">
        <f t="shared" si="1"/>
        <v/>
      </c>
      <c r="R170" s="12" t="str">
        <f t="shared" si="2"/>
        <v/>
      </c>
    </row>
    <row r="171" ht="15.75" customHeight="1">
      <c r="A171" s="12"/>
      <c r="B171" s="13"/>
      <c r="C171" s="13"/>
      <c r="D171" s="12"/>
      <c r="E171" s="12"/>
      <c r="F171" s="12"/>
      <c r="G171" s="12"/>
      <c r="H171" s="12"/>
      <c r="I171" s="12"/>
      <c r="J171" s="12"/>
      <c r="K171" s="12"/>
      <c r="L171" s="12"/>
      <c r="M171" s="12"/>
      <c r="N171" s="12"/>
      <c r="O171" s="12"/>
      <c r="P171" s="13"/>
      <c r="Q171" s="15" t="str">
        <f t="shared" si="1"/>
        <v/>
      </c>
      <c r="R171" s="12" t="str">
        <f t="shared" si="2"/>
        <v/>
      </c>
    </row>
    <row r="172" ht="15.75" customHeight="1">
      <c r="A172" s="12"/>
      <c r="B172" s="13"/>
      <c r="C172" s="13"/>
      <c r="D172" s="12"/>
      <c r="E172" s="12"/>
      <c r="F172" s="12"/>
      <c r="G172" s="12"/>
      <c r="H172" s="12"/>
      <c r="I172" s="12"/>
      <c r="J172" s="12"/>
      <c r="K172" s="12"/>
      <c r="L172" s="12"/>
      <c r="M172" s="12"/>
      <c r="N172" s="12"/>
      <c r="O172" s="12"/>
      <c r="P172" s="13"/>
      <c r="Q172" s="15" t="str">
        <f t="shared" si="1"/>
        <v/>
      </c>
      <c r="R172" s="12" t="str">
        <f t="shared" si="2"/>
        <v/>
      </c>
    </row>
    <row r="173" ht="15.75" customHeight="1">
      <c r="A173" s="12"/>
      <c r="B173" s="13"/>
      <c r="C173" s="13"/>
      <c r="D173" s="12"/>
      <c r="E173" s="12"/>
      <c r="F173" s="12"/>
      <c r="G173" s="12"/>
      <c r="H173" s="12"/>
      <c r="I173" s="12"/>
      <c r="J173" s="12"/>
      <c r="K173" s="12"/>
      <c r="L173" s="12"/>
      <c r="M173" s="12"/>
      <c r="N173" s="12"/>
      <c r="O173" s="12"/>
      <c r="P173" s="13"/>
      <c r="Q173" s="15" t="str">
        <f t="shared" si="1"/>
        <v/>
      </c>
      <c r="R173" s="12" t="str">
        <f t="shared" si="2"/>
        <v/>
      </c>
    </row>
    <row r="174" ht="15.75" customHeight="1">
      <c r="A174" s="12"/>
      <c r="B174" s="13"/>
      <c r="C174" s="13"/>
      <c r="D174" s="12"/>
      <c r="E174" s="12"/>
      <c r="F174" s="12"/>
      <c r="G174" s="12"/>
      <c r="H174" s="12"/>
      <c r="I174" s="12"/>
      <c r="J174" s="12"/>
      <c r="K174" s="12"/>
      <c r="L174" s="12"/>
      <c r="M174" s="12"/>
      <c r="N174" s="12"/>
      <c r="O174" s="12"/>
      <c r="P174" s="13"/>
      <c r="Q174" s="15" t="str">
        <f t="shared" si="1"/>
        <v/>
      </c>
      <c r="R174" s="12" t="str">
        <f t="shared" si="2"/>
        <v/>
      </c>
    </row>
    <row r="175" ht="15.75" customHeight="1">
      <c r="A175" s="12"/>
      <c r="B175" s="13"/>
      <c r="C175" s="13"/>
      <c r="D175" s="12"/>
      <c r="E175" s="12"/>
      <c r="F175" s="12"/>
      <c r="G175" s="12"/>
      <c r="H175" s="12"/>
      <c r="I175" s="12"/>
      <c r="J175" s="12"/>
      <c r="K175" s="12"/>
      <c r="L175" s="12"/>
      <c r="M175" s="12"/>
      <c r="N175" s="12"/>
      <c r="O175" s="12"/>
      <c r="P175" s="13"/>
      <c r="Q175" s="15" t="str">
        <f t="shared" si="1"/>
        <v/>
      </c>
      <c r="R175" s="12" t="str">
        <f t="shared" si="2"/>
        <v/>
      </c>
    </row>
    <row r="176" ht="15.75" customHeight="1">
      <c r="A176" s="12"/>
      <c r="B176" s="13"/>
      <c r="C176" s="13"/>
      <c r="D176" s="12"/>
      <c r="E176" s="12"/>
      <c r="F176" s="12"/>
      <c r="G176" s="12"/>
      <c r="H176" s="12"/>
      <c r="I176" s="12"/>
      <c r="J176" s="12"/>
      <c r="K176" s="12"/>
      <c r="L176" s="12"/>
      <c r="M176" s="12"/>
      <c r="N176" s="12"/>
      <c r="O176" s="12"/>
      <c r="P176" s="13"/>
      <c r="Q176" s="15" t="str">
        <f t="shared" si="1"/>
        <v/>
      </c>
      <c r="R176" s="12" t="str">
        <f t="shared" si="2"/>
        <v/>
      </c>
    </row>
    <row r="177" ht="15.75" customHeight="1">
      <c r="A177" s="12"/>
      <c r="B177" s="13"/>
      <c r="C177" s="13"/>
      <c r="D177" s="12"/>
      <c r="E177" s="12"/>
      <c r="F177" s="12"/>
      <c r="G177" s="12"/>
      <c r="H177" s="12"/>
      <c r="I177" s="12"/>
      <c r="J177" s="12"/>
      <c r="K177" s="12"/>
      <c r="L177" s="12"/>
      <c r="M177" s="12"/>
      <c r="N177" s="12"/>
      <c r="O177" s="12"/>
      <c r="P177" s="13"/>
      <c r="Q177" s="15" t="str">
        <f t="shared" si="1"/>
        <v/>
      </c>
      <c r="R177" s="12" t="str">
        <f t="shared" si="2"/>
        <v/>
      </c>
    </row>
    <row r="178" ht="15.75" customHeight="1">
      <c r="A178" s="12"/>
      <c r="B178" s="13"/>
      <c r="C178" s="13"/>
      <c r="D178" s="12"/>
      <c r="E178" s="12"/>
      <c r="F178" s="12"/>
      <c r="G178" s="12"/>
      <c r="H178" s="12"/>
      <c r="I178" s="12"/>
      <c r="J178" s="12"/>
      <c r="K178" s="12"/>
      <c r="L178" s="12"/>
      <c r="M178" s="12"/>
      <c r="N178" s="12"/>
      <c r="O178" s="12"/>
      <c r="P178" s="13"/>
      <c r="Q178" s="15" t="str">
        <f t="shared" si="1"/>
        <v/>
      </c>
      <c r="R178" s="12" t="str">
        <f t="shared" si="2"/>
        <v/>
      </c>
    </row>
    <row r="179" ht="15.75" customHeight="1">
      <c r="A179" s="12"/>
      <c r="B179" s="13"/>
      <c r="C179" s="13"/>
      <c r="D179" s="12"/>
      <c r="E179" s="12"/>
      <c r="F179" s="12"/>
      <c r="G179" s="12"/>
      <c r="H179" s="12"/>
      <c r="I179" s="12"/>
      <c r="J179" s="12"/>
      <c r="K179" s="12"/>
      <c r="L179" s="12"/>
      <c r="M179" s="12"/>
      <c r="N179" s="12"/>
      <c r="O179" s="12"/>
      <c r="P179" s="13"/>
      <c r="Q179" s="15" t="str">
        <f t="shared" si="1"/>
        <v/>
      </c>
      <c r="R179" s="12" t="str">
        <f t="shared" si="2"/>
        <v/>
      </c>
    </row>
    <row r="180" ht="15.75" customHeight="1">
      <c r="A180" s="12"/>
      <c r="B180" s="13"/>
      <c r="C180" s="13"/>
      <c r="D180" s="12"/>
      <c r="E180" s="12"/>
      <c r="F180" s="12"/>
      <c r="G180" s="12"/>
      <c r="H180" s="12"/>
      <c r="I180" s="12"/>
      <c r="J180" s="12"/>
      <c r="K180" s="12"/>
      <c r="L180" s="12"/>
      <c r="M180" s="12"/>
      <c r="N180" s="12"/>
      <c r="O180" s="12"/>
      <c r="P180" s="13"/>
      <c r="Q180" s="15" t="str">
        <f t="shared" si="1"/>
        <v/>
      </c>
      <c r="R180" s="12" t="str">
        <f t="shared" si="2"/>
        <v/>
      </c>
    </row>
    <row r="181" ht="15.75" customHeight="1">
      <c r="A181" s="12"/>
      <c r="B181" s="13"/>
      <c r="C181" s="13"/>
      <c r="D181" s="12"/>
      <c r="E181" s="12"/>
      <c r="F181" s="12"/>
      <c r="G181" s="12"/>
      <c r="H181" s="12"/>
      <c r="I181" s="12"/>
      <c r="J181" s="12"/>
      <c r="K181" s="12"/>
      <c r="L181" s="12"/>
      <c r="M181" s="12"/>
      <c r="N181" s="12"/>
      <c r="O181" s="12"/>
      <c r="P181" s="13"/>
      <c r="Q181" s="15" t="str">
        <f t="shared" si="1"/>
        <v/>
      </c>
      <c r="R181" s="12" t="str">
        <f t="shared" si="2"/>
        <v/>
      </c>
    </row>
    <row r="182" ht="15.75" customHeight="1">
      <c r="A182" s="12"/>
      <c r="B182" s="13"/>
      <c r="C182" s="13"/>
      <c r="D182" s="12"/>
      <c r="E182" s="12"/>
      <c r="F182" s="12"/>
      <c r="G182" s="12"/>
      <c r="H182" s="12"/>
      <c r="I182" s="12"/>
      <c r="J182" s="12"/>
      <c r="K182" s="12"/>
      <c r="L182" s="12"/>
      <c r="M182" s="12"/>
      <c r="N182" s="12"/>
      <c r="O182" s="12"/>
      <c r="P182" s="13"/>
      <c r="Q182" s="15" t="str">
        <f t="shared" si="1"/>
        <v/>
      </c>
      <c r="R182" s="12" t="str">
        <f t="shared" si="2"/>
        <v/>
      </c>
    </row>
    <row r="183" ht="15.75" customHeight="1">
      <c r="A183" s="12"/>
      <c r="B183" s="13"/>
      <c r="C183" s="13"/>
      <c r="D183" s="12"/>
      <c r="E183" s="12"/>
      <c r="F183" s="12"/>
      <c r="G183" s="12"/>
      <c r="H183" s="12"/>
      <c r="I183" s="12"/>
      <c r="J183" s="12"/>
      <c r="K183" s="12"/>
      <c r="L183" s="12"/>
      <c r="M183" s="12"/>
      <c r="N183" s="12"/>
      <c r="O183" s="12"/>
      <c r="P183" s="13"/>
      <c r="Q183" s="15" t="str">
        <f t="shared" si="1"/>
        <v/>
      </c>
      <c r="R183" s="12" t="str">
        <f t="shared" si="2"/>
        <v/>
      </c>
    </row>
    <row r="184" ht="15.75" customHeight="1">
      <c r="A184" s="12"/>
      <c r="B184" s="13"/>
      <c r="C184" s="13"/>
      <c r="D184" s="12"/>
      <c r="E184" s="12"/>
      <c r="F184" s="12"/>
      <c r="G184" s="12"/>
      <c r="H184" s="12"/>
      <c r="I184" s="12"/>
      <c r="J184" s="12"/>
      <c r="K184" s="12"/>
      <c r="L184" s="12"/>
      <c r="M184" s="12"/>
      <c r="N184" s="12"/>
      <c r="O184" s="12"/>
      <c r="P184" s="13"/>
      <c r="Q184" s="15" t="str">
        <f t="shared" si="1"/>
        <v/>
      </c>
      <c r="R184" s="12" t="str">
        <f t="shared" si="2"/>
        <v/>
      </c>
    </row>
    <row r="185" ht="15.75" customHeight="1">
      <c r="A185" s="12"/>
      <c r="B185" s="13"/>
      <c r="C185" s="13"/>
      <c r="D185" s="12"/>
      <c r="E185" s="12"/>
      <c r="F185" s="12"/>
      <c r="G185" s="12"/>
      <c r="H185" s="12"/>
      <c r="I185" s="12"/>
      <c r="J185" s="12"/>
      <c r="K185" s="12"/>
      <c r="L185" s="12"/>
      <c r="M185" s="12"/>
      <c r="N185" s="12"/>
      <c r="O185" s="12"/>
      <c r="P185" s="13"/>
      <c r="Q185" s="15" t="str">
        <f t="shared" si="1"/>
        <v/>
      </c>
      <c r="R185" s="12" t="str">
        <f t="shared" si="2"/>
        <v/>
      </c>
    </row>
    <row r="186" ht="15.75" customHeight="1">
      <c r="A186" s="12"/>
      <c r="B186" s="13"/>
      <c r="C186" s="13"/>
      <c r="D186" s="12"/>
      <c r="E186" s="12"/>
      <c r="F186" s="12"/>
      <c r="G186" s="12"/>
      <c r="H186" s="12"/>
      <c r="I186" s="12"/>
      <c r="J186" s="12"/>
      <c r="K186" s="12"/>
      <c r="L186" s="12"/>
      <c r="M186" s="12"/>
      <c r="N186" s="12"/>
      <c r="O186" s="12"/>
      <c r="P186" s="13"/>
      <c r="Q186" s="15" t="str">
        <f t="shared" si="1"/>
        <v/>
      </c>
      <c r="R186" s="12" t="str">
        <f t="shared" si="2"/>
        <v/>
      </c>
    </row>
    <row r="187" ht="15.75" customHeight="1">
      <c r="A187" s="12"/>
      <c r="B187" s="13"/>
      <c r="C187" s="13"/>
      <c r="D187" s="12"/>
      <c r="E187" s="12"/>
      <c r="F187" s="12"/>
      <c r="G187" s="12"/>
      <c r="H187" s="12"/>
      <c r="I187" s="12"/>
      <c r="J187" s="12"/>
      <c r="K187" s="12"/>
      <c r="L187" s="12"/>
      <c r="M187" s="12"/>
      <c r="N187" s="12"/>
      <c r="O187" s="12"/>
      <c r="P187" s="13"/>
      <c r="Q187" s="15" t="str">
        <f t="shared" si="1"/>
        <v/>
      </c>
      <c r="R187" s="12" t="str">
        <f t="shared" si="2"/>
        <v/>
      </c>
    </row>
    <row r="188" ht="15.75" customHeight="1">
      <c r="A188" s="12"/>
      <c r="B188" s="13"/>
      <c r="C188" s="13"/>
      <c r="D188" s="12"/>
      <c r="E188" s="12"/>
      <c r="F188" s="12"/>
      <c r="G188" s="12"/>
      <c r="H188" s="12"/>
      <c r="I188" s="12"/>
      <c r="J188" s="12"/>
      <c r="K188" s="12"/>
      <c r="L188" s="12"/>
      <c r="M188" s="12"/>
      <c r="N188" s="12"/>
      <c r="O188" s="12"/>
      <c r="P188" s="13"/>
      <c r="Q188" s="15" t="str">
        <f t="shared" si="1"/>
        <v/>
      </c>
      <c r="R188" s="12" t="str">
        <f t="shared" si="2"/>
        <v/>
      </c>
    </row>
    <row r="189" ht="15.75" customHeight="1">
      <c r="A189" s="12"/>
      <c r="B189" s="13"/>
      <c r="C189" s="13"/>
      <c r="D189" s="12"/>
      <c r="E189" s="12"/>
      <c r="F189" s="12"/>
      <c r="G189" s="12"/>
      <c r="H189" s="12"/>
      <c r="I189" s="12"/>
      <c r="J189" s="12"/>
      <c r="K189" s="12"/>
      <c r="L189" s="12"/>
      <c r="M189" s="12"/>
      <c r="N189" s="12"/>
      <c r="O189" s="12"/>
      <c r="P189" s="13"/>
      <c r="Q189" s="15" t="str">
        <f t="shared" si="1"/>
        <v/>
      </c>
      <c r="R189" s="12" t="str">
        <f t="shared" si="2"/>
        <v/>
      </c>
    </row>
    <row r="190" ht="15.75" customHeight="1">
      <c r="A190" s="12"/>
      <c r="B190" s="13"/>
      <c r="C190" s="13"/>
      <c r="D190" s="12"/>
      <c r="E190" s="12"/>
      <c r="F190" s="12"/>
      <c r="G190" s="12"/>
      <c r="H190" s="12"/>
      <c r="I190" s="12"/>
      <c r="J190" s="12"/>
      <c r="K190" s="12"/>
      <c r="L190" s="12"/>
      <c r="M190" s="12"/>
      <c r="N190" s="12"/>
      <c r="O190" s="12"/>
      <c r="P190" s="13"/>
      <c r="Q190" s="15" t="str">
        <f t="shared" si="1"/>
        <v/>
      </c>
      <c r="R190" s="12" t="str">
        <f t="shared" si="2"/>
        <v/>
      </c>
    </row>
    <row r="191" ht="15.75" customHeight="1">
      <c r="A191" s="12"/>
      <c r="B191" s="13"/>
      <c r="C191" s="13"/>
      <c r="D191" s="12"/>
      <c r="E191" s="12"/>
      <c r="F191" s="12"/>
      <c r="G191" s="12"/>
      <c r="H191" s="12"/>
      <c r="I191" s="12"/>
      <c r="J191" s="12"/>
      <c r="K191" s="12"/>
      <c r="L191" s="12"/>
      <c r="M191" s="12"/>
      <c r="N191" s="12"/>
      <c r="O191" s="12"/>
      <c r="P191" s="13"/>
      <c r="Q191" s="15" t="str">
        <f t="shared" si="1"/>
        <v/>
      </c>
      <c r="R191" s="12" t="str">
        <f t="shared" si="2"/>
        <v/>
      </c>
    </row>
    <row r="192" ht="15.75" customHeight="1">
      <c r="A192" s="12"/>
      <c r="B192" s="13"/>
      <c r="C192" s="13"/>
      <c r="D192" s="12"/>
      <c r="E192" s="12"/>
      <c r="F192" s="12"/>
      <c r="G192" s="12"/>
      <c r="H192" s="12"/>
      <c r="I192" s="12"/>
      <c r="J192" s="12"/>
      <c r="K192" s="12"/>
      <c r="L192" s="12"/>
      <c r="M192" s="12"/>
      <c r="N192" s="12"/>
      <c r="O192" s="12"/>
      <c r="P192" s="13"/>
      <c r="Q192" s="15" t="str">
        <f t="shared" si="1"/>
        <v/>
      </c>
      <c r="R192" s="12" t="str">
        <f t="shared" si="2"/>
        <v/>
      </c>
    </row>
    <row r="193" ht="15.75" customHeight="1">
      <c r="A193" s="12"/>
      <c r="B193" s="13"/>
      <c r="C193" s="13"/>
      <c r="D193" s="12"/>
      <c r="E193" s="12"/>
      <c r="F193" s="12"/>
      <c r="G193" s="12"/>
      <c r="H193" s="12"/>
      <c r="I193" s="12"/>
      <c r="J193" s="12"/>
      <c r="K193" s="12"/>
      <c r="L193" s="12"/>
      <c r="M193" s="12"/>
      <c r="N193" s="12"/>
      <c r="O193" s="12"/>
      <c r="P193" s="13"/>
      <c r="Q193" s="15" t="str">
        <f t="shared" si="1"/>
        <v/>
      </c>
      <c r="R193" s="12" t="str">
        <f t="shared" si="2"/>
        <v/>
      </c>
    </row>
    <row r="194" ht="15.75" customHeight="1">
      <c r="A194" s="12"/>
      <c r="B194" s="13"/>
      <c r="C194" s="13"/>
      <c r="D194" s="12"/>
      <c r="E194" s="12"/>
      <c r="F194" s="12"/>
      <c r="G194" s="12"/>
      <c r="H194" s="12"/>
      <c r="I194" s="12"/>
      <c r="J194" s="12"/>
      <c r="K194" s="12"/>
      <c r="L194" s="12"/>
      <c r="M194" s="12"/>
      <c r="N194" s="12"/>
      <c r="O194" s="12"/>
      <c r="P194" s="13"/>
      <c r="Q194" s="15" t="str">
        <f t="shared" si="1"/>
        <v/>
      </c>
      <c r="R194" s="12" t="str">
        <f t="shared" si="2"/>
        <v/>
      </c>
    </row>
    <row r="195" ht="15.75" customHeight="1">
      <c r="A195" s="12"/>
      <c r="B195" s="13"/>
      <c r="C195" s="13"/>
      <c r="D195" s="12"/>
      <c r="E195" s="12"/>
      <c r="F195" s="12"/>
      <c r="G195" s="12"/>
      <c r="H195" s="12"/>
      <c r="I195" s="12"/>
      <c r="J195" s="12"/>
      <c r="K195" s="12"/>
      <c r="L195" s="12"/>
      <c r="M195" s="12"/>
      <c r="N195" s="12"/>
      <c r="O195" s="12"/>
      <c r="P195" s="13"/>
      <c r="Q195" s="15" t="str">
        <f t="shared" si="1"/>
        <v/>
      </c>
      <c r="R195" s="12" t="str">
        <f t="shared" si="2"/>
        <v/>
      </c>
    </row>
    <row r="196" ht="15.75" customHeight="1">
      <c r="A196" s="12"/>
      <c r="B196" s="13"/>
      <c r="C196" s="13"/>
      <c r="D196" s="12"/>
      <c r="E196" s="12"/>
      <c r="F196" s="12"/>
      <c r="G196" s="12"/>
      <c r="H196" s="12"/>
      <c r="I196" s="12"/>
      <c r="J196" s="12"/>
      <c r="K196" s="12"/>
      <c r="L196" s="12"/>
      <c r="M196" s="12"/>
      <c r="N196" s="12"/>
      <c r="O196" s="12"/>
      <c r="P196" s="13"/>
      <c r="Q196" s="15" t="str">
        <f t="shared" si="1"/>
        <v/>
      </c>
      <c r="R196" s="12" t="str">
        <f t="shared" si="2"/>
        <v/>
      </c>
    </row>
    <row r="197" ht="15.75" customHeight="1">
      <c r="A197" s="12"/>
      <c r="B197" s="13"/>
      <c r="C197" s="13"/>
      <c r="D197" s="12"/>
      <c r="E197" s="12"/>
      <c r="F197" s="12"/>
      <c r="G197" s="12"/>
      <c r="H197" s="12"/>
      <c r="I197" s="12"/>
      <c r="J197" s="12"/>
      <c r="K197" s="12"/>
      <c r="L197" s="12"/>
      <c r="M197" s="12"/>
      <c r="N197" s="12"/>
      <c r="O197" s="12"/>
      <c r="P197" s="13"/>
      <c r="Q197" s="15" t="str">
        <f t="shared" si="1"/>
        <v/>
      </c>
      <c r="R197" s="12" t="str">
        <f t="shared" si="2"/>
        <v/>
      </c>
    </row>
    <row r="198" ht="15.75" customHeight="1">
      <c r="A198" s="12"/>
      <c r="B198" s="13"/>
      <c r="C198" s="13"/>
      <c r="D198" s="12"/>
      <c r="E198" s="12"/>
      <c r="F198" s="12"/>
      <c r="G198" s="12"/>
      <c r="H198" s="12"/>
      <c r="I198" s="12"/>
      <c r="J198" s="12"/>
      <c r="K198" s="12"/>
      <c r="L198" s="12"/>
      <c r="M198" s="12"/>
      <c r="N198" s="12"/>
      <c r="O198" s="12"/>
      <c r="P198" s="13"/>
      <c r="Q198" s="15" t="str">
        <f t="shared" si="1"/>
        <v/>
      </c>
      <c r="R198" s="12" t="str">
        <f t="shared" si="2"/>
        <v/>
      </c>
    </row>
    <row r="199" ht="15.75" customHeight="1">
      <c r="A199" s="12"/>
      <c r="B199" s="13"/>
      <c r="C199" s="13"/>
      <c r="D199" s="12"/>
      <c r="E199" s="12"/>
      <c r="F199" s="12"/>
      <c r="G199" s="12"/>
      <c r="H199" s="12"/>
      <c r="I199" s="12"/>
      <c r="J199" s="12"/>
      <c r="K199" s="12"/>
      <c r="L199" s="12"/>
      <c r="M199" s="12"/>
      <c r="N199" s="12"/>
      <c r="O199" s="12"/>
      <c r="P199" s="13"/>
      <c r="Q199" s="15" t="str">
        <f t="shared" si="1"/>
        <v/>
      </c>
      <c r="R199" s="12" t="str">
        <f t="shared" si="2"/>
        <v/>
      </c>
    </row>
    <row r="200" ht="15.75" customHeight="1">
      <c r="A200" s="12"/>
      <c r="B200" s="13"/>
      <c r="C200" s="13"/>
      <c r="D200" s="12"/>
      <c r="E200" s="12"/>
      <c r="F200" s="12"/>
      <c r="G200" s="12"/>
      <c r="H200" s="12"/>
      <c r="I200" s="12"/>
      <c r="J200" s="12"/>
      <c r="K200" s="12"/>
      <c r="L200" s="12"/>
      <c r="M200" s="12"/>
      <c r="N200" s="12"/>
      <c r="O200" s="12"/>
      <c r="P200" s="13"/>
      <c r="Q200" s="15" t="str">
        <f t="shared" si="1"/>
        <v/>
      </c>
      <c r="R200" s="12" t="str">
        <f t="shared" si="2"/>
        <v/>
      </c>
    </row>
    <row r="201" ht="15.75" customHeight="1">
      <c r="A201" s="12"/>
      <c r="B201" s="13"/>
      <c r="C201" s="13"/>
      <c r="D201" s="12"/>
      <c r="E201" s="12"/>
      <c r="F201" s="12"/>
      <c r="G201" s="12"/>
      <c r="H201" s="12"/>
      <c r="I201" s="12"/>
      <c r="J201" s="12"/>
      <c r="K201" s="12"/>
      <c r="L201" s="12"/>
      <c r="M201" s="12"/>
      <c r="N201" s="12"/>
      <c r="O201" s="12"/>
      <c r="P201" s="13"/>
      <c r="Q201" s="15" t="str">
        <f t="shared" si="1"/>
        <v/>
      </c>
      <c r="R201" s="12" t="str">
        <f t="shared" si="2"/>
        <v/>
      </c>
    </row>
    <row r="202" ht="15.75" customHeight="1">
      <c r="A202" s="12"/>
      <c r="B202" s="13"/>
      <c r="C202" s="13"/>
      <c r="D202" s="12"/>
      <c r="E202" s="12"/>
      <c r="F202" s="12"/>
      <c r="G202" s="12"/>
      <c r="H202" s="12"/>
      <c r="I202" s="12"/>
      <c r="J202" s="12"/>
      <c r="K202" s="12"/>
      <c r="L202" s="12"/>
      <c r="M202" s="12"/>
      <c r="N202" s="12"/>
      <c r="O202" s="12"/>
      <c r="P202" s="13"/>
      <c r="Q202" s="15" t="str">
        <f t="shared" si="1"/>
        <v/>
      </c>
      <c r="R202" s="12" t="str">
        <f t="shared" si="2"/>
        <v/>
      </c>
    </row>
    <row r="203" ht="15.75" customHeight="1">
      <c r="A203" s="12"/>
      <c r="B203" s="13"/>
      <c r="C203" s="13"/>
      <c r="D203" s="12"/>
      <c r="E203" s="12"/>
      <c r="F203" s="12"/>
      <c r="G203" s="12"/>
      <c r="H203" s="12"/>
      <c r="I203" s="12"/>
      <c r="J203" s="12"/>
      <c r="K203" s="12"/>
      <c r="L203" s="12"/>
      <c r="M203" s="12"/>
      <c r="N203" s="12"/>
      <c r="O203" s="12"/>
      <c r="P203" s="13"/>
      <c r="Q203" s="15" t="str">
        <f t="shared" si="1"/>
        <v/>
      </c>
      <c r="R203" s="12" t="str">
        <f t="shared" si="2"/>
        <v/>
      </c>
    </row>
    <row r="204" ht="15.75" customHeight="1">
      <c r="A204" s="12"/>
      <c r="B204" s="13"/>
      <c r="C204" s="13"/>
      <c r="D204" s="12"/>
      <c r="E204" s="12"/>
      <c r="F204" s="12"/>
      <c r="G204" s="12"/>
      <c r="H204" s="12"/>
      <c r="I204" s="12"/>
      <c r="J204" s="12"/>
      <c r="K204" s="12"/>
      <c r="L204" s="12"/>
      <c r="M204" s="12"/>
      <c r="N204" s="12"/>
      <c r="O204" s="12"/>
      <c r="P204" s="13"/>
      <c r="Q204" s="15" t="str">
        <f t="shared" si="1"/>
        <v/>
      </c>
      <c r="R204" s="12" t="str">
        <f t="shared" si="2"/>
        <v/>
      </c>
    </row>
    <row r="205" ht="15.75" customHeight="1">
      <c r="A205" s="12"/>
      <c r="B205" s="13"/>
      <c r="C205" s="13"/>
      <c r="D205" s="12"/>
      <c r="E205" s="12"/>
      <c r="F205" s="12"/>
      <c r="G205" s="12"/>
      <c r="H205" s="12"/>
      <c r="I205" s="12"/>
      <c r="J205" s="12"/>
      <c r="K205" s="12"/>
      <c r="L205" s="12"/>
      <c r="M205" s="12"/>
      <c r="N205" s="12"/>
      <c r="O205" s="12"/>
      <c r="P205" s="13"/>
      <c r="Q205" s="15" t="str">
        <f t="shared" si="1"/>
        <v/>
      </c>
      <c r="R205" s="12" t="str">
        <f t="shared" si="2"/>
        <v/>
      </c>
    </row>
    <row r="206" ht="15.75" customHeight="1">
      <c r="A206" s="12"/>
      <c r="B206" s="13"/>
      <c r="C206" s="13"/>
      <c r="D206" s="12"/>
      <c r="E206" s="12"/>
      <c r="F206" s="12"/>
      <c r="G206" s="12"/>
      <c r="H206" s="12"/>
      <c r="I206" s="12"/>
      <c r="J206" s="12"/>
      <c r="K206" s="12"/>
      <c r="L206" s="12"/>
      <c r="M206" s="12"/>
      <c r="N206" s="12"/>
      <c r="O206" s="12"/>
      <c r="P206" s="13"/>
      <c r="Q206" s="15" t="str">
        <f t="shared" si="1"/>
        <v/>
      </c>
      <c r="R206" s="12" t="str">
        <f t="shared" si="2"/>
        <v/>
      </c>
    </row>
    <row r="207" ht="15.75" customHeight="1">
      <c r="A207" s="12"/>
      <c r="B207" s="13"/>
      <c r="C207" s="13"/>
      <c r="D207" s="12"/>
      <c r="E207" s="12"/>
      <c r="F207" s="12"/>
      <c r="G207" s="12"/>
      <c r="H207" s="12"/>
      <c r="I207" s="12"/>
      <c r="J207" s="12"/>
      <c r="K207" s="12"/>
      <c r="L207" s="12"/>
      <c r="M207" s="12"/>
      <c r="N207" s="12"/>
      <c r="O207" s="12"/>
      <c r="P207" s="13"/>
      <c r="Q207" s="15" t="str">
        <f t="shared" si="1"/>
        <v/>
      </c>
      <c r="R207" s="12" t="str">
        <f t="shared" si="2"/>
        <v/>
      </c>
    </row>
    <row r="208" ht="15.75" customHeight="1">
      <c r="A208" s="12"/>
      <c r="B208" s="13"/>
      <c r="C208" s="13"/>
      <c r="D208" s="12"/>
      <c r="E208" s="12"/>
      <c r="F208" s="12"/>
      <c r="G208" s="12"/>
      <c r="H208" s="12"/>
      <c r="I208" s="12"/>
      <c r="J208" s="12"/>
      <c r="K208" s="12"/>
      <c r="L208" s="12"/>
      <c r="M208" s="12"/>
      <c r="N208" s="12"/>
      <c r="O208" s="12"/>
      <c r="P208" s="13"/>
      <c r="Q208" s="15" t="str">
        <f t="shared" si="1"/>
        <v/>
      </c>
      <c r="R208" s="12" t="str">
        <f t="shared" si="2"/>
        <v/>
      </c>
    </row>
    <row r="209" ht="15.75" customHeight="1">
      <c r="A209" s="12"/>
      <c r="B209" s="13"/>
      <c r="C209" s="13"/>
      <c r="D209" s="12"/>
      <c r="E209" s="12"/>
      <c r="F209" s="12"/>
      <c r="G209" s="12"/>
      <c r="H209" s="12"/>
      <c r="I209" s="12"/>
      <c r="J209" s="12"/>
      <c r="K209" s="12"/>
      <c r="L209" s="12"/>
      <c r="M209" s="12"/>
      <c r="N209" s="12"/>
      <c r="O209" s="12"/>
      <c r="P209" s="13"/>
      <c r="Q209" s="15" t="str">
        <f t="shared" si="1"/>
        <v/>
      </c>
      <c r="R209" s="12" t="str">
        <f t="shared" si="2"/>
        <v/>
      </c>
    </row>
    <row r="210" ht="15.75" customHeight="1">
      <c r="A210" s="12"/>
      <c r="B210" s="13"/>
      <c r="C210" s="13"/>
      <c r="D210" s="12"/>
      <c r="E210" s="12"/>
      <c r="F210" s="12"/>
      <c r="G210" s="12"/>
      <c r="H210" s="12"/>
      <c r="I210" s="12"/>
      <c r="J210" s="12"/>
      <c r="K210" s="12"/>
      <c r="L210" s="12"/>
      <c r="M210" s="12"/>
      <c r="N210" s="12"/>
      <c r="O210" s="12"/>
      <c r="P210" s="13"/>
      <c r="Q210" s="15" t="str">
        <f t="shared" si="1"/>
        <v/>
      </c>
      <c r="R210" s="12" t="str">
        <f t="shared" si="2"/>
        <v/>
      </c>
    </row>
    <row r="211" ht="15.75" customHeight="1">
      <c r="A211" s="12"/>
      <c r="B211" s="13"/>
      <c r="C211" s="13"/>
      <c r="D211" s="12"/>
      <c r="E211" s="12"/>
      <c r="F211" s="12"/>
      <c r="G211" s="12"/>
      <c r="H211" s="12"/>
      <c r="I211" s="12"/>
      <c r="J211" s="12"/>
      <c r="K211" s="12"/>
      <c r="L211" s="12"/>
      <c r="M211" s="12"/>
      <c r="N211" s="12"/>
      <c r="O211" s="12"/>
      <c r="P211" s="13"/>
      <c r="Q211" s="15" t="str">
        <f t="shared" si="1"/>
        <v/>
      </c>
      <c r="R211" s="12" t="str">
        <f t="shared" si="2"/>
        <v/>
      </c>
    </row>
    <row r="212" ht="15.75" customHeight="1">
      <c r="A212" s="12"/>
      <c r="B212" s="13"/>
      <c r="C212" s="13"/>
      <c r="D212" s="12"/>
      <c r="E212" s="12"/>
      <c r="F212" s="12"/>
      <c r="G212" s="12"/>
      <c r="H212" s="12"/>
      <c r="I212" s="12"/>
      <c r="J212" s="12"/>
      <c r="K212" s="12"/>
      <c r="L212" s="12"/>
      <c r="M212" s="12"/>
      <c r="N212" s="12"/>
      <c r="O212" s="12"/>
      <c r="P212" s="13"/>
      <c r="Q212" s="15" t="str">
        <f t="shared" si="1"/>
        <v/>
      </c>
      <c r="R212" s="12" t="str">
        <f t="shared" si="2"/>
        <v/>
      </c>
    </row>
    <row r="213" ht="15.75" customHeight="1">
      <c r="A213" s="12"/>
      <c r="B213" s="13"/>
      <c r="C213" s="13"/>
      <c r="D213" s="12"/>
      <c r="E213" s="12"/>
      <c r="F213" s="12"/>
      <c r="G213" s="12"/>
      <c r="H213" s="12"/>
      <c r="I213" s="12"/>
      <c r="J213" s="12"/>
      <c r="K213" s="12"/>
      <c r="L213" s="12"/>
      <c r="M213" s="12"/>
      <c r="N213" s="12"/>
      <c r="O213" s="12"/>
      <c r="P213" s="13"/>
      <c r="Q213" s="15" t="str">
        <f t="shared" si="1"/>
        <v/>
      </c>
      <c r="R213" s="12" t="str">
        <f t="shared" si="2"/>
        <v/>
      </c>
    </row>
    <row r="214" ht="15.75" customHeight="1">
      <c r="A214" s="12"/>
      <c r="B214" s="13"/>
      <c r="C214" s="13"/>
      <c r="D214" s="12"/>
      <c r="E214" s="12"/>
      <c r="F214" s="12"/>
      <c r="G214" s="12"/>
      <c r="H214" s="12"/>
      <c r="I214" s="12"/>
      <c r="J214" s="12"/>
      <c r="K214" s="12"/>
      <c r="L214" s="12"/>
      <c r="M214" s="12"/>
      <c r="N214" s="12"/>
      <c r="O214" s="12"/>
      <c r="P214" s="13"/>
      <c r="Q214" s="15" t="str">
        <f t="shared" si="1"/>
        <v/>
      </c>
      <c r="R214" s="12" t="str">
        <f t="shared" si="2"/>
        <v/>
      </c>
    </row>
    <row r="215" ht="15.75" customHeight="1">
      <c r="A215" s="12"/>
      <c r="B215" s="13"/>
      <c r="C215" s="13"/>
      <c r="D215" s="12"/>
      <c r="E215" s="12"/>
      <c r="F215" s="12"/>
      <c r="G215" s="12"/>
      <c r="H215" s="12"/>
      <c r="I215" s="12"/>
      <c r="J215" s="12"/>
      <c r="K215" s="12"/>
      <c r="L215" s="12"/>
      <c r="M215" s="12"/>
      <c r="N215" s="12"/>
      <c r="O215" s="12"/>
      <c r="P215" s="13"/>
      <c r="Q215" s="15" t="str">
        <f t="shared" si="1"/>
        <v/>
      </c>
      <c r="R215" s="12" t="str">
        <f t="shared" si="2"/>
        <v/>
      </c>
    </row>
    <row r="216" ht="15.75" customHeight="1">
      <c r="A216" s="12"/>
      <c r="B216" s="13"/>
      <c r="C216" s="13"/>
      <c r="D216" s="12"/>
      <c r="E216" s="12"/>
      <c r="F216" s="12"/>
      <c r="G216" s="12"/>
      <c r="H216" s="12"/>
      <c r="I216" s="12"/>
      <c r="J216" s="12"/>
      <c r="K216" s="12"/>
      <c r="L216" s="12"/>
      <c r="M216" s="12"/>
      <c r="N216" s="12"/>
      <c r="O216" s="12"/>
      <c r="P216" s="13"/>
      <c r="Q216" s="15" t="str">
        <f t="shared" si="1"/>
        <v/>
      </c>
      <c r="R216" s="12" t="str">
        <f t="shared" si="2"/>
        <v/>
      </c>
    </row>
    <row r="217" ht="15.75" customHeight="1">
      <c r="A217" s="12"/>
      <c r="B217" s="13"/>
      <c r="C217" s="13"/>
      <c r="D217" s="12"/>
      <c r="E217" s="12"/>
      <c r="F217" s="12"/>
      <c r="G217" s="12"/>
      <c r="H217" s="12"/>
      <c r="I217" s="12"/>
      <c r="J217" s="12"/>
      <c r="K217" s="12"/>
      <c r="L217" s="12"/>
      <c r="M217" s="12"/>
      <c r="N217" s="12"/>
      <c r="O217" s="12"/>
      <c r="P217" s="13"/>
      <c r="Q217" s="15" t="str">
        <f t="shared" si="1"/>
        <v/>
      </c>
      <c r="R217" s="12" t="str">
        <f t="shared" si="2"/>
        <v/>
      </c>
    </row>
    <row r="218" ht="15.75" customHeight="1">
      <c r="A218" s="12"/>
      <c r="B218" s="13"/>
      <c r="C218" s="13"/>
      <c r="D218" s="12"/>
      <c r="E218" s="12"/>
      <c r="F218" s="12"/>
      <c r="G218" s="12"/>
      <c r="H218" s="12"/>
      <c r="I218" s="12"/>
      <c r="J218" s="12"/>
      <c r="K218" s="12"/>
      <c r="L218" s="12"/>
      <c r="M218" s="12"/>
      <c r="N218" s="12"/>
      <c r="O218" s="12"/>
      <c r="P218" s="13"/>
      <c r="Q218" s="15" t="str">
        <f t="shared" si="1"/>
        <v/>
      </c>
      <c r="R218" s="12" t="str">
        <f t="shared" si="2"/>
        <v/>
      </c>
    </row>
    <row r="219" ht="15.75" customHeight="1">
      <c r="A219" s="12"/>
      <c r="B219" s="13"/>
      <c r="C219" s="13"/>
      <c r="D219" s="12"/>
      <c r="E219" s="12"/>
      <c r="F219" s="12"/>
      <c r="G219" s="12"/>
      <c r="H219" s="12"/>
      <c r="I219" s="12"/>
      <c r="J219" s="12"/>
      <c r="K219" s="12"/>
      <c r="L219" s="12"/>
      <c r="M219" s="12"/>
      <c r="N219" s="12"/>
      <c r="O219" s="12"/>
      <c r="P219" s="13"/>
      <c r="Q219" s="15" t="str">
        <f t="shared" si="1"/>
        <v/>
      </c>
      <c r="R219" s="12" t="str">
        <f t="shared" si="2"/>
        <v/>
      </c>
    </row>
    <row r="220" ht="15.75" customHeight="1">
      <c r="A220" s="12"/>
      <c r="B220" s="13"/>
      <c r="C220" s="13"/>
      <c r="D220" s="12"/>
      <c r="E220" s="12"/>
      <c r="F220" s="12"/>
      <c r="G220" s="12"/>
      <c r="H220" s="12"/>
      <c r="I220" s="12"/>
      <c r="J220" s="12"/>
      <c r="K220" s="12"/>
      <c r="L220" s="12"/>
      <c r="M220" s="12"/>
      <c r="N220" s="12"/>
      <c r="O220" s="12"/>
      <c r="P220" s="13"/>
      <c r="Q220" s="15" t="str">
        <f t="shared" si="1"/>
        <v/>
      </c>
      <c r="R220" s="12" t="str">
        <f t="shared" si="2"/>
        <v/>
      </c>
    </row>
    <row r="221" ht="15.75" customHeight="1">
      <c r="A221" s="12"/>
      <c r="B221" s="13"/>
      <c r="C221" s="13"/>
      <c r="D221" s="12"/>
      <c r="E221" s="12"/>
      <c r="F221" s="12"/>
      <c r="G221" s="12"/>
      <c r="H221" s="12"/>
      <c r="I221" s="12"/>
      <c r="J221" s="12"/>
      <c r="K221" s="12"/>
      <c r="L221" s="12"/>
      <c r="M221" s="12"/>
      <c r="N221" s="12"/>
      <c r="O221" s="12"/>
      <c r="P221" s="13"/>
      <c r="Q221" s="15" t="str">
        <f t="shared" si="1"/>
        <v/>
      </c>
      <c r="R221" s="12" t="str">
        <f t="shared" si="2"/>
        <v/>
      </c>
    </row>
    <row r="222" ht="15.75" customHeight="1">
      <c r="A222" s="12"/>
      <c r="B222" s="13"/>
      <c r="C222" s="13"/>
      <c r="D222" s="12"/>
      <c r="E222" s="12"/>
      <c r="F222" s="12"/>
      <c r="G222" s="12"/>
      <c r="H222" s="12"/>
      <c r="I222" s="12"/>
      <c r="J222" s="12"/>
      <c r="K222" s="12"/>
      <c r="L222" s="12"/>
      <c r="M222" s="12"/>
      <c r="N222" s="12"/>
      <c r="O222" s="12"/>
      <c r="P222" s="13"/>
      <c r="Q222" s="15" t="str">
        <f t="shared" si="1"/>
        <v/>
      </c>
      <c r="R222" s="12" t="str">
        <f t="shared" si="2"/>
        <v/>
      </c>
    </row>
    <row r="223" ht="15.75" customHeight="1">
      <c r="A223" s="12"/>
      <c r="B223" s="13"/>
      <c r="C223" s="13"/>
      <c r="D223" s="12"/>
      <c r="E223" s="12"/>
      <c r="F223" s="12"/>
      <c r="G223" s="12"/>
      <c r="H223" s="12"/>
      <c r="I223" s="12"/>
      <c r="J223" s="12"/>
      <c r="K223" s="12"/>
      <c r="L223" s="12"/>
      <c r="M223" s="12"/>
      <c r="N223" s="12"/>
      <c r="O223" s="12"/>
      <c r="P223" s="13"/>
      <c r="Q223" s="15" t="str">
        <f t="shared" si="1"/>
        <v/>
      </c>
      <c r="R223" s="12" t="str">
        <f t="shared" si="2"/>
        <v/>
      </c>
    </row>
    <row r="224" ht="15.75" customHeight="1">
      <c r="A224" s="12"/>
      <c r="B224" s="13"/>
      <c r="C224" s="13"/>
      <c r="D224" s="12"/>
      <c r="E224" s="12"/>
      <c r="F224" s="12"/>
      <c r="G224" s="12"/>
      <c r="H224" s="12"/>
      <c r="I224" s="12"/>
      <c r="J224" s="12"/>
      <c r="K224" s="12"/>
      <c r="L224" s="12"/>
      <c r="M224" s="12"/>
      <c r="N224" s="12"/>
      <c r="O224" s="12"/>
      <c r="P224" s="13"/>
      <c r="Q224" s="15" t="str">
        <f t="shared" si="1"/>
        <v/>
      </c>
      <c r="R224" s="12" t="str">
        <f t="shared" si="2"/>
        <v/>
      </c>
    </row>
    <row r="225" ht="15.75" customHeight="1">
      <c r="A225" s="12"/>
      <c r="B225" s="13"/>
      <c r="C225" s="13"/>
      <c r="D225" s="12"/>
      <c r="E225" s="12"/>
      <c r="F225" s="12"/>
      <c r="G225" s="12"/>
      <c r="H225" s="12"/>
      <c r="I225" s="12"/>
      <c r="J225" s="12"/>
      <c r="K225" s="12"/>
      <c r="L225" s="12"/>
      <c r="M225" s="12"/>
      <c r="N225" s="12"/>
      <c r="O225" s="12"/>
      <c r="P225" s="13"/>
      <c r="Q225" s="15" t="str">
        <f t="shared" si="1"/>
        <v/>
      </c>
      <c r="R225" s="12" t="str">
        <f t="shared" si="2"/>
        <v/>
      </c>
    </row>
    <row r="226" ht="15.75" customHeight="1">
      <c r="A226" s="12"/>
      <c r="B226" s="13"/>
      <c r="C226" s="13"/>
      <c r="D226" s="12"/>
      <c r="E226" s="12"/>
      <c r="F226" s="12"/>
      <c r="G226" s="12"/>
      <c r="H226" s="12"/>
      <c r="I226" s="12"/>
      <c r="J226" s="12"/>
      <c r="K226" s="12"/>
      <c r="L226" s="12"/>
      <c r="M226" s="12"/>
      <c r="N226" s="12"/>
      <c r="O226" s="12"/>
      <c r="P226" s="13"/>
      <c r="Q226" s="15" t="str">
        <f t="shared" si="1"/>
        <v/>
      </c>
      <c r="R226" s="12" t="str">
        <f t="shared" si="2"/>
        <v/>
      </c>
    </row>
    <row r="227" ht="15.75" customHeight="1">
      <c r="A227" s="12"/>
      <c r="B227" s="13"/>
      <c r="C227" s="13"/>
      <c r="D227" s="12"/>
      <c r="E227" s="12"/>
      <c r="F227" s="12"/>
      <c r="G227" s="12"/>
      <c r="H227" s="12"/>
      <c r="I227" s="12"/>
      <c r="J227" s="12"/>
      <c r="K227" s="12"/>
      <c r="L227" s="12"/>
      <c r="M227" s="12"/>
      <c r="N227" s="12"/>
      <c r="O227" s="12"/>
      <c r="P227" s="13"/>
      <c r="Q227" s="15" t="str">
        <f t="shared" si="1"/>
        <v/>
      </c>
      <c r="R227" s="12" t="str">
        <f t="shared" si="2"/>
        <v/>
      </c>
    </row>
    <row r="228" ht="15.75" customHeight="1">
      <c r="A228" s="12"/>
      <c r="B228" s="13"/>
      <c r="C228" s="13"/>
      <c r="D228" s="12"/>
      <c r="E228" s="12"/>
      <c r="F228" s="12"/>
      <c r="G228" s="12"/>
      <c r="H228" s="12"/>
      <c r="I228" s="12"/>
      <c r="J228" s="12"/>
      <c r="K228" s="12"/>
      <c r="L228" s="12"/>
      <c r="M228" s="12"/>
      <c r="N228" s="12"/>
      <c r="O228" s="12"/>
      <c r="P228" s="13"/>
      <c r="Q228" s="15" t="str">
        <f t="shared" si="1"/>
        <v/>
      </c>
      <c r="R228" s="12" t="str">
        <f t="shared" si="2"/>
        <v/>
      </c>
    </row>
    <row r="229" ht="15.75" customHeight="1">
      <c r="A229" s="12"/>
      <c r="B229" s="13"/>
      <c r="C229" s="13"/>
      <c r="D229" s="12"/>
      <c r="E229" s="12"/>
      <c r="F229" s="12"/>
      <c r="G229" s="12"/>
      <c r="H229" s="12"/>
      <c r="I229" s="12"/>
      <c r="J229" s="12"/>
      <c r="K229" s="12"/>
      <c r="L229" s="12"/>
      <c r="M229" s="12"/>
      <c r="N229" s="12"/>
      <c r="O229" s="12"/>
      <c r="P229" s="13"/>
      <c r="Q229" s="15" t="str">
        <f t="shared" si="1"/>
        <v/>
      </c>
      <c r="R229" s="12" t="str">
        <f t="shared" si="2"/>
        <v/>
      </c>
    </row>
    <row r="230" ht="15.75" customHeight="1">
      <c r="A230" s="12"/>
      <c r="B230" s="13"/>
      <c r="C230" s="13"/>
      <c r="D230" s="12"/>
      <c r="E230" s="12"/>
      <c r="F230" s="12"/>
      <c r="G230" s="12"/>
      <c r="H230" s="12"/>
      <c r="I230" s="12"/>
      <c r="J230" s="12"/>
      <c r="K230" s="12"/>
      <c r="L230" s="12"/>
      <c r="M230" s="12"/>
      <c r="N230" s="12"/>
      <c r="O230" s="12"/>
      <c r="P230" s="13"/>
      <c r="Q230" s="15" t="str">
        <f t="shared" si="1"/>
        <v/>
      </c>
      <c r="R230" s="12" t="str">
        <f t="shared" si="2"/>
        <v/>
      </c>
    </row>
    <row r="231" ht="15.75" customHeight="1">
      <c r="A231" s="12"/>
      <c r="B231" s="13"/>
      <c r="C231" s="13"/>
      <c r="D231" s="12"/>
      <c r="E231" s="12"/>
      <c r="F231" s="12"/>
      <c r="G231" s="12"/>
      <c r="H231" s="12"/>
      <c r="I231" s="12"/>
      <c r="J231" s="12"/>
      <c r="K231" s="12"/>
      <c r="L231" s="12"/>
      <c r="M231" s="12"/>
      <c r="N231" s="12"/>
      <c r="O231" s="12"/>
      <c r="P231" s="13"/>
      <c r="Q231" s="15" t="str">
        <f t="shared" si="1"/>
        <v/>
      </c>
      <c r="R231" s="12" t="str">
        <f t="shared" si="2"/>
        <v/>
      </c>
    </row>
    <row r="232" ht="15.75" customHeight="1">
      <c r="A232" s="12"/>
      <c r="B232" s="13"/>
      <c r="C232" s="13"/>
      <c r="D232" s="12"/>
      <c r="E232" s="12"/>
      <c r="F232" s="12"/>
      <c r="G232" s="12"/>
      <c r="H232" s="12"/>
      <c r="I232" s="12"/>
      <c r="J232" s="12"/>
      <c r="K232" s="12"/>
      <c r="L232" s="12"/>
      <c r="M232" s="12"/>
      <c r="N232" s="12"/>
      <c r="O232" s="12"/>
      <c r="P232" s="13"/>
      <c r="Q232" s="15" t="str">
        <f t="shared" si="1"/>
        <v/>
      </c>
      <c r="R232" s="12" t="str">
        <f t="shared" si="2"/>
        <v/>
      </c>
    </row>
    <row r="233" ht="15.75" customHeight="1">
      <c r="A233" s="12"/>
      <c r="B233" s="13"/>
      <c r="C233" s="13"/>
      <c r="D233" s="12"/>
      <c r="E233" s="12"/>
      <c r="F233" s="12"/>
      <c r="G233" s="12"/>
      <c r="H233" s="12"/>
      <c r="I233" s="12"/>
      <c r="J233" s="12"/>
      <c r="K233" s="12"/>
      <c r="L233" s="12"/>
      <c r="M233" s="12"/>
      <c r="N233" s="12"/>
      <c r="O233" s="12"/>
      <c r="P233" s="13"/>
      <c r="Q233" s="15" t="str">
        <f t="shared" si="1"/>
        <v/>
      </c>
      <c r="R233" s="12" t="str">
        <f t="shared" si="2"/>
        <v/>
      </c>
    </row>
    <row r="234" ht="15.75" customHeight="1">
      <c r="A234" s="12"/>
      <c r="B234" s="13"/>
      <c r="C234" s="13"/>
      <c r="D234" s="12"/>
      <c r="E234" s="12"/>
      <c r="F234" s="12"/>
      <c r="G234" s="12"/>
      <c r="H234" s="12"/>
      <c r="I234" s="12"/>
      <c r="J234" s="12"/>
      <c r="K234" s="12"/>
      <c r="L234" s="12"/>
      <c r="M234" s="12"/>
      <c r="N234" s="12"/>
      <c r="O234" s="12"/>
      <c r="P234" s="13"/>
      <c r="Q234" s="15" t="str">
        <f t="shared" si="1"/>
        <v/>
      </c>
      <c r="R234" s="12" t="str">
        <f t="shared" si="2"/>
        <v/>
      </c>
    </row>
    <row r="235" ht="15.75" customHeight="1">
      <c r="A235" s="12"/>
      <c r="B235" s="13"/>
      <c r="C235" s="13"/>
      <c r="D235" s="12"/>
      <c r="E235" s="12"/>
      <c r="F235" s="12"/>
      <c r="G235" s="12"/>
      <c r="H235" s="12"/>
      <c r="I235" s="12"/>
      <c r="J235" s="12"/>
      <c r="K235" s="12"/>
      <c r="L235" s="12"/>
      <c r="M235" s="12"/>
      <c r="N235" s="12"/>
      <c r="O235" s="12"/>
      <c r="P235" s="13"/>
      <c r="Q235" s="15" t="str">
        <f t="shared" si="1"/>
        <v/>
      </c>
      <c r="R235" s="12" t="str">
        <f t="shared" si="2"/>
        <v/>
      </c>
    </row>
    <row r="236" ht="15.75" customHeight="1">
      <c r="A236" s="12"/>
      <c r="B236" s="13"/>
      <c r="C236" s="13"/>
      <c r="D236" s="12"/>
      <c r="E236" s="12"/>
      <c r="F236" s="12"/>
      <c r="G236" s="12"/>
      <c r="H236" s="12"/>
      <c r="I236" s="12"/>
      <c r="J236" s="12"/>
      <c r="K236" s="12"/>
      <c r="L236" s="12"/>
      <c r="M236" s="12"/>
      <c r="N236" s="12"/>
      <c r="O236" s="12"/>
      <c r="P236" s="13"/>
      <c r="Q236" s="15" t="str">
        <f t="shared" si="1"/>
        <v/>
      </c>
      <c r="R236" s="12" t="str">
        <f t="shared" si="2"/>
        <v/>
      </c>
    </row>
    <row r="237" ht="15.75" customHeight="1">
      <c r="A237" s="12"/>
      <c r="B237" s="13"/>
      <c r="C237" s="13"/>
      <c r="D237" s="12"/>
      <c r="E237" s="12"/>
      <c r="F237" s="12"/>
      <c r="G237" s="12"/>
      <c r="H237" s="12"/>
      <c r="I237" s="12"/>
      <c r="J237" s="12"/>
      <c r="K237" s="12"/>
      <c r="L237" s="12"/>
      <c r="M237" s="12"/>
      <c r="N237" s="12"/>
      <c r="O237" s="12"/>
      <c r="P237" s="13"/>
      <c r="Q237" s="15" t="str">
        <f t="shared" si="1"/>
        <v/>
      </c>
      <c r="R237" s="12" t="str">
        <f t="shared" si="2"/>
        <v/>
      </c>
    </row>
    <row r="238" ht="15.75" customHeight="1">
      <c r="A238" s="12"/>
      <c r="B238" s="13"/>
      <c r="C238" s="13"/>
      <c r="D238" s="12"/>
      <c r="E238" s="12"/>
      <c r="F238" s="12"/>
      <c r="G238" s="12"/>
      <c r="H238" s="12"/>
      <c r="I238" s="12"/>
      <c r="J238" s="12"/>
      <c r="K238" s="12"/>
      <c r="L238" s="12"/>
      <c r="M238" s="12"/>
      <c r="N238" s="12"/>
      <c r="O238" s="12"/>
      <c r="P238" s="13"/>
      <c r="Q238" s="15" t="str">
        <f t="shared" si="1"/>
        <v/>
      </c>
      <c r="R238" s="12" t="str">
        <f t="shared" si="2"/>
        <v/>
      </c>
    </row>
    <row r="239" ht="15.75" customHeight="1">
      <c r="A239" s="12"/>
      <c r="B239" s="13"/>
      <c r="C239" s="13"/>
      <c r="D239" s="12"/>
      <c r="E239" s="12"/>
      <c r="F239" s="12"/>
      <c r="G239" s="12"/>
      <c r="H239" s="12"/>
      <c r="I239" s="12"/>
      <c r="J239" s="12"/>
      <c r="K239" s="12"/>
      <c r="L239" s="12"/>
      <c r="M239" s="12"/>
      <c r="N239" s="12"/>
      <c r="O239" s="12"/>
      <c r="P239" s="13"/>
      <c r="Q239" s="15" t="str">
        <f t="shared" si="1"/>
        <v/>
      </c>
      <c r="R239" s="12" t="str">
        <f t="shared" si="2"/>
        <v/>
      </c>
    </row>
    <row r="240" ht="15.75" customHeight="1">
      <c r="A240" s="12"/>
      <c r="B240" s="13"/>
      <c r="C240" s="13"/>
      <c r="D240" s="12"/>
      <c r="E240" s="12"/>
      <c r="F240" s="12"/>
      <c r="G240" s="12"/>
      <c r="H240" s="12"/>
      <c r="I240" s="12"/>
      <c r="J240" s="12"/>
      <c r="K240" s="12"/>
      <c r="L240" s="12"/>
      <c r="M240" s="12"/>
      <c r="N240" s="12"/>
      <c r="O240" s="12"/>
      <c r="P240" s="13"/>
      <c r="Q240" s="15" t="str">
        <f t="shared" si="1"/>
        <v/>
      </c>
      <c r="R240" s="12" t="str">
        <f t="shared" si="2"/>
        <v/>
      </c>
    </row>
    <row r="241" ht="15.75" customHeight="1">
      <c r="A241" s="12"/>
      <c r="B241" s="13"/>
      <c r="C241" s="13"/>
      <c r="D241" s="12"/>
      <c r="E241" s="12"/>
      <c r="F241" s="12"/>
      <c r="G241" s="12"/>
      <c r="H241" s="12"/>
      <c r="I241" s="12"/>
      <c r="J241" s="12"/>
      <c r="K241" s="12"/>
      <c r="L241" s="12"/>
      <c r="M241" s="12"/>
      <c r="N241" s="12"/>
      <c r="O241" s="12"/>
      <c r="P241" s="13"/>
      <c r="Q241" s="15" t="str">
        <f t="shared" si="1"/>
        <v/>
      </c>
      <c r="R241" s="12" t="str">
        <f t="shared" si="2"/>
        <v/>
      </c>
    </row>
    <row r="242" ht="15.75" customHeight="1">
      <c r="A242" s="12"/>
      <c r="B242" s="13"/>
      <c r="C242" s="13"/>
      <c r="D242" s="12"/>
      <c r="E242" s="12"/>
      <c r="F242" s="12"/>
      <c r="G242" s="12"/>
      <c r="H242" s="12"/>
      <c r="I242" s="12"/>
      <c r="J242" s="12"/>
      <c r="K242" s="12"/>
      <c r="L242" s="12"/>
      <c r="M242" s="12"/>
      <c r="N242" s="12"/>
      <c r="O242" s="12"/>
      <c r="P242" s="13"/>
      <c r="Q242" s="15" t="str">
        <f t="shared" si="1"/>
        <v/>
      </c>
      <c r="R242" s="12" t="str">
        <f t="shared" si="2"/>
        <v/>
      </c>
    </row>
    <row r="243" ht="15.75" customHeight="1">
      <c r="A243" s="12"/>
      <c r="B243" s="13"/>
      <c r="C243" s="13"/>
      <c r="D243" s="12"/>
      <c r="E243" s="12"/>
      <c r="F243" s="12"/>
      <c r="G243" s="12"/>
      <c r="H243" s="12"/>
      <c r="I243" s="12"/>
      <c r="J243" s="12"/>
      <c r="K243" s="12"/>
      <c r="L243" s="12"/>
      <c r="M243" s="12"/>
      <c r="N243" s="12"/>
      <c r="O243" s="12"/>
      <c r="P243" s="13"/>
      <c r="Q243" s="15" t="str">
        <f t="shared" si="1"/>
        <v/>
      </c>
      <c r="R243" s="12" t="str">
        <f t="shared" si="2"/>
        <v/>
      </c>
    </row>
    <row r="244" ht="15.75" customHeight="1">
      <c r="A244" s="12"/>
      <c r="B244" s="13"/>
      <c r="C244" s="13"/>
      <c r="D244" s="12"/>
      <c r="E244" s="12"/>
      <c r="F244" s="12"/>
      <c r="G244" s="12"/>
      <c r="H244" s="12"/>
      <c r="I244" s="12"/>
      <c r="J244" s="12"/>
      <c r="K244" s="12"/>
      <c r="L244" s="12"/>
      <c r="M244" s="12"/>
      <c r="N244" s="12"/>
      <c r="O244" s="12"/>
      <c r="P244" s="13"/>
      <c r="Q244" s="15" t="str">
        <f t="shared" si="1"/>
        <v/>
      </c>
      <c r="R244" s="12" t="str">
        <f t="shared" si="2"/>
        <v/>
      </c>
    </row>
    <row r="245" ht="15.75" customHeight="1">
      <c r="A245" s="12"/>
      <c r="B245" s="13"/>
      <c r="C245" s="13"/>
      <c r="D245" s="12"/>
      <c r="E245" s="12"/>
      <c r="F245" s="12"/>
      <c r="G245" s="12"/>
      <c r="H245" s="12"/>
      <c r="I245" s="12"/>
      <c r="J245" s="12"/>
      <c r="K245" s="12"/>
      <c r="L245" s="12"/>
      <c r="M245" s="12"/>
      <c r="N245" s="12"/>
      <c r="O245" s="12"/>
      <c r="P245" s="13"/>
      <c r="Q245" s="15" t="str">
        <f t="shared" si="1"/>
        <v/>
      </c>
      <c r="R245" s="12" t="str">
        <f t="shared" si="2"/>
        <v/>
      </c>
    </row>
    <row r="246" ht="15.75" customHeight="1">
      <c r="A246" s="12"/>
      <c r="B246" s="13"/>
      <c r="C246" s="13"/>
      <c r="D246" s="12"/>
      <c r="E246" s="12"/>
      <c r="F246" s="12"/>
      <c r="G246" s="12"/>
      <c r="H246" s="12"/>
      <c r="I246" s="12"/>
      <c r="J246" s="12"/>
      <c r="K246" s="12"/>
      <c r="L246" s="12"/>
      <c r="M246" s="12"/>
      <c r="N246" s="12"/>
      <c r="O246" s="12"/>
      <c r="P246" s="13"/>
      <c r="Q246" s="15" t="str">
        <f t="shared" si="1"/>
        <v/>
      </c>
      <c r="R246" s="12" t="str">
        <f t="shared" si="2"/>
        <v/>
      </c>
    </row>
    <row r="247" ht="15.75" customHeight="1">
      <c r="A247" s="12"/>
      <c r="B247" s="13"/>
      <c r="C247" s="13"/>
      <c r="D247" s="12"/>
      <c r="E247" s="12"/>
      <c r="F247" s="12"/>
      <c r="G247" s="12"/>
      <c r="H247" s="12"/>
      <c r="I247" s="12"/>
      <c r="J247" s="12"/>
      <c r="K247" s="12"/>
      <c r="L247" s="12"/>
      <c r="M247" s="12"/>
      <c r="N247" s="12"/>
      <c r="O247" s="12"/>
      <c r="P247" s="13"/>
      <c r="Q247" s="15" t="str">
        <f t="shared" si="1"/>
        <v/>
      </c>
      <c r="R247" s="12" t="str">
        <f t="shared" si="2"/>
        <v/>
      </c>
    </row>
    <row r="248" ht="15.75" customHeight="1">
      <c r="A248" s="12"/>
      <c r="B248" s="13"/>
      <c r="C248" s="13"/>
      <c r="D248" s="12"/>
      <c r="E248" s="12"/>
      <c r="F248" s="12"/>
      <c r="G248" s="12"/>
      <c r="H248" s="12"/>
      <c r="I248" s="12"/>
      <c r="J248" s="12"/>
      <c r="K248" s="12"/>
      <c r="L248" s="12"/>
      <c r="M248" s="12"/>
      <c r="N248" s="12"/>
      <c r="O248" s="12"/>
      <c r="P248" s="13"/>
      <c r="Q248" s="15" t="str">
        <f t="shared" si="1"/>
        <v/>
      </c>
      <c r="R248" s="12" t="str">
        <f t="shared" si="2"/>
        <v/>
      </c>
    </row>
    <row r="249" ht="15.75" customHeight="1">
      <c r="A249" s="12"/>
      <c r="B249" s="13"/>
      <c r="C249" s="13"/>
      <c r="D249" s="12"/>
      <c r="E249" s="12"/>
      <c r="F249" s="12"/>
      <c r="G249" s="12"/>
      <c r="H249" s="12"/>
      <c r="I249" s="12"/>
      <c r="J249" s="12"/>
      <c r="K249" s="12"/>
      <c r="L249" s="12"/>
      <c r="M249" s="12"/>
      <c r="N249" s="12"/>
      <c r="O249" s="12"/>
      <c r="P249" s="13"/>
      <c r="Q249" s="15" t="str">
        <f t="shared" si="1"/>
        <v/>
      </c>
      <c r="R249" s="12" t="str">
        <f t="shared" si="2"/>
        <v/>
      </c>
    </row>
    <row r="250" ht="15.75" customHeight="1">
      <c r="A250" s="12"/>
      <c r="B250" s="13"/>
      <c r="C250" s="13"/>
      <c r="D250" s="12"/>
      <c r="E250" s="12"/>
      <c r="F250" s="12"/>
      <c r="G250" s="12"/>
      <c r="H250" s="12"/>
      <c r="I250" s="12"/>
      <c r="J250" s="12"/>
      <c r="K250" s="12"/>
      <c r="L250" s="12"/>
      <c r="M250" s="12"/>
      <c r="N250" s="12"/>
      <c r="O250" s="12"/>
      <c r="P250" s="13"/>
      <c r="Q250" s="15" t="str">
        <f t="shared" si="1"/>
        <v/>
      </c>
      <c r="R250" s="12" t="str">
        <f t="shared" si="2"/>
        <v/>
      </c>
    </row>
    <row r="251" ht="15.75" customHeight="1">
      <c r="A251" s="12"/>
      <c r="B251" s="13"/>
      <c r="C251" s="13"/>
      <c r="D251" s="12"/>
      <c r="E251" s="12"/>
      <c r="F251" s="12"/>
      <c r="G251" s="12"/>
      <c r="H251" s="12"/>
      <c r="I251" s="12"/>
      <c r="J251" s="12"/>
      <c r="K251" s="12"/>
      <c r="L251" s="12"/>
      <c r="M251" s="12"/>
      <c r="N251" s="12"/>
      <c r="O251" s="12"/>
      <c r="P251" s="13"/>
      <c r="Q251" s="15" t="str">
        <f t="shared" si="1"/>
        <v/>
      </c>
      <c r="R251" s="12" t="str">
        <f t="shared" si="2"/>
        <v/>
      </c>
    </row>
    <row r="252" ht="15.75" customHeight="1">
      <c r="A252" s="12"/>
      <c r="B252" s="13"/>
      <c r="C252" s="13"/>
      <c r="D252" s="12"/>
      <c r="E252" s="12"/>
      <c r="F252" s="12"/>
      <c r="G252" s="12"/>
      <c r="H252" s="12"/>
      <c r="I252" s="12"/>
      <c r="J252" s="12"/>
      <c r="K252" s="12"/>
      <c r="L252" s="12"/>
      <c r="M252" s="12"/>
      <c r="N252" s="12"/>
      <c r="O252" s="12"/>
      <c r="P252" s="13"/>
      <c r="Q252" s="15" t="str">
        <f t="shared" si="1"/>
        <v/>
      </c>
      <c r="R252" s="12" t="str">
        <f t="shared" si="2"/>
        <v/>
      </c>
    </row>
    <row r="253" ht="15.75" customHeight="1">
      <c r="A253" s="12"/>
      <c r="B253" s="13"/>
      <c r="C253" s="13"/>
      <c r="D253" s="12"/>
      <c r="E253" s="12"/>
      <c r="F253" s="12"/>
      <c r="G253" s="12"/>
      <c r="H253" s="12"/>
      <c r="I253" s="12"/>
      <c r="J253" s="12"/>
      <c r="K253" s="12"/>
      <c r="L253" s="12"/>
      <c r="M253" s="12"/>
      <c r="N253" s="12"/>
      <c r="O253" s="12"/>
      <c r="P253" s="13"/>
      <c r="Q253" s="15" t="str">
        <f t="shared" si="1"/>
        <v/>
      </c>
      <c r="R253" s="12" t="str">
        <f t="shared" si="2"/>
        <v/>
      </c>
    </row>
    <row r="254" ht="15.75" customHeight="1">
      <c r="A254" s="12"/>
      <c r="B254" s="13"/>
      <c r="C254" s="13"/>
      <c r="D254" s="12"/>
      <c r="E254" s="12"/>
      <c r="F254" s="12"/>
      <c r="G254" s="12"/>
      <c r="H254" s="12"/>
      <c r="I254" s="12"/>
      <c r="J254" s="12"/>
      <c r="K254" s="12"/>
      <c r="L254" s="12"/>
      <c r="M254" s="12"/>
      <c r="N254" s="12"/>
      <c r="O254" s="12"/>
      <c r="P254" s="13"/>
      <c r="Q254" s="15" t="str">
        <f t="shared" si="1"/>
        <v/>
      </c>
      <c r="R254" s="12" t="str">
        <f t="shared" si="2"/>
        <v/>
      </c>
    </row>
    <row r="255" ht="15.75" customHeight="1">
      <c r="A255" s="12"/>
      <c r="B255" s="13"/>
      <c r="C255" s="13"/>
      <c r="D255" s="12"/>
      <c r="E255" s="12"/>
      <c r="F255" s="12"/>
      <c r="G255" s="12"/>
      <c r="H255" s="12"/>
      <c r="I255" s="12"/>
      <c r="J255" s="12"/>
      <c r="K255" s="12"/>
      <c r="L255" s="12"/>
      <c r="M255" s="12"/>
      <c r="N255" s="12"/>
      <c r="O255" s="12"/>
      <c r="P255" s="13"/>
      <c r="Q255" s="15" t="str">
        <f t="shared" si="1"/>
        <v/>
      </c>
      <c r="R255" s="12" t="str">
        <f t="shared" si="2"/>
        <v/>
      </c>
    </row>
    <row r="256" ht="15.75" customHeight="1">
      <c r="A256" s="12"/>
      <c r="B256" s="13"/>
      <c r="C256" s="13"/>
      <c r="D256" s="12"/>
      <c r="E256" s="12"/>
      <c r="F256" s="12"/>
      <c r="G256" s="12"/>
      <c r="H256" s="12"/>
      <c r="I256" s="12"/>
      <c r="J256" s="12"/>
      <c r="K256" s="12"/>
      <c r="L256" s="12"/>
      <c r="M256" s="12"/>
      <c r="N256" s="12"/>
      <c r="O256" s="12"/>
      <c r="P256" s="13"/>
      <c r="Q256" s="15" t="str">
        <f t="shared" si="1"/>
        <v/>
      </c>
      <c r="R256" s="12" t="str">
        <f t="shared" si="2"/>
        <v/>
      </c>
    </row>
    <row r="257" ht="15.75" customHeight="1">
      <c r="A257" s="12"/>
      <c r="B257" s="13"/>
      <c r="C257" s="13"/>
      <c r="D257" s="12"/>
      <c r="E257" s="12"/>
      <c r="F257" s="12"/>
      <c r="G257" s="12"/>
      <c r="H257" s="12"/>
      <c r="I257" s="12"/>
      <c r="J257" s="12"/>
      <c r="K257" s="12"/>
      <c r="L257" s="12"/>
      <c r="M257" s="12"/>
      <c r="N257" s="12"/>
      <c r="O257" s="12"/>
      <c r="P257" s="13"/>
      <c r="Q257" s="15" t="str">
        <f t="shared" si="1"/>
        <v/>
      </c>
      <c r="R257" s="12" t="str">
        <f t="shared" si="2"/>
        <v/>
      </c>
    </row>
    <row r="258" ht="15.75" customHeight="1">
      <c r="A258" s="12"/>
      <c r="B258" s="13"/>
      <c r="C258" s="13"/>
      <c r="D258" s="12"/>
      <c r="E258" s="12"/>
      <c r="F258" s="12"/>
      <c r="G258" s="12"/>
      <c r="H258" s="12"/>
      <c r="I258" s="12"/>
      <c r="J258" s="12"/>
      <c r="K258" s="12"/>
      <c r="L258" s="12"/>
      <c r="M258" s="12"/>
      <c r="N258" s="12"/>
      <c r="O258" s="12"/>
      <c r="P258" s="13"/>
      <c r="Q258" s="15" t="str">
        <f t="shared" si="1"/>
        <v/>
      </c>
      <c r="R258" s="12" t="str">
        <f t="shared" si="2"/>
        <v/>
      </c>
    </row>
    <row r="259" ht="15.75" customHeight="1">
      <c r="A259" s="12"/>
      <c r="B259" s="13"/>
      <c r="C259" s="13"/>
      <c r="D259" s="12"/>
      <c r="E259" s="12"/>
      <c r="F259" s="12"/>
      <c r="G259" s="12"/>
      <c r="H259" s="12"/>
      <c r="I259" s="12"/>
      <c r="J259" s="12"/>
      <c r="K259" s="12"/>
      <c r="L259" s="12"/>
      <c r="M259" s="12"/>
      <c r="N259" s="12"/>
      <c r="O259" s="12"/>
      <c r="P259" s="13"/>
      <c r="Q259" s="15" t="str">
        <f t="shared" si="1"/>
        <v/>
      </c>
      <c r="R259" s="12" t="str">
        <f t="shared" si="2"/>
        <v/>
      </c>
    </row>
    <row r="260" ht="15.75" customHeight="1">
      <c r="A260" s="12"/>
      <c r="B260" s="13"/>
      <c r="C260" s="13"/>
      <c r="D260" s="12"/>
      <c r="E260" s="12"/>
      <c r="F260" s="12"/>
      <c r="G260" s="12"/>
      <c r="H260" s="12"/>
      <c r="I260" s="12"/>
      <c r="J260" s="12"/>
      <c r="K260" s="12"/>
      <c r="L260" s="12"/>
      <c r="M260" s="12"/>
      <c r="N260" s="12"/>
      <c r="O260" s="12"/>
      <c r="P260" s="13"/>
      <c r="Q260" s="15" t="str">
        <f t="shared" si="1"/>
        <v/>
      </c>
      <c r="R260" s="12" t="str">
        <f t="shared" si="2"/>
        <v/>
      </c>
    </row>
    <row r="261" ht="15.75" customHeight="1">
      <c r="A261" s="12"/>
      <c r="B261" s="13"/>
      <c r="C261" s="13"/>
      <c r="D261" s="12"/>
      <c r="E261" s="12"/>
      <c r="F261" s="12"/>
      <c r="G261" s="12"/>
      <c r="H261" s="12"/>
      <c r="I261" s="12"/>
      <c r="J261" s="12"/>
      <c r="K261" s="12"/>
      <c r="L261" s="12"/>
      <c r="M261" s="12"/>
      <c r="N261" s="12"/>
      <c r="O261" s="12"/>
      <c r="P261" s="13"/>
      <c r="Q261" s="15" t="str">
        <f t="shared" si="1"/>
        <v/>
      </c>
      <c r="R261" s="12" t="str">
        <f t="shared" si="2"/>
        <v/>
      </c>
    </row>
    <row r="262" ht="15.75" customHeight="1">
      <c r="A262" s="12"/>
      <c r="B262" s="13"/>
      <c r="C262" s="13"/>
      <c r="D262" s="12"/>
      <c r="E262" s="12"/>
      <c r="F262" s="12"/>
      <c r="G262" s="12"/>
      <c r="H262" s="12"/>
      <c r="I262" s="12"/>
      <c r="J262" s="12"/>
      <c r="K262" s="12"/>
      <c r="L262" s="12"/>
      <c r="M262" s="12"/>
      <c r="N262" s="12"/>
      <c r="O262" s="12"/>
      <c r="P262" s="13"/>
      <c r="Q262" s="15" t="str">
        <f t="shared" si="1"/>
        <v/>
      </c>
      <c r="R262" s="12" t="str">
        <f t="shared" si="2"/>
        <v/>
      </c>
    </row>
    <row r="263" ht="15.75" customHeight="1">
      <c r="A263" s="12"/>
      <c r="B263" s="13"/>
      <c r="C263" s="13"/>
      <c r="D263" s="12"/>
      <c r="E263" s="12"/>
      <c r="F263" s="12"/>
      <c r="G263" s="12"/>
      <c r="H263" s="12"/>
      <c r="I263" s="12"/>
      <c r="J263" s="12"/>
      <c r="K263" s="12"/>
      <c r="L263" s="12"/>
      <c r="M263" s="12"/>
      <c r="N263" s="12"/>
      <c r="O263" s="12"/>
      <c r="P263" s="13"/>
      <c r="Q263" s="15" t="str">
        <f t="shared" si="1"/>
        <v/>
      </c>
      <c r="R263" s="12" t="str">
        <f t="shared" si="2"/>
        <v/>
      </c>
    </row>
    <row r="264" ht="15.75" customHeight="1">
      <c r="A264" s="12"/>
      <c r="B264" s="13"/>
      <c r="C264" s="13"/>
      <c r="D264" s="12"/>
      <c r="E264" s="12"/>
      <c r="F264" s="12"/>
      <c r="G264" s="12"/>
      <c r="H264" s="12"/>
      <c r="I264" s="12"/>
      <c r="J264" s="12"/>
      <c r="K264" s="12"/>
      <c r="L264" s="12"/>
      <c r="M264" s="12"/>
      <c r="N264" s="12"/>
      <c r="O264" s="12"/>
      <c r="P264" s="13"/>
      <c r="Q264" s="15" t="str">
        <f t="shared" si="1"/>
        <v/>
      </c>
      <c r="R264" s="12" t="str">
        <f t="shared" si="2"/>
        <v/>
      </c>
    </row>
    <row r="265" ht="15.75" customHeight="1">
      <c r="A265" s="12"/>
      <c r="B265" s="13"/>
      <c r="C265" s="13"/>
      <c r="D265" s="12"/>
      <c r="E265" s="12"/>
      <c r="F265" s="12"/>
      <c r="G265" s="12"/>
      <c r="H265" s="12"/>
      <c r="I265" s="12"/>
      <c r="J265" s="12"/>
      <c r="K265" s="12"/>
      <c r="L265" s="12"/>
      <c r="M265" s="12"/>
      <c r="N265" s="12"/>
      <c r="O265" s="12"/>
      <c r="P265" s="13"/>
      <c r="Q265" s="15" t="str">
        <f t="shared" si="1"/>
        <v/>
      </c>
      <c r="R265" s="12" t="str">
        <f t="shared" si="2"/>
        <v/>
      </c>
    </row>
    <row r="266" ht="15.75" customHeight="1">
      <c r="A266" s="12"/>
      <c r="B266" s="13"/>
      <c r="C266" s="13"/>
      <c r="D266" s="12"/>
      <c r="E266" s="12"/>
      <c r="F266" s="12"/>
      <c r="G266" s="12"/>
      <c r="H266" s="12"/>
      <c r="I266" s="12"/>
      <c r="J266" s="12"/>
      <c r="K266" s="12"/>
      <c r="L266" s="12"/>
      <c r="M266" s="12"/>
      <c r="N266" s="12"/>
      <c r="O266" s="12"/>
      <c r="P266" s="13"/>
      <c r="Q266" s="15" t="str">
        <f t="shared" si="1"/>
        <v/>
      </c>
      <c r="R266" s="12" t="str">
        <f t="shared" si="2"/>
        <v/>
      </c>
    </row>
    <row r="267" ht="15.75" customHeight="1">
      <c r="A267" s="12"/>
      <c r="B267" s="13"/>
      <c r="C267" s="13"/>
      <c r="D267" s="12"/>
      <c r="E267" s="12"/>
      <c r="F267" s="12"/>
      <c r="G267" s="12"/>
      <c r="H267" s="12"/>
      <c r="I267" s="12"/>
      <c r="J267" s="12"/>
      <c r="K267" s="12"/>
      <c r="L267" s="12"/>
      <c r="M267" s="12"/>
      <c r="N267" s="12"/>
      <c r="O267" s="12"/>
      <c r="P267" s="13"/>
      <c r="Q267" s="15" t="str">
        <f t="shared" si="1"/>
        <v/>
      </c>
      <c r="R267" s="12" t="str">
        <f t="shared" si="2"/>
        <v/>
      </c>
    </row>
    <row r="268" ht="15.75" customHeight="1">
      <c r="A268" s="12"/>
      <c r="B268" s="13"/>
      <c r="C268" s="13"/>
      <c r="D268" s="12"/>
      <c r="E268" s="12"/>
      <c r="F268" s="12"/>
      <c r="G268" s="12"/>
      <c r="H268" s="12"/>
      <c r="I268" s="12"/>
      <c r="J268" s="12"/>
      <c r="K268" s="12"/>
      <c r="L268" s="12"/>
      <c r="M268" s="12"/>
      <c r="N268" s="12"/>
      <c r="O268" s="12"/>
      <c r="P268" s="13"/>
      <c r="Q268" s="15" t="str">
        <f t="shared" si="1"/>
        <v/>
      </c>
      <c r="R268" s="12" t="str">
        <f t="shared" si="2"/>
        <v/>
      </c>
    </row>
    <row r="269" ht="15.75" customHeight="1">
      <c r="A269" s="12"/>
      <c r="B269" s="13"/>
      <c r="C269" s="13"/>
      <c r="D269" s="12"/>
      <c r="E269" s="12"/>
      <c r="F269" s="12"/>
      <c r="G269" s="12"/>
      <c r="H269" s="12"/>
      <c r="I269" s="12"/>
      <c r="J269" s="12"/>
      <c r="K269" s="12"/>
      <c r="L269" s="12"/>
      <c r="M269" s="12"/>
      <c r="N269" s="12"/>
      <c r="O269" s="12"/>
      <c r="P269" s="13"/>
      <c r="Q269" s="15" t="str">
        <f t="shared" si="1"/>
        <v/>
      </c>
      <c r="R269" s="12" t="str">
        <f t="shared" si="2"/>
        <v/>
      </c>
    </row>
    <row r="270" ht="15.75" customHeight="1">
      <c r="A270" s="12"/>
      <c r="B270" s="13"/>
      <c r="C270" s="13"/>
      <c r="D270" s="12"/>
      <c r="E270" s="12"/>
      <c r="F270" s="12"/>
      <c r="G270" s="12"/>
      <c r="H270" s="12"/>
      <c r="I270" s="12"/>
      <c r="J270" s="12"/>
      <c r="K270" s="12"/>
      <c r="L270" s="12"/>
      <c r="M270" s="12"/>
      <c r="N270" s="12"/>
      <c r="O270" s="12"/>
      <c r="P270" s="13"/>
      <c r="Q270" s="15" t="str">
        <f t="shared" si="1"/>
        <v/>
      </c>
      <c r="R270" s="12" t="str">
        <f t="shared" si="2"/>
        <v/>
      </c>
    </row>
    <row r="271" ht="15.75" customHeight="1">
      <c r="A271" s="12"/>
      <c r="B271" s="13"/>
      <c r="C271" s="13"/>
      <c r="D271" s="12"/>
      <c r="E271" s="12"/>
      <c r="F271" s="12"/>
      <c r="G271" s="12"/>
      <c r="H271" s="12"/>
      <c r="I271" s="12"/>
      <c r="J271" s="12"/>
      <c r="K271" s="12"/>
      <c r="L271" s="12"/>
      <c r="M271" s="12"/>
      <c r="N271" s="12"/>
      <c r="O271" s="12"/>
      <c r="P271" s="13"/>
      <c r="Q271" s="15" t="str">
        <f t="shared" si="1"/>
        <v/>
      </c>
      <c r="R271" s="12" t="str">
        <f t="shared" si="2"/>
        <v/>
      </c>
    </row>
    <row r="272" ht="15.75" customHeight="1">
      <c r="A272" s="12"/>
      <c r="B272" s="13"/>
      <c r="C272" s="13"/>
      <c r="D272" s="12"/>
      <c r="E272" s="12"/>
      <c r="F272" s="12"/>
      <c r="G272" s="12"/>
      <c r="H272" s="12"/>
      <c r="I272" s="12"/>
      <c r="J272" s="12"/>
      <c r="K272" s="12"/>
      <c r="L272" s="12"/>
      <c r="M272" s="12"/>
      <c r="N272" s="12"/>
      <c r="O272" s="12"/>
      <c r="P272" s="13"/>
      <c r="Q272" s="15" t="str">
        <f t="shared" si="1"/>
        <v/>
      </c>
      <c r="R272" s="12" t="str">
        <f t="shared" si="2"/>
        <v/>
      </c>
    </row>
    <row r="273" ht="15.75" customHeight="1">
      <c r="A273" s="12"/>
      <c r="B273" s="13"/>
      <c r="C273" s="13"/>
      <c r="D273" s="12"/>
      <c r="E273" s="12"/>
      <c r="F273" s="12"/>
      <c r="G273" s="12"/>
      <c r="H273" s="12"/>
      <c r="I273" s="12"/>
      <c r="J273" s="12"/>
      <c r="K273" s="12"/>
      <c r="L273" s="12"/>
      <c r="M273" s="12"/>
      <c r="N273" s="12"/>
      <c r="O273" s="12"/>
      <c r="P273" s="13"/>
      <c r="Q273" s="15" t="str">
        <f t="shared" si="1"/>
        <v/>
      </c>
      <c r="R273" s="12" t="str">
        <f t="shared" si="2"/>
        <v/>
      </c>
    </row>
    <row r="274" ht="15.75" customHeight="1">
      <c r="A274" s="12"/>
      <c r="B274" s="13"/>
      <c r="C274" s="13"/>
      <c r="D274" s="12"/>
      <c r="E274" s="12"/>
      <c r="F274" s="12"/>
      <c r="G274" s="12"/>
      <c r="H274" s="12"/>
      <c r="I274" s="12"/>
      <c r="J274" s="12"/>
      <c r="K274" s="12"/>
      <c r="L274" s="12"/>
      <c r="M274" s="12"/>
      <c r="N274" s="12"/>
      <c r="O274" s="12"/>
      <c r="P274" s="13"/>
      <c r="Q274" s="15" t="str">
        <f t="shared" si="1"/>
        <v/>
      </c>
      <c r="R274" s="12" t="str">
        <f t="shared" si="2"/>
        <v/>
      </c>
    </row>
    <row r="275" ht="15.75" customHeight="1">
      <c r="A275" s="12"/>
      <c r="B275" s="13"/>
      <c r="C275" s="13"/>
      <c r="D275" s="12"/>
      <c r="E275" s="12"/>
      <c r="F275" s="12"/>
      <c r="G275" s="12"/>
      <c r="H275" s="12"/>
      <c r="I275" s="12"/>
      <c r="J275" s="12"/>
      <c r="K275" s="12"/>
      <c r="L275" s="12"/>
      <c r="M275" s="12"/>
      <c r="N275" s="12"/>
      <c r="O275" s="12"/>
      <c r="P275" s="13"/>
      <c r="Q275" s="15" t="str">
        <f t="shared" si="1"/>
        <v/>
      </c>
      <c r="R275" s="12" t="str">
        <f t="shared" si="2"/>
        <v/>
      </c>
    </row>
    <row r="276" ht="15.75" customHeight="1">
      <c r="A276" s="12"/>
      <c r="B276" s="13"/>
      <c r="C276" s="13"/>
      <c r="D276" s="12"/>
      <c r="E276" s="12"/>
      <c r="F276" s="12"/>
      <c r="G276" s="12"/>
      <c r="H276" s="12"/>
      <c r="I276" s="12"/>
      <c r="J276" s="12"/>
      <c r="K276" s="12"/>
      <c r="L276" s="12"/>
      <c r="M276" s="12"/>
      <c r="N276" s="12"/>
      <c r="O276" s="12"/>
      <c r="P276" s="13"/>
      <c r="Q276" s="15" t="str">
        <f t="shared" si="1"/>
        <v/>
      </c>
      <c r="R276" s="12" t="str">
        <f t="shared" si="2"/>
        <v/>
      </c>
    </row>
    <row r="277" ht="15.75" customHeight="1">
      <c r="A277" s="12"/>
      <c r="B277" s="13"/>
      <c r="C277" s="13"/>
      <c r="D277" s="12"/>
      <c r="E277" s="12"/>
      <c r="F277" s="12"/>
      <c r="G277" s="12"/>
      <c r="H277" s="12"/>
      <c r="I277" s="12"/>
      <c r="J277" s="12"/>
      <c r="K277" s="12"/>
      <c r="L277" s="12"/>
      <c r="M277" s="12"/>
      <c r="N277" s="12"/>
      <c r="O277" s="12"/>
      <c r="P277" s="13"/>
      <c r="Q277" s="15" t="str">
        <f t="shared" si="1"/>
        <v/>
      </c>
      <c r="R277" s="12" t="str">
        <f t="shared" si="2"/>
        <v/>
      </c>
    </row>
    <row r="278" ht="15.75" customHeight="1">
      <c r="A278" s="12"/>
      <c r="B278" s="13"/>
      <c r="C278" s="13"/>
      <c r="D278" s="12"/>
      <c r="E278" s="12"/>
      <c r="F278" s="12"/>
      <c r="G278" s="12"/>
      <c r="H278" s="12"/>
      <c r="I278" s="12"/>
      <c r="J278" s="12"/>
      <c r="K278" s="12"/>
      <c r="L278" s="12"/>
      <c r="M278" s="12"/>
      <c r="N278" s="12"/>
      <c r="O278" s="12"/>
      <c r="P278" s="13"/>
      <c r="Q278" s="15" t="str">
        <f t="shared" si="1"/>
        <v/>
      </c>
      <c r="R278" s="12" t="str">
        <f t="shared" si="2"/>
        <v/>
      </c>
    </row>
    <row r="279" ht="15.75" customHeight="1">
      <c r="A279" s="12"/>
      <c r="B279" s="13"/>
      <c r="C279" s="13"/>
      <c r="D279" s="12"/>
      <c r="E279" s="12"/>
      <c r="F279" s="12"/>
      <c r="G279" s="12"/>
      <c r="H279" s="12"/>
      <c r="I279" s="12"/>
      <c r="J279" s="12"/>
      <c r="K279" s="12"/>
      <c r="L279" s="12"/>
      <c r="M279" s="12"/>
      <c r="N279" s="12"/>
      <c r="O279" s="12"/>
      <c r="P279" s="13"/>
      <c r="Q279" s="15" t="str">
        <f t="shared" si="1"/>
        <v/>
      </c>
      <c r="R279" s="12" t="str">
        <f t="shared" si="2"/>
        <v/>
      </c>
    </row>
    <row r="280" ht="15.75" customHeight="1">
      <c r="A280" s="12"/>
      <c r="B280" s="13"/>
      <c r="C280" s="13"/>
      <c r="D280" s="12"/>
      <c r="E280" s="12"/>
      <c r="F280" s="12"/>
      <c r="G280" s="12"/>
      <c r="H280" s="12"/>
      <c r="I280" s="12"/>
      <c r="J280" s="12"/>
      <c r="K280" s="12"/>
      <c r="L280" s="12"/>
      <c r="M280" s="12"/>
      <c r="N280" s="12"/>
      <c r="O280" s="12"/>
      <c r="P280" s="13"/>
      <c r="Q280" s="15" t="str">
        <f t="shared" si="1"/>
        <v/>
      </c>
      <c r="R280" s="12" t="str">
        <f t="shared" si="2"/>
        <v/>
      </c>
    </row>
    <row r="281" ht="15.75" customHeight="1">
      <c r="A281" s="12"/>
      <c r="B281" s="13"/>
      <c r="C281" s="13"/>
      <c r="D281" s="12"/>
      <c r="E281" s="12"/>
      <c r="F281" s="12"/>
      <c r="G281" s="12"/>
      <c r="H281" s="12"/>
      <c r="I281" s="12"/>
      <c r="J281" s="12"/>
      <c r="K281" s="12"/>
      <c r="L281" s="12"/>
      <c r="M281" s="12"/>
      <c r="N281" s="12"/>
      <c r="O281" s="12"/>
      <c r="P281" s="13"/>
      <c r="Q281" s="15" t="str">
        <f t="shared" si="1"/>
        <v/>
      </c>
      <c r="R281" s="12" t="str">
        <f t="shared" si="2"/>
        <v/>
      </c>
    </row>
    <row r="282" ht="15.75" customHeight="1">
      <c r="A282" s="12"/>
      <c r="B282" s="13"/>
      <c r="C282" s="13"/>
      <c r="D282" s="12"/>
      <c r="E282" s="12"/>
      <c r="F282" s="12"/>
      <c r="G282" s="12"/>
      <c r="H282" s="12"/>
      <c r="I282" s="12"/>
      <c r="J282" s="12"/>
      <c r="K282" s="12"/>
      <c r="L282" s="12"/>
      <c r="M282" s="12"/>
      <c r="N282" s="12"/>
      <c r="O282" s="12"/>
      <c r="P282" s="13"/>
      <c r="Q282" s="15" t="str">
        <f t="shared" si="1"/>
        <v/>
      </c>
      <c r="R282" s="12" t="str">
        <f t="shared" si="2"/>
        <v/>
      </c>
    </row>
    <row r="283" ht="15.75" customHeight="1">
      <c r="A283" s="12"/>
      <c r="B283" s="13"/>
      <c r="C283" s="13"/>
      <c r="D283" s="12"/>
      <c r="E283" s="12"/>
      <c r="F283" s="12"/>
      <c r="G283" s="12"/>
      <c r="H283" s="12"/>
      <c r="I283" s="12"/>
      <c r="J283" s="12"/>
      <c r="K283" s="12"/>
      <c r="L283" s="12"/>
      <c r="M283" s="12"/>
      <c r="N283" s="12"/>
      <c r="O283" s="12"/>
      <c r="P283" s="13"/>
      <c r="Q283" s="15" t="str">
        <f t="shared" si="1"/>
        <v/>
      </c>
      <c r="R283" s="12" t="str">
        <f t="shared" si="2"/>
        <v/>
      </c>
    </row>
    <row r="284" ht="15.75" customHeight="1">
      <c r="A284" s="12"/>
      <c r="B284" s="13"/>
      <c r="C284" s="13"/>
      <c r="D284" s="12"/>
      <c r="E284" s="12"/>
      <c r="F284" s="12"/>
      <c r="G284" s="12"/>
      <c r="H284" s="12"/>
      <c r="I284" s="12"/>
      <c r="J284" s="12"/>
      <c r="K284" s="12"/>
      <c r="L284" s="12"/>
      <c r="M284" s="12"/>
      <c r="N284" s="12"/>
      <c r="O284" s="12"/>
      <c r="P284" s="13"/>
      <c r="Q284" s="15" t="str">
        <f t="shared" si="1"/>
        <v/>
      </c>
      <c r="R284" s="12" t="str">
        <f t="shared" si="2"/>
        <v/>
      </c>
    </row>
    <row r="285" ht="15.75" customHeight="1">
      <c r="A285" s="12"/>
      <c r="B285" s="13"/>
      <c r="C285" s="13"/>
      <c r="D285" s="12"/>
      <c r="E285" s="12"/>
      <c r="F285" s="12"/>
      <c r="G285" s="12"/>
      <c r="H285" s="12"/>
      <c r="I285" s="12"/>
      <c r="J285" s="12"/>
      <c r="K285" s="12"/>
      <c r="L285" s="12"/>
      <c r="M285" s="12"/>
      <c r="N285" s="12"/>
      <c r="O285" s="12"/>
      <c r="P285" s="13"/>
      <c r="Q285" s="15" t="str">
        <f t="shared" si="1"/>
        <v/>
      </c>
      <c r="R285" s="12" t="str">
        <f t="shared" si="2"/>
        <v/>
      </c>
    </row>
    <row r="286" ht="15.75" customHeight="1">
      <c r="A286" s="12"/>
      <c r="B286" s="13"/>
      <c r="C286" s="13"/>
      <c r="D286" s="12"/>
      <c r="E286" s="12"/>
      <c r="F286" s="12"/>
      <c r="G286" s="12"/>
      <c r="H286" s="12"/>
      <c r="I286" s="12"/>
      <c r="J286" s="12"/>
      <c r="K286" s="12"/>
      <c r="L286" s="12"/>
      <c r="M286" s="12"/>
      <c r="N286" s="12"/>
      <c r="O286" s="12"/>
      <c r="P286" s="13"/>
      <c r="Q286" s="15" t="str">
        <f t="shared" si="1"/>
        <v/>
      </c>
      <c r="R286" s="12" t="str">
        <f t="shared" si="2"/>
        <v/>
      </c>
    </row>
    <row r="287" ht="15.75" customHeight="1">
      <c r="A287" s="12"/>
      <c r="B287" s="13"/>
      <c r="C287" s="13"/>
      <c r="D287" s="12"/>
      <c r="E287" s="12"/>
      <c r="F287" s="12"/>
      <c r="G287" s="12"/>
      <c r="H287" s="12"/>
      <c r="I287" s="12"/>
      <c r="J287" s="12"/>
      <c r="K287" s="12"/>
      <c r="L287" s="12"/>
      <c r="M287" s="12"/>
      <c r="N287" s="12"/>
      <c r="O287" s="12"/>
      <c r="P287" s="13"/>
      <c r="Q287" s="15" t="str">
        <f t="shared" si="1"/>
        <v/>
      </c>
      <c r="R287" s="12" t="str">
        <f t="shared" si="2"/>
        <v/>
      </c>
    </row>
    <row r="288" ht="15.75" customHeight="1">
      <c r="A288" s="12"/>
      <c r="B288" s="13"/>
      <c r="C288" s="13"/>
      <c r="D288" s="12"/>
      <c r="E288" s="12"/>
      <c r="F288" s="12"/>
      <c r="G288" s="12"/>
      <c r="H288" s="12"/>
      <c r="I288" s="12"/>
      <c r="J288" s="12"/>
      <c r="K288" s="12"/>
      <c r="L288" s="12"/>
      <c r="M288" s="12"/>
      <c r="N288" s="12"/>
      <c r="O288" s="12"/>
      <c r="P288" s="13"/>
      <c r="Q288" s="15" t="str">
        <f t="shared" si="1"/>
        <v/>
      </c>
      <c r="R288" s="12" t="str">
        <f t="shared" si="2"/>
        <v/>
      </c>
    </row>
    <row r="289" ht="15.75" customHeight="1">
      <c r="A289" s="12"/>
      <c r="B289" s="13"/>
      <c r="C289" s="13"/>
      <c r="D289" s="12"/>
      <c r="E289" s="12"/>
      <c r="F289" s="12"/>
      <c r="G289" s="12"/>
      <c r="H289" s="12"/>
      <c r="I289" s="12"/>
      <c r="J289" s="12"/>
      <c r="K289" s="12"/>
      <c r="L289" s="12"/>
      <c r="M289" s="12"/>
      <c r="N289" s="12"/>
      <c r="O289" s="12"/>
      <c r="P289" s="13"/>
      <c r="Q289" s="15" t="str">
        <f t="shared" si="1"/>
        <v/>
      </c>
      <c r="R289" s="12" t="str">
        <f t="shared" si="2"/>
        <v/>
      </c>
    </row>
    <row r="290" ht="15.75" customHeight="1">
      <c r="A290" s="12"/>
      <c r="B290" s="13"/>
      <c r="C290" s="13"/>
      <c r="D290" s="12"/>
      <c r="E290" s="12"/>
      <c r="F290" s="12"/>
      <c r="G290" s="12"/>
      <c r="H290" s="12"/>
      <c r="I290" s="12"/>
      <c r="J290" s="12"/>
      <c r="K290" s="12"/>
      <c r="L290" s="12"/>
      <c r="M290" s="12"/>
      <c r="N290" s="12"/>
      <c r="O290" s="12"/>
      <c r="P290" s="13"/>
      <c r="Q290" s="15" t="str">
        <f t="shared" si="1"/>
        <v/>
      </c>
      <c r="R290" s="12" t="str">
        <f t="shared" si="2"/>
        <v/>
      </c>
    </row>
    <row r="291" ht="15.75" customHeight="1">
      <c r="A291" s="12"/>
      <c r="B291" s="13"/>
      <c r="C291" s="13"/>
      <c r="D291" s="12"/>
      <c r="E291" s="12"/>
      <c r="F291" s="12"/>
      <c r="G291" s="12"/>
      <c r="H291" s="12"/>
      <c r="I291" s="12"/>
      <c r="J291" s="12"/>
      <c r="K291" s="12"/>
      <c r="L291" s="12"/>
      <c r="M291" s="12"/>
      <c r="N291" s="12"/>
      <c r="O291" s="12"/>
      <c r="P291" s="13"/>
      <c r="Q291" s="15" t="str">
        <f t="shared" si="1"/>
        <v/>
      </c>
      <c r="R291" s="12" t="str">
        <f t="shared" si="2"/>
        <v/>
      </c>
    </row>
    <row r="292" ht="15.75" customHeight="1">
      <c r="A292" s="12"/>
      <c r="B292" s="13"/>
      <c r="C292" s="13"/>
      <c r="D292" s="12"/>
      <c r="E292" s="12"/>
      <c r="F292" s="12"/>
      <c r="G292" s="12"/>
      <c r="H292" s="12"/>
      <c r="I292" s="12"/>
      <c r="J292" s="12"/>
      <c r="K292" s="12"/>
      <c r="L292" s="12"/>
      <c r="M292" s="12"/>
      <c r="N292" s="12"/>
      <c r="O292" s="12"/>
      <c r="P292" s="13"/>
      <c r="Q292" s="15" t="str">
        <f t="shared" si="1"/>
        <v/>
      </c>
      <c r="R292" s="12" t="str">
        <f t="shared" si="2"/>
        <v/>
      </c>
    </row>
    <row r="293" ht="15.75" customHeight="1">
      <c r="A293" s="12"/>
      <c r="B293" s="13"/>
      <c r="C293" s="13"/>
      <c r="D293" s="12"/>
      <c r="E293" s="12"/>
      <c r="F293" s="12"/>
      <c r="G293" s="12"/>
      <c r="H293" s="12"/>
      <c r="I293" s="12"/>
      <c r="J293" s="12"/>
      <c r="K293" s="12"/>
      <c r="L293" s="12"/>
      <c r="M293" s="12"/>
      <c r="N293" s="12"/>
      <c r="O293" s="12"/>
      <c r="P293" s="13"/>
      <c r="Q293" s="15" t="str">
        <f t="shared" si="1"/>
        <v/>
      </c>
      <c r="R293" s="12" t="str">
        <f t="shared" si="2"/>
        <v/>
      </c>
    </row>
    <row r="294" ht="15.75" customHeight="1">
      <c r="A294" s="12"/>
      <c r="B294" s="13"/>
      <c r="C294" s="13"/>
      <c r="D294" s="12"/>
      <c r="E294" s="12"/>
      <c r="F294" s="12"/>
      <c r="G294" s="12"/>
      <c r="H294" s="12"/>
      <c r="I294" s="12"/>
      <c r="J294" s="12"/>
      <c r="K294" s="12"/>
      <c r="L294" s="12"/>
      <c r="M294" s="12"/>
      <c r="N294" s="12"/>
      <c r="O294" s="12"/>
      <c r="P294" s="13"/>
      <c r="Q294" s="15" t="str">
        <f t="shared" si="1"/>
        <v/>
      </c>
      <c r="R294" s="12" t="str">
        <f t="shared" si="2"/>
        <v/>
      </c>
    </row>
    <row r="295" ht="15.75" customHeight="1">
      <c r="A295" s="12"/>
      <c r="B295" s="13"/>
      <c r="C295" s="13"/>
      <c r="D295" s="12"/>
      <c r="E295" s="12"/>
      <c r="F295" s="12"/>
      <c r="G295" s="12"/>
      <c r="H295" s="12"/>
      <c r="I295" s="12"/>
      <c r="J295" s="12"/>
      <c r="K295" s="12"/>
      <c r="L295" s="12"/>
      <c r="M295" s="12"/>
      <c r="N295" s="12"/>
      <c r="O295" s="12"/>
      <c r="P295" s="13"/>
      <c r="Q295" s="15" t="str">
        <f t="shared" si="1"/>
        <v/>
      </c>
      <c r="R295" s="12" t="str">
        <f t="shared" si="2"/>
        <v/>
      </c>
    </row>
    <row r="296" ht="15.75" customHeight="1">
      <c r="A296" s="12"/>
      <c r="B296" s="13"/>
      <c r="C296" s="13"/>
      <c r="D296" s="12"/>
      <c r="E296" s="12"/>
      <c r="F296" s="12"/>
      <c r="G296" s="12"/>
      <c r="H296" s="12"/>
      <c r="I296" s="12"/>
      <c r="J296" s="12"/>
      <c r="K296" s="12"/>
      <c r="L296" s="12"/>
      <c r="M296" s="12"/>
      <c r="N296" s="12"/>
      <c r="O296" s="12"/>
      <c r="P296" s="13"/>
      <c r="Q296" s="15" t="str">
        <f t="shared" si="1"/>
        <v/>
      </c>
      <c r="R296" s="12" t="str">
        <f t="shared" si="2"/>
        <v/>
      </c>
    </row>
    <row r="297" ht="15.75" customHeight="1">
      <c r="A297" s="12"/>
      <c r="B297" s="13"/>
      <c r="C297" s="13"/>
      <c r="D297" s="12"/>
      <c r="E297" s="12"/>
      <c r="F297" s="12"/>
      <c r="G297" s="12"/>
      <c r="H297" s="12"/>
      <c r="I297" s="12"/>
      <c r="J297" s="12"/>
      <c r="K297" s="12"/>
      <c r="L297" s="12"/>
      <c r="M297" s="12"/>
      <c r="N297" s="12"/>
      <c r="O297" s="12"/>
      <c r="P297" s="13"/>
      <c r="Q297" s="15" t="str">
        <f t="shared" si="1"/>
        <v/>
      </c>
      <c r="R297" s="12" t="str">
        <f t="shared" si="2"/>
        <v/>
      </c>
    </row>
    <row r="298" ht="15.75" customHeight="1">
      <c r="A298" s="12"/>
      <c r="B298" s="13"/>
      <c r="C298" s="13"/>
      <c r="D298" s="12"/>
      <c r="E298" s="12"/>
      <c r="F298" s="12"/>
      <c r="G298" s="12"/>
      <c r="H298" s="12"/>
      <c r="I298" s="12"/>
      <c r="J298" s="12"/>
      <c r="K298" s="12"/>
      <c r="L298" s="12"/>
      <c r="M298" s="12"/>
      <c r="N298" s="12"/>
      <c r="O298" s="12"/>
      <c r="P298" s="13"/>
      <c r="Q298" s="15" t="str">
        <f t="shared" si="1"/>
        <v/>
      </c>
      <c r="R298" s="12" t="str">
        <f t="shared" si="2"/>
        <v/>
      </c>
    </row>
    <row r="299" ht="15.75" customHeight="1">
      <c r="A299" s="12"/>
      <c r="B299" s="13"/>
      <c r="C299" s="13"/>
      <c r="D299" s="12"/>
      <c r="E299" s="12"/>
      <c r="F299" s="12"/>
      <c r="G299" s="12"/>
      <c r="H299" s="12"/>
      <c r="I299" s="12"/>
      <c r="J299" s="12"/>
      <c r="K299" s="12"/>
      <c r="L299" s="12"/>
      <c r="M299" s="12"/>
      <c r="N299" s="12"/>
      <c r="O299" s="12"/>
      <c r="P299" s="13"/>
      <c r="Q299" s="15" t="str">
        <f t="shared" si="1"/>
        <v/>
      </c>
      <c r="R299" s="12" t="str">
        <f t="shared" si="2"/>
        <v/>
      </c>
    </row>
    <row r="300" ht="15.75" customHeight="1">
      <c r="A300" s="12"/>
      <c r="B300" s="13"/>
      <c r="C300" s="13"/>
      <c r="D300" s="12"/>
      <c r="E300" s="12"/>
      <c r="F300" s="12"/>
      <c r="G300" s="12"/>
      <c r="H300" s="12"/>
      <c r="I300" s="12"/>
      <c r="J300" s="12"/>
      <c r="K300" s="12"/>
      <c r="L300" s="12"/>
      <c r="M300" s="12"/>
      <c r="N300" s="12"/>
      <c r="O300" s="12"/>
      <c r="P300" s="13"/>
      <c r="Q300" s="15" t="str">
        <f t="shared" si="1"/>
        <v/>
      </c>
      <c r="R300" s="12" t="str">
        <f t="shared" si="2"/>
        <v/>
      </c>
    </row>
    <row r="301" ht="15.75" customHeight="1">
      <c r="A301" s="12"/>
      <c r="B301" s="13"/>
      <c r="C301" s="13"/>
      <c r="D301" s="12"/>
      <c r="E301" s="12"/>
      <c r="F301" s="12"/>
      <c r="G301" s="12"/>
      <c r="H301" s="12"/>
      <c r="I301" s="12"/>
      <c r="J301" s="12"/>
      <c r="K301" s="12"/>
      <c r="L301" s="12"/>
      <c r="M301" s="12"/>
      <c r="N301" s="12"/>
      <c r="O301" s="12"/>
      <c r="P301" s="13"/>
      <c r="Q301" s="15" t="str">
        <f t="shared" si="1"/>
        <v/>
      </c>
      <c r="R301" s="12" t="str">
        <f t="shared" si="2"/>
        <v/>
      </c>
    </row>
    <row r="302" ht="15.75" customHeight="1">
      <c r="A302" s="12"/>
      <c r="B302" s="13"/>
      <c r="C302" s="13"/>
      <c r="D302" s="12"/>
      <c r="E302" s="12"/>
      <c r="F302" s="12"/>
      <c r="G302" s="12"/>
      <c r="H302" s="12"/>
      <c r="I302" s="12"/>
      <c r="J302" s="12"/>
      <c r="K302" s="12"/>
      <c r="L302" s="12"/>
      <c r="M302" s="12"/>
      <c r="N302" s="12"/>
      <c r="O302" s="12"/>
      <c r="P302" s="13"/>
      <c r="Q302" s="15" t="str">
        <f t="shared" si="1"/>
        <v/>
      </c>
      <c r="R302" s="12" t="str">
        <f t="shared" si="2"/>
        <v/>
      </c>
    </row>
    <row r="303" ht="15.75" customHeight="1">
      <c r="A303" s="12"/>
      <c r="B303" s="13"/>
      <c r="C303" s="13"/>
      <c r="D303" s="12"/>
      <c r="E303" s="12"/>
      <c r="F303" s="12"/>
      <c r="G303" s="12"/>
      <c r="H303" s="12"/>
      <c r="I303" s="12"/>
      <c r="J303" s="12"/>
      <c r="K303" s="12"/>
      <c r="L303" s="12"/>
      <c r="M303" s="12"/>
      <c r="N303" s="12"/>
      <c r="O303" s="12"/>
      <c r="P303" s="13"/>
      <c r="Q303" s="15" t="str">
        <f t="shared" si="1"/>
        <v/>
      </c>
      <c r="R303" s="12" t="str">
        <f t="shared" si="2"/>
        <v/>
      </c>
    </row>
    <row r="304" ht="15.75" customHeight="1">
      <c r="A304" s="12"/>
      <c r="B304" s="13"/>
      <c r="C304" s="13"/>
      <c r="D304" s="12"/>
      <c r="E304" s="12"/>
      <c r="F304" s="12"/>
      <c r="G304" s="12"/>
      <c r="H304" s="12"/>
      <c r="I304" s="12"/>
      <c r="J304" s="12"/>
      <c r="K304" s="12"/>
      <c r="L304" s="12"/>
      <c r="M304" s="12"/>
      <c r="N304" s="12"/>
      <c r="O304" s="12"/>
      <c r="P304" s="13"/>
      <c r="Q304" s="15" t="str">
        <f t="shared" si="1"/>
        <v/>
      </c>
      <c r="R304" s="12" t="str">
        <f t="shared" si="2"/>
        <v/>
      </c>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conditionalFormatting sqref="J5:J304">
    <cfRule type="expression" dxfId="4" priority="1">
      <formula>J5="Done"</formula>
    </cfRule>
  </conditionalFormatting>
  <conditionalFormatting sqref="J5:J304">
    <cfRule type="expression" dxfId="5" priority="2">
      <formula>J5="In Progress"</formula>
    </cfRule>
  </conditionalFormatting>
  <conditionalFormatting sqref="J5:J304">
    <cfRule type="expression" dxfId="6" priority="3">
      <formula>J5="Blocked"</formula>
    </cfRule>
  </conditionalFormatting>
  <conditionalFormatting sqref="J5:J304">
    <cfRule type="expression" dxfId="7" priority="4">
      <formula>J5="Needs Review"</formula>
    </cfRule>
  </conditionalFormatting>
  <conditionalFormatting sqref="J5:J304">
    <cfRule type="expression" dxfId="7" priority="5">
      <formula>J5="Needs Revalidation"</formula>
    </cfRule>
  </conditionalFormatting>
  <conditionalFormatting sqref="H5:H304">
    <cfRule type="expression" dxfId="6" priority="6">
      <formula>H5="Critical"</formula>
    </cfRule>
  </conditionalFormatting>
  <conditionalFormatting sqref="H5:H304">
    <cfRule type="expression" dxfId="7" priority="7">
      <formula>H5="High"</formula>
    </cfRule>
  </conditionalFormatting>
  <conditionalFormatting sqref="R5:R304">
    <cfRule type="expression" dxfId="6" priority="8">
      <formula>R5="Overdue"</formula>
    </cfRule>
  </conditionalFormatting>
  <conditionalFormatting sqref="R5:R304">
    <cfRule type="expression" dxfId="7" priority="9">
      <formula>R5="Due soon"</formula>
    </cfRule>
  </conditionalFormatting>
  <dataValidations>
    <dataValidation type="list" allowBlank="1" sqref="N5:N304">
      <formula1>"Unassigned,SEO Manager,Content Lead,Developer,QA,Management"</formula1>
    </dataValidation>
    <dataValidation type="list" allowBlank="1" sqref="O5:O304">
      <formula1>"Not Reviewed,Changes Required,Approved"</formula1>
    </dataValidation>
    <dataValidation type="list" allowBlank="1" sqref="I5:I304">
      <formula1>"Unassigned,SEO Manager,Content Lead,Content Writer,Developer,Designer,Outreach,QA,Management"</formula1>
    </dataValidation>
    <dataValidation type="list" allowBlank="1" sqref="D5:D304">
      <formula1>"Daily,Weekly,Monthly,Quarterly,One-time,On publish,On update"</formula1>
    </dataValidation>
    <dataValidation type="list" allowBlank="1" sqref="E5:E304">
      <formula1>"Technical SEO,On-page SEO,Content SEO,Search Console,Analytics,Internal Linking,Backlinks,Schema,AI Visibility,Competitor Research,Reporting,Content Governance"</formula1>
    </dataValidation>
    <dataValidation type="list" allowBlank="1" sqref="H5:H304">
      <formula1>"Critical,High,Medium,Low"</formula1>
    </dataValidation>
    <dataValidation type="list" allowBlank="1" sqref="J5:J304">
      <formula1>"Not Started,In Progress,Needs Review,Needs Revalidation,Blocked,Done"</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8.86"/>
    <col customWidth="1" min="3" max="4" width="13.71"/>
    <col customWidth="1" min="5" max="5" width="9.14"/>
    <col customWidth="1" min="6" max="6" width="25.14"/>
    <col customWidth="1" min="7" max="7" width="32.0"/>
    <col customWidth="1" min="8" max="8" width="34.29"/>
    <col customWidth="1" min="9" max="10" width="18.29"/>
    <col customWidth="1" min="11" max="11" width="38.86"/>
    <col customWidth="1" min="12" max="12" width="18.29"/>
    <col customWidth="1" min="13" max="14" width="16.0"/>
    <col customWidth="1" min="15" max="15" width="43.43"/>
    <col customWidth="1" min="16" max="16" width="51.43"/>
    <col customWidth="1" min="17" max="17" width="29.71"/>
    <col customWidth="1" min="18" max="18" width="14.86"/>
    <col customWidth="1" min="19" max="19" width="38.86"/>
    <col customWidth="1" min="20" max="20" width="29.71"/>
    <col customWidth="1" min="21" max="26" width="9.86"/>
  </cols>
  <sheetData>
    <row r="1" ht="33.75" customHeight="1">
      <c r="A1" s="1" t="s">
        <v>11</v>
      </c>
    </row>
    <row r="2" ht="27.75" customHeight="1">
      <c r="A2" s="2" t="s">
        <v>27</v>
      </c>
    </row>
    <row r="4" ht="30.0" customHeight="1">
      <c r="A4" s="6" t="s">
        <v>35</v>
      </c>
      <c r="B4" s="7" t="s">
        <v>38</v>
      </c>
      <c r="C4" s="7" t="s">
        <v>39</v>
      </c>
      <c r="D4" s="7" t="s">
        <v>41</v>
      </c>
      <c r="E4" s="7" t="s">
        <v>43</v>
      </c>
      <c r="F4" s="7" t="s">
        <v>45</v>
      </c>
      <c r="G4" s="7" t="s">
        <v>47</v>
      </c>
      <c r="H4" s="7" t="s">
        <v>49</v>
      </c>
      <c r="I4" s="7" t="s">
        <v>52</v>
      </c>
      <c r="J4" s="7" t="s">
        <v>54</v>
      </c>
      <c r="K4" s="7" t="s">
        <v>51</v>
      </c>
      <c r="L4" s="7" t="s">
        <v>58</v>
      </c>
      <c r="M4" s="7" t="s">
        <v>21</v>
      </c>
      <c r="N4" s="7" t="s">
        <v>60</v>
      </c>
      <c r="O4" s="7" t="s">
        <v>62</v>
      </c>
      <c r="P4" s="7" t="s">
        <v>64</v>
      </c>
      <c r="Q4" s="7" t="s">
        <v>67</v>
      </c>
      <c r="R4" s="7" t="s">
        <v>70</v>
      </c>
      <c r="S4" s="7" t="s">
        <v>71</v>
      </c>
      <c r="T4" s="11" t="s">
        <v>76</v>
      </c>
    </row>
    <row r="5">
      <c r="A5" s="12" t="s">
        <v>80</v>
      </c>
      <c r="B5" s="12" t="s">
        <v>83</v>
      </c>
      <c r="C5" s="14">
        <v>90.0</v>
      </c>
      <c r="D5" s="14">
        <v>1900.0</v>
      </c>
      <c r="E5" s="14">
        <v>22.0</v>
      </c>
      <c r="F5" s="12" t="s">
        <v>91</v>
      </c>
      <c r="G5" s="12" t="s">
        <v>92</v>
      </c>
      <c r="H5" s="12" t="s">
        <v>92</v>
      </c>
      <c r="I5" s="12" t="s">
        <v>95</v>
      </c>
      <c r="J5" s="12" t="s">
        <v>97</v>
      </c>
      <c r="K5" s="12"/>
      <c r="L5" s="12" t="s">
        <v>101</v>
      </c>
      <c r="M5" s="12" t="s">
        <v>72</v>
      </c>
      <c r="N5" s="18">
        <f t="shared" ref="N5:N304" si="1">IF(OR(C5="",E5=""),"",ROUND((C5/(E5+1))*IF(ISNUMBER(SEARCH("Commercial",F5)),1.25,1),1))</f>
        <v>3.9</v>
      </c>
      <c r="O5" s="12" t="s">
        <v>182</v>
      </c>
      <c r="P5" s="12" t="s">
        <v>184</v>
      </c>
      <c r="Q5" s="12" t="s">
        <v>186</v>
      </c>
      <c r="R5" s="13">
        <v>46230.0</v>
      </c>
      <c r="S5" s="12" t="s">
        <v>193</v>
      </c>
      <c r="T5" s="12"/>
    </row>
    <row r="6">
      <c r="A6" s="12" t="s">
        <v>196</v>
      </c>
      <c r="B6" s="12" t="s">
        <v>197</v>
      </c>
      <c r="C6" s="14">
        <v>40.0</v>
      </c>
      <c r="D6" s="14">
        <v>110.0</v>
      </c>
      <c r="E6" s="14">
        <v>23.0</v>
      </c>
      <c r="F6" s="12" t="s">
        <v>87</v>
      </c>
      <c r="G6" s="12" t="s">
        <v>92</v>
      </c>
      <c r="H6" s="12" t="s">
        <v>92</v>
      </c>
      <c r="I6" s="12" t="s">
        <v>95</v>
      </c>
      <c r="J6" s="12" t="s">
        <v>97</v>
      </c>
      <c r="K6" s="12"/>
      <c r="L6" s="12" t="s">
        <v>101</v>
      </c>
      <c r="M6" s="12" t="s">
        <v>72</v>
      </c>
      <c r="N6" s="18">
        <f t="shared" si="1"/>
        <v>2.1</v>
      </c>
      <c r="O6" s="12"/>
      <c r="P6" s="12"/>
      <c r="Q6" s="12" t="s">
        <v>186</v>
      </c>
      <c r="R6" s="13">
        <v>46230.0</v>
      </c>
      <c r="S6" s="12" t="s">
        <v>193</v>
      </c>
      <c r="T6" s="12"/>
    </row>
    <row r="7">
      <c r="A7" s="12" t="s">
        <v>219</v>
      </c>
      <c r="B7" s="12" t="s">
        <v>224</v>
      </c>
      <c r="C7" s="14">
        <v>40.0</v>
      </c>
      <c r="D7" s="14">
        <v>70.0</v>
      </c>
      <c r="E7" s="14">
        <v>15.0</v>
      </c>
      <c r="F7" s="12" t="s">
        <v>91</v>
      </c>
      <c r="G7" s="12" t="s">
        <v>92</v>
      </c>
      <c r="H7" s="12" t="s">
        <v>92</v>
      </c>
      <c r="I7" s="12" t="s">
        <v>95</v>
      </c>
      <c r="J7" s="12" t="s">
        <v>97</v>
      </c>
      <c r="K7" s="12"/>
      <c r="L7" s="12" t="s">
        <v>101</v>
      </c>
      <c r="M7" s="12" t="s">
        <v>72</v>
      </c>
      <c r="N7" s="18">
        <f t="shared" si="1"/>
        <v>2.5</v>
      </c>
      <c r="O7" s="12"/>
      <c r="P7" s="12"/>
      <c r="Q7" s="12" t="s">
        <v>186</v>
      </c>
      <c r="R7" s="13">
        <v>46230.0</v>
      </c>
      <c r="S7" s="12" t="s">
        <v>193</v>
      </c>
      <c r="T7" s="12"/>
    </row>
    <row r="8">
      <c r="A8" s="12" t="s">
        <v>246</v>
      </c>
      <c r="B8" s="12" t="s">
        <v>247</v>
      </c>
      <c r="C8" s="14">
        <v>50.0</v>
      </c>
      <c r="D8" s="14">
        <v>160.0</v>
      </c>
      <c r="E8" s="14">
        <v>18.0</v>
      </c>
      <c r="F8" s="12" t="s">
        <v>91</v>
      </c>
      <c r="G8" s="12" t="s">
        <v>92</v>
      </c>
      <c r="H8" s="12" t="s">
        <v>92</v>
      </c>
      <c r="I8" s="12" t="s">
        <v>95</v>
      </c>
      <c r="J8" s="12" t="s">
        <v>97</v>
      </c>
      <c r="K8" s="12"/>
      <c r="L8" s="12" t="s">
        <v>101</v>
      </c>
      <c r="M8" s="12" t="s">
        <v>72</v>
      </c>
      <c r="N8" s="18">
        <f t="shared" si="1"/>
        <v>2.6</v>
      </c>
      <c r="O8" s="12"/>
      <c r="P8" s="12"/>
      <c r="Q8" s="12" t="s">
        <v>186</v>
      </c>
      <c r="R8" s="13">
        <v>46230.0</v>
      </c>
      <c r="S8" s="12" t="s">
        <v>193</v>
      </c>
      <c r="T8" s="12"/>
    </row>
    <row r="9">
      <c r="A9" s="12" t="s">
        <v>271</v>
      </c>
      <c r="B9" s="12" t="s">
        <v>272</v>
      </c>
      <c r="C9" s="14">
        <v>70.0</v>
      </c>
      <c r="D9" s="14">
        <v>240.0</v>
      </c>
      <c r="E9" s="14">
        <v>15.0</v>
      </c>
      <c r="F9" s="12" t="s">
        <v>91</v>
      </c>
      <c r="G9" s="12" t="s">
        <v>92</v>
      </c>
      <c r="H9" s="12" t="s">
        <v>92</v>
      </c>
      <c r="I9" s="12" t="s">
        <v>95</v>
      </c>
      <c r="J9" s="12" t="s">
        <v>97</v>
      </c>
      <c r="K9" s="12"/>
      <c r="L9" s="12" t="s">
        <v>101</v>
      </c>
      <c r="M9" s="12" t="s">
        <v>72</v>
      </c>
      <c r="N9" s="18">
        <f t="shared" si="1"/>
        <v>4.4</v>
      </c>
      <c r="O9" s="12"/>
      <c r="P9" s="12"/>
      <c r="Q9" s="12" t="s">
        <v>186</v>
      </c>
      <c r="R9" s="13">
        <v>46230.0</v>
      </c>
      <c r="S9" s="12" t="s">
        <v>193</v>
      </c>
      <c r="T9" s="12"/>
    </row>
    <row r="10">
      <c r="A10" s="12" t="s">
        <v>284</v>
      </c>
      <c r="B10" s="12" t="s">
        <v>285</v>
      </c>
      <c r="C10" s="14">
        <v>30.0</v>
      </c>
      <c r="D10" s="14">
        <v>70.0</v>
      </c>
      <c r="E10" s="14">
        <v>18.0</v>
      </c>
      <c r="F10" s="12" t="s">
        <v>91</v>
      </c>
      <c r="G10" s="12" t="s">
        <v>92</v>
      </c>
      <c r="H10" s="12" t="s">
        <v>92</v>
      </c>
      <c r="I10" s="12" t="s">
        <v>95</v>
      </c>
      <c r="J10" s="12" t="s">
        <v>97</v>
      </c>
      <c r="K10" s="12"/>
      <c r="L10" s="12" t="s">
        <v>101</v>
      </c>
      <c r="M10" s="12" t="s">
        <v>72</v>
      </c>
      <c r="N10" s="18">
        <f t="shared" si="1"/>
        <v>1.6</v>
      </c>
      <c r="O10" s="12"/>
      <c r="P10" s="12"/>
      <c r="Q10" s="12" t="s">
        <v>186</v>
      </c>
      <c r="R10" s="13">
        <v>46230.0</v>
      </c>
      <c r="S10" s="12" t="s">
        <v>193</v>
      </c>
      <c r="T10" s="12"/>
    </row>
    <row r="11">
      <c r="A11" s="12" t="s">
        <v>294</v>
      </c>
      <c r="B11" s="12" t="s">
        <v>295</v>
      </c>
      <c r="C11" s="14">
        <v>70.0</v>
      </c>
      <c r="D11" s="14">
        <v>140.0</v>
      </c>
      <c r="E11" s="14">
        <v>7.0</v>
      </c>
      <c r="F11" s="12" t="s">
        <v>91</v>
      </c>
      <c r="G11" s="12" t="s">
        <v>92</v>
      </c>
      <c r="H11" s="12" t="s">
        <v>92</v>
      </c>
      <c r="I11" s="12" t="s">
        <v>95</v>
      </c>
      <c r="J11" s="12" t="s">
        <v>97</v>
      </c>
      <c r="K11" s="12"/>
      <c r="L11" s="12" t="s">
        <v>101</v>
      </c>
      <c r="M11" s="12" t="s">
        <v>72</v>
      </c>
      <c r="N11" s="18">
        <f t="shared" si="1"/>
        <v>8.8</v>
      </c>
      <c r="O11" s="12"/>
      <c r="P11" s="12"/>
      <c r="Q11" s="12" t="s">
        <v>186</v>
      </c>
      <c r="R11" s="13">
        <v>46230.0</v>
      </c>
      <c r="S11" s="12" t="s">
        <v>193</v>
      </c>
      <c r="T11" s="12"/>
    </row>
    <row r="12">
      <c r="A12" s="12" t="s">
        <v>304</v>
      </c>
      <c r="B12" s="12" t="s">
        <v>306</v>
      </c>
      <c r="C12" s="14">
        <v>90.0</v>
      </c>
      <c r="D12" s="14">
        <v>220.0</v>
      </c>
      <c r="E12" s="14">
        <v>32.0</v>
      </c>
      <c r="F12" s="12" t="s">
        <v>91</v>
      </c>
      <c r="G12" s="12" t="s">
        <v>92</v>
      </c>
      <c r="H12" s="12" t="s">
        <v>92</v>
      </c>
      <c r="I12" s="12" t="s">
        <v>95</v>
      </c>
      <c r="J12" s="12" t="s">
        <v>97</v>
      </c>
      <c r="K12" s="12"/>
      <c r="L12" s="12" t="s">
        <v>101</v>
      </c>
      <c r="M12" s="12" t="s">
        <v>72</v>
      </c>
      <c r="N12" s="18">
        <f t="shared" si="1"/>
        <v>2.7</v>
      </c>
      <c r="O12" s="12"/>
      <c r="P12" s="12"/>
      <c r="Q12" s="12" t="s">
        <v>186</v>
      </c>
      <c r="R12" s="13">
        <v>46230.0</v>
      </c>
      <c r="S12" s="12" t="s">
        <v>193</v>
      </c>
      <c r="T12" s="12"/>
    </row>
    <row r="13">
      <c r="A13" s="12" t="s">
        <v>312</v>
      </c>
      <c r="B13" s="12" t="s">
        <v>313</v>
      </c>
      <c r="C13" s="14">
        <v>70.0</v>
      </c>
      <c r="D13" s="14">
        <v>170.0</v>
      </c>
      <c r="E13" s="14">
        <v>0.0</v>
      </c>
      <c r="F13" s="12" t="s">
        <v>91</v>
      </c>
      <c r="G13" s="12" t="s">
        <v>92</v>
      </c>
      <c r="H13" s="12" t="s">
        <v>92</v>
      </c>
      <c r="I13" s="12" t="s">
        <v>95</v>
      </c>
      <c r="J13" s="12" t="s">
        <v>97</v>
      </c>
      <c r="K13" s="12"/>
      <c r="L13" s="12" t="s">
        <v>101</v>
      </c>
      <c r="M13" s="12" t="s">
        <v>72</v>
      </c>
      <c r="N13" s="18">
        <f t="shared" si="1"/>
        <v>70</v>
      </c>
      <c r="O13" s="12"/>
      <c r="P13" s="12"/>
      <c r="Q13" s="12" t="s">
        <v>186</v>
      </c>
      <c r="R13" s="13">
        <v>46230.0</v>
      </c>
      <c r="S13" s="12" t="s">
        <v>193</v>
      </c>
      <c r="T13" s="12"/>
    </row>
    <row r="14">
      <c r="A14" s="12" t="s">
        <v>320</v>
      </c>
      <c r="B14" s="12" t="s">
        <v>321</v>
      </c>
      <c r="C14" s="14">
        <v>70.0</v>
      </c>
      <c r="D14" s="14">
        <v>270.0</v>
      </c>
      <c r="E14" s="14">
        <v>25.0</v>
      </c>
      <c r="F14" s="12" t="s">
        <v>87</v>
      </c>
      <c r="G14" s="12" t="s">
        <v>92</v>
      </c>
      <c r="H14" s="12" t="s">
        <v>92</v>
      </c>
      <c r="I14" s="12" t="s">
        <v>95</v>
      </c>
      <c r="J14" s="12" t="s">
        <v>44</v>
      </c>
      <c r="K14" s="12"/>
      <c r="L14" s="12" t="s">
        <v>101</v>
      </c>
      <c r="M14" s="12" t="s">
        <v>72</v>
      </c>
      <c r="N14" s="18">
        <f t="shared" si="1"/>
        <v>3.4</v>
      </c>
      <c r="O14" s="12"/>
      <c r="P14" s="12"/>
      <c r="Q14" s="12" t="s">
        <v>186</v>
      </c>
      <c r="R14" s="13">
        <v>46230.0</v>
      </c>
      <c r="S14" s="12" t="s">
        <v>193</v>
      </c>
      <c r="T14" s="12"/>
    </row>
    <row r="15">
      <c r="A15" s="12" t="s">
        <v>326</v>
      </c>
      <c r="B15" s="12" t="s">
        <v>327</v>
      </c>
      <c r="C15" s="14">
        <v>40.0</v>
      </c>
      <c r="D15" s="14">
        <v>230.0</v>
      </c>
      <c r="E15" s="14">
        <v>27.0</v>
      </c>
      <c r="F15" s="12" t="s">
        <v>91</v>
      </c>
      <c r="G15" s="12" t="s">
        <v>92</v>
      </c>
      <c r="H15" s="12" t="s">
        <v>92</v>
      </c>
      <c r="I15" s="12" t="s">
        <v>95</v>
      </c>
      <c r="J15" s="12" t="s">
        <v>97</v>
      </c>
      <c r="K15" s="12"/>
      <c r="L15" s="12" t="s">
        <v>101</v>
      </c>
      <c r="M15" s="12" t="s">
        <v>72</v>
      </c>
      <c r="N15" s="18">
        <f t="shared" si="1"/>
        <v>1.4</v>
      </c>
      <c r="O15" s="12"/>
      <c r="P15" s="12"/>
      <c r="Q15" s="12" t="s">
        <v>186</v>
      </c>
      <c r="R15" s="13">
        <v>46230.0</v>
      </c>
      <c r="S15" s="12" t="s">
        <v>193</v>
      </c>
      <c r="T15" s="12"/>
    </row>
    <row r="16">
      <c r="A16" s="12" t="s">
        <v>333</v>
      </c>
      <c r="B16" s="12" t="s">
        <v>334</v>
      </c>
      <c r="C16" s="14">
        <v>30.0</v>
      </c>
      <c r="D16" s="14">
        <v>100.0</v>
      </c>
      <c r="E16" s="14"/>
      <c r="F16" s="12"/>
      <c r="G16" s="12" t="s">
        <v>92</v>
      </c>
      <c r="H16" s="12" t="s">
        <v>92</v>
      </c>
      <c r="I16" s="12" t="s">
        <v>95</v>
      </c>
      <c r="J16" s="12" t="s">
        <v>97</v>
      </c>
      <c r="K16" s="12"/>
      <c r="L16" s="12" t="s">
        <v>101</v>
      </c>
      <c r="M16" s="12" t="s">
        <v>72</v>
      </c>
      <c r="N16" s="18" t="str">
        <f t="shared" si="1"/>
        <v/>
      </c>
      <c r="O16" s="12"/>
      <c r="P16" s="12"/>
      <c r="Q16" s="12" t="s">
        <v>186</v>
      </c>
      <c r="R16" s="13">
        <v>46230.0</v>
      </c>
      <c r="S16" s="12" t="s">
        <v>193</v>
      </c>
      <c r="T16" s="12"/>
    </row>
    <row r="17">
      <c r="A17" s="12" t="s">
        <v>338</v>
      </c>
      <c r="B17" s="12" t="s">
        <v>339</v>
      </c>
      <c r="C17" s="14">
        <v>90.0</v>
      </c>
      <c r="D17" s="14">
        <v>250.0</v>
      </c>
      <c r="E17" s="14">
        <v>30.0</v>
      </c>
      <c r="F17" s="12" t="s">
        <v>91</v>
      </c>
      <c r="G17" s="12" t="s">
        <v>92</v>
      </c>
      <c r="H17" s="12" t="s">
        <v>92</v>
      </c>
      <c r="I17" s="12" t="s">
        <v>95</v>
      </c>
      <c r="J17" s="12" t="s">
        <v>97</v>
      </c>
      <c r="K17" s="12"/>
      <c r="L17" s="12" t="s">
        <v>101</v>
      </c>
      <c r="M17" s="12" t="s">
        <v>72</v>
      </c>
      <c r="N17" s="18">
        <f t="shared" si="1"/>
        <v>2.9</v>
      </c>
      <c r="O17" s="12"/>
      <c r="P17" s="12"/>
      <c r="Q17" s="12" t="s">
        <v>186</v>
      </c>
      <c r="R17" s="13">
        <v>46230.0</v>
      </c>
      <c r="S17" s="12" t="s">
        <v>193</v>
      </c>
      <c r="T17" s="12"/>
    </row>
    <row r="18">
      <c r="A18" s="12" t="s">
        <v>343</v>
      </c>
      <c r="B18" s="12" t="s">
        <v>344</v>
      </c>
      <c r="C18" s="14">
        <v>40.0</v>
      </c>
      <c r="D18" s="14">
        <v>70.0</v>
      </c>
      <c r="E18" s="14">
        <v>4.0</v>
      </c>
      <c r="F18" s="12" t="s">
        <v>91</v>
      </c>
      <c r="G18" s="12" t="s">
        <v>345</v>
      </c>
      <c r="H18" s="12" t="s">
        <v>345</v>
      </c>
      <c r="I18" s="12" t="s">
        <v>95</v>
      </c>
      <c r="J18" s="12" t="s">
        <v>97</v>
      </c>
      <c r="K18" s="12"/>
      <c r="L18" s="12" t="s">
        <v>101</v>
      </c>
      <c r="M18" s="12" t="s">
        <v>72</v>
      </c>
      <c r="N18" s="18">
        <f t="shared" si="1"/>
        <v>8</v>
      </c>
      <c r="O18" s="12" t="s">
        <v>346</v>
      </c>
      <c r="P18" s="12" t="s">
        <v>348</v>
      </c>
      <c r="Q18" s="12" t="s">
        <v>186</v>
      </c>
      <c r="R18" s="13">
        <v>46230.0</v>
      </c>
      <c r="S18" s="12" t="s">
        <v>193</v>
      </c>
      <c r="T18" s="12"/>
    </row>
    <row r="19">
      <c r="A19" s="12" t="s">
        <v>350</v>
      </c>
      <c r="B19" s="12" t="s">
        <v>351</v>
      </c>
      <c r="C19" s="14">
        <v>50.0</v>
      </c>
      <c r="D19" s="14">
        <v>80.0</v>
      </c>
      <c r="E19" s="14">
        <v>1.0</v>
      </c>
      <c r="F19" s="12" t="s">
        <v>353</v>
      </c>
      <c r="G19" s="12"/>
      <c r="H19" s="12"/>
      <c r="I19" s="12" t="s">
        <v>354</v>
      </c>
      <c r="J19" s="12" t="s">
        <v>97</v>
      </c>
      <c r="K19" s="12"/>
      <c r="L19" s="12" t="s">
        <v>355</v>
      </c>
      <c r="M19" s="12" t="s">
        <v>72</v>
      </c>
      <c r="N19" s="18">
        <f t="shared" si="1"/>
        <v>31.3</v>
      </c>
      <c r="O19" s="12"/>
      <c r="P19" s="12"/>
      <c r="Q19" s="12" t="s">
        <v>186</v>
      </c>
      <c r="R19" s="13">
        <v>46230.0</v>
      </c>
      <c r="S19" s="12" t="s">
        <v>359</v>
      </c>
      <c r="T19" s="12"/>
    </row>
    <row r="20">
      <c r="A20" s="12" t="s">
        <v>360</v>
      </c>
      <c r="B20" s="12" t="s">
        <v>361</v>
      </c>
      <c r="C20" s="14">
        <v>0.0</v>
      </c>
      <c r="D20" s="14">
        <v>10.0</v>
      </c>
      <c r="E20" s="14"/>
      <c r="F20" s="12" t="s">
        <v>91</v>
      </c>
      <c r="G20" s="12"/>
      <c r="H20" s="12"/>
      <c r="I20" s="12" t="s">
        <v>354</v>
      </c>
      <c r="J20" s="12" t="s">
        <v>97</v>
      </c>
      <c r="K20" s="12"/>
      <c r="L20" s="12" t="s">
        <v>355</v>
      </c>
      <c r="M20" s="12" t="s">
        <v>72</v>
      </c>
      <c r="N20" s="18" t="str">
        <f t="shared" si="1"/>
        <v/>
      </c>
      <c r="O20" s="12"/>
      <c r="P20" s="12"/>
      <c r="Q20" s="12" t="s">
        <v>186</v>
      </c>
      <c r="R20" s="13">
        <v>46230.0</v>
      </c>
      <c r="S20" s="12" t="s">
        <v>359</v>
      </c>
      <c r="T20" s="12"/>
    </row>
    <row r="21" ht="15.75" customHeight="1">
      <c r="A21" s="12" t="s">
        <v>365</v>
      </c>
      <c r="B21" s="12" t="s">
        <v>366</v>
      </c>
      <c r="C21" s="14">
        <v>0.0</v>
      </c>
      <c r="D21" s="14">
        <v>140.0</v>
      </c>
      <c r="E21" s="14">
        <v>9.0</v>
      </c>
      <c r="F21" s="12" t="s">
        <v>91</v>
      </c>
      <c r="G21" s="12"/>
      <c r="H21" s="12"/>
      <c r="I21" s="12" t="s">
        <v>354</v>
      </c>
      <c r="J21" s="12" t="s">
        <v>97</v>
      </c>
      <c r="K21" s="12"/>
      <c r="L21" s="12" t="s">
        <v>355</v>
      </c>
      <c r="M21" s="12" t="s">
        <v>72</v>
      </c>
      <c r="N21" s="18">
        <f t="shared" si="1"/>
        <v>0</v>
      </c>
      <c r="O21" s="12"/>
      <c r="P21" s="12"/>
      <c r="Q21" s="12" t="s">
        <v>186</v>
      </c>
      <c r="R21" s="13">
        <v>46230.0</v>
      </c>
      <c r="S21" s="12" t="s">
        <v>359</v>
      </c>
      <c r="T21" s="12"/>
    </row>
    <row r="22" ht="15.75" customHeight="1">
      <c r="A22" s="12" t="s">
        <v>370</v>
      </c>
      <c r="B22" s="12" t="s">
        <v>371</v>
      </c>
      <c r="C22" s="14">
        <v>70.0</v>
      </c>
      <c r="D22" s="14">
        <v>110.0</v>
      </c>
      <c r="E22" s="14">
        <v>6.0</v>
      </c>
      <c r="F22" s="12" t="s">
        <v>91</v>
      </c>
      <c r="G22" s="12"/>
      <c r="H22" s="12"/>
      <c r="I22" s="12" t="s">
        <v>354</v>
      </c>
      <c r="J22" s="12" t="s">
        <v>97</v>
      </c>
      <c r="K22" s="12"/>
      <c r="L22" s="12" t="s">
        <v>355</v>
      </c>
      <c r="M22" s="12" t="s">
        <v>72</v>
      </c>
      <c r="N22" s="18">
        <f t="shared" si="1"/>
        <v>10</v>
      </c>
      <c r="O22" s="12"/>
      <c r="P22" s="12"/>
      <c r="Q22" s="12" t="s">
        <v>186</v>
      </c>
      <c r="R22" s="13">
        <v>46230.0</v>
      </c>
      <c r="S22" s="12" t="s">
        <v>359</v>
      </c>
      <c r="T22" s="12"/>
    </row>
    <row r="23" ht="15.75" customHeight="1">
      <c r="A23" s="12" t="s">
        <v>375</v>
      </c>
      <c r="B23" s="12" t="s">
        <v>376</v>
      </c>
      <c r="C23" s="14"/>
      <c r="D23" s="14"/>
      <c r="E23" s="14"/>
      <c r="F23" s="12" t="s">
        <v>382</v>
      </c>
      <c r="G23" s="12" t="s">
        <v>384</v>
      </c>
      <c r="H23" s="12" t="s">
        <v>384</v>
      </c>
      <c r="I23" s="12" t="s">
        <v>95</v>
      </c>
      <c r="J23" s="12" t="s">
        <v>385</v>
      </c>
      <c r="K23" s="12"/>
      <c r="L23" s="12" t="s">
        <v>101</v>
      </c>
      <c r="M23" s="12" t="s">
        <v>72</v>
      </c>
      <c r="N23" s="18" t="str">
        <f t="shared" si="1"/>
        <v/>
      </c>
      <c r="O23" s="12" t="s">
        <v>389</v>
      </c>
      <c r="P23" s="12" t="s">
        <v>390</v>
      </c>
      <c r="Q23" s="12" t="s">
        <v>186</v>
      </c>
      <c r="R23" s="13">
        <v>46230.0</v>
      </c>
      <c r="S23" s="12" t="s">
        <v>193</v>
      </c>
      <c r="T23" s="12"/>
    </row>
    <row r="24" ht="15.75" customHeight="1">
      <c r="A24" s="12" t="s">
        <v>391</v>
      </c>
      <c r="B24" s="12" t="s">
        <v>392</v>
      </c>
      <c r="C24" s="14">
        <v>18100.0</v>
      </c>
      <c r="D24" s="14">
        <v>18100.0</v>
      </c>
      <c r="E24" s="14">
        <v>28.0</v>
      </c>
      <c r="F24" s="12" t="s">
        <v>91</v>
      </c>
      <c r="G24" s="12" t="s">
        <v>97</v>
      </c>
      <c r="H24" s="12" t="s">
        <v>97</v>
      </c>
      <c r="I24" s="12" t="s">
        <v>95</v>
      </c>
      <c r="J24" s="12" t="s">
        <v>97</v>
      </c>
      <c r="K24" s="12"/>
      <c r="L24" s="12" t="s">
        <v>101</v>
      </c>
      <c r="M24" s="12" t="s">
        <v>72</v>
      </c>
      <c r="N24" s="18">
        <f t="shared" si="1"/>
        <v>624.1</v>
      </c>
      <c r="O24" s="12"/>
      <c r="P24" s="12"/>
      <c r="Q24" s="12" t="s">
        <v>186</v>
      </c>
      <c r="R24" s="13">
        <v>46230.0</v>
      </c>
      <c r="S24" s="12" t="s">
        <v>193</v>
      </c>
      <c r="T24" s="12"/>
    </row>
    <row r="25" ht="15.75" customHeight="1">
      <c r="A25" s="12" t="s">
        <v>396</v>
      </c>
      <c r="B25" s="12" t="s">
        <v>397</v>
      </c>
      <c r="C25" s="14">
        <v>90.0</v>
      </c>
      <c r="D25" s="14">
        <v>310.0</v>
      </c>
      <c r="E25" s="14"/>
      <c r="F25" s="12" t="s">
        <v>91</v>
      </c>
      <c r="G25" s="12" t="s">
        <v>97</v>
      </c>
      <c r="H25" s="12" t="s">
        <v>97</v>
      </c>
      <c r="I25" s="12" t="s">
        <v>95</v>
      </c>
      <c r="J25" s="12" t="s">
        <v>398</v>
      </c>
      <c r="K25" s="12"/>
      <c r="L25" s="12" t="s">
        <v>101</v>
      </c>
      <c r="M25" s="12" t="s">
        <v>72</v>
      </c>
      <c r="N25" s="18" t="str">
        <f t="shared" si="1"/>
        <v/>
      </c>
      <c r="O25" s="12" t="s">
        <v>399</v>
      </c>
      <c r="P25" s="12" t="s">
        <v>400</v>
      </c>
      <c r="Q25" s="12" t="s">
        <v>186</v>
      </c>
      <c r="R25" s="13">
        <v>46230.0</v>
      </c>
      <c r="S25" s="12" t="s">
        <v>193</v>
      </c>
      <c r="T25" s="12"/>
    </row>
    <row r="26" ht="15.75" customHeight="1">
      <c r="A26" s="12" t="s">
        <v>401</v>
      </c>
      <c r="B26" s="12" t="s">
        <v>402</v>
      </c>
      <c r="C26" s="14"/>
      <c r="D26" s="14"/>
      <c r="E26" s="14"/>
      <c r="F26" s="12" t="s">
        <v>91</v>
      </c>
      <c r="G26" s="12" t="s">
        <v>97</v>
      </c>
      <c r="H26" s="12" t="s">
        <v>97</v>
      </c>
      <c r="I26" s="12" t="s">
        <v>95</v>
      </c>
      <c r="J26" s="12" t="s">
        <v>97</v>
      </c>
      <c r="K26" s="12"/>
      <c r="L26" s="12" t="s">
        <v>101</v>
      </c>
      <c r="M26" s="12" t="s">
        <v>72</v>
      </c>
      <c r="N26" s="18" t="str">
        <f t="shared" si="1"/>
        <v/>
      </c>
      <c r="O26" s="12"/>
      <c r="P26" s="12" t="s">
        <v>403</v>
      </c>
      <c r="Q26" s="12" t="s">
        <v>186</v>
      </c>
      <c r="R26" s="13">
        <v>46230.0</v>
      </c>
      <c r="S26" s="12" t="s">
        <v>193</v>
      </c>
      <c r="T26" s="12"/>
    </row>
    <row r="27" ht="15.75" customHeight="1">
      <c r="A27" s="12" t="s">
        <v>404</v>
      </c>
      <c r="B27" s="12" t="s">
        <v>405</v>
      </c>
      <c r="C27" s="14"/>
      <c r="D27" s="14"/>
      <c r="E27" s="14"/>
      <c r="F27" s="12" t="s">
        <v>91</v>
      </c>
      <c r="G27" s="12" t="s">
        <v>97</v>
      </c>
      <c r="H27" s="12" t="s">
        <v>97</v>
      </c>
      <c r="I27" s="12" t="s">
        <v>95</v>
      </c>
      <c r="J27" s="12" t="s">
        <v>97</v>
      </c>
      <c r="K27" s="12"/>
      <c r="L27" s="12" t="s">
        <v>101</v>
      </c>
      <c r="M27" s="12" t="s">
        <v>72</v>
      </c>
      <c r="N27" s="18" t="str">
        <f t="shared" si="1"/>
        <v/>
      </c>
      <c r="O27" s="12"/>
      <c r="P27" s="12" t="s">
        <v>406</v>
      </c>
      <c r="Q27" s="12" t="s">
        <v>186</v>
      </c>
      <c r="R27" s="13">
        <v>46230.0</v>
      </c>
      <c r="S27" s="12" t="s">
        <v>193</v>
      </c>
      <c r="T27" s="12"/>
    </row>
    <row r="28" ht="15.75" customHeight="1">
      <c r="A28" s="12" t="s">
        <v>407</v>
      </c>
      <c r="B28" s="12" t="s">
        <v>408</v>
      </c>
      <c r="C28" s="14"/>
      <c r="D28" s="14"/>
      <c r="E28" s="14"/>
      <c r="F28" s="12" t="s">
        <v>91</v>
      </c>
      <c r="G28" s="12" t="s">
        <v>97</v>
      </c>
      <c r="H28" s="12" t="s">
        <v>97</v>
      </c>
      <c r="I28" s="12" t="s">
        <v>95</v>
      </c>
      <c r="J28" s="12" t="s">
        <v>97</v>
      </c>
      <c r="K28" s="12"/>
      <c r="L28" s="12" t="s">
        <v>101</v>
      </c>
      <c r="M28" s="12" t="s">
        <v>72</v>
      </c>
      <c r="N28" s="18" t="str">
        <f t="shared" si="1"/>
        <v/>
      </c>
      <c r="O28" s="12"/>
      <c r="P28" s="12" t="s">
        <v>409</v>
      </c>
      <c r="Q28" s="12" t="s">
        <v>186</v>
      </c>
      <c r="R28" s="13">
        <v>46230.0</v>
      </c>
      <c r="S28" s="12" t="s">
        <v>193</v>
      </c>
      <c r="T28" s="12"/>
    </row>
    <row r="29" ht="15.75" customHeight="1">
      <c r="A29" s="12" t="s">
        <v>410</v>
      </c>
      <c r="B29" s="12" t="s">
        <v>411</v>
      </c>
      <c r="C29" s="14">
        <v>20.0</v>
      </c>
      <c r="D29" s="14">
        <v>90.0</v>
      </c>
      <c r="E29" s="14"/>
      <c r="F29" s="12" t="s">
        <v>91</v>
      </c>
      <c r="G29" s="12" t="s">
        <v>97</v>
      </c>
      <c r="H29" s="12" t="s">
        <v>97</v>
      </c>
      <c r="I29" s="12" t="s">
        <v>95</v>
      </c>
      <c r="J29" s="12" t="s">
        <v>97</v>
      </c>
      <c r="K29" s="12"/>
      <c r="L29" s="12" t="s">
        <v>101</v>
      </c>
      <c r="M29" s="12" t="s">
        <v>72</v>
      </c>
      <c r="N29" s="18" t="str">
        <f t="shared" si="1"/>
        <v/>
      </c>
      <c r="O29" s="12"/>
      <c r="P29" s="12" t="s">
        <v>412</v>
      </c>
      <c r="Q29" s="12" t="s">
        <v>186</v>
      </c>
      <c r="R29" s="13">
        <v>46230.0</v>
      </c>
      <c r="S29" s="12" t="s">
        <v>193</v>
      </c>
      <c r="T29" s="12"/>
    </row>
    <row r="30" ht="15.75" customHeight="1">
      <c r="A30" s="12" t="s">
        <v>413</v>
      </c>
      <c r="B30" s="12" t="s">
        <v>414</v>
      </c>
      <c r="C30" s="14">
        <v>30.0</v>
      </c>
      <c r="D30" s="14">
        <v>30.0</v>
      </c>
      <c r="E30" s="14"/>
      <c r="F30" s="12" t="s">
        <v>91</v>
      </c>
      <c r="G30" s="12" t="s">
        <v>97</v>
      </c>
      <c r="H30" s="12" t="s">
        <v>97</v>
      </c>
      <c r="I30" s="12" t="s">
        <v>95</v>
      </c>
      <c r="J30" s="12" t="s">
        <v>97</v>
      </c>
      <c r="K30" s="12"/>
      <c r="L30" s="12" t="s">
        <v>101</v>
      </c>
      <c r="M30" s="12" t="s">
        <v>72</v>
      </c>
      <c r="N30" s="18" t="str">
        <f t="shared" si="1"/>
        <v/>
      </c>
      <c r="O30" s="12"/>
      <c r="P30" s="12"/>
      <c r="Q30" s="12" t="s">
        <v>186</v>
      </c>
      <c r="R30" s="13">
        <v>46230.0</v>
      </c>
      <c r="S30" s="12" t="s">
        <v>193</v>
      </c>
      <c r="T30" s="12"/>
    </row>
    <row r="31" ht="15.75" customHeight="1">
      <c r="A31" s="12" t="s">
        <v>415</v>
      </c>
      <c r="B31" s="12" t="s">
        <v>416</v>
      </c>
      <c r="C31" s="14">
        <v>20.0</v>
      </c>
      <c r="D31" s="14">
        <v>100.0</v>
      </c>
      <c r="E31" s="14"/>
      <c r="F31" s="12" t="s">
        <v>91</v>
      </c>
      <c r="G31" s="12" t="s">
        <v>97</v>
      </c>
      <c r="H31" s="12" t="s">
        <v>97</v>
      </c>
      <c r="I31" s="12" t="s">
        <v>95</v>
      </c>
      <c r="J31" s="12" t="s">
        <v>97</v>
      </c>
      <c r="K31" s="12"/>
      <c r="L31" s="12" t="s">
        <v>101</v>
      </c>
      <c r="M31" s="12" t="s">
        <v>72</v>
      </c>
      <c r="N31" s="18" t="str">
        <f t="shared" si="1"/>
        <v/>
      </c>
      <c r="O31" s="12"/>
      <c r="P31" s="12"/>
      <c r="Q31" s="12" t="s">
        <v>186</v>
      </c>
      <c r="R31" s="13">
        <v>46230.0</v>
      </c>
      <c r="S31" s="12" t="s">
        <v>193</v>
      </c>
      <c r="T31" s="12"/>
    </row>
    <row r="32" ht="15.75" customHeight="1">
      <c r="A32" s="12" t="s">
        <v>417</v>
      </c>
      <c r="B32" s="12" t="s">
        <v>418</v>
      </c>
      <c r="C32" s="14">
        <v>20.0</v>
      </c>
      <c r="D32" s="14">
        <v>30.0</v>
      </c>
      <c r="E32" s="14"/>
      <c r="F32" s="12" t="s">
        <v>91</v>
      </c>
      <c r="G32" s="12" t="s">
        <v>97</v>
      </c>
      <c r="H32" s="12" t="s">
        <v>97</v>
      </c>
      <c r="I32" s="12" t="s">
        <v>95</v>
      </c>
      <c r="J32" s="12" t="s">
        <v>97</v>
      </c>
      <c r="K32" s="12"/>
      <c r="L32" s="12" t="s">
        <v>101</v>
      </c>
      <c r="M32" s="12" t="s">
        <v>72</v>
      </c>
      <c r="N32" s="18" t="str">
        <f t="shared" si="1"/>
        <v/>
      </c>
      <c r="O32" s="12"/>
      <c r="P32" s="12"/>
      <c r="Q32" s="12" t="s">
        <v>186</v>
      </c>
      <c r="R32" s="13">
        <v>46230.0</v>
      </c>
      <c r="S32" s="12" t="s">
        <v>193</v>
      </c>
      <c r="T32" s="12"/>
    </row>
    <row r="33" ht="15.75" customHeight="1">
      <c r="A33" s="12" t="s">
        <v>419</v>
      </c>
      <c r="B33" s="12" t="s">
        <v>420</v>
      </c>
      <c r="C33" s="14"/>
      <c r="D33" s="14"/>
      <c r="E33" s="14"/>
      <c r="F33" s="12"/>
      <c r="G33" s="12" t="s">
        <v>44</v>
      </c>
      <c r="H33" s="12" t="s">
        <v>44</v>
      </c>
      <c r="I33" s="12" t="s">
        <v>95</v>
      </c>
      <c r="J33" s="12" t="s">
        <v>97</v>
      </c>
      <c r="K33" s="12"/>
      <c r="L33" s="12" t="s">
        <v>101</v>
      </c>
      <c r="M33" s="12" t="s">
        <v>72</v>
      </c>
      <c r="N33" s="18" t="str">
        <f t="shared" si="1"/>
        <v/>
      </c>
      <c r="O33" s="12"/>
      <c r="P33" s="12"/>
      <c r="Q33" s="12" t="s">
        <v>186</v>
      </c>
      <c r="R33" s="13">
        <v>46230.0</v>
      </c>
      <c r="S33" s="12" t="s">
        <v>193</v>
      </c>
      <c r="T33" s="12"/>
    </row>
    <row r="34" ht="15.75" customHeight="1">
      <c r="A34" s="12" t="s">
        <v>421</v>
      </c>
      <c r="B34" s="12" t="s">
        <v>118</v>
      </c>
      <c r="C34" s="14">
        <v>40.0</v>
      </c>
      <c r="D34" s="14">
        <v>70.0</v>
      </c>
      <c r="E34" s="14">
        <v>31.0</v>
      </c>
      <c r="F34" s="12" t="s">
        <v>154</v>
      </c>
      <c r="G34" s="12" t="s">
        <v>97</v>
      </c>
      <c r="H34" s="12" t="s">
        <v>97</v>
      </c>
      <c r="I34" s="12" t="s">
        <v>95</v>
      </c>
      <c r="J34" s="12" t="s">
        <v>97</v>
      </c>
      <c r="K34" s="12"/>
      <c r="L34" s="12" t="s">
        <v>101</v>
      </c>
      <c r="M34" s="12" t="s">
        <v>72</v>
      </c>
      <c r="N34" s="18">
        <f t="shared" si="1"/>
        <v>1.3</v>
      </c>
      <c r="O34" s="12"/>
      <c r="P34" s="12"/>
      <c r="Q34" s="12" t="s">
        <v>186</v>
      </c>
      <c r="R34" s="13">
        <v>46230.0</v>
      </c>
      <c r="S34" s="12" t="s">
        <v>193</v>
      </c>
      <c r="T34" s="12"/>
    </row>
    <row r="35" ht="15.75" customHeight="1">
      <c r="A35" s="12" t="s">
        <v>422</v>
      </c>
      <c r="B35" s="12" t="s">
        <v>423</v>
      </c>
      <c r="C35" s="14">
        <v>20.0</v>
      </c>
      <c r="D35" s="14">
        <v>220.0</v>
      </c>
      <c r="E35" s="14"/>
      <c r="F35" s="12" t="s">
        <v>91</v>
      </c>
      <c r="G35" s="12" t="s">
        <v>44</v>
      </c>
      <c r="H35" s="12" t="s">
        <v>44</v>
      </c>
      <c r="I35" s="12" t="s">
        <v>95</v>
      </c>
      <c r="J35" s="12" t="s">
        <v>424</v>
      </c>
      <c r="K35" s="12"/>
      <c r="L35" s="12" t="s">
        <v>101</v>
      </c>
      <c r="M35" s="12" t="s">
        <v>72</v>
      </c>
      <c r="N35" s="18" t="str">
        <f t="shared" si="1"/>
        <v/>
      </c>
      <c r="O35" s="12" t="s">
        <v>425</v>
      </c>
      <c r="P35" s="12" t="s">
        <v>426</v>
      </c>
      <c r="Q35" s="12" t="s">
        <v>186</v>
      </c>
      <c r="R35" s="13">
        <v>46230.0</v>
      </c>
      <c r="S35" s="12" t="s">
        <v>193</v>
      </c>
      <c r="T35" s="12"/>
    </row>
    <row r="36" ht="15.75" customHeight="1">
      <c r="A36" s="12" t="s">
        <v>427</v>
      </c>
      <c r="B36" s="12" t="s">
        <v>428</v>
      </c>
      <c r="C36" s="14">
        <v>390.0</v>
      </c>
      <c r="D36" s="14">
        <v>820.0</v>
      </c>
      <c r="E36" s="14">
        <v>21.0</v>
      </c>
      <c r="F36" s="12" t="s">
        <v>154</v>
      </c>
      <c r="G36" s="12" t="s">
        <v>44</v>
      </c>
      <c r="H36" s="12" t="s">
        <v>44</v>
      </c>
      <c r="I36" s="12" t="s">
        <v>95</v>
      </c>
      <c r="J36" s="12" t="s">
        <v>97</v>
      </c>
      <c r="K36" s="12"/>
      <c r="L36" s="12" t="s">
        <v>101</v>
      </c>
      <c r="M36" s="12" t="s">
        <v>72</v>
      </c>
      <c r="N36" s="18">
        <f t="shared" si="1"/>
        <v>17.7</v>
      </c>
      <c r="O36" s="12"/>
      <c r="P36" s="12" t="s">
        <v>426</v>
      </c>
      <c r="Q36" s="12" t="s">
        <v>186</v>
      </c>
      <c r="R36" s="13">
        <v>46230.0</v>
      </c>
      <c r="S36" s="12" t="s">
        <v>193</v>
      </c>
      <c r="T36" s="12"/>
    </row>
    <row r="37" ht="15.75" customHeight="1">
      <c r="A37" s="12" t="s">
        <v>429</v>
      </c>
      <c r="B37" s="12" t="s">
        <v>430</v>
      </c>
      <c r="C37" s="14">
        <v>70.0</v>
      </c>
      <c r="D37" s="14">
        <v>70.0</v>
      </c>
      <c r="E37" s="14">
        <v>9.0</v>
      </c>
      <c r="F37" s="12" t="s">
        <v>87</v>
      </c>
      <c r="G37" s="12" t="s">
        <v>97</v>
      </c>
      <c r="H37" s="12" t="s">
        <v>97</v>
      </c>
      <c r="I37" s="12" t="s">
        <v>95</v>
      </c>
      <c r="J37" s="12" t="s">
        <v>97</v>
      </c>
      <c r="K37" s="12"/>
      <c r="L37" s="12" t="s">
        <v>101</v>
      </c>
      <c r="M37" s="12" t="s">
        <v>72</v>
      </c>
      <c r="N37" s="18">
        <f t="shared" si="1"/>
        <v>8.8</v>
      </c>
      <c r="O37" s="12"/>
      <c r="P37" s="12"/>
      <c r="Q37" s="12" t="s">
        <v>186</v>
      </c>
      <c r="R37" s="13">
        <v>46230.0</v>
      </c>
      <c r="S37" s="12" t="s">
        <v>193</v>
      </c>
      <c r="T37" s="12"/>
    </row>
    <row r="38" ht="15.75" customHeight="1">
      <c r="A38" s="12" t="s">
        <v>431</v>
      </c>
      <c r="B38" s="12" t="s">
        <v>432</v>
      </c>
      <c r="C38" s="14">
        <v>20.0</v>
      </c>
      <c r="D38" s="14">
        <v>70.0</v>
      </c>
      <c r="E38" s="14"/>
      <c r="F38" s="12" t="s">
        <v>91</v>
      </c>
      <c r="G38" s="12" t="s">
        <v>97</v>
      </c>
      <c r="H38" s="12" t="s">
        <v>97</v>
      </c>
      <c r="I38" s="12" t="s">
        <v>95</v>
      </c>
      <c r="J38" s="12" t="s">
        <v>97</v>
      </c>
      <c r="K38" s="12"/>
      <c r="L38" s="12" t="s">
        <v>101</v>
      </c>
      <c r="M38" s="12" t="s">
        <v>72</v>
      </c>
      <c r="N38" s="18" t="str">
        <f t="shared" si="1"/>
        <v/>
      </c>
      <c r="O38" s="12"/>
      <c r="P38" s="12"/>
      <c r="Q38" s="12" t="s">
        <v>186</v>
      </c>
      <c r="R38" s="13">
        <v>46230.0</v>
      </c>
      <c r="S38" s="12" t="s">
        <v>193</v>
      </c>
      <c r="T38" s="12"/>
    </row>
    <row r="39" ht="15.75" customHeight="1">
      <c r="A39" s="12" t="s">
        <v>433</v>
      </c>
      <c r="B39" s="12" t="s">
        <v>434</v>
      </c>
      <c r="C39" s="14"/>
      <c r="D39" s="14"/>
      <c r="E39" s="14"/>
      <c r="F39" s="12" t="s">
        <v>91</v>
      </c>
      <c r="G39" s="12" t="s">
        <v>97</v>
      </c>
      <c r="H39" s="12" t="s">
        <v>97</v>
      </c>
      <c r="I39" s="12" t="s">
        <v>95</v>
      </c>
      <c r="J39" s="12" t="s">
        <v>97</v>
      </c>
      <c r="K39" s="12"/>
      <c r="L39" s="12" t="s">
        <v>101</v>
      </c>
      <c r="M39" s="12" t="s">
        <v>72</v>
      </c>
      <c r="N39" s="18" t="str">
        <f t="shared" si="1"/>
        <v/>
      </c>
      <c r="O39" s="12"/>
      <c r="P39" s="12"/>
      <c r="Q39" s="12" t="s">
        <v>186</v>
      </c>
      <c r="R39" s="13">
        <v>46230.0</v>
      </c>
      <c r="S39" s="12" t="s">
        <v>193</v>
      </c>
      <c r="T39" s="12"/>
    </row>
    <row r="40" ht="15.75" customHeight="1">
      <c r="A40" s="12" t="s">
        <v>438</v>
      </c>
      <c r="B40" s="12" t="s">
        <v>439</v>
      </c>
      <c r="C40" s="14"/>
      <c r="D40" s="14"/>
      <c r="E40" s="14"/>
      <c r="F40" s="12"/>
      <c r="G40" s="12" t="s">
        <v>44</v>
      </c>
      <c r="H40" s="12" t="s">
        <v>44</v>
      </c>
      <c r="I40" s="12" t="s">
        <v>95</v>
      </c>
      <c r="J40" s="12" t="s">
        <v>444</v>
      </c>
      <c r="K40" s="12"/>
      <c r="L40" s="12" t="s">
        <v>101</v>
      </c>
      <c r="M40" s="12" t="s">
        <v>72</v>
      </c>
      <c r="N40" s="18" t="str">
        <f t="shared" si="1"/>
        <v/>
      </c>
      <c r="O40" s="12" t="s">
        <v>448</v>
      </c>
      <c r="P40" s="12"/>
      <c r="Q40" s="12" t="s">
        <v>186</v>
      </c>
      <c r="R40" s="13">
        <v>46230.0</v>
      </c>
      <c r="S40" s="12" t="s">
        <v>193</v>
      </c>
      <c r="T40" s="12"/>
    </row>
    <row r="41" ht="15.75" customHeight="1">
      <c r="A41" s="12" t="s">
        <v>452</v>
      </c>
      <c r="B41" s="12" t="s">
        <v>453</v>
      </c>
      <c r="C41" s="14"/>
      <c r="D41" s="14"/>
      <c r="E41" s="14"/>
      <c r="F41" s="12"/>
      <c r="G41" s="12" t="s">
        <v>97</v>
      </c>
      <c r="H41" s="12" t="s">
        <v>97</v>
      </c>
      <c r="I41" s="12" t="s">
        <v>95</v>
      </c>
      <c r="J41" s="12" t="s">
        <v>97</v>
      </c>
      <c r="K41" s="12"/>
      <c r="L41" s="12" t="s">
        <v>101</v>
      </c>
      <c r="M41" s="12" t="s">
        <v>72</v>
      </c>
      <c r="N41" s="18" t="str">
        <f t="shared" si="1"/>
        <v/>
      </c>
      <c r="O41" s="12"/>
      <c r="P41" s="12"/>
      <c r="Q41" s="12" t="s">
        <v>186</v>
      </c>
      <c r="R41" s="13">
        <v>46230.0</v>
      </c>
      <c r="S41" s="12" t="s">
        <v>193</v>
      </c>
      <c r="T41" s="12"/>
    </row>
    <row r="42" ht="15.75" customHeight="1">
      <c r="A42" s="12" t="s">
        <v>460</v>
      </c>
      <c r="B42" s="12" t="s">
        <v>461</v>
      </c>
      <c r="C42" s="14">
        <v>50.0</v>
      </c>
      <c r="D42" s="14">
        <v>140.0</v>
      </c>
      <c r="E42" s="14">
        <v>19.0</v>
      </c>
      <c r="F42" s="12" t="s">
        <v>91</v>
      </c>
      <c r="G42" s="12" t="s">
        <v>97</v>
      </c>
      <c r="H42" s="12" t="s">
        <v>97</v>
      </c>
      <c r="I42" s="12" t="s">
        <v>95</v>
      </c>
      <c r="J42" s="12" t="s">
        <v>97</v>
      </c>
      <c r="K42" s="12"/>
      <c r="L42" s="12" t="s">
        <v>101</v>
      </c>
      <c r="M42" s="12" t="s">
        <v>72</v>
      </c>
      <c r="N42" s="18">
        <f t="shared" si="1"/>
        <v>2.5</v>
      </c>
      <c r="O42" s="12"/>
      <c r="P42" s="12"/>
      <c r="Q42" s="12" t="s">
        <v>186</v>
      </c>
      <c r="R42" s="13">
        <v>46230.0</v>
      </c>
      <c r="S42" s="12" t="s">
        <v>193</v>
      </c>
      <c r="T42" s="12"/>
    </row>
    <row r="43" ht="15.75" customHeight="1">
      <c r="A43" s="12" t="s">
        <v>469</v>
      </c>
      <c r="B43" s="12" t="s">
        <v>470</v>
      </c>
      <c r="C43" s="14">
        <v>110.0</v>
      </c>
      <c r="D43" s="14">
        <v>390.0</v>
      </c>
      <c r="E43" s="14">
        <v>20.0</v>
      </c>
      <c r="F43" s="12" t="s">
        <v>472</v>
      </c>
      <c r="G43" s="12" t="s">
        <v>97</v>
      </c>
      <c r="H43" s="12" t="s">
        <v>97</v>
      </c>
      <c r="I43" s="12" t="s">
        <v>95</v>
      </c>
      <c r="J43" s="12" t="s">
        <v>97</v>
      </c>
      <c r="K43" s="12"/>
      <c r="L43" s="12" t="s">
        <v>101</v>
      </c>
      <c r="M43" s="12" t="s">
        <v>72</v>
      </c>
      <c r="N43" s="18">
        <f t="shared" si="1"/>
        <v>6.5</v>
      </c>
      <c r="O43" s="12"/>
      <c r="P43" s="12"/>
      <c r="Q43" s="12" t="s">
        <v>186</v>
      </c>
      <c r="R43" s="13">
        <v>46230.0</v>
      </c>
      <c r="S43" s="12" t="s">
        <v>193</v>
      </c>
      <c r="T43" s="12"/>
    </row>
    <row r="44" ht="15.75" customHeight="1">
      <c r="A44" s="12" t="s">
        <v>480</v>
      </c>
      <c r="B44" s="12" t="s">
        <v>481</v>
      </c>
      <c r="C44" s="14">
        <v>140.0</v>
      </c>
      <c r="D44" s="14">
        <v>490.0</v>
      </c>
      <c r="E44" s="14">
        <v>17.0</v>
      </c>
      <c r="F44" s="12" t="s">
        <v>154</v>
      </c>
      <c r="G44" s="12" t="s">
        <v>97</v>
      </c>
      <c r="H44" s="12" t="s">
        <v>97</v>
      </c>
      <c r="I44" s="12" t="s">
        <v>95</v>
      </c>
      <c r="J44" s="12" t="s">
        <v>97</v>
      </c>
      <c r="K44" s="12"/>
      <c r="L44" s="12" t="s">
        <v>101</v>
      </c>
      <c r="M44" s="12" t="s">
        <v>72</v>
      </c>
      <c r="N44" s="18">
        <f t="shared" si="1"/>
        <v>7.8</v>
      </c>
      <c r="O44" s="12"/>
      <c r="P44" s="12"/>
      <c r="Q44" s="12" t="s">
        <v>186</v>
      </c>
      <c r="R44" s="13">
        <v>46230.0</v>
      </c>
      <c r="S44" s="12" t="s">
        <v>193</v>
      </c>
      <c r="T44" s="12"/>
    </row>
    <row r="45" ht="15.75" customHeight="1">
      <c r="A45" s="12" t="s">
        <v>499</v>
      </c>
      <c r="B45" s="12" t="s">
        <v>501</v>
      </c>
      <c r="C45" s="14">
        <v>20.0</v>
      </c>
      <c r="D45" s="14">
        <v>60.0</v>
      </c>
      <c r="E45" s="14"/>
      <c r="F45" s="12" t="s">
        <v>91</v>
      </c>
      <c r="G45" s="12" t="s">
        <v>97</v>
      </c>
      <c r="H45" s="12" t="s">
        <v>97</v>
      </c>
      <c r="I45" s="12" t="s">
        <v>95</v>
      </c>
      <c r="J45" s="12" t="s">
        <v>507</v>
      </c>
      <c r="K45" s="12"/>
      <c r="L45" s="12" t="s">
        <v>101</v>
      </c>
      <c r="M45" s="12" t="s">
        <v>72</v>
      </c>
      <c r="N45" s="18" t="str">
        <f t="shared" si="1"/>
        <v/>
      </c>
      <c r="O45" s="12" t="s">
        <v>514</v>
      </c>
      <c r="P45" s="12" t="s">
        <v>426</v>
      </c>
      <c r="Q45" s="12" t="s">
        <v>186</v>
      </c>
      <c r="R45" s="13">
        <v>46230.0</v>
      </c>
      <c r="S45" s="12" t="s">
        <v>193</v>
      </c>
      <c r="T45" s="12"/>
    </row>
    <row r="46" ht="15.75" customHeight="1">
      <c r="A46" s="12" t="s">
        <v>517</v>
      </c>
      <c r="B46" s="12" t="s">
        <v>518</v>
      </c>
      <c r="C46" s="14"/>
      <c r="D46" s="14"/>
      <c r="E46" s="14"/>
      <c r="F46" s="12"/>
      <c r="G46" s="12" t="s">
        <v>44</v>
      </c>
      <c r="H46" s="12" t="s">
        <v>44</v>
      </c>
      <c r="I46" s="12" t="s">
        <v>95</v>
      </c>
      <c r="J46" s="12" t="s">
        <v>97</v>
      </c>
      <c r="K46" s="12"/>
      <c r="L46" s="12" t="s">
        <v>101</v>
      </c>
      <c r="M46" s="12" t="s">
        <v>72</v>
      </c>
      <c r="N46" s="18" t="str">
        <f t="shared" si="1"/>
        <v/>
      </c>
      <c r="O46" s="12"/>
      <c r="P46" s="12"/>
      <c r="Q46" s="12" t="s">
        <v>186</v>
      </c>
      <c r="R46" s="13">
        <v>46230.0</v>
      </c>
      <c r="S46" s="12" t="s">
        <v>193</v>
      </c>
      <c r="T46" s="12"/>
    </row>
    <row r="47" ht="15.75" customHeight="1">
      <c r="A47" s="12" t="s">
        <v>532</v>
      </c>
      <c r="B47" s="12" t="s">
        <v>533</v>
      </c>
      <c r="C47" s="14">
        <v>10.0</v>
      </c>
      <c r="D47" s="14">
        <v>30.0</v>
      </c>
      <c r="E47" s="14"/>
      <c r="F47" s="12"/>
      <c r="G47" s="12" t="s">
        <v>97</v>
      </c>
      <c r="H47" s="12" t="s">
        <v>97</v>
      </c>
      <c r="I47" s="12" t="s">
        <v>95</v>
      </c>
      <c r="J47" s="12" t="s">
        <v>97</v>
      </c>
      <c r="K47" s="12"/>
      <c r="L47" s="12" t="s">
        <v>101</v>
      </c>
      <c r="M47" s="12" t="s">
        <v>72</v>
      </c>
      <c r="N47" s="18" t="str">
        <f t="shared" si="1"/>
        <v/>
      </c>
      <c r="O47" s="12"/>
      <c r="P47" s="12"/>
      <c r="Q47" s="12" t="s">
        <v>186</v>
      </c>
      <c r="R47" s="13">
        <v>46230.0</v>
      </c>
      <c r="S47" s="12" t="s">
        <v>193</v>
      </c>
      <c r="T47" s="12"/>
    </row>
    <row r="48" ht="15.75" customHeight="1">
      <c r="A48" s="12" t="s">
        <v>542</v>
      </c>
      <c r="B48" s="12" t="s">
        <v>543</v>
      </c>
      <c r="C48" s="14"/>
      <c r="D48" s="14"/>
      <c r="E48" s="14"/>
      <c r="F48" s="12"/>
      <c r="G48" s="12" t="s">
        <v>97</v>
      </c>
      <c r="H48" s="12" t="s">
        <v>97</v>
      </c>
      <c r="I48" s="12" t="s">
        <v>95</v>
      </c>
      <c r="J48" s="12" t="s">
        <v>97</v>
      </c>
      <c r="K48" s="12"/>
      <c r="L48" s="12" t="s">
        <v>101</v>
      </c>
      <c r="M48" s="12" t="s">
        <v>72</v>
      </c>
      <c r="N48" s="18" t="str">
        <f t="shared" si="1"/>
        <v/>
      </c>
      <c r="O48" s="12"/>
      <c r="P48" s="12"/>
      <c r="Q48" s="12" t="s">
        <v>186</v>
      </c>
      <c r="R48" s="13">
        <v>46230.0</v>
      </c>
      <c r="S48" s="12" t="s">
        <v>193</v>
      </c>
      <c r="T48" s="12"/>
    </row>
    <row r="49" ht="15.75" customHeight="1">
      <c r="A49" s="12" t="s">
        <v>544</v>
      </c>
      <c r="B49" s="12" t="s">
        <v>545</v>
      </c>
      <c r="C49" s="14">
        <v>20.0</v>
      </c>
      <c r="D49" s="14">
        <v>20.0</v>
      </c>
      <c r="E49" s="14"/>
      <c r="F49" s="12"/>
      <c r="G49" s="12" t="s">
        <v>97</v>
      </c>
      <c r="H49" s="12" t="s">
        <v>97</v>
      </c>
      <c r="I49" s="12" t="s">
        <v>95</v>
      </c>
      <c r="J49" s="12" t="s">
        <v>97</v>
      </c>
      <c r="K49" s="12"/>
      <c r="L49" s="12" t="s">
        <v>101</v>
      </c>
      <c r="M49" s="12" t="s">
        <v>72</v>
      </c>
      <c r="N49" s="18" t="str">
        <f t="shared" si="1"/>
        <v/>
      </c>
      <c r="O49" s="12"/>
      <c r="P49" s="12"/>
      <c r="Q49" s="12" t="s">
        <v>186</v>
      </c>
      <c r="R49" s="13">
        <v>46230.0</v>
      </c>
      <c r="S49" s="12" t="s">
        <v>193</v>
      </c>
      <c r="T49" s="12"/>
    </row>
    <row r="50" ht="15.75" customHeight="1">
      <c r="A50" s="12" t="s">
        <v>546</v>
      </c>
      <c r="B50" s="12" t="s">
        <v>547</v>
      </c>
      <c r="C50" s="14"/>
      <c r="D50" s="14"/>
      <c r="E50" s="14"/>
      <c r="F50" s="12"/>
      <c r="G50" s="12" t="s">
        <v>97</v>
      </c>
      <c r="H50" s="12" t="s">
        <v>97</v>
      </c>
      <c r="I50" s="12" t="s">
        <v>95</v>
      </c>
      <c r="J50" s="12" t="s">
        <v>97</v>
      </c>
      <c r="K50" s="12"/>
      <c r="L50" s="12" t="s">
        <v>101</v>
      </c>
      <c r="M50" s="12" t="s">
        <v>72</v>
      </c>
      <c r="N50" s="18" t="str">
        <f t="shared" si="1"/>
        <v/>
      </c>
      <c r="O50" s="12"/>
      <c r="P50" s="12"/>
      <c r="Q50" s="12" t="s">
        <v>186</v>
      </c>
      <c r="R50" s="13">
        <v>46230.0</v>
      </c>
      <c r="S50" s="12" t="s">
        <v>193</v>
      </c>
      <c r="T50" s="12"/>
    </row>
    <row r="51" ht="15.75" customHeight="1">
      <c r="A51" s="12" t="s">
        <v>548</v>
      </c>
      <c r="B51" s="12" t="s">
        <v>549</v>
      </c>
      <c r="C51" s="14"/>
      <c r="D51" s="14"/>
      <c r="E51" s="14"/>
      <c r="F51" s="12"/>
      <c r="G51" s="12" t="s">
        <v>97</v>
      </c>
      <c r="H51" s="12" t="s">
        <v>97</v>
      </c>
      <c r="I51" s="12" t="s">
        <v>95</v>
      </c>
      <c r="J51" s="12" t="s">
        <v>97</v>
      </c>
      <c r="K51" s="12"/>
      <c r="L51" s="12" t="s">
        <v>101</v>
      </c>
      <c r="M51" s="12" t="s">
        <v>72</v>
      </c>
      <c r="N51" s="18" t="str">
        <f t="shared" si="1"/>
        <v/>
      </c>
      <c r="O51" s="12"/>
      <c r="P51" s="12"/>
      <c r="Q51" s="12" t="s">
        <v>186</v>
      </c>
      <c r="R51" s="13">
        <v>46230.0</v>
      </c>
      <c r="S51" s="12" t="s">
        <v>193</v>
      </c>
      <c r="T51" s="12"/>
    </row>
    <row r="52" ht="15.75" customHeight="1">
      <c r="A52" s="12" t="s">
        <v>550</v>
      </c>
      <c r="B52" s="12" t="s">
        <v>551</v>
      </c>
      <c r="C52" s="14">
        <v>20.0</v>
      </c>
      <c r="D52" s="14">
        <v>110.0</v>
      </c>
      <c r="E52" s="14"/>
      <c r="F52" s="12"/>
      <c r="G52" s="12" t="s">
        <v>97</v>
      </c>
      <c r="H52" s="12" t="s">
        <v>97</v>
      </c>
      <c r="I52" s="12" t="s">
        <v>95</v>
      </c>
      <c r="J52" s="12" t="s">
        <v>552</v>
      </c>
      <c r="K52" s="12"/>
      <c r="L52" s="12" t="s">
        <v>101</v>
      </c>
      <c r="M52" s="12" t="s">
        <v>72</v>
      </c>
      <c r="N52" s="18" t="str">
        <f t="shared" si="1"/>
        <v/>
      </c>
      <c r="O52" s="12" t="s">
        <v>553</v>
      </c>
      <c r="P52" s="12"/>
      <c r="Q52" s="12" t="s">
        <v>186</v>
      </c>
      <c r="R52" s="13">
        <v>46230.0</v>
      </c>
      <c r="S52" s="12" t="s">
        <v>193</v>
      </c>
      <c r="T52" s="12"/>
    </row>
    <row r="53" ht="15.75" customHeight="1">
      <c r="A53" s="12" t="s">
        <v>554</v>
      </c>
      <c r="B53" s="12" t="s">
        <v>555</v>
      </c>
      <c r="C53" s="14">
        <v>70.0</v>
      </c>
      <c r="D53" s="14">
        <v>100.0</v>
      </c>
      <c r="E53" s="14">
        <v>8.0</v>
      </c>
      <c r="F53" s="12" t="s">
        <v>87</v>
      </c>
      <c r="G53" s="12" t="s">
        <v>97</v>
      </c>
      <c r="H53" s="12" t="s">
        <v>97</v>
      </c>
      <c r="I53" s="12" t="s">
        <v>95</v>
      </c>
      <c r="J53" s="12" t="s">
        <v>97</v>
      </c>
      <c r="K53" s="12"/>
      <c r="L53" s="12" t="s">
        <v>101</v>
      </c>
      <c r="M53" s="12" t="s">
        <v>72</v>
      </c>
      <c r="N53" s="18">
        <f t="shared" si="1"/>
        <v>9.7</v>
      </c>
      <c r="O53" s="12"/>
      <c r="P53" s="12"/>
      <c r="Q53" s="12" t="s">
        <v>186</v>
      </c>
      <c r="R53" s="13">
        <v>46230.0</v>
      </c>
      <c r="S53" s="12" t="s">
        <v>193</v>
      </c>
      <c r="T53" s="12"/>
    </row>
    <row r="54" ht="15.75" customHeight="1">
      <c r="A54" s="12" t="s">
        <v>556</v>
      </c>
      <c r="B54" s="12" t="s">
        <v>557</v>
      </c>
      <c r="C54" s="14">
        <v>50.0</v>
      </c>
      <c r="D54" s="14">
        <v>50.0</v>
      </c>
      <c r="E54" s="14">
        <v>0.0</v>
      </c>
      <c r="F54" s="12" t="s">
        <v>154</v>
      </c>
      <c r="G54" s="12" t="s">
        <v>97</v>
      </c>
      <c r="H54" s="12" t="s">
        <v>97</v>
      </c>
      <c r="I54" s="12" t="s">
        <v>95</v>
      </c>
      <c r="J54" s="12" t="s">
        <v>97</v>
      </c>
      <c r="K54" s="12"/>
      <c r="L54" s="12" t="s">
        <v>101</v>
      </c>
      <c r="M54" s="12" t="s">
        <v>72</v>
      </c>
      <c r="N54" s="18">
        <f t="shared" si="1"/>
        <v>50</v>
      </c>
      <c r="O54" s="12"/>
      <c r="P54" s="12"/>
      <c r="Q54" s="12" t="s">
        <v>186</v>
      </c>
      <c r="R54" s="13">
        <v>46230.0</v>
      </c>
      <c r="S54" s="12" t="s">
        <v>193</v>
      </c>
      <c r="T54" s="12"/>
    </row>
    <row r="55" ht="15.75" customHeight="1">
      <c r="A55" s="12" t="s">
        <v>558</v>
      </c>
      <c r="B55" s="12" t="s">
        <v>559</v>
      </c>
      <c r="C55" s="14">
        <v>20.0</v>
      </c>
      <c r="D55" s="14">
        <v>60.0</v>
      </c>
      <c r="E55" s="14"/>
      <c r="F55" s="12"/>
      <c r="G55" s="12" t="s">
        <v>97</v>
      </c>
      <c r="H55" s="12" t="s">
        <v>97</v>
      </c>
      <c r="I55" s="12" t="s">
        <v>95</v>
      </c>
      <c r="J55" s="12" t="s">
        <v>97</v>
      </c>
      <c r="K55" s="12"/>
      <c r="L55" s="12" t="s">
        <v>101</v>
      </c>
      <c r="M55" s="12" t="s">
        <v>72</v>
      </c>
      <c r="N55" s="18" t="str">
        <f t="shared" si="1"/>
        <v/>
      </c>
      <c r="O55" s="12"/>
      <c r="P55" s="12"/>
      <c r="Q55" s="12" t="s">
        <v>186</v>
      </c>
      <c r="R55" s="13">
        <v>46230.0</v>
      </c>
      <c r="S55" s="12" t="s">
        <v>193</v>
      </c>
      <c r="T55" s="12"/>
    </row>
    <row r="56" ht="15.75" customHeight="1">
      <c r="A56" s="12" t="s">
        <v>560</v>
      </c>
      <c r="B56" s="12" t="s">
        <v>561</v>
      </c>
      <c r="C56" s="14"/>
      <c r="D56" s="14"/>
      <c r="E56" s="14"/>
      <c r="F56" s="12"/>
      <c r="G56" s="12" t="s">
        <v>97</v>
      </c>
      <c r="H56" s="12" t="s">
        <v>97</v>
      </c>
      <c r="I56" s="12" t="s">
        <v>95</v>
      </c>
      <c r="J56" s="12" t="s">
        <v>97</v>
      </c>
      <c r="K56" s="12"/>
      <c r="L56" s="12" t="s">
        <v>101</v>
      </c>
      <c r="M56" s="12" t="s">
        <v>72</v>
      </c>
      <c r="N56" s="18" t="str">
        <f t="shared" si="1"/>
        <v/>
      </c>
      <c r="O56" s="12"/>
      <c r="P56" s="12"/>
      <c r="Q56" s="12" t="s">
        <v>186</v>
      </c>
      <c r="R56" s="13">
        <v>46230.0</v>
      </c>
      <c r="S56" s="12" t="s">
        <v>193</v>
      </c>
      <c r="T56" s="12"/>
    </row>
    <row r="57" ht="15.75" customHeight="1">
      <c r="A57" s="12" t="s">
        <v>562</v>
      </c>
      <c r="B57" s="12" t="s">
        <v>563</v>
      </c>
      <c r="C57" s="14"/>
      <c r="D57" s="14"/>
      <c r="E57" s="14"/>
      <c r="F57" s="12"/>
      <c r="G57" s="12" t="s">
        <v>97</v>
      </c>
      <c r="H57" s="12" t="s">
        <v>97</v>
      </c>
      <c r="I57" s="12" t="s">
        <v>95</v>
      </c>
      <c r="J57" s="12" t="s">
        <v>97</v>
      </c>
      <c r="K57" s="12"/>
      <c r="L57" s="12" t="s">
        <v>101</v>
      </c>
      <c r="M57" s="12" t="s">
        <v>72</v>
      </c>
      <c r="N57" s="18" t="str">
        <f t="shared" si="1"/>
        <v/>
      </c>
      <c r="O57" s="12"/>
      <c r="P57" s="12"/>
      <c r="Q57" s="12" t="s">
        <v>186</v>
      </c>
      <c r="R57" s="13">
        <v>46230.0</v>
      </c>
      <c r="S57" s="12" t="s">
        <v>193</v>
      </c>
      <c r="T57" s="12"/>
    </row>
    <row r="58" ht="15.75" customHeight="1">
      <c r="A58" s="12" t="s">
        <v>564</v>
      </c>
      <c r="B58" s="12" t="s">
        <v>565</v>
      </c>
      <c r="C58" s="14"/>
      <c r="D58" s="14"/>
      <c r="E58" s="14"/>
      <c r="F58" s="12"/>
      <c r="G58" s="12" t="s">
        <v>97</v>
      </c>
      <c r="H58" s="12" t="s">
        <v>97</v>
      </c>
      <c r="I58" s="12" t="s">
        <v>95</v>
      </c>
      <c r="J58" s="12" t="s">
        <v>97</v>
      </c>
      <c r="K58" s="12"/>
      <c r="L58" s="12" t="s">
        <v>101</v>
      </c>
      <c r="M58" s="12" t="s">
        <v>72</v>
      </c>
      <c r="N58" s="18" t="str">
        <f t="shared" si="1"/>
        <v/>
      </c>
      <c r="O58" s="12"/>
      <c r="P58" s="12"/>
      <c r="Q58" s="12" t="s">
        <v>186</v>
      </c>
      <c r="R58" s="13">
        <v>46230.0</v>
      </c>
      <c r="S58" s="12" t="s">
        <v>193</v>
      </c>
      <c r="T58" s="12"/>
    </row>
    <row r="59" ht="15.75" customHeight="1">
      <c r="A59" s="12" t="s">
        <v>566</v>
      </c>
      <c r="B59" s="12" t="s">
        <v>567</v>
      </c>
      <c r="C59" s="14"/>
      <c r="D59" s="14"/>
      <c r="E59" s="14"/>
      <c r="F59" s="12"/>
      <c r="G59" s="12" t="s">
        <v>97</v>
      </c>
      <c r="H59" s="12" t="s">
        <v>97</v>
      </c>
      <c r="I59" s="12" t="s">
        <v>95</v>
      </c>
      <c r="J59" s="12" t="s">
        <v>97</v>
      </c>
      <c r="K59" s="12"/>
      <c r="L59" s="12" t="s">
        <v>101</v>
      </c>
      <c r="M59" s="12" t="s">
        <v>72</v>
      </c>
      <c r="N59" s="18" t="str">
        <f t="shared" si="1"/>
        <v/>
      </c>
      <c r="O59" s="12"/>
      <c r="P59" s="12"/>
      <c r="Q59" s="12" t="s">
        <v>186</v>
      </c>
      <c r="R59" s="13">
        <v>46230.0</v>
      </c>
      <c r="S59" s="12" t="s">
        <v>193</v>
      </c>
      <c r="T59" s="12"/>
    </row>
    <row r="60" ht="15.75" customHeight="1">
      <c r="A60" s="12" t="s">
        <v>568</v>
      </c>
      <c r="B60" s="12" t="s">
        <v>569</v>
      </c>
      <c r="C60" s="14"/>
      <c r="D60" s="14"/>
      <c r="E60" s="14"/>
      <c r="F60" s="12"/>
      <c r="G60" s="12" t="s">
        <v>97</v>
      </c>
      <c r="H60" s="12" t="s">
        <v>97</v>
      </c>
      <c r="I60" s="12" t="s">
        <v>95</v>
      </c>
      <c r="J60" s="12" t="s">
        <v>97</v>
      </c>
      <c r="K60" s="12"/>
      <c r="L60" s="12" t="s">
        <v>101</v>
      </c>
      <c r="M60" s="12" t="s">
        <v>72</v>
      </c>
      <c r="N60" s="18" t="str">
        <f t="shared" si="1"/>
        <v/>
      </c>
      <c r="O60" s="12"/>
      <c r="P60" s="12"/>
      <c r="Q60" s="12" t="s">
        <v>186</v>
      </c>
      <c r="R60" s="13">
        <v>46230.0</v>
      </c>
      <c r="S60" s="12" t="s">
        <v>193</v>
      </c>
      <c r="T60" s="12"/>
    </row>
    <row r="61" ht="15.75" customHeight="1">
      <c r="A61" s="12" t="s">
        <v>570</v>
      </c>
      <c r="B61" s="12" t="s">
        <v>571</v>
      </c>
      <c r="C61" s="14"/>
      <c r="D61" s="14"/>
      <c r="E61" s="14"/>
      <c r="F61" s="12"/>
      <c r="G61" s="12" t="s">
        <v>44</v>
      </c>
      <c r="H61" s="12" t="s">
        <v>44</v>
      </c>
      <c r="I61" s="12" t="s">
        <v>95</v>
      </c>
      <c r="J61" s="12" t="s">
        <v>97</v>
      </c>
      <c r="K61" s="12"/>
      <c r="L61" s="12" t="s">
        <v>101</v>
      </c>
      <c r="M61" s="12" t="s">
        <v>72</v>
      </c>
      <c r="N61" s="18" t="str">
        <f t="shared" si="1"/>
        <v/>
      </c>
      <c r="O61" s="12"/>
      <c r="P61" s="12"/>
      <c r="Q61" s="12" t="s">
        <v>186</v>
      </c>
      <c r="R61" s="13">
        <v>46230.0</v>
      </c>
      <c r="S61" s="12" t="s">
        <v>193</v>
      </c>
      <c r="T61" s="12"/>
    </row>
    <row r="62" ht="15.75" customHeight="1">
      <c r="A62" s="12" t="s">
        <v>572</v>
      </c>
      <c r="B62" s="12" t="s">
        <v>573</v>
      </c>
      <c r="C62" s="14"/>
      <c r="D62" s="14"/>
      <c r="E62" s="14"/>
      <c r="F62" s="12"/>
      <c r="G62" s="12" t="s">
        <v>44</v>
      </c>
      <c r="H62" s="12" t="s">
        <v>44</v>
      </c>
      <c r="I62" s="12" t="s">
        <v>95</v>
      </c>
      <c r="J62" s="12" t="s">
        <v>97</v>
      </c>
      <c r="K62" s="12"/>
      <c r="L62" s="12" t="s">
        <v>101</v>
      </c>
      <c r="M62" s="12" t="s">
        <v>72</v>
      </c>
      <c r="N62" s="18" t="str">
        <f t="shared" si="1"/>
        <v/>
      </c>
      <c r="O62" s="12"/>
      <c r="P62" s="12"/>
      <c r="Q62" s="12" t="s">
        <v>186</v>
      </c>
      <c r="R62" s="13">
        <v>46230.0</v>
      </c>
      <c r="S62" s="12" t="s">
        <v>193</v>
      </c>
      <c r="T62" s="12"/>
    </row>
    <row r="63" ht="15.75" customHeight="1">
      <c r="A63" s="12" t="s">
        <v>574</v>
      </c>
      <c r="B63" s="12" t="s">
        <v>575</v>
      </c>
      <c r="C63" s="14">
        <v>30.0</v>
      </c>
      <c r="D63" s="14">
        <v>70.0</v>
      </c>
      <c r="E63" s="14">
        <v>21.0</v>
      </c>
      <c r="F63" s="12" t="s">
        <v>87</v>
      </c>
      <c r="G63" s="12" t="s">
        <v>576</v>
      </c>
      <c r="H63" s="12" t="s">
        <v>576</v>
      </c>
      <c r="I63" s="12" t="s">
        <v>95</v>
      </c>
      <c r="J63" s="12" t="s">
        <v>97</v>
      </c>
      <c r="K63" s="12"/>
      <c r="L63" s="12" t="s">
        <v>101</v>
      </c>
      <c r="M63" s="12" t="s">
        <v>72</v>
      </c>
      <c r="N63" s="18">
        <f t="shared" si="1"/>
        <v>1.7</v>
      </c>
      <c r="O63" s="12"/>
      <c r="P63" s="12"/>
      <c r="Q63" s="12" t="s">
        <v>577</v>
      </c>
      <c r="R63" s="13">
        <v>46230.0</v>
      </c>
      <c r="S63" s="12" t="s">
        <v>193</v>
      </c>
      <c r="T63" s="12"/>
    </row>
    <row r="64" ht="15.75" customHeight="1">
      <c r="A64" s="12" t="s">
        <v>578</v>
      </c>
      <c r="B64" s="12" t="s">
        <v>579</v>
      </c>
      <c r="C64" s="14">
        <v>1300.0</v>
      </c>
      <c r="D64" s="14">
        <v>2700.0</v>
      </c>
      <c r="E64" s="14">
        <v>5.0</v>
      </c>
      <c r="F64" s="12" t="s">
        <v>91</v>
      </c>
      <c r="G64" s="12" t="s">
        <v>576</v>
      </c>
      <c r="H64" s="12" t="s">
        <v>576</v>
      </c>
      <c r="I64" s="12" t="s">
        <v>95</v>
      </c>
      <c r="J64" s="12" t="s">
        <v>44</v>
      </c>
      <c r="K64" s="12"/>
      <c r="L64" s="12" t="s">
        <v>101</v>
      </c>
      <c r="M64" s="12" t="s">
        <v>72</v>
      </c>
      <c r="N64" s="18">
        <f t="shared" si="1"/>
        <v>216.7</v>
      </c>
      <c r="O64" s="12"/>
      <c r="P64" s="12"/>
      <c r="Q64" s="12" t="s">
        <v>577</v>
      </c>
      <c r="R64" s="13">
        <v>46230.0</v>
      </c>
      <c r="S64" s="12" t="s">
        <v>193</v>
      </c>
      <c r="T64" s="12"/>
    </row>
    <row r="65" ht="15.75" customHeight="1">
      <c r="A65" s="12" t="s">
        <v>580</v>
      </c>
      <c r="B65" s="12" t="s">
        <v>581</v>
      </c>
      <c r="C65" s="14">
        <v>880.0</v>
      </c>
      <c r="D65" s="14">
        <v>1600.0</v>
      </c>
      <c r="E65" s="14">
        <v>32.0</v>
      </c>
      <c r="F65" s="12" t="s">
        <v>91</v>
      </c>
      <c r="G65" s="12" t="s">
        <v>576</v>
      </c>
      <c r="H65" s="12" t="s">
        <v>576</v>
      </c>
      <c r="I65" s="12" t="s">
        <v>95</v>
      </c>
      <c r="J65" s="12" t="s">
        <v>97</v>
      </c>
      <c r="K65" s="12"/>
      <c r="L65" s="12" t="s">
        <v>101</v>
      </c>
      <c r="M65" s="12" t="s">
        <v>72</v>
      </c>
      <c r="N65" s="18">
        <f t="shared" si="1"/>
        <v>26.7</v>
      </c>
      <c r="O65" s="12"/>
      <c r="P65" s="12"/>
      <c r="Q65" s="12" t="s">
        <v>577</v>
      </c>
      <c r="R65" s="13">
        <v>46230.0</v>
      </c>
      <c r="S65" s="12" t="s">
        <v>193</v>
      </c>
      <c r="T65" s="12"/>
    </row>
    <row r="66" ht="15.75" customHeight="1">
      <c r="A66" s="12" t="s">
        <v>582</v>
      </c>
      <c r="B66" s="12" t="s">
        <v>583</v>
      </c>
      <c r="C66" s="14">
        <v>880.0</v>
      </c>
      <c r="D66" s="14">
        <v>2100.0</v>
      </c>
      <c r="E66" s="14">
        <v>47.0</v>
      </c>
      <c r="F66" s="12" t="s">
        <v>91</v>
      </c>
      <c r="G66" s="12" t="s">
        <v>576</v>
      </c>
      <c r="H66" s="12" t="s">
        <v>576</v>
      </c>
      <c r="I66" s="12" t="s">
        <v>95</v>
      </c>
      <c r="J66" s="12" t="s">
        <v>97</v>
      </c>
      <c r="K66" s="12"/>
      <c r="L66" s="12" t="s">
        <v>101</v>
      </c>
      <c r="M66" s="12" t="s">
        <v>72</v>
      </c>
      <c r="N66" s="18">
        <f t="shared" si="1"/>
        <v>18.3</v>
      </c>
      <c r="O66" s="12"/>
      <c r="P66" s="12"/>
      <c r="Q66" s="12" t="s">
        <v>577</v>
      </c>
      <c r="R66" s="13">
        <v>46230.0</v>
      </c>
      <c r="S66" s="12" t="s">
        <v>193</v>
      </c>
      <c r="T66" s="12"/>
    </row>
    <row r="67" ht="15.75" customHeight="1">
      <c r="A67" s="12" t="s">
        <v>584</v>
      </c>
      <c r="B67" s="12" t="s">
        <v>585</v>
      </c>
      <c r="C67" s="14">
        <v>390.0</v>
      </c>
      <c r="D67" s="14">
        <v>720.0</v>
      </c>
      <c r="E67" s="14">
        <v>25.0</v>
      </c>
      <c r="F67" s="12" t="s">
        <v>91</v>
      </c>
      <c r="G67" s="12" t="s">
        <v>576</v>
      </c>
      <c r="H67" s="12" t="s">
        <v>576</v>
      </c>
      <c r="I67" s="12" t="s">
        <v>95</v>
      </c>
      <c r="J67" s="12" t="s">
        <v>97</v>
      </c>
      <c r="K67" s="12"/>
      <c r="L67" s="12" t="s">
        <v>101</v>
      </c>
      <c r="M67" s="12" t="s">
        <v>72</v>
      </c>
      <c r="N67" s="18">
        <f t="shared" si="1"/>
        <v>15</v>
      </c>
      <c r="O67" s="12"/>
      <c r="P67" s="12"/>
      <c r="Q67" s="12" t="s">
        <v>577</v>
      </c>
      <c r="R67" s="13">
        <v>46230.0</v>
      </c>
      <c r="S67" s="12" t="s">
        <v>193</v>
      </c>
      <c r="T67" s="12"/>
    </row>
    <row r="68" ht="15.75" customHeight="1">
      <c r="A68" s="12" t="s">
        <v>586</v>
      </c>
      <c r="B68" s="12" t="s">
        <v>587</v>
      </c>
      <c r="C68" s="14">
        <v>590.0</v>
      </c>
      <c r="D68" s="14">
        <v>1800.0</v>
      </c>
      <c r="E68" s="14">
        <v>9.0</v>
      </c>
      <c r="F68" s="12" t="s">
        <v>91</v>
      </c>
      <c r="G68" s="12" t="s">
        <v>576</v>
      </c>
      <c r="H68" s="12" t="s">
        <v>576</v>
      </c>
      <c r="I68" s="12" t="s">
        <v>95</v>
      </c>
      <c r="J68" s="12" t="s">
        <v>97</v>
      </c>
      <c r="K68" s="12"/>
      <c r="L68" s="12" t="s">
        <v>101</v>
      </c>
      <c r="M68" s="12" t="s">
        <v>72</v>
      </c>
      <c r="N68" s="18">
        <f t="shared" si="1"/>
        <v>59</v>
      </c>
      <c r="O68" s="12"/>
      <c r="P68" s="12"/>
      <c r="Q68" s="12" t="s">
        <v>577</v>
      </c>
      <c r="R68" s="13">
        <v>46230.0</v>
      </c>
      <c r="S68" s="12" t="s">
        <v>193</v>
      </c>
      <c r="T68" s="12"/>
    </row>
    <row r="69" ht="15.75" customHeight="1">
      <c r="A69" s="12" t="s">
        <v>588</v>
      </c>
      <c r="B69" s="12" t="s">
        <v>589</v>
      </c>
      <c r="C69" s="14">
        <v>390.0</v>
      </c>
      <c r="D69" s="14">
        <v>730.0</v>
      </c>
      <c r="E69" s="14">
        <v>20.0</v>
      </c>
      <c r="F69" s="12" t="s">
        <v>91</v>
      </c>
      <c r="G69" s="12" t="s">
        <v>576</v>
      </c>
      <c r="H69" s="12" t="s">
        <v>576</v>
      </c>
      <c r="I69" s="12" t="s">
        <v>95</v>
      </c>
      <c r="J69" s="12" t="s">
        <v>97</v>
      </c>
      <c r="K69" s="12"/>
      <c r="L69" s="12" t="s">
        <v>101</v>
      </c>
      <c r="M69" s="12" t="s">
        <v>72</v>
      </c>
      <c r="N69" s="18">
        <f t="shared" si="1"/>
        <v>18.6</v>
      </c>
      <c r="O69" s="12"/>
      <c r="P69" s="12"/>
      <c r="Q69" s="12" t="s">
        <v>577</v>
      </c>
      <c r="R69" s="13">
        <v>46230.0</v>
      </c>
      <c r="S69" s="12" t="s">
        <v>193</v>
      </c>
      <c r="T69" s="12"/>
    </row>
    <row r="70" ht="15.75" customHeight="1">
      <c r="A70" s="12" t="s">
        <v>590</v>
      </c>
      <c r="B70" s="12" t="s">
        <v>591</v>
      </c>
      <c r="C70" s="14">
        <v>390.0</v>
      </c>
      <c r="D70" s="14">
        <v>600.0</v>
      </c>
      <c r="E70" s="14">
        <v>6.0</v>
      </c>
      <c r="F70" s="12" t="s">
        <v>91</v>
      </c>
      <c r="G70" s="12" t="s">
        <v>592</v>
      </c>
      <c r="H70" s="12" t="s">
        <v>592</v>
      </c>
      <c r="I70" s="12" t="s">
        <v>95</v>
      </c>
      <c r="J70" s="12" t="s">
        <v>44</v>
      </c>
      <c r="K70" s="12"/>
      <c r="L70" s="12" t="s">
        <v>101</v>
      </c>
      <c r="M70" s="12" t="s">
        <v>72</v>
      </c>
      <c r="N70" s="18">
        <f t="shared" si="1"/>
        <v>55.7</v>
      </c>
      <c r="O70" s="12"/>
      <c r="P70" s="12"/>
      <c r="Q70" s="12" t="s">
        <v>577</v>
      </c>
      <c r="R70" s="13">
        <v>46230.0</v>
      </c>
      <c r="S70" s="12" t="s">
        <v>193</v>
      </c>
      <c r="T70" s="12"/>
    </row>
    <row r="71" ht="15.75" customHeight="1">
      <c r="A71" s="12" t="s">
        <v>593</v>
      </c>
      <c r="B71" s="12" t="s">
        <v>594</v>
      </c>
      <c r="C71" s="14">
        <v>20.0</v>
      </c>
      <c r="D71" s="14">
        <v>20.0</v>
      </c>
      <c r="E71" s="14">
        <v>0.0</v>
      </c>
      <c r="F71" s="12" t="s">
        <v>353</v>
      </c>
      <c r="G71" s="12" t="s">
        <v>595</v>
      </c>
      <c r="H71" s="12" t="s">
        <v>595</v>
      </c>
      <c r="I71" s="12" t="s">
        <v>95</v>
      </c>
      <c r="J71" s="12" t="s">
        <v>97</v>
      </c>
      <c r="K71" s="12"/>
      <c r="L71" s="12" t="s">
        <v>101</v>
      </c>
      <c r="M71" s="12" t="s">
        <v>72</v>
      </c>
      <c r="N71" s="18">
        <f t="shared" si="1"/>
        <v>25</v>
      </c>
      <c r="O71" s="12"/>
      <c r="P71" s="12"/>
      <c r="Q71" s="12" t="s">
        <v>577</v>
      </c>
      <c r="R71" s="13">
        <v>46230.0</v>
      </c>
      <c r="S71" s="12" t="s">
        <v>193</v>
      </c>
      <c r="T71" s="12"/>
    </row>
    <row r="72" ht="15.75" customHeight="1">
      <c r="A72" s="12" t="s">
        <v>596</v>
      </c>
      <c r="B72" s="12" t="s">
        <v>597</v>
      </c>
      <c r="C72" s="14">
        <v>480.0</v>
      </c>
      <c r="D72" s="14">
        <v>2300.0</v>
      </c>
      <c r="E72" s="14">
        <v>42.0</v>
      </c>
      <c r="F72" s="12" t="s">
        <v>91</v>
      </c>
      <c r="G72" s="12" t="s">
        <v>595</v>
      </c>
      <c r="H72" s="12" t="s">
        <v>595</v>
      </c>
      <c r="I72" s="12" t="s">
        <v>95</v>
      </c>
      <c r="J72" s="12" t="s">
        <v>97</v>
      </c>
      <c r="K72" s="12"/>
      <c r="L72" s="12" t="s">
        <v>101</v>
      </c>
      <c r="M72" s="12" t="s">
        <v>72</v>
      </c>
      <c r="N72" s="18">
        <f t="shared" si="1"/>
        <v>11.2</v>
      </c>
      <c r="O72" s="12"/>
      <c r="P72" s="12"/>
      <c r="Q72" s="12" t="s">
        <v>577</v>
      </c>
      <c r="R72" s="13">
        <v>46230.0</v>
      </c>
      <c r="S72" s="12" t="s">
        <v>193</v>
      </c>
      <c r="T72" s="12"/>
    </row>
    <row r="73" ht="15.75" customHeight="1">
      <c r="A73" s="12" t="s">
        <v>598</v>
      </c>
      <c r="B73" s="12" t="s">
        <v>599</v>
      </c>
      <c r="C73" s="14">
        <v>3600.0</v>
      </c>
      <c r="D73" s="14">
        <v>11400.0</v>
      </c>
      <c r="E73" s="14">
        <v>24.0</v>
      </c>
      <c r="F73" s="12" t="s">
        <v>91</v>
      </c>
      <c r="G73" s="12" t="s">
        <v>600</v>
      </c>
      <c r="H73" s="12" t="s">
        <v>600</v>
      </c>
      <c r="I73" s="12" t="s">
        <v>95</v>
      </c>
      <c r="J73" s="12" t="s">
        <v>97</v>
      </c>
      <c r="K73" s="12"/>
      <c r="L73" s="12" t="s">
        <v>101</v>
      </c>
      <c r="M73" s="12" t="s">
        <v>72</v>
      </c>
      <c r="N73" s="18">
        <f t="shared" si="1"/>
        <v>144</v>
      </c>
      <c r="O73" s="12"/>
      <c r="P73" s="12"/>
      <c r="Q73" s="12" t="s">
        <v>577</v>
      </c>
      <c r="R73" s="13">
        <v>46230.0</v>
      </c>
      <c r="S73" s="12" t="s">
        <v>193</v>
      </c>
      <c r="T73" s="12"/>
    </row>
    <row r="74" ht="15.75" customHeight="1">
      <c r="A74" s="12" t="s">
        <v>601</v>
      </c>
      <c r="B74" s="12" t="s">
        <v>602</v>
      </c>
      <c r="C74" s="14">
        <v>1900.0</v>
      </c>
      <c r="D74" s="14">
        <v>4500.0</v>
      </c>
      <c r="E74" s="14">
        <v>17.0</v>
      </c>
      <c r="F74" s="12" t="s">
        <v>353</v>
      </c>
      <c r="G74" s="12" t="s">
        <v>600</v>
      </c>
      <c r="H74" s="12" t="s">
        <v>600</v>
      </c>
      <c r="I74" s="12" t="s">
        <v>95</v>
      </c>
      <c r="J74" s="12" t="s">
        <v>97</v>
      </c>
      <c r="K74" s="12"/>
      <c r="L74" s="12" t="s">
        <v>101</v>
      </c>
      <c r="M74" s="12" t="s">
        <v>72</v>
      </c>
      <c r="N74" s="18">
        <f t="shared" si="1"/>
        <v>131.9</v>
      </c>
      <c r="O74" s="12"/>
      <c r="P74" s="12"/>
      <c r="Q74" s="12" t="s">
        <v>577</v>
      </c>
      <c r="R74" s="13">
        <v>46230.0</v>
      </c>
      <c r="S74" s="12" t="s">
        <v>193</v>
      </c>
      <c r="T74" s="12"/>
    </row>
    <row r="75" ht="15.75" customHeight="1">
      <c r="A75" s="12" t="s">
        <v>603</v>
      </c>
      <c r="B75" s="12" t="s">
        <v>604</v>
      </c>
      <c r="C75" s="14">
        <v>590.0</v>
      </c>
      <c r="D75" s="14">
        <v>1200.0</v>
      </c>
      <c r="E75" s="14">
        <v>5.0</v>
      </c>
      <c r="F75" s="12" t="s">
        <v>91</v>
      </c>
      <c r="G75" s="12" t="s">
        <v>600</v>
      </c>
      <c r="H75" s="12" t="s">
        <v>600</v>
      </c>
      <c r="I75" s="12" t="s">
        <v>95</v>
      </c>
      <c r="J75" s="12" t="s">
        <v>44</v>
      </c>
      <c r="K75" s="12"/>
      <c r="L75" s="12" t="s">
        <v>101</v>
      </c>
      <c r="M75" s="12" t="s">
        <v>72</v>
      </c>
      <c r="N75" s="18">
        <f t="shared" si="1"/>
        <v>98.3</v>
      </c>
      <c r="O75" s="12"/>
      <c r="P75" s="12"/>
      <c r="Q75" s="12" t="s">
        <v>577</v>
      </c>
      <c r="R75" s="13">
        <v>46230.0</v>
      </c>
      <c r="S75" s="12" t="s">
        <v>193</v>
      </c>
      <c r="T75" s="12"/>
    </row>
    <row r="76" ht="15.75" customHeight="1">
      <c r="A76" s="12" t="s">
        <v>605</v>
      </c>
      <c r="B76" s="12" t="s">
        <v>606</v>
      </c>
      <c r="C76" s="14">
        <v>590.0</v>
      </c>
      <c r="D76" s="14">
        <v>1900.0</v>
      </c>
      <c r="E76" s="14">
        <v>27.0</v>
      </c>
      <c r="F76" s="12" t="s">
        <v>91</v>
      </c>
      <c r="G76" s="12" t="s">
        <v>600</v>
      </c>
      <c r="H76" s="12" t="s">
        <v>600</v>
      </c>
      <c r="I76" s="12" t="s">
        <v>95</v>
      </c>
      <c r="J76" s="12" t="s">
        <v>44</v>
      </c>
      <c r="K76" s="12"/>
      <c r="L76" s="12" t="s">
        <v>101</v>
      </c>
      <c r="M76" s="12" t="s">
        <v>72</v>
      </c>
      <c r="N76" s="18">
        <f t="shared" si="1"/>
        <v>21.1</v>
      </c>
      <c r="O76" s="12"/>
      <c r="P76" s="12"/>
      <c r="Q76" s="12" t="s">
        <v>577</v>
      </c>
      <c r="R76" s="13">
        <v>46230.0</v>
      </c>
      <c r="S76" s="12" t="s">
        <v>193</v>
      </c>
      <c r="T76" s="12"/>
    </row>
    <row r="77" ht="15.75" customHeight="1">
      <c r="A77" s="12" t="s">
        <v>607</v>
      </c>
      <c r="B77" s="12" t="s">
        <v>608</v>
      </c>
      <c r="C77" s="14">
        <v>260.0</v>
      </c>
      <c r="D77" s="14">
        <v>540.0</v>
      </c>
      <c r="E77" s="14">
        <v>23.0</v>
      </c>
      <c r="F77" s="12" t="s">
        <v>91</v>
      </c>
      <c r="G77" s="12" t="s">
        <v>600</v>
      </c>
      <c r="H77" s="12" t="s">
        <v>600</v>
      </c>
      <c r="I77" s="12" t="s">
        <v>95</v>
      </c>
      <c r="J77" s="12" t="s">
        <v>97</v>
      </c>
      <c r="K77" s="12"/>
      <c r="L77" s="12" t="s">
        <v>101</v>
      </c>
      <c r="M77" s="12" t="s">
        <v>72</v>
      </c>
      <c r="N77" s="18">
        <f t="shared" si="1"/>
        <v>10.8</v>
      </c>
      <c r="O77" s="12"/>
      <c r="P77" s="12"/>
      <c r="Q77" s="12" t="s">
        <v>577</v>
      </c>
      <c r="R77" s="13">
        <v>46230.0</v>
      </c>
      <c r="S77" s="12" t="s">
        <v>193</v>
      </c>
      <c r="T77" s="12"/>
    </row>
    <row r="78" ht="15.75" customHeight="1">
      <c r="A78" s="12" t="s">
        <v>609</v>
      </c>
      <c r="B78" s="12" t="s">
        <v>610</v>
      </c>
      <c r="C78" s="14">
        <v>320.0</v>
      </c>
      <c r="D78" s="14">
        <v>620.0</v>
      </c>
      <c r="E78" s="14">
        <v>18.0</v>
      </c>
      <c r="F78" s="12" t="s">
        <v>91</v>
      </c>
      <c r="G78" s="12" t="s">
        <v>600</v>
      </c>
      <c r="H78" s="12" t="s">
        <v>600</v>
      </c>
      <c r="I78" s="12" t="s">
        <v>95</v>
      </c>
      <c r="J78" s="12" t="s">
        <v>97</v>
      </c>
      <c r="K78" s="12"/>
      <c r="L78" s="12" t="s">
        <v>101</v>
      </c>
      <c r="M78" s="12" t="s">
        <v>72</v>
      </c>
      <c r="N78" s="18">
        <f t="shared" si="1"/>
        <v>16.8</v>
      </c>
      <c r="O78" s="12"/>
      <c r="P78" s="12"/>
      <c r="Q78" s="12" t="s">
        <v>577</v>
      </c>
      <c r="R78" s="13">
        <v>46230.0</v>
      </c>
      <c r="S78" s="12" t="s">
        <v>193</v>
      </c>
      <c r="T78" s="12"/>
    </row>
    <row r="79" ht="15.75" customHeight="1">
      <c r="A79" s="12" t="s">
        <v>611</v>
      </c>
      <c r="B79" s="12" t="s">
        <v>612</v>
      </c>
      <c r="C79" s="14">
        <v>90.0</v>
      </c>
      <c r="D79" s="14">
        <v>120.0</v>
      </c>
      <c r="E79" s="14">
        <v>4.0</v>
      </c>
      <c r="F79" s="12" t="s">
        <v>91</v>
      </c>
      <c r="G79" s="12" t="s">
        <v>600</v>
      </c>
      <c r="H79" s="12" t="s">
        <v>600</v>
      </c>
      <c r="I79" s="12" t="s">
        <v>95</v>
      </c>
      <c r="J79" s="12" t="s">
        <v>97</v>
      </c>
      <c r="K79" s="12"/>
      <c r="L79" s="12" t="s">
        <v>101</v>
      </c>
      <c r="M79" s="12" t="s">
        <v>72</v>
      </c>
      <c r="N79" s="18">
        <f t="shared" si="1"/>
        <v>18</v>
      </c>
      <c r="O79" s="12"/>
      <c r="P79" s="12"/>
      <c r="Q79" s="12" t="s">
        <v>577</v>
      </c>
      <c r="R79" s="13">
        <v>46230.0</v>
      </c>
      <c r="S79" s="12" t="s">
        <v>193</v>
      </c>
      <c r="T79" s="12"/>
    </row>
    <row r="80" ht="15.75" customHeight="1">
      <c r="A80" s="12" t="s">
        <v>613</v>
      </c>
      <c r="B80" s="12" t="s">
        <v>614</v>
      </c>
      <c r="C80" s="14">
        <v>1600.0</v>
      </c>
      <c r="D80" s="14">
        <v>4400.0</v>
      </c>
      <c r="E80" s="14">
        <v>28.0</v>
      </c>
      <c r="F80" s="12" t="s">
        <v>91</v>
      </c>
      <c r="G80" s="12" t="s">
        <v>240</v>
      </c>
      <c r="H80" s="12" t="s">
        <v>240</v>
      </c>
      <c r="I80" s="12" t="s">
        <v>95</v>
      </c>
      <c r="J80" s="12" t="s">
        <v>97</v>
      </c>
      <c r="K80" s="12"/>
      <c r="L80" s="12" t="s">
        <v>101</v>
      </c>
      <c r="M80" s="12" t="s">
        <v>72</v>
      </c>
      <c r="N80" s="18">
        <f t="shared" si="1"/>
        <v>55.2</v>
      </c>
      <c r="O80" s="12"/>
      <c r="P80" s="12"/>
      <c r="Q80" s="12" t="s">
        <v>577</v>
      </c>
      <c r="R80" s="13">
        <v>46230.0</v>
      </c>
      <c r="S80" s="12" t="s">
        <v>193</v>
      </c>
      <c r="T80" s="12"/>
    </row>
    <row r="81" ht="15.75" customHeight="1">
      <c r="A81" s="12" t="s">
        <v>615</v>
      </c>
      <c r="B81" s="12" t="s">
        <v>616</v>
      </c>
      <c r="C81" s="14">
        <v>210.0</v>
      </c>
      <c r="D81" s="14">
        <v>590.0</v>
      </c>
      <c r="E81" s="14">
        <v>16.0</v>
      </c>
      <c r="F81" s="12" t="s">
        <v>91</v>
      </c>
      <c r="G81" s="12" t="s">
        <v>240</v>
      </c>
      <c r="H81" s="12" t="s">
        <v>240</v>
      </c>
      <c r="I81" s="12" t="s">
        <v>95</v>
      </c>
      <c r="J81" s="12" t="s">
        <v>97</v>
      </c>
      <c r="K81" s="12"/>
      <c r="L81" s="12" t="s">
        <v>101</v>
      </c>
      <c r="M81" s="12" t="s">
        <v>72</v>
      </c>
      <c r="N81" s="18">
        <f t="shared" si="1"/>
        <v>12.4</v>
      </c>
      <c r="O81" s="12"/>
      <c r="P81" s="12"/>
      <c r="Q81" s="12" t="s">
        <v>577</v>
      </c>
      <c r="R81" s="13">
        <v>46230.0</v>
      </c>
      <c r="S81" s="12" t="s">
        <v>193</v>
      </c>
      <c r="T81" s="12"/>
    </row>
    <row r="82" ht="15.75" customHeight="1">
      <c r="A82" s="12" t="s">
        <v>617</v>
      </c>
      <c r="B82" s="12" t="s">
        <v>618</v>
      </c>
      <c r="C82" s="14">
        <v>30.0</v>
      </c>
      <c r="D82" s="14">
        <v>150.0</v>
      </c>
      <c r="E82" s="14"/>
      <c r="F82" s="12" t="s">
        <v>91</v>
      </c>
      <c r="G82" s="12" t="s">
        <v>240</v>
      </c>
      <c r="H82" s="12" t="s">
        <v>240</v>
      </c>
      <c r="I82" s="12" t="s">
        <v>95</v>
      </c>
      <c r="J82" s="12" t="s">
        <v>97</v>
      </c>
      <c r="K82" s="12"/>
      <c r="L82" s="12" t="s">
        <v>101</v>
      </c>
      <c r="M82" s="12" t="s">
        <v>72</v>
      </c>
      <c r="N82" s="18" t="str">
        <f t="shared" si="1"/>
        <v/>
      </c>
      <c r="O82" s="12"/>
      <c r="P82" s="12"/>
      <c r="Q82" s="12" t="s">
        <v>577</v>
      </c>
      <c r="R82" s="13">
        <v>46230.0</v>
      </c>
      <c r="S82" s="12" t="s">
        <v>193</v>
      </c>
      <c r="T82" s="12"/>
    </row>
    <row r="83" ht="15.75" customHeight="1">
      <c r="A83" s="12" t="s">
        <v>619</v>
      </c>
      <c r="B83" s="12" t="s">
        <v>620</v>
      </c>
      <c r="C83" s="14">
        <v>390.0</v>
      </c>
      <c r="D83" s="14">
        <v>580.0</v>
      </c>
      <c r="E83" s="14">
        <v>24.0</v>
      </c>
      <c r="F83" s="12" t="s">
        <v>91</v>
      </c>
      <c r="G83" s="12" t="s">
        <v>240</v>
      </c>
      <c r="H83" s="12" t="s">
        <v>240</v>
      </c>
      <c r="I83" s="12" t="s">
        <v>95</v>
      </c>
      <c r="J83" s="12" t="s">
        <v>97</v>
      </c>
      <c r="K83" s="12"/>
      <c r="L83" s="12" t="s">
        <v>101</v>
      </c>
      <c r="M83" s="12" t="s">
        <v>72</v>
      </c>
      <c r="N83" s="18">
        <f t="shared" si="1"/>
        <v>15.6</v>
      </c>
      <c r="O83" s="12"/>
      <c r="P83" s="12"/>
      <c r="Q83" s="12" t="s">
        <v>577</v>
      </c>
      <c r="R83" s="13">
        <v>46230.0</v>
      </c>
      <c r="S83" s="12" t="s">
        <v>193</v>
      </c>
      <c r="T83" s="12"/>
    </row>
    <row r="84" ht="15.75" customHeight="1">
      <c r="A84" s="12" t="s">
        <v>621</v>
      </c>
      <c r="B84" s="12" t="s">
        <v>622</v>
      </c>
      <c r="C84" s="14">
        <v>50.0</v>
      </c>
      <c r="D84" s="14">
        <v>90.0</v>
      </c>
      <c r="E84" s="14">
        <v>12.0</v>
      </c>
      <c r="F84" s="12" t="s">
        <v>623</v>
      </c>
      <c r="G84" s="12" t="s">
        <v>240</v>
      </c>
      <c r="H84" s="12" t="s">
        <v>240</v>
      </c>
      <c r="I84" s="12" t="s">
        <v>95</v>
      </c>
      <c r="J84" s="12" t="s">
        <v>97</v>
      </c>
      <c r="K84" s="12"/>
      <c r="L84" s="12" t="s">
        <v>101</v>
      </c>
      <c r="M84" s="12" t="s">
        <v>72</v>
      </c>
      <c r="N84" s="18">
        <f t="shared" si="1"/>
        <v>3.8</v>
      </c>
      <c r="O84" s="12"/>
      <c r="P84" s="12"/>
      <c r="Q84" s="12" t="s">
        <v>577</v>
      </c>
      <c r="R84" s="13">
        <v>46230.0</v>
      </c>
      <c r="S84" s="12" t="s">
        <v>193</v>
      </c>
      <c r="T84" s="12"/>
    </row>
    <row r="85" ht="15.75" customHeight="1">
      <c r="A85" s="12" t="s">
        <v>624</v>
      </c>
      <c r="B85" s="12" t="s">
        <v>625</v>
      </c>
      <c r="C85" s="14"/>
      <c r="D85" s="14"/>
      <c r="E85" s="14"/>
      <c r="F85" s="12"/>
      <c r="G85" s="12" t="s">
        <v>240</v>
      </c>
      <c r="H85" s="12" t="s">
        <v>240</v>
      </c>
      <c r="I85" s="12" t="s">
        <v>95</v>
      </c>
      <c r="J85" s="12" t="s">
        <v>44</v>
      </c>
      <c r="K85" s="12"/>
      <c r="L85" s="12" t="s">
        <v>101</v>
      </c>
      <c r="M85" s="12" t="s">
        <v>72</v>
      </c>
      <c r="N85" s="18" t="str">
        <f t="shared" si="1"/>
        <v/>
      </c>
      <c r="O85" s="12"/>
      <c r="P85" s="12"/>
      <c r="Q85" s="12" t="s">
        <v>577</v>
      </c>
      <c r="R85" s="13">
        <v>46230.0</v>
      </c>
      <c r="S85" s="12" t="s">
        <v>193</v>
      </c>
      <c r="T85" s="12"/>
    </row>
    <row r="86" ht="15.75" customHeight="1">
      <c r="A86" s="12" t="s">
        <v>626</v>
      </c>
      <c r="B86" s="12" t="s">
        <v>627</v>
      </c>
      <c r="C86" s="14">
        <v>20.0</v>
      </c>
      <c r="D86" s="14">
        <v>40.0</v>
      </c>
      <c r="E86" s="14"/>
      <c r="F86" s="12"/>
      <c r="G86" s="12" t="s">
        <v>240</v>
      </c>
      <c r="H86" s="12" t="s">
        <v>240</v>
      </c>
      <c r="I86" s="12" t="s">
        <v>95</v>
      </c>
      <c r="J86" s="12" t="s">
        <v>97</v>
      </c>
      <c r="K86" s="12"/>
      <c r="L86" s="12" t="s">
        <v>101</v>
      </c>
      <c r="M86" s="12" t="s">
        <v>72</v>
      </c>
      <c r="N86" s="18" t="str">
        <f t="shared" si="1"/>
        <v/>
      </c>
      <c r="O86" s="12"/>
      <c r="P86" s="12"/>
      <c r="Q86" s="12" t="s">
        <v>577</v>
      </c>
      <c r="R86" s="13">
        <v>46230.0</v>
      </c>
      <c r="S86" s="12" t="s">
        <v>193</v>
      </c>
      <c r="T86" s="12"/>
    </row>
    <row r="87" ht="15.75" customHeight="1">
      <c r="A87" s="12" t="s">
        <v>628</v>
      </c>
      <c r="B87" s="12" t="s">
        <v>629</v>
      </c>
      <c r="C87" s="14">
        <v>20.0</v>
      </c>
      <c r="D87" s="14">
        <v>20.0</v>
      </c>
      <c r="E87" s="14"/>
      <c r="F87" s="12"/>
      <c r="G87" s="12" t="s">
        <v>630</v>
      </c>
      <c r="H87" s="12" t="s">
        <v>630</v>
      </c>
      <c r="I87" s="12" t="s">
        <v>95</v>
      </c>
      <c r="J87" s="12" t="s">
        <v>97</v>
      </c>
      <c r="K87" s="12"/>
      <c r="L87" s="12" t="s">
        <v>101</v>
      </c>
      <c r="M87" s="12" t="s">
        <v>72</v>
      </c>
      <c r="N87" s="18" t="str">
        <f t="shared" si="1"/>
        <v/>
      </c>
      <c r="O87" s="12"/>
      <c r="P87" s="12"/>
      <c r="Q87" s="12" t="s">
        <v>577</v>
      </c>
      <c r="R87" s="13">
        <v>46230.0</v>
      </c>
      <c r="S87" s="12" t="s">
        <v>193</v>
      </c>
      <c r="T87" s="12"/>
    </row>
    <row r="88" ht="15.75" customHeight="1">
      <c r="A88" s="12" t="s">
        <v>631</v>
      </c>
      <c r="B88" s="12" t="s">
        <v>632</v>
      </c>
      <c r="C88" s="14">
        <v>20.0</v>
      </c>
      <c r="D88" s="14">
        <v>20.0</v>
      </c>
      <c r="E88" s="14"/>
      <c r="F88" s="12"/>
      <c r="G88" s="12" t="s">
        <v>630</v>
      </c>
      <c r="H88" s="12" t="s">
        <v>630</v>
      </c>
      <c r="I88" s="12" t="s">
        <v>95</v>
      </c>
      <c r="J88" s="12" t="s">
        <v>44</v>
      </c>
      <c r="K88" s="12"/>
      <c r="L88" s="12" t="s">
        <v>101</v>
      </c>
      <c r="M88" s="12" t="s">
        <v>72</v>
      </c>
      <c r="N88" s="18" t="str">
        <f t="shared" si="1"/>
        <v/>
      </c>
      <c r="O88" s="12"/>
      <c r="P88" s="12"/>
      <c r="Q88" s="12" t="s">
        <v>577</v>
      </c>
      <c r="R88" s="13">
        <v>46230.0</v>
      </c>
      <c r="S88" s="12" t="s">
        <v>193</v>
      </c>
      <c r="T88" s="12"/>
    </row>
    <row r="89" ht="15.75" customHeight="1">
      <c r="A89" s="12" t="s">
        <v>633</v>
      </c>
      <c r="B89" s="12" t="s">
        <v>634</v>
      </c>
      <c r="C89" s="14"/>
      <c r="D89" s="14"/>
      <c r="E89" s="14"/>
      <c r="F89" s="12" t="s">
        <v>91</v>
      </c>
      <c r="G89" s="12" t="s">
        <v>630</v>
      </c>
      <c r="H89" s="12" t="s">
        <v>630</v>
      </c>
      <c r="I89" s="12" t="s">
        <v>95</v>
      </c>
      <c r="J89" s="12" t="s">
        <v>97</v>
      </c>
      <c r="K89" s="12"/>
      <c r="L89" s="12" t="s">
        <v>101</v>
      </c>
      <c r="M89" s="12" t="s">
        <v>72</v>
      </c>
      <c r="N89" s="18" t="str">
        <f t="shared" si="1"/>
        <v/>
      </c>
      <c r="O89" s="12"/>
      <c r="P89" s="12"/>
      <c r="Q89" s="12" t="s">
        <v>577</v>
      </c>
      <c r="R89" s="13">
        <v>46230.0</v>
      </c>
      <c r="S89" s="12" t="s">
        <v>193</v>
      </c>
      <c r="T89" s="12"/>
    </row>
    <row r="90" ht="15.75" customHeight="1">
      <c r="A90" s="12" t="s">
        <v>635</v>
      </c>
      <c r="B90" s="12" t="s">
        <v>636</v>
      </c>
      <c r="C90" s="14">
        <v>140.0</v>
      </c>
      <c r="D90" s="14">
        <v>770.0</v>
      </c>
      <c r="E90" s="14">
        <v>28.0</v>
      </c>
      <c r="F90" s="12" t="s">
        <v>91</v>
      </c>
      <c r="G90" s="12" t="s">
        <v>630</v>
      </c>
      <c r="H90" s="12" t="s">
        <v>630</v>
      </c>
      <c r="I90" s="12" t="s">
        <v>95</v>
      </c>
      <c r="J90" s="12" t="s">
        <v>97</v>
      </c>
      <c r="K90" s="12"/>
      <c r="L90" s="12" t="s">
        <v>101</v>
      </c>
      <c r="M90" s="12" t="s">
        <v>72</v>
      </c>
      <c r="N90" s="18">
        <f t="shared" si="1"/>
        <v>4.8</v>
      </c>
      <c r="O90" s="12"/>
      <c r="P90" s="12"/>
      <c r="Q90" s="12" t="s">
        <v>577</v>
      </c>
      <c r="R90" s="13">
        <v>46230.0</v>
      </c>
      <c r="S90" s="12" t="s">
        <v>193</v>
      </c>
      <c r="T90" s="12"/>
    </row>
    <row r="91" ht="15.75" customHeight="1">
      <c r="A91" s="12" t="s">
        <v>637</v>
      </c>
      <c r="B91" s="12" t="s">
        <v>638</v>
      </c>
      <c r="C91" s="14">
        <v>90.0</v>
      </c>
      <c r="D91" s="14">
        <v>220.0</v>
      </c>
      <c r="E91" s="14">
        <v>4.0</v>
      </c>
      <c r="F91" s="12" t="s">
        <v>91</v>
      </c>
      <c r="G91" s="12" t="s">
        <v>630</v>
      </c>
      <c r="H91" s="12" t="s">
        <v>630</v>
      </c>
      <c r="I91" s="12" t="s">
        <v>95</v>
      </c>
      <c r="J91" s="12" t="s">
        <v>97</v>
      </c>
      <c r="K91" s="12"/>
      <c r="L91" s="12" t="s">
        <v>101</v>
      </c>
      <c r="M91" s="12" t="s">
        <v>72</v>
      </c>
      <c r="N91" s="18">
        <f t="shared" si="1"/>
        <v>18</v>
      </c>
      <c r="O91" s="12"/>
      <c r="P91" s="12"/>
      <c r="Q91" s="12" t="s">
        <v>577</v>
      </c>
      <c r="R91" s="13">
        <v>46230.0</v>
      </c>
      <c r="S91" s="12" t="s">
        <v>193</v>
      </c>
      <c r="T91" s="12"/>
    </row>
    <row r="92" ht="15.75" customHeight="1">
      <c r="A92" s="12" t="s">
        <v>639</v>
      </c>
      <c r="B92" s="12" t="s">
        <v>640</v>
      </c>
      <c r="C92" s="14">
        <v>40.0</v>
      </c>
      <c r="D92" s="14">
        <v>70.0</v>
      </c>
      <c r="E92" s="14">
        <v>21.0</v>
      </c>
      <c r="F92" s="12" t="s">
        <v>91</v>
      </c>
      <c r="G92" s="12" t="s">
        <v>630</v>
      </c>
      <c r="H92" s="12" t="s">
        <v>630</v>
      </c>
      <c r="I92" s="12" t="s">
        <v>95</v>
      </c>
      <c r="J92" s="12" t="s">
        <v>97</v>
      </c>
      <c r="K92" s="12"/>
      <c r="L92" s="12" t="s">
        <v>101</v>
      </c>
      <c r="M92" s="12" t="s">
        <v>72</v>
      </c>
      <c r="N92" s="18">
        <f t="shared" si="1"/>
        <v>1.8</v>
      </c>
      <c r="O92" s="12"/>
      <c r="P92" s="12"/>
      <c r="Q92" s="12" t="s">
        <v>577</v>
      </c>
      <c r="R92" s="13">
        <v>46230.0</v>
      </c>
      <c r="S92" s="12" t="s">
        <v>193</v>
      </c>
      <c r="T92" s="12"/>
    </row>
    <row r="93" ht="15.75" customHeight="1">
      <c r="A93" s="12" t="s">
        <v>641</v>
      </c>
      <c r="B93" s="12" t="s">
        <v>642</v>
      </c>
      <c r="C93" s="14">
        <v>40.0</v>
      </c>
      <c r="D93" s="14">
        <v>710.0</v>
      </c>
      <c r="E93" s="14">
        <v>27.0</v>
      </c>
      <c r="F93" s="12" t="s">
        <v>91</v>
      </c>
      <c r="G93" s="12" t="s">
        <v>643</v>
      </c>
      <c r="H93" s="12" t="s">
        <v>643</v>
      </c>
      <c r="I93" s="12" t="s">
        <v>95</v>
      </c>
      <c r="J93" s="12" t="s">
        <v>97</v>
      </c>
      <c r="K93" s="12"/>
      <c r="L93" s="12" t="s">
        <v>101</v>
      </c>
      <c r="M93" s="12" t="s">
        <v>72</v>
      </c>
      <c r="N93" s="18">
        <f t="shared" si="1"/>
        <v>1.4</v>
      </c>
      <c r="O93" s="12"/>
      <c r="P93" s="12"/>
      <c r="Q93" s="12" t="s">
        <v>577</v>
      </c>
      <c r="R93" s="13">
        <v>46230.0</v>
      </c>
      <c r="S93" s="12" t="s">
        <v>193</v>
      </c>
      <c r="T93" s="12"/>
    </row>
    <row r="94" ht="15.75" customHeight="1">
      <c r="A94" s="12" t="s">
        <v>644</v>
      </c>
      <c r="B94" s="12" t="s">
        <v>645</v>
      </c>
      <c r="C94" s="14"/>
      <c r="D94" s="14"/>
      <c r="E94" s="14"/>
      <c r="F94" s="12"/>
      <c r="G94" s="12" t="s">
        <v>643</v>
      </c>
      <c r="H94" s="12" t="s">
        <v>643</v>
      </c>
      <c r="I94" s="12" t="s">
        <v>95</v>
      </c>
      <c r="J94" s="12" t="s">
        <v>97</v>
      </c>
      <c r="K94" s="12"/>
      <c r="L94" s="12" t="s">
        <v>101</v>
      </c>
      <c r="M94" s="12" t="s">
        <v>72</v>
      </c>
      <c r="N94" s="18" t="str">
        <f t="shared" si="1"/>
        <v/>
      </c>
      <c r="O94" s="12"/>
      <c r="P94" s="12"/>
      <c r="Q94" s="12" t="s">
        <v>577</v>
      </c>
      <c r="R94" s="13">
        <v>46230.0</v>
      </c>
      <c r="S94" s="12" t="s">
        <v>193</v>
      </c>
      <c r="T94" s="12"/>
    </row>
    <row r="95" ht="15.75" customHeight="1">
      <c r="A95" s="12" t="s">
        <v>646</v>
      </c>
      <c r="B95" s="12" t="s">
        <v>647</v>
      </c>
      <c r="C95" s="14">
        <v>50.0</v>
      </c>
      <c r="D95" s="14">
        <v>610.0</v>
      </c>
      <c r="E95" s="14">
        <v>23.0</v>
      </c>
      <c r="F95" s="12" t="s">
        <v>353</v>
      </c>
      <c r="G95" s="12" t="s">
        <v>300</v>
      </c>
      <c r="H95" s="12" t="s">
        <v>300</v>
      </c>
      <c r="I95" s="12" t="s">
        <v>95</v>
      </c>
      <c r="J95" s="12" t="s">
        <v>97</v>
      </c>
      <c r="K95" s="12"/>
      <c r="L95" s="12" t="s">
        <v>101</v>
      </c>
      <c r="M95" s="12" t="s">
        <v>72</v>
      </c>
      <c r="N95" s="18">
        <f t="shared" si="1"/>
        <v>2.6</v>
      </c>
      <c r="O95" s="12"/>
      <c r="P95" s="12"/>
      <c r="Q95" s="12" t="s">
        <v>577</v>
      </c>
      <c r="R95" s="13">
        <v>46230.0</v>
      </c>
      <c r="S95" s="12" t="s">
        <v>193</v>
      </c>
      <c r="T95" s="12"/>
    </row>
    <row r="96" ht="15.75" customHeight="1">
      <c r="A96" s="12" t="s">
        <v>648</v>
      </c>
      <c r="B96" s="12" t="s">
        <v>649</v>
      </c>
      <c r="C96" s="14">
        <v>30.0</v>
      </c>
      <c r="D96" s="14">
        <v>140.0</v>
      </c>
      <c r="E96" s="14">
        <v>26.0</v>
      </c>
      <c r="F96" s="12" t="s">
        <v>91</v>
      </c>
      <c r="G96" s="12" t="s">
        <v>300</v>
      </c>
      <c r="H96" s="12" t="s">
        <v>300</v>
      </c>
      <c r="I96" s="12" t="s">
        <v>95</v>
      </c>
      <c r="J96" s="12" t="s">
        <v>97</v>
      </c>
      <c r="K96" s="12"/>
      <c r="L96" s="12" t="s">
        <v>101</v>
      </c>
      <c r="M96" s="12" t="s">
        <v>72</v>
      </c>
      <c r="N96" s="18">
        <f t="shared" si="1"/>
        <v>1.1</v>
      </c>
      <c r="O96" s="12"/>
      <c r="P96" s="12"/>
      <c r="Q96" s="12" t="s">
        <v>577</v>
      </c>
      <c r="R96" s="13">
        <v>46230.0</v>
      </c>
      <c r="S96" s="12" t="s">
        <v>193</v>
      </c>
      <c r="T96" s="12"/>
    </row>
    <row r="97" ht="15.75" customHeight="1">
      <c r="A97" s="12" t="s">
        <v>650</v>
      </c>
      <c r="B97" s="12" t="s">
        <v>651</v>
      </c>
      <c r="C97" s="14">
        <v>30.0</v>
      </c>
      <c r="D97" s="14">
        <v>550.0</v>
      </c>
      <c r="E97" s="14">
        <v>16.0</v>
      </c>
      <c r="F97" s="12" t="s">
        <v>91</v>
      </c>
      <c r="G97" s="12" t="s">
        <v>300</v>
      </c>
      <c r="H97" s="12" t="s">
        <v>300</v>
      </c>
      <c r="I97" s="12" t="s">
        <v>95</v>
      </c>
      <c r="J97" s="12" t="s">
        <v>97</v>
      </c>
      <c r="K97" s="12"/>
      <c r="L97" s="12" t="s">
        <v>101</v>
      </c>
      <c r="M97" s="12" t="s">
        <v>72</v>
      </c>
      <c r="N97" s="18">
        <f t="shared" si="1"/>
        <v>1.8</v>
      </c>
      <c r="O97" s="12"/>
      <c r="P97" s="12"/>
      <c r="Q97" s="12" t="s">
        <v>577</v>
      </c>
      <c r="R97" s="13">
        <v>46230.0</v>
      </c>
      <c r="S97" s="12" t="s">
        <v>193</v>
      </c>
      <c r="T97" s="12"/>
    </row>
    <row r="98" ht="15.75" customHeight="1">
      <c r="A98" s="12" t="s">
        <v>652</v>
      </c>
      <c r="B98" s="12" t="s">
        <v>653</v>
      </c>
      <c r="C98" s="14">
        <v>390.0</v>
      </c>
      <c r="D98" s="14">
        <v>1600.0</v>
      </c>
      <c r="E98" s="14">
        <v>26.0</v>
      </c>
      <c r="F98" s="12" t="s">
        <v>91</v>
      </c>
      <c r="G98" s="12" t="s">
        <v>300</v>
      </c>
      <c r="H98" s="12" t="s">
        <v>300</v>
      </c>
      <c r="I98" s="12" t="s">
        <v>95</v>
      </c>
      <c r="J98" s="12" t="s">
        <v>97</v>
      </c>
      <c r="K98" s="12"/>
      <c r="L98" s="12" t="s">
        <v>101</v>
      </c>
      <c r="M98" s="12" t="s">
        <v>72</v>
      </c>
      <c r="N98" s="18">
        <f t="shared" si="1"/>
        <v>14.4</v>
      </c>
      <c r="O98" s="12"/>
      <c r="P98" s="12"/>
      <c r="Q98" s="12" t="s">
        <v>577</v>
      </c>
      <c r="R98" s="13">
        <v>46230.0</v>
      </c>
      <c r="S98" s="12" t="s">
        <v>193</v>
      </c>
      <c r="T98" s="12"/>
    </row>
    <row r="99" ht="15.75" customHeight="1">
      <c r="A99" s="12" t="s">
        <v>654</v>
      </c>
      <c r="B99" s="12" t="s">
        <v>655</v>
      </c>
      <c r="C99" s="14">
        <v>110.0</v>
      </c>
      <c r="D99" s="14">
        <v>190.0</v>
      </c>
      <c r="E99" s="14">
        <v>26.0</v>
      </c>
      <c r="F99" s="12" t="s">
        <v>87</v>
      </c>
      <c r="G99" s="12" t="s">
        <v>300</v>
      </c>
      <c r="H99" s="12" t="s">
        <v>300</v>
      </c>
      <c r="I99" s="12" t="s">
        <v>95</v>
      </c>
      <c r="J99" s="12" t="s">
        <v>97</v>
      </c>
      <c r="K99" s="12"/>
      <c r="L99" s="12" t="s">
        <v>101</v>
      </c>
      <c r="M99" s="12" t="s">
        <v>72</v>
      </c>
      <c r="N99" s="18">
        <f t="shared" si="1"/>
        <v>5.1</v>
      </c>
      <c r="O99" s="12"/>
      <c r="P99" s="12"/>
      <c r="Q99" s="12" t="s">
        <v>577</v>
      </c>
      <c r="R99" s="13">
        <v>46230.0</v>
      </c>
      <c r="S99" s="12" t="s">
        <v>193</v>
      </c>
      <c r="T99" s="12"/>
    </row>
    <row r="100" ht="15.75" customHeight="1">
      <c r="A100" s="12" t="s">
        <v>656</v>
      </c>
      <c r="B100" s="12" t="s">
        <v>657</v>
      </c>
      <c r="C100" s="14">
        <v>590.0</v>
      </c>
      <c r="D100" s="14">
        <v>2300.0</v>
      </c>
      <c r="E100" s="14">
        <v>21.0</v>
      </c>
      <c r="F100" s="12" t="s">
        <v>91</v>
      </c>
      <c r="G100" s="12" t="s">
        <v>300</v>
      </c>
      <c r="H100" s="12" t="s">
        <v>300</v>
      </c>
      <c r="I100" s="12" t="s">
        <v>95</v>
      </c>
      <c r="J100" s="12" t="s">
        <v>44</v>
      </c>
      <c r="K100" s="12"/>
      <c r="L100" s="12" t="s">
        <v>101</v>
      </c>
      <c r="M100" s="12" t="s">
        <v>72</v>
      </c>
      <c r="N100" s="18">
        <f t="shared" si="1"/>
        <v>26.8</v>
      </c>
      <c r="O100" s="12"/>
      <c r="P100" s="12"/>
      <c r="Q100" s="12" t="s">
        <v>577</v>
      </c>
      <c r="R100" s="13">
        <v>46230.0</v>
      </c>
      <c r="S100" s="12" t="s">
        <v>193</v>
      </c>
      <c r="T100" s="12"/>
    </row>
    <row r="101" ht="15.75" customHeight="1">
      <c r="A101" s="12" t="s">
        <v>658</v>
      </c>
      <c r="B101" s="12" t="s">
        <v>659</v>
      </c>
      <c r="C101" s="14"/>
      <c r="D101" s="14"/>
      <c r="E101" s="14"/>
      <c r="F101" s="12" t="s">
        <v>91</v>
      </c>
      <c r="G101" s="12" t="s">
        <v>300</v>
      </c>
      <c r="H101" s="12" t="s">
        <v>300</v>
      </c>
      <c r="I101" s="12" t="s">
        <v>95</v>
      </c>
      <c r="J101" s="12" t="s">
        <v>97</v>
      </c>
      <c r="K101" s="12"/>
      <c r="L101" s="12" t="s">
        <v>101</v>
      </c>
      <c r="M101" s="12" t="s">
        <v>72</v>
      </c>
      <c r="N101" s="18" t="str">
        <f t="shared" si="1"/>
        <v/>
      </c>
      <c r="O101" s="12"/>
      <c r="P101" s="12"/>
      <c r="Q101" s="12" t="s">
        <v>577</v>
      </c>
      <c r="R101" s="13">
        <v>46230.0</v>
      </c>
      <c r="S101" s="12" t="s">
        <v>193</v>
      </c>
      <c r="T101" s="12"/>
    </row>
    <row r="102" ht="15.75" customHeight="1">
      <c r="A102" s="12" t="s">
        <v>660</v>
      </c>
      <c r="B102" s="12" t="s">
        <v>661</v>
      </c>
      <c r="C102" s="14">
        <v>210.0</v>
      </c>
      <c r="D102" s="14">
        <v>1000.0</v>
      </c>
      <c r="E102" s="14">
        <v>18.0</v>
      </c>
      <c r="F102" s="12" t="s">
        <v>91</v>
      </c>
      <c r="G102" s="12" t="s">
        <v>662</v>
      </c>
      <c r="H102" s="12" t="s">
        <v>662</v>
      </c>
      <c r="I102" s="12" t="s">
        <v>95</v>
      </c>
      <c r="J102" s="12" t="s">
        <v>97</v>
      </c>
      <c r="K102" s="12"/>
      <c r="L102" s="12" t="s">
        <v>101</v>
      </c>
      <c r="M102" s="12" t="s">
        <v>72</v>
      </c>
      <c r="N102" s="18">
        <f t="shared" si="1"/>
        <v>11.1</v>
      </c>
      <c r="O102" s="12"/>
      <c r="P102" s="12"/>
      <c r="Q102" s="12" t="s">
        <v>577</v>
      </c>
      <c r="R102" s="13">
        <v>46230.0</v>
      </c>
      <c r="S102" s="12" t="s">
        <v>193</v>
      </c>
      <c r="T102" s="12"/>
    </row>
    <row r="103" ht="15.75" customHeight="1">
      <c r="A103" s="12" t="s">
        <v>663</v>
      </c>
      <c r="B103" s="12" t="s">
        <v>664</v>
      </c>
      <c r="C103" s="14">
        <v>90.0</v>
      </c>
      <c r="D103" s="14">
        <v>300.0</v>
      </c>
      <c r="E103" s="14">
        <v>23.0</v>
      </c>
      <c r="F103" s="12" t="s">
        <v>91</v>
      </c>
      <c r="G103" s="12" t="s">
        <v>662</v>
      </c>
      <c r="H103" s="12" t="s">
        <v>662</v>
      </c>
      <c r="I103" s="12" t="s">
        <v>95</v>
      </c>
      <c r="J103" s="12" t="s">
        <v>97</v>
      </c>
      <c r="K103" s="12"/>
      <c r="L103" s="12" t="s">
        <v>101</v>
      </c>
      <c r="M103" s="12" t="s">
        <v>72</v>
      </c>
      <c r="N103" s="18">
        <f t="shared" si="1"/>
        <v>3.8</v>
      </c>
      <c r="O103" s="12"/>
      <c r="P103" s="12"/>
      <c r="Q103" s="12" t="s">
        <v>577</v>
      </c>
      <c r="R103" s="13">
        <v>46230.0</v>
      </c>
      <c r="S103" s="12" t="s">
        <v>193</v>
      </c>
      <c r="T103" s="12"/>
    </row>
    <row r="104" ht="15.75" customHeight="1">
      <c r="A104" s="12" t="s">
        <v>665</v>
      </c>
      <c r="B104" s="12" t="s">
        <v>666</v>
      </c>
      <c r="C104" s="14">
        <v>90.0</v>
      </c>
      <c r="D104" s="14">
        <v>200.0</v>
      </c>
      <c r="E104" s="14">
        <v>24.0</v>
      </c>
      <c r="F104" s="12" t="s">
        <v>91</v>
      </c>
      <c r="G104" s="12" t="s">
        <v>662</v>
      </c>
      <c r="H104" s="12" t="s">
        <v>662</v>
      </c>
      <c r="I104" s="12" t="s">
        <v>95</v>
      </c>
      <c r="J104" s="12" t="s">
        <v>97</v>
      </c>
      <c r="K104" s="12"/>
      <c r="L104" s="12" t="s">
        <v>101</v>
      </c>
      <c r="M104" s="12" t="s">
        <v>72</v>
      </c>
      <c r="N104" s="18">
        <f t="shared" si="1"/>
        <v>3.6</v>
      </c>
      <c r="O104" s="12"/>
      <c r="P104" s="12"/>
      <c r="Q104" s="12" t="s">
        <v>577</v>
      </c>
      <c r="R104" s="13">
        <v>46230.0</v>
      </c>
      <c r="S104" s="12" t="s">
        <v>193</v>
      </c>
      <c r="T104" s="12"/>
    </row>
    <row r="105" ht="15.75" customHeight="1">
      <c r="A105" s="12" t="s">
        <v>667</v>
      </c>
      <c r="B105" s="12" t="s">
        <v>668</v>
      </c>
      <c r="C105" s="14">
        <v>30.0</v>
      </c>
      <c r="D105" s="14">
        <v>130.0</v>
      </c>
      <c r="E105" s="14"/>
      <c r="F105" s="12"/>
      <c r="G105" s="12" t="s">
        <v>662</v>
      </c>
      <c r="H105" s="12" t="s">
        <v>662</v>
      </c>
      <c r="I105" s="12" t="s">
        <v>95</v>
      </c>
      <c r="J105" s="12" t="s">
        <v>97</v>
      </c>
      <c r="K105" s="12"/>
      <c r="L105" s="12" t="s">
        <v>101</v>
      </c>
      <c r="M105" s="12" t="s">
        <v>72</v>
      </c>
      <c r="N105" s="18" t="str">
        <f t="shared" si="1"/>
        <v/>
      </c>
      <c r="O105" s="12"/>
      <c r="P105" s="12"/>
      <c r="Q105" s="12" t="s">
        <v>577</v>
      </c>
      <c r="R105" s="13">
        <v>46230.0</v>
      </c>
      <c r="S105" s="12" t="s">
        <v>193</v>
      </c>
      <c r="T105" s="12"/>
    </row>
    <row r="106" ht="15.75" customHeight="1">
      <c r="A106" s="12" t="s">
        <v>669</v>
      </c>
      <c r="B106" s="12" t="s">
        <v>670</v>
      </c>
      <c r="C106" s="14">
        <v>10.0</v>
      </c>
      <c r="D106" s="14">
        <v>10.0</v>
      </c>
      <c r="E106" s="14"/>
      <c r="F106" s="12"/>
      <c r="G106" s="12" t="s">
        <v>662</v>
      </c>
      <c r="H106" s="12" t="s">
        <v>662</v>
      </c>
      <c r="I106" s="12" t="s">
        <v>95</v>
      </c>
      <c r="J106" s="12" t="s">
        <v>97</v>
      </c>
      <c r="K106" s="12"/>
      <c r="L106" s="12" t="s">
        <v>101</v>
      </c>
      <c r="M106" s="12" t="s">
        <v>72</v>
      </c>
      <c r="N106" s="18" t="str">
        <f t="shared" si="1"/>
        <v/>
      </c>
      <c r="O106" s="12"/>
      <c r="P106" s="12"/>
      <c r="Q106" s="12" t="s">
        <v>577</v>
      </c>
      <c r="R106" s="13">
        <v>46230.0</v>
      </c>
      <c r="S106" s="12" t="s">
        <v>193</v>
      </c>
      <c r="T106" s="12"/>
    </row>
    <row r="107" ht="15.75" customHeight="1">
      <c r="A107" s="12" t="s">
        <v>671</v>
      </c>
      <c r="B107" s="12" t="s">
        <v>672</v>
      </c>
      <c r="C107" s="14">
        <v>10.0</v>
      </c>
      <c r="D107" s="14">
        <v>40.0</v>
      </c>
      <c r="E107" s="14"/>
      <c r="F107" s="12"/>
      <c r="G107" s="12" t="s">
        <v>662</v>
      </c>
      <c r="H107" s="12" t="s">
        <v>662</v>
      </c>
      <c r="I107" s="12" t="s">
        <v>95</v>
      </c>
      <c r="J107" s="12" t="s">
        <v>97</v>
      </c>
      <c r="K107" s="12"/>
      <c r="L107" s="12" t="s">
        <v>101</v>
      </c>
      <c r="M107" s="12" t="s">
        <v>72</v>
      </c>
      <c r="N107" s="18" t="str">
        <f t="shared" si="1"/>
        <v/>
      </c>
      <c r="O107" s="12"/>
      <c r="P107" s="12"/>
      <c r="Q107" s="12" t="s">
        <v>577</v>
      </c>
      <c r="R107" s="13">
        <v>46230.0</v>
      </c>
      <c r="S107" s="12" t="s">
        <v>193</v>
      </c>
      <c r="T107" s="12"/>
    </row>
    <row r="108" ht="15.75" customHeight="1">
      <c r="A108" s="12" t="s">
        <v>673</v>
      </c>
      <c r="B108" s="12" t="s">
        <v>674</v>
      </c>
      <c r="C108" s="14"/>
      <c r="D108" s="14"/>
      <c r="E108" s="14"/>
      <c r="F108" s="12"/>
      <c r="G108" s="12" t="s">
        <v>662</v>
      </c>
      <c r="H108" s="12" t="s">
        <v>662</v>
      </c>
      <c r="I108" s="12" t="s">
        <v>95</v>
      </c>
      <c r="J108" s="12" t="s">
        <v>97</v>
      </c>
      <c r="K108" s="12"/>
      <c r="L108" s="12" t="s">
        <v>101</v>
      </c>
      <c r="M108" s="12" t="s">
        <v>72</v>
      </c>
      <c r="N108" s="18" t="str">
        <f t="shared" si="1"/>
        <v/>
      </c>
      <c r="O108" s="12"/>
      <c r="P108" s="12"/>
      <c r="Q108" s="12" t="s">
        <v>577</v>
      </c>
      <c r="R108" s="13">
        <v>46230.0</v>
      </c>
      <c r="S108" s="12" t="s">
        <v>193</v>
      </c>
      <c r="T108" s="12"/>
    </row>
    <row r="109" ht="15.75" customHeight="1">
      <c r="A109" s="12" t="s">
        <v>675</v>
      </c>
      <c r="B109" s="12" t="s">
        <v>676</v>
      </c>
      <c r="C109" s="14"/>
      <c r="D109" s="14"/>
      <c r="E109" s="14"/>
      <c r="F109" s="12" t="s">
        <v>91</v>
      </c>
      <c r="G109" s="12" t="s">
        <v>662</v>
      </c>
      <c r="H109" s="12" t="s">
        <v>662</v>
      </c>
      <c r="I109" s="12" t="s">
        <v>95</v>
      </c>
      <c r="J109" s="12" t="s">
        <v>44</v>
      </c>
      <c r="K109" s="12"/>
      <c r="L109" s="12" t="s">
        <v>101</v>
      </c>
      <c r="M109" s="12" t="s">
        <v>72</v>
      </c>
      <c r="N109" s="18" t="str">
        <f t="shared" si="1"/>
        <v/>
      </c>
      <c r="O109" s="12"/>
      <c r="P109" s="12"/>
      <c r="Q109" s="12" t="s">
        <v>577</v>
      </c>
      <c r="R109" s="13">
        <v>46230.0</v>
      </c>
      <c r="S109" s="12" t="s">
        <v>193</v>
      </c>
      <c r="T109" s="12"/>
    </row>
    <row r="110" ht="15.75" customHeight="1">
      <c r="A110" s="12" t="s">
        <v>677</v>
      </c>
      <c r="B110" s="12" t="s">
        <v>678</v>
      </c>
      <c r="C110" s="14">
        <v>50.0</v>
      </c>
      <c r="D110" s="14">
        <v>130.0</v>
      </c>
      <c r="E110" s="14">
        <v>7.0</v>
      </c>
      <c r="F110" s="12" t="s">
        <v>91</v>
      </c>
      <c r="G110" s="12" t="s">
        <v>291</v>
      </c>
      <c r="H110" s="12" t="s">
        <v>291</v>
      </c>
      <c r="I110" s="12" t="s">
        <v>95</v>
      </c>
      <c r="J110" s="12" t="s">
        <v>97</v>
      </c>
      <c r="K110" s="12"/>
      <c r="L110" s="12" t="s">
        <v>101</v>
      </c>
      <c r="M110" s="12" t="s">
        <v>72</v>
      </c>
      <c r="N110" s="18">
        <f t="shared" si="1"/>
        <v>6.3</v>
      </c>
      <c r="O110" s="12"/>
      <c r="P110" s="12"/>
      <c r="Q110" s="12" t="s">
        <v>577</v>
      </c>
      <c r="R110" s="13">
        <v>46230.0</v>
      </c>
      <c r="S110" s="12" t="s">
        <v>193</v>
      </c>
      <c r="T110" s="12"/>
    </row>
    <row r="111" ht="15.75" customHeight="1">
      <c r="A111" s="12" t="s">
        <v>679</v>
      </c>
      <c r="B111" s="12" t="s">
        <v>680</v>
      </c>
      <c r="C111" s="14">
        <v>20.0</v>
      </c>
      <c r="D111" s="14">
        <v>50.0</v>
      </c>
      <c r="E111" s="14"/>
      <c r="F111" s="12"/>
      <c r="G111" s="12" t="s">
        <v>291</v>
      </c>
      <c r="H111" s="12" t="s">
        <v>291</v>
      </c>
      <c r="I111" s="12" t="s">
        <v>95</v>
      </c>
      <c r="J111" s="12" t="s">
        <v>44</v>
      </c>
      <c r="K111" s="12"/>
      <c r="L111" s="12" t="s">
        <v>101</v>
      </c>
      <c r="M111" s="12" t="s">
        <v>72</v>
      </c>
      <c r="N111" s="18" t="str">
        <f t="shared" si="1"/>
        <v/>
      </c>
      <c r="O111" s="12"/>
      <c r="P111" s="12"/>
      <c r="Q111" s="12" t="s">
        <v>577</v>
      </c>
      <c r="R111" s="13">
        <v>46230.0</v>
      </c>
      <c r="S111" s="12" t="s">
        <v>193</v>
      </c>
      <c r="T111" s="12"/>
    </row>
    <row r="112" ht="15.75" customHeight="1">
      <c r="A112" s="12" t="s">
        <v>681</v>
      </c>
      <c r="B112" s="12" t="s">
        <v>682</v>
      </c>
      <c r="C112" s="14">
        <v>20.0</v>
      </c>
      <c r="D112" s="14">
        <v>70.0</v>
      </c>
      <c r="E112" s="14"/>
      <c r="F112" s="12"/>
      <c r="G112" s="12" t="s">
        <v>291</v>
      </c>
      <c r="H112" s="12" t="s">
        <v>291</v>
      </c>
      <c r="I112" s="12" t="s">
        <v>95</v>
      </c>
      <c r="J112" s="12" t="s">
        <v>97</v>
      </c>
      <c r="K112" s="12"/>
      <c r="L112" s="12" t="s">
        <v>101</v>
      </c>
      <c r="M112" s="12" t="s">
        <v>72</v>
      </c>
      <c r="N112" s="18" t="str">
        <f t="shared" si="1"/>
        <v/>
      </c>
      <c r="O112" s="12"/>
      <c r="P112" s="12"/>
      <c r="Q112" s="12" t="s">
        <v>577</v>
      </c>
      <c r="R112" s="13">
        <v>46230.0</v>
      </c>
      <c r="S112" s="12" t="s">
        <v>193</v>
      </c>
      <c r="T112" s="12"/>
    </row>
    <row r="113" ht="15.75" customHeight="1">
      <c r="A113" s="12" t="s">
        <v>683</v>
      </c>
      <c r="B113" s="12" t="s">
        <v>684</v>
      </c>
      <c r="C113" s="14"/>
      <c r="D113" s="14"/>
      <c r="E113" s="14"/>
      <c r="F113" s="12"/>
      <c r="G113" s="12" t="s">
        <v>291</v>
      </c>
      <c r="H113" s="12" t="s">
        <v>291</v>
      </c>
      <c r="I113" s="12" t="s">
        <v>95</v>
      </c>
      <c r="J113" s="12" t="s">
        <v>97</v>
      </c>
      <c r="K113" s="12"/>
      <c r="L113" s="12" t="s">
        <v>101</v>
      </c>
      <c r="M113" s="12" t="s">
        <v>72</v>
      </c>
      <c r="N113" s="18" t="str">
        <f t="shared" si="1"/>
        <v/>
      </c>
      <c r="O113" s="12"/>
      <c r="P113" s="12"/>
      <c r="Q113" s="12" t="s">
        <v>577</v>
      </c>
      <c r="R113" s="13">
        <v>46230.0</v>
      </c>
      <c r="S113" s="12" t="s">
        <v>193</v>
      </c>
      <c r="T113" s="12"/>
    </row>
    <row r="114" ht="15.75" customHeight="1">
      <c r="A114" s="12" t="s">
        <v>685</v>
      </c>
      <c r="B114" s="12" t="s">
        <v>686</v>
      </c>
      <c r="C114" s="14">
        <v>40.0</v>
      </c>
      <c r="D114" s="14">
        <v>90.0</v>
      </c>
      <c r="E114" s="14"/>
      <c r="F114" s="12" t="s">
        <v>91</v>
      </c>
      <c r="G114" s="12" t="s">
        <v>291</v>
      </c>
      <c r="H114" s="12" t="s">
        <v>291</v>
      </c>
      <c r="I114" s="12" t="s">
        <v>95</v>
      </c>
      <c r="J114" s="12" t="s">
        <v>97</v>
      </c>
      <c r="K114" s="12"/>
      <c r="L114" s="12" t="s">
        <v>101</v>
      </c>
      <c r="M114" s="12" t="s">
        <v>72</v>
      </c>
      <c r="N114" s="18" t="str">
        <f t="shared" si="1"/>
        <v/>
      </c>
      <c r="O114" s="12"/>
      <c r="P114" s="12"/>
      <c r="Q114" s="12" t="s">
        <v>577</v>
      </c>
      <c r="R114" s="13">
        <v>46230.0</v>
      </c>
      <c r="S114" s="12" t="s">
        <v>193</v>
      </c>
      <c r="T114" s="12"/>
    </row>
    <row r="115" ht="15.75" customHeight="1">
      <c r="A115" s="12" t="s">
        <v>687</v>
      </c>
      <c r="B115" s="12" t="s">
        <v>688</v>
      </c>
      <c r="C115" s="14">
        <v>210.0</v>
      </c>
      <c r="D115" s="14">
        <v>490.0</v>
      </c>
      <c r="E115" s="14">
        <v>20.0</v>
      </c>
      <c r="F115" s="12" t="s">
        <v>353</v>
      </c>
      <c r="G115" s="12" t="s">
        <v>291</v>
      </c>
      <c r="H115" s="12" t="s">
        <v>291</v>
      </c>
      <c r="I115" s="12" t="s">
        <v>95</v>
      </c>
      <c r="J115" s="12" t="s">
        <v>97</v>
      </c>
      <c r="K115" s="12"/>
      <c r="L115" s="12" t="s">
        <v>101</v>
      </c>
      <c r="M115" s="12" t="s">
        <v>72</v>
      </c>
      <c r="N115" s="18">
        <f t="shared" si="1"/>
        <v>12.5</v>
      </c>
      <c r="O115" s="12"/>
      <c r="P115" s="12"/>
      <c r="Q115" s="12" t="s">
        <v>577</v>
      </c>
      <c r="R115" s="13">
        <v>46230.0</v>
      </c>
      <c r="S115" s="12" t="s">
        <v>193</v>
      </c>
      <c r="T115" s="12"/>
    </row>
    <row r="116" ht="15.75" customHeight="1">
      <c r="A116" s="12" t="s">
        <v>689</v>
      </c>
      <c r="B116" s="12" t="s">
        <v>690</v>
      </c>
      <c r="C116" s="14">
        <v>20.0</v>
      </c>
      <c r="D116" s="14">
        <v>110.0</v>
      </c>
      <c r="E116" s="14"/>
      <c r="F116" s="12"/>
      <c r="G116" s="12" t="s">
        <v>291</v>
      </c>
      <c r="H116" s="12" t="s">
        <v>291</v>
      </c>
      <c r="I116" s="12" t="s">
        <v>95</v>
      </c>
      <c r="J116" s="12" t="s">
        <v>97</v>
      </c>
      <c r="K116" s="12"/>
      <c r="L116" s="12" t="s">
        <v>101</v>
      </c>
      <c r="M116" s="12" t="s">
        <v>72</v>
      </c>
      <c r="N116" s="18" t="str">
        <f t="shared" si="1"/>
        <v/>
      </c>
      <c r="O116" s="12"/>
      <c r="P116" s="12"/>
      <c r="Q116" s="12" t="s">
        <v>577</v>
      </c>
      <c r="R116" s="13">
        <v>46230.0</v>
      </c>
      <c r="S116" s="12" t="s">
        <v>193</v>
      </c>
      <c r="T116" s="12"/>
    </row>
    <row r="117" ht="15.75" customHeight="1">
      <c r="A117" s="12" t="s">
        <v>691</v>
      </c>
      <c r="B117" s="12" t="s">
        <v>692</v>
      </c>
      <c r="C117" s="14">
        <v>210.0</v>
      </c>
      <c r="D117" s="14">
        <v>1200.0</v>
      </c>
      <c r="E117" s="14">
        <v>24.0</v>
      </c>
      <c r="F117" s="12" t="s">
        <v>91</v>
      </c>
      <c r="G117" s="12" t="s">
        <v>693</v>
      </c>
      <c r="H117" s="12" t="s">
        <v>693</v>
      </c>
      <c r="I117" s="12" t="s">
        <v>95</v>
      </c>
      <c r="J117" s="12" t="s">
        <v>97</v>
      </c>
      <c r="K117" s="12"/>
      <c r="L117" s="12" t="s">
        <v>101</v>
      </c>
      <c r="M117" s="12" t="s">
        <v>72</v>
      </c>
      <c r="N117" s="18">
        <f t="shared" si="1"/>
        <v>8.4</v>
      </c>
      <c r="O117" s="12"/>
      <c r="P117" s="12"/>
      <c r="Q117" s="12" t="s">
        <v>577</v>
      </c>
      <c r="R117" s="13">
        <v>46230.0</v>
      </c>
      <c r="S117" s="12" t="s">
        <v>193</v>
      </c>
      <c r="T117" s="12"/>
    </row>
    <row r="118" ht="15.75" customHeight="1">
      <c r="A118" s="12" t="s">
        <v>694</v>
      </c>
      <c r="B118" s="12" t="s">
        <v>695</v>
      </c>
      <c r="C118" s="14">
        <v>170.0</v>
      </c>
      <c r="D118" s="14">
        <v>530.0</v>
      </c>
      <c r="E118" s="14">
        <v>22.0</v>
      </c>
      <c r="F118" s="12" t="s">
        <v>91</v>
      </c>
      <c r="G118" s="12" t="s">
        <v>693</v>
      </c>
      <c r="H118" s="12" t="s">
        <v>693</v>
      </c>
      <c r="I118" s="12" t="s">
        <v>95</v>
      </c>
      <c r="J118" s="12" t="s">
        <v>97</v>
      </c>
      <c r="K118" s="12"/>
      <c r="L118" s="12" t="s">
        <v>101</v>
      </c>
      <c r="M118" s="12" t="s">
        <v>72</v>
      </c>
      <c r="N118" s="18">
        <f t="shared" si="1"/>
        <v>7.4</v>
      </c>
      <c r="O118" s="12"/>
      <c r="P118" s="12"/>
      <c r="Q118" s="12" t="s">
        <v>577</v>
      </c>
      <c r="R118" s="13">
        <v>46230.0</v>
      </c>
      <c r="S118" s="12" t="s">
        <v>193</v>
      </c>
      <c r="T118" s="12"/>
    </row>
    <row r="119" ht="15.75" customHeight="1">
      <c r="A119" s="12" t="s">
        <v>696</v>
      </c>
      <c r="B119" s="12" t="s">
        <v>697</v>
      </c>
      <c r="C119" s="14">
        <v>110.0</v>
      </c>
      <c r="D119" s="14">
        <v>910.0</v>
      </c>
      <c r="E119" s="14">
        <v>16.0</v>
      </c>
      <c r="F119" s="12" t="s">
        <v>91</v>
      </c>
      <c r="G119" s="12" t="s">
        <v>693</v>
      </c>
      <c r="H119" s="12" t="s">
        <v>693</v>
      </c>
      <c r="I119" s="12" t="s">
        <v>95</v>
      </c>
      <c r="J119" s="12" t="s">
        <v>97</v>
      </c>
      <c r="K119" s="12"/>
      <c r="L119" s="12" t="s">
        <v>101</v>
      </c>
      <c r="M119" s="12" t="s">
        <v>72</v>
      </c>
      <c r="N119" s="18">
        <f t="shared" si="1"/>
        <v>6.5</v>
      </c>
      <c r="O119" s="12"/>
      <c r="P119" s="12"/>
      <c r="Q119" s="12" t="s">
        <v>577</v>
      </c>
      <c r="R119" s="13">
        <v>46230.0</v>
      </c>
      <c r="S119" s="12" t="s">
        <v>193</v>
      </c>
      <c r="T119" s="12"/>
    </row>
    <row r="120" ht="15.75" customHeight="1">
      <c r="A120" s="12" t="s">
        <v>698</v>
      </c>
      <c r="B120" s="12" t="s">
        <v>699</v>
      </c>
      <c r="C120" s="14"/>
      <c r="D120" s="14"/>
      <c r="E120" s="14"/>
      <c r="F120" s="12"/>
      <c r="G120" s="12" t="s">
        <v>693</v>
      </c>
      <c r="H120" s="12" t="s">
        <v>693</v>
      </c>
      <c r="I120" s="12" t="s">
        <v>95</v>
      </c>
      <c r="J120" s="12" t="s">
        <v>44</v>
      </c>
      <c r="K120" s="12"/>
      <c r="L120" s="12" t="s">
        <v>101</v>
      </c>
      <c r="M120" s="12" t="s">
        <v>72</v>
      </c>
      <c r="N120" s="18" t="str">
        <f t="shared" si="1"/>
        <v/>
      </c>
      <c r="O120" s="12"/>
      <c r="P120" s="12"/>
      <c r="Q120" s="12" t="s">
        <v>577</v>
      </c>
      <c r="R120" s="13">
        <v>46230.0</v>
      </c>
      <c r="S120" s="12" t="s">
        <v>193</v>
      </c>
      <c r="T120" s="12"/>
    </row>
    <row r="121" ht="15.75" customHeight="1">
      <c r="A121" s="12" t="s">
        <v>700</v>
      </c>
      <c r="B121" s="12" t="s">
        <v>701</v>
      </c>
      <c r="C121" s="14">
        <v>210.0</v>
      </c>
      <c r="D121" s="14">
        <v>980.0</v>
      </c>
      <c r="E121" s="14"/>
      <c r="F121" s="12" t="s">
        <v>91</v>
      </c>
      <c r="G121" s="12" t="s">
        <v>693</v>
      </c>
      <c r="H121" s="12" t="s">
        <v>693</v>
      </c>
      <c r="I121" s="12" t="s">
        <v>95</v>
      </c>
      <c r="J121" s="12" t="s">
        <v>97</v>
      </c>
      <c r="K121" s="12"/>
      <c r="L121" s="12" t="s">
        <v>101</v>
      </c>
      <c r="M121" s="12" t="s">
        <v>72</v>
      </c>
      <c r="N121" s="18" t="str">
        <f t="shared" si="1"/>
        <v/>
      </c>
      <c r="O121" s="12"/>
      <c r="P121" s="12"/>
      <c r="Q121" s="12" t="s">
        <v>577</v>
      </c>
      <c r="R121" s="13">
        <v>46230.0</v>
      </c>
      <c r="S121" s="12" t="s">
        <v>193</v>
      </c>
      <c r="T121" s="12"/>
    </row>
    <row r="122" ht="15.75" customHeight="1">
      <c r="A122" s="12" t="s">
        <v>702</v>
      </c>
      <c r="B122" s="12" t="s">
        <v>703</v>
      </c>
      <c r="C122" s="14">
        <v>140.0</v>
      </c>
      <c r="D122" s="14">
        <v>1100.0</v>
      </c>
      <c r="E122" s="14">
        <v>36.0</v>
      </c>
      <c r="F122" s="12" t="s">
        <v>91</v>
      </c>
      <c r="G122" s="12" t="s">
        <v>693</v>
      </c>
      <c r="H122" s="12" t="s">
        <v>693</v>
      </c>
      <c r="I122" s="12" t="s">
        <v>95</v>
      </c>
      <c r="J122" s="12" t="s">
        <v>97</v>
      </c>
      <c r="K122" s="12"/>
      <c r="L122" s="12" t="s">
        <v>101</v>
      </c>
      <c r="M122" s="12" t="s">
        <v>72</v>
      </c>
      <c r="N122" s="18">
        <f t="shared" si="1"/>
        <v>3.8</v>
      </c>
      <c r="O122" s="12"/>
      <c r="P122" s="12"/>
      <c r="Q122" s="12" t="s">
        <v>577</v>
      </c>
      <c r="R122" s="13">
        <v>46230.0</v>
      </c>
      <c r="S122" s="12" t="s">
        <v>193</v>
      </c>
      <c r="T122" s="12"/>
    </row>
    <row r="123" ht="15.75" customHeight="1">
      <c r="A123" s="12" t="s">
        <v>704</v>
      </c>
      <c r="B123" s="12" t="s">
        <v>705</v>
      </c>
      <c r="C123" s="14">
        <v>40.0</v>
      </c>
      <c r="D123" s="14">
        <v>170.0</v>
      </c>
      <c r="E123" s="14">
        <v>30.0</v>
      </c>
      <c r="F123" s="12" t="s">
        <v>91</v>
      </c>
      <c r="G123" s="12" t="s">
        <v>693</v>
      </c>
      <c r="H123" s="12" t="s">
        <v>693</v>
      </c>
      <c r="I123" s="12" t="s">
        <v>95</v>
      </c>
      <c r="J123" s="12" t="s">
        <v>97</v>
      </c>
      <c r="K123" s="12"/>
      <c r="L123" s="12" t="s">
        <v>101</v>
      </c>
      <c r="M123" s="12" t="s">
        <v>72</v>
      </c>
      <c r="N123" s="18">
        <f t="shared" si="1"/>
        <v>1.3</v>
      </c>
      <c r="O123" s="12"/>
      <c r="P123" s="12"/>
      <c r="Q123" s="12" t="s">
        <v>577</v>
      </c>
      <c r="R123" s="13">
        <v>46230.0</v>
      </c>
      <c r="S123" s="12" t="s">
        <v>193</v>
      </c>
      <c r="T123" s="12"/>
    </row>
    <row r="124" ht="15.75" customHeight="1">
      <c r="A124" s="12" t="s">
        <v>706</v>
      </c>
      <c r="B124" s="12" t="s">
        <v>707</v>
      </c>
      <c r="C124" s="14">
        <v>320.0</v>
      </c>
      <c r="D124" s="14">
        <v>1300.0</v>
      </c>
      <c r="E124" s="14">
        <v>14.0</v>
      </c>
      <c r="F124" s="12" t="s">
        <v>91</v>
      </c>
      <c r="G124" s="12" t="s">
        <v>708</v>
      </c>
      <c r="H124" s="12" t="s">
        <v>708</v>
      </c>
      <c r="I124" s="12" t="s">
        <v>95</v>
      </c>
      <c r="J124" s="12" t="s">
        <v>97</v>
      </c>
      <c r="K124" s="12"/>
      <c r="L124" s="12" t="s">
        <v>101</v>
      </c>
      <c r="M124" s="12" t="s">
        <v>72</v>
      </c>
      <c r="N124" s="18">
        <f t="shared" si="1"/>
        <v>21.3</v>
      </c>
      <c r="O124" s="12"/>
      <c r="P124" s="12"/>
      <c r="Q124" s="12" t="s">
        <v>577</v>
      </c>
      <c r="R124" s="13">
        <v>46230.0</v>
      </c>
      <c r="S124" s="12" t="s">
        <v>193</v>
      </c>
      <c r="T124" s="12"/>
    </row>
    <row r="125" ht="15.75" customHeight="1">
      <c r="A125" s="12" t="s">
        <v>709</v>
      </c>
      <c r="B125" s="12" t="s">
        <v>710</v>
      </c>
      <c r="C125" s="14">
        <v>260.0</v>
      </c>
      <c r="D125" s="14">
        <v>1600.0</v>
      </c>
      <c r="E125" s="14">
        <v>6.0</v>
      </c>
      <c r="F125" s="12" t="s">
        <v>87</v>
      </c>
      <c r="G125" s="12" t="s">
        <v>708</v>
      </c>
      <c r="H125" s="12" t="s">
        <v>708</v>
      </c>
      <c r="I125" s="12" t="s">
        <v>95</v>
      </c>
      <c r="J125" s="12" t="s">
        <v>97</v>
      </c>
      <c r="K125" s="12"/>
      <c r="L125" s="12" t="s">
        <v>101</v>
      </c>
      <c r="M125" s="12" t="s">
        <v>72</v>
      </c>
      <c r="N125" s="18">
        <f t="shared" si="1"/>
        <v>46.4</v>
      </c>
      <c r="O125" s="12"/>
      <c r="P125" s="12"/>
      <c r="Q125" s="12" t="s">
        <v>577</v>
      </c>
      <c r="R125" s="13">
        <v>46230.0</v>
      </c>
      <c r="S125" s="12" t="s">
        <v>193</v>
      </c>
      <c r="T125" s="12"/>
    </row>
    <row r="126" ht="15.75" customHeight="1">
      <c r="A126" s="12" t="s">
        <v>711</v>
      </c>
      <c r="B126" s="12" t="s">
        <v>712</v>
      </c>
      <c r="C126" s="14">
        <v>210.0</v>
      </c>
      <c r="D126" s="14">
        <v>700.0</v>
      </c>
      <c r="E126" s="14">
        <v>10.0</v>
      </c>
      <c r="F126" s="12" t="s">
        <v>353</v>
      </c>
      <c r="G126" s="12" t="s">
        <v>708</v>
      </c>
      <c r="H126" s="12" t="s">
        <v>708</v>
      </c>
      <c r="I126" s="12" t="s">
        <v>95</v>
      </c>
      <c r="J126" s="12" t="s">
        <v>97</v>
      </c>
      <c r="K126" s="12"/>
      <c r="L126" s="12" t="s">
        <v>101</v>
      </c>
      <c r="M126" s="12" t="s">
        <v>72</v>
      </c>
      <c r="N126" s="18">
        <f t="shared" si="1"/>
        <v>23.9</v>
      </c>
      <c r="O126" s="12"/>
      <c r="P126" s="12"/>
      <c r="Q126" s="12" t="s">
        <v>577</v>
      </c>
      <c r="R126" s="13">
        <v>46230.0</v>
      </c>
      <c r="S126" s="12" t="s">
        <v>193</v>
      </c>
      <c r="T126" s="12"/>
    </row>
    <row r="127" ht="15.75" customHeight="1">
      <c r="A127" s="12" t="s">
        <v>713</v>
      </c>
      <c r="B127" s="12" t="s">
        <v>714</v>
      </c>
      <c r="C127" s="14">
        <v>70.0</v>
      </c>
      <c r="D127" s="14">
        <v>190.0</v>
      </c>
      <c r="E127" s="14">
        <v>7.0</v>
      </c>
      <c r="F127" s="12" t="s">
        <v>91</v>
      </c>
      <c r="G127" s="12" t="s">
        <v>708</v>
      </c>
      <c r="H127" s="12" t="s">
        <v>708</v>
      </c>
      <c r="I127" s="12" t="s">
        <v>95</v>
      </c>
      <c r="J127" s="12" t="s">
        <v>44</v>
      </c>
      <c r="K127" s="12"/>
      <c r="L127" s="12" t="s">
        <v>101</v>
      </c>
      <c r="M127" s="12" t="s">
        <v>72</v>
      </c>
      <c r="N127" s="18">
        <f t="shared" si="1"/>
        <v>8.8</v>
      </c>
      <c r="O127" s="12"/>
      <c r="P127" s="12"/>
      <c r="Q127" s="12" t="s">
        <v>577</v>
      </c>
      <c r="R127" s="13">
        <v>46230.0</v>
      </c>
      <c r="S127" s="12" t="s">
        <v>193</v>
      </c>
      <c r="T127" s="12"/>
    </row>
    <row r="128" ht="15.75" customHeight="1">
      <c r="A128" s="12" t="s">
        <v>715</v>
      </c>
      <c r="B128" s="12" t="s">
        <v>716</v>
      </c>
      <c r="C128" s="14">
        <v>10.0</v>
      </c>
      <c r="D128" s="14">
        <v>10.0</v>
      </c>
      <c r="E128" s="14"/>
      <c r="F128" s="12"/>
      <c r="G128" s="12" t="s">
        <v>708</v>
      </c>
      <c r="H128" s="12" t="s">
        <v>708</v>
      </c>
      <c r="I128" s="12" t="s">
        <v>95</v>
      </c>
      <c r="J128" s="12" t="s">
        <v>97</v>
      </c>
      <c r="K128" s="12"/>
      <c r="L128" s="12" t="s">
        <v>101</v>
      </c>
      <c r="M128" s="12" t="s">
        <v>72</v>
      </c>
      <c r="N128" s="18" t="str">
        <f t="shared" si="1"/>
        <v/>
      </c>
      <c r="O128" s="12"/>
      <c r="P128" s="12"/>
      <c r="Q128" s="12" t="s">
        <v>577</v>
      </c>
      <c r="R128" s="13">
        <v>46230.0</v>
      </c>
      <c r="S128" s="12" t="s">
        <v>193</v>
      </c>
      <c r="T128" s="12"/>
    </row>
    <row r="129" ht="15.75" customHeight="1">
      <c r="A129" s="12" t="s">
        <v>717</v>
      </c>
      <c r="B129" s="12" t="s">
        <v>718</v>
      </c>
      <c r="C129" s="14">
        <v>10.0</v>
      </c>
      <c r="D129" s="14">
        <v>10.0</v>
      </c>
      <c r="E129" s="14"/>
      <c r="F129" s="12"/>
      <c r="G129" s="12" t="s">
        <v>708</v>
      </c>
      <c r="H129" s="12" t="s">
        <v>708</v>
      </c>
      <c r="I129" s="12" t="s">
        <v>95</v>
      </c>
      <c r="J129" s="12" t="s">
        <v>97</v>
      </c>
      <c r="K129" s="12"/>
      <c r="L129" s="12" t="s">
        <v>101</v>
      </c>
      <c r="M129" s="12" t="s">
        <v>72</v>
      </c>
      <c r="N129" s="18" t="str">
        <f t="shared" si="1"/>
        <v/>
      </c>
      <c r="O129" s="12"/>
      <c r="P129" s="12"/>
      <c r="Q129" s="12" t="s">
        <v>577</v>
      </c>
      <c r="R129" s="13">
        <v>46230.0</v>
      </c>
      <c r="S129" s="12" t="s">
        <v>193</v>
      </c>
      <c r="T129" s="12"/>
    </row>
    <row r="130" ht="15.75" customHeight="1">
      <c r="A130" s="12" t="s">
        <v>719</v>
      </c>
      <c r="B130" s="12" t="s">
        <v>720</v>
      </c>
      <c r="C130" s="14">
        <v>40.0</v>
      </c>
      <c r="D130" s="14">
        <v>60.0</v>
      </c>
      <c r="E130" s="14"/>
      <c r="F130" s="12"/>
      <c r="G130" s="12" t="s">
        <v>708</v>
      </c>
      <c r="H130" s="12" t="s">
        <v>708</v>
      </c>
      <c r="I130" s="12" t="s">
        <v>95</v>
      </c>
      <c r="J130" s="12" t="s">
        <v>97</v>
      </c>
      <c r="K130" s="12"/>
      <c r="L130" s="12" t="s">
        <v>101</v>
      </c>
      <c r="M130" s="12" t="s">
        <v>72</v>
      </c>
      <c r="N130" s="18" t="str">
        <f t="shared" si="1"/>
        <v/>
      </c>
      <c r="O130" s="12"/>
      <c r="P130" s="12"/>
      <c r="Q130" s="12" t="s">
        <v>577</v>
      </c>
      <c r="R130" s="13">
        <v>46230.0</v>
      </c>
      <c r="S130" s="12" t="s">
        <v>193</v>
      </c>
      <c r="T130" s="12"/>
    </row>
    <row r="131" ht="15.75" customHeight="1">
      <c r="A131" s="12" t="s">
        <v>721</v>
      </c>
      <c r="B131" s="12" t="s">
        <v>722</v>
      </c>
      <c r="C131" s="14">
        <v>50.0</v>
      </c>
      <c r="D131" s="14">
        <v>90.0</v>
      </c>
      <c r="E131" s="14">
        <v>28.0</v>
      </c>
      <c r="F131" s="12" t="s">
        <v>91</v>
      </c>
      <c r="G131" s="12" t="s">
        <v>708</v>
      </c>
      <c r="H131" s="12" t="s">
        <v>708</v>
      </c>
      <c r="I131" s="12" t="s">
        <v>95</v>
      </c>
      <c r="J131" s="12" t="s">
        <v>97</v>
      </c>
      <c r="K131" s="12"/>
      <c r="L131" s="12" t="s">
        <v>101</v>
      </c>
      <c r="M131" s="12" t="s">
        <v>72</v>
      </c>
      <c r="N131" s="18">
        <f t="shared" si="1"/>
        <v>1.7</v>
      </c>
      <c r="O131" s="12"/>
      <c r="P131" s="12"/>
      <c r="Q131" s="12" t="s">
        <v>577</v>
      </c>
      <c r="R131" s="13">
        <v>46230.0</v>
      </c>
      <c r="S131" s="12" t="s">
        <v>193</v>
      </c>
      <c r="T131" s="12"/>
    </row>
    <row r="132" ht="15.75" customHeight="1">
      <c r="A132" s="12" t="s">
        <v>723</v>
      </c>
      <c r="B132" s="12" t="s">
        <v>724</v>
      </c>
      <c r="C132" s="14">
        <v>70.0</v>
      </c>
      <c r="D132" s="14">
        <v>150.0</v>
      </c>
      <c r="E132" s="14">
        <v>32.0</v>
      </c>
      <c r="F132" s="12" t="s">
        <v>91</v>
      </c>
      <c r="G132" s="12" t="s">
        <v>708</v>
      </c>
      <c r="H132" s="12" t="s">
        <v>708</v>
      </c>
      <c r="I132" s="12" t="s">
        <v>95</v>
      </c>
      <c r="J132" s="12" t="s">
        <v>97</v>
      </c>
      <c r="K132" s="12"/>
      <c r="L132" s="12" t="s">
        <v>101</v>
      </c>
      <c r="M132" s="12" t="s">
        <v>72</v>
      </c>
      <c r="N132" s="18">
        <f t="shared" si="1"/>
        <v>2.1</v>
      </c>
      <c r="O132" s="12"/>
      <c r="P132" s="12"/>
      <c r="Q132" s="12" t="s">
        <v>577</v>
      </c>
      <c r="R132" s="13">
        <v>46230.0</v>
      </c>
      <c r="S132" s="12" t="s">
        <v>193</v>
      </c>
      <c r="T132" s="12"/>
    </row>
    <row r="133" ht="15.75" customHeight="1">
      <c r="A133" s="12" t="s">
        <v>725</v>
      </c>
      <c r="B133" s="12" t="s">
        <v>726</v>
      </c>
      <c r="C133" s="14">
        <v>70.0</v>
      </c>
      <c r="D133" s="14">
        <v>130.0</v>
      </c>
      <c r="E133" s="14">
        <v>7.0</v>
      </c>
      <c r="F133" s="12" t="s">
        <v>91</v>
      </c>
      <c r="G133" s="12" t="s">
        <v>708</v>
      </c>
      <c r="H133" s="12" t="s">
        <v>708</v>
      </c>
      <c r="I133" s="12" t="s">
        <v>95</v>
      </c>
      <c r="J133" s="12" t="s">
        <v>97</v>
      </c>
      <c r="K133" s="12"/>
      <c r="L133" s="12" t="s">
        <v>101</v>
      </c>
      <c r="M133" s="12" t="s">
        <v>72</v>
      </c>
      <c r="N133" s="18">
        <f t="shared" si="1"/>
        <v>8.8</v>
      </c>
      <c r="O133" s="12"/>
      <c r="P133" s="12"/>
      <c r="Q133" s="12" t="s">
        <v>577</v>
      </c>
      <c r="R133" s="13">
        <v>46230.0</v>
      </c>
      <c r="S133" s="12" t="s">
        <v>193</v>
      </c>
      <c r="T133" s="12"/>
    </row>
    <row r="134" ht="15.75" customHeight="1">
      <c r="A134" s="12" t="s">
        <v>727</v>
      </c>
      <c r="B134" s="12" t="s">
        <v>728</v>
      </c>
      <c r="C134" s="14">
        <v>260.0</v>
      </c>
      <c r="D134" s="14">
        <v>710.0</v>
      </c>
      <c r="E134" s="14">
        <v>13.0</v>
      </c>
      <c r="F134" s="12" t="s">
        <v>91</v>
      </c>
      <c r="G134" s="12" t="s">
        <v>592</v>
      </c>
      <c r="H134" s="12" t="s">
        <v>592</v>
      </c>
      <c r="I134" s="12" t="s">
        <v>95</v>
      </c>
      <c r="J134" s="12" t="s">
        <v>97</v>
      </c>
      <c r="K134" s="12"/>
      <c r="L134" s="12" t="s">
        <v>101</v>
      </c>
      <c r="M134" s="12" t="s">
        <v>72</v>
      </c>
      <c r="N134" s="18">
        <f t="shared" si="1"/>
        <v>18.6</v>
      </c>
      <c r="O134" s="12"/>
      <c r="P134" s="12"/>
      <c r="Q134" s="12" t="s">
        <v>577</v>
      </c>
      <c r="R134" s="13">
        <v>46230.0</v>
      </c>
      <c r="S134" s="12" t="s">
        <v>193</v>
      </c>
      <c r="T134" s="12"/>
    </row>
    <row r="135" ht="15.75" customHeight="1">
      <c r="A135" s="12" t="s">
        <v>729</v>
      </c>
      <c r="B135" s="12" t="s">
        <v>730</v>
      </c>
      <c r="C135" s="14">
        <v>70.0</v>
      </c>
      <c r="D135" s="14">
        <v>130.0</v>
      </c>
      <c r="E135" s="14">
        <v>11.0</v>
      </c>
      <c r="F135" s="12" t="s">
        <v>91</v>
      </c>
      <c r="G135" s="12" t="s">
        <v>592</v>
      </c>
      <c r="H135" s="12" t="s">
        <v>592</v>
      </c>
      <c r="I135" s="12" t="s">
        <v>95</v>
      </c>
      <c r="J135" s="12" t="s">
        <v>97</v>
      </c>
      <c r="K135" s="12"/>
      <c r="L135" s="12" t="s">
        <v>101</v>
      </c>
      <c r="M135" s="12" t="s">
        <v>72</v>
      </c>
      <c r="N135" s="18">
        <f t="shared" si="1"/>
        <v>5.8</v>
      </c>
      <c r="O135" s="12"/>
      <c r="P135" s="12"/>
      <c r="Q135" s="12" t="s">
        <v>577</v>
      </c>
      <c r="R135" s="13">
        <v>46230.0</v>
      </c>
      <c r="S135" s="12" t="s">
        <v>193</v>
      </c>
      <c r="T135" s="12"/>
    </row>
    <row r="136" ht="15.75" customHeight="1">
      <c r="A136" s="12" t="s">
        <v>731</v>
      </c>
      <c r="B136" s="12" t="s">
        <v>732</v>
      </c>
      <c r="C136" s="14">
        <v>70.0</v>
      </c>
      <c r="D136" s="14">
        <v>110.0</v>
      </c>
      <c r="E136" s="14">
        <v>10.0</v>
      </c>
      <c r="F136" s="12" t="s">
        <v>91</v>
      </c>
      <c r="G136" s="12" t="s">
        <v>592</v>
      </c>
      <c r="H136" s="12" t="s">
        <v>592</v>
      </c>
      <c r="I136" s="12" t="s">
        <v>95</v>
      </c>
      <c r="J136" s="12" t="s">
        <v>97</v>
      </c>
      <c r="K136" s="12"/>
      <c r="L136" s="12" t="s">
        <v>101</v>
      </c>
      <c r="M136" s="12" t="s">
        <v>72</v>
      </c>
      <c r="N136" s="18">
        <f t="shared" si="1"/>
        <v>6.4</v>
      </c>
      <c r="O136" s="12"/>
      <c r="P136" s="12"/>
      <c r="Q136" s="12" t="s">
        <v>577</v>
      </c>
      <c r="R136" s="13">
        <v>46230.0</v>
      </c>
      <c r="S136" s="12" t="s">
        <v>193</v>
      </c>
      <c r="T136" s="12"/>
    </row>
    <row r="137" ht="15.75" customHeight="1">
      <c r="A137" s="12" t="s">
        <v>733</v>
      </c>
      <c r="B137" s="12" t="s">
        <v>734</v>
      </c>
      <c r="C137" s="14">
        <v>50.0</v>
      </c>
      <c r="D137" s="14">
        <v>50.0</v>
      </c>
      <c r="E137" s="14"/>
      <c r="F137" s="12"/>
      <c r="G137" s="12" t="s">
        <v>592</v>
      </c>
      <c r="H137" s="12" t="s">
        <v>592</v>
      </c>
      <c r="I137" s="12" t="s">
        <v>95</v>
      </c>
      <c r="J137" s="12" t="s">
        <v>97</v>
      </c>
      <c r="K137" s="12"/>
      <c r="L137" s="12" t="s">
        <v>101</v>
      </c>
      <c r="M137" s="12" t="s">
        <v>72</v>
      </c>
      <c r="N137" s="18" t="str">
        <f t="shared" si="1"/>
        <v/>
      </c>
      <c r="O137" s="12"/>
      <c r="P137" s="12"/>
      <c r="Q137" s="12" t="s">
        <v>577</v>
      </c>
      <c r="R137" s="13">
        <v>46230.0</v>
      </c>
      <c r="S137" s="12" t="s">
        <v>193</v>
      </c>
      <c r="T137" s="12"/>
    </row>
    <row r="138" ht="15.75" customHeight="1">
      <c r="A138" s="12" t="s">
        <v>735</v>
      </c>
      <c r="B138" s="12" t="s">
        <v>736</v>
      </c>
      <c r="C138" s="14">
        <v>30.0</v>
      </c>
      <c r="D138" s="14">
        <v>100.0</v>
      </c>
      <c r="E138" s="14"/>
      <c r="F138" s="12"/>
      <c r="G138" s="12" t="s">
        <v>592</v>
      </c>
      <c r="H138" s="12" t="s">
        <v>592</v>
      </c>
      <c r="I138" s="12" t="s">
        <v>95</v>
      </c>
      <c r="J138" s="12" t="s">
        <v>97</v>
      </c>
      <c r="K138" s="12"/>
      <c r="L138" s="12" t="s">
        <v>101</v>
      </c>
      <c r="M138" s="12" t="s">
        <v>72</v>
      </c>
      <c r="N138" s="18" t="str">
        <f t="shared" si="1"/>
        <v/>
      </c>
      <c r="O138" s="12"/>
      <c r="P138" s="12"/>
      <c r="Q138" s="12" t="s">
        <v>577</v>
      </c>
      <c r="R138" s="13">
        <v>46230.0</v>
      </c>
      <c r="S138" s="12" t="s">
        <v>193</v>
      </c>
      <c r="T138" s="12"/>
    </row>
    <row r="139" ht="15.75" customHeight="1">
      <c r="A139" s="12" t="s">
        <v>737</v>
      </c>
      <c r="B139" s="12" t="s">
        <v>738</v>
      </c>
      <c r="C139" s="14">
        <v>90.0</v>
      </c>
      <c r="D139" s="14">
        <v>100.0</v>
      </c>
      <c r="E139" s="14">
        <v>12.0</v>
      </c>
      <c r="F139" s="12" t="s">
        <v>91</v>
      </c>
      <c r="G139" s="12" t="s">
        <v>592</v>
      </c>
      <c r="H139" s="12" t="s">
        <v>592</v>
      </c>
      <c r="I139" s="12" t="s">
        <v>95</v>
      </c>
      <c r="J139" s="12" t="s">
        <v>97</v>
      </c>
      <c r="K139" s="12"/>
      <c r="L139" s="12" t="s">
        <v>101</v>
      </c>
      <c r="M139" s="12" t="s">
        <v>72</v>
      </c>
      <c r="N139" s="18">
        <f t="shared" si="1"/>
        <v>6.9</v>
      </c>
      <c r="O139" s="12"/>
      <c r="P139" s="12"/>
      <c r="Q139" s="12" t="s">
        <v>577</v>
      </c>
      <c r="R139" s="13">
        <v>46230.0</v>
      </c>
      <c r="S139" s="12" t="s">
        <v>193</v>
      </c>
      <c r="T139" s="12"/>
    </row>
    <row r="140" ht="15.75" customHeight="1">
      <c r="A140" s="12" t="s">
        <v>739</v>
      </c>
      <c r="B140" s="12" t="s">
        <v>740</v>
      </c>
      <c r="C140" s="14">
        <v>30.0</v>
      </c>
      <c r="D140" s="14">
        <v>60.0</v>
      </c>
      <c r="E140" s="14"/>
      <c r="F140" s="12" t="s">
        <v>91</v>
      </c>
      <c r="G140" s="12" t="s">
        <v>308</v>
      </c>
      <c r="H140" s="12" t="s">
        <v>308</v>
      </c>
      <c r="I140" s="12" t="s">
        <v>95</v>
      </c>
      <c r="J140" s="12" t="s">
        <v>44</v>
      </c>
      <c r="K140" s="12"/>
      <c r="L140" s="12" t="s">
        <v>101</v>
      </c>
      <c r="M140" s="12" t="s">
        <v>72</v>
      </c>
      <c r="N140" s="18" t="str">
        <f t="shared" si="1"/>
        <v/>
      </c>
      <c r="O140" s="12"/>
      <c r="P140" s="12"/>
      <c r="Q140" s="12" t="s">
        <v>577</v>
      </c>
      <c r="R140" s="13">
        <v>46230.0</v>
      </c>
      <c r="S140" s="12" t="s">
        <v>193</v>
      </c>
      <c r="T140" s="12"/>
    </row>
    <row r="141" ht="15.75" customHeight="1">
      <c r="A141" s="12" t="s">
        <v>741</v>
      </c>
      <c r="B141" s="12" t="s">
        <v>742</v>
      </c>
      <c r="C141" s="14">
        <v>5400.0</v>
      </c>
      <c r="D141" s="14">
        <v>25100.0</v>
      </c>
      <c r="E141" s="14">
        <v>50.0</v>
      </c>
      <c r="F141" s="12" t="s">
        <v>91</v>
      </c>
      <c r="G141" s="12" t="s">
        <v>308</v>
      </c>
      <c r="H141" s="12" t="s">
        <v>308</v>
      </c>
      <c r="I141" s="12" t="s">
        <v>95</v>
      </c>
      <c r="J141" s="12" t="s">
        <v>97</v>
      </c>
      <c r="K141" s="12"/>
      <c r="L141" s="12" t="s">
        <v>101</v>
      </c>
      <c r="M141" s="12" t="s">
        <v>72</v>
      </c>
      <c r="N141" s="18">
        <f t="shared" si="1"/>
        <v>105.9</v>
      </c>
      <c r="O141" s="12"/>
      <c r="P141" s="12"/>
      <c r="Q141" s="12" t="s">
        <v>577</v>
      </c>
      <c r="R141" s="13">
        <v>46230.0</v>
      </c>
      <c r="S141" s="12" t="s">
        <v>193</v>
      </c>
      <c r="T141" s="12"/>
    </row>
    <row r="142" ht="15.75" customHeight="1">
      <c r="A142" s="12" t="s">
        <v>743</v>
      </c>
      <c r="B142" s="12" t="s">
        <v>744</v>
      </c>
      <c r="C142" s="14">
        <v>260.0</v>
      </c>
      <c r="D142" s="14">
        <v>320.0</v>
      </c>
      <c r="E142" s="14">
        <v>19.0</v>
      </c>
      <c r="F142" s="12" t="s">
        <v>91</v>
      </c>
      <c r="G142" s="12" t="s">
        <v>308</v>
      </c>
      <c r="H142" s="12" t="s">
        <v>308</v>
      </c>
      <c r="I142" s="12" t="s">
        <v>95</v>
      </c>
      <c r="J142" s="12" t="s">
        <v>97</v>
      </c>
      <c r="K142" s="12"/>
      <c r="L142" s="12" t="s">
        <v>101</v>
      </c>
      <c r="M142" s="12" t="s">
        <v>72</v>
      </c>
      <c r="N142" s="18">
        <f t="shared" si="1"/>
        <v>13</v>
      </c>
      <c r="O142" s="12"/>
      <c r="P142" s="12"/>
      <c r="Q142" s="12" t="s">
        <v>577</v>
      </c>
      <c r="R142" s="13">
        <v>46230.0</v>
      </c>
      <c r="S142" s="12" t="s">
        <v>193</v>
      </c>
      <c r="T142" s="12"/>
    </row>
    <row r="143" ht="15.75" customHeight="1">
      <c r="A143" s="12" t="s">
        <v>745</v>
      </c>
      <c r="B143" s="12" t="s">
        <v>746</v>
      </c>
      <c r="C143" s="14">
        <v>260.0</v>
      </c>
      <c r="D143" s="14">
        <v>410.0</v>
      </c>
      <c r="E143" s="14">
        <v>32.0</v>
      </c>
      <c r="F143" s="12" t="s">
        <v>91</v>
      </c>
      <c r="G143" s="12" t="s">
        <v>308</v>
      </c>
      <c r="H143" s="12" t="s">
        <v>308</v>
      </c>
      <c r="I143" s="12" t="s">
        <v>95</v>
      </c>
      <c r="J143" s="12" t="s">
        <v>97</v>
      </c>
      <c r="K143" s="12"/>
      <c r="L143" s="12" t="s">
        <v>101</v>
      </c>
      <c r="M143" s="12" t="s">
        <v>72</v>
      </c>
      <c r="N143" s="18">
        <f t="shared" si="1"/>
        <v>7.9</v>
      </c>
      <c r="O143" s="12"/>
      <c r="P143" s="12"/>
      <c r="Q143" s="12" t="s">
        <v>577</v>
      </c>
      <c r="R143" s="13">
        <v>46230.0</v>
      </c>
      <c r="S143" s="12" t="s">
        <v>193</v>
      </c>
      <c r="T143" s="12"/>
    </row>
    <row r="144" ht="15.75" customHeight="1">
      <c r="A144" s="12" t="s">
        <v>747</v>
      </c>
      <c r="B144" s="12" t="s">
        <v>748</v>
      </c>
      <c r="C144" s="14">
        <v>40.0</v>
      </c>
      <c r="D144" s="14">
        <v>80.0</v>
      </c>
      <c r="E144" s="14">
        <v>9.0</v>
      </c>
      <c r="F144" s="12" t="s">
        <v>91</v>
      </c>
      <c r="G144" s="12" t="s">
        <v>308</v>
      </c>
      <c r="H144" s="12" t="s">
        <v>308</v>
      </c>
      <c r="I144" s="12" t="s">
        <v>95</v>
      </c>
      <c r="J144" s="12" t="s">
        <v>97</v>
      </c>
      <c r="K144" s="12"/>
      <c r="L144" s="12" t="s">
        <v>101</v>
      </c>
      <c r="M144" s="12" t="s">
        <v>72</v>
      </c>
      <c r="N144" s="18">
        <f t="shared" si="1"/>
        <v>4</v>
      </c>
      <c r="O144" s="12"/>
      <c r="P144" s="12"/>
      <c r="Q144" s="12" t="s">
        <v>577</v>
      </c>
      <c r="R144" s="13">
        <v>46230.0</v>
      </c>
      <c r="S144" s="12" t="s">
        <v>193</v>
      </c>
      <c r="T144" s="12"/>
    </row>
    <row r="145" ht="15.75" customHeight="1">
      <c r="A145" s="12" t="s">
        <v>749</v>
      </c>
      <c r="B145" s="12" t="s">
        <v>750</v>
      </c>
      <c r="C145" s="14">
        <v>140.0</v>
      </c>
      <c r="D145" s="14">
        <v>190.0</v>
      </c>
      <c r="E145" s="14">
        <v>18.0</v>
      </c>
      <c r="F145" s="12" t="s">
        <v>91</v>
      </c>
      <c r="G145" s="12" t="s">
        <v>308</v>
      </c>
      <c r="H145" s="12" t="s">
        <v>308</v>
      </c>
      <c r="I145" s="12" t="s">
        <v>95</v>
      </c>
      <c r="J145" s="12" t="s">
        <v>97</v>
      </c>
      <c r="K145" s="12"/>
      <c r="L145" s="12" t="s">
        <v>101</v>
      </c>
      <c r="M145" s="12" t="s">
        <v>72</v>
      </c>
      <c r="N145" s="18">
        <f t="shared" si="1"/>
        <v>7.4</v>
      </c>
      <c r="O145" s="12"/>
      <c r="P145" s="12"/>
      <c r="Q145" s="12" t="s">
        <v>577</v>
      </c>
      <c r="R145" s="13">
        <v>46230.0</v>
      </c>
      <c r="S145" s="12" t="s">
        <v>193</v>
      </c>
      <c r="T145" s="12"/>
    </row>
    <row r="146" ht="15.75" customHeight="1">
      <c r="A146" s="12" t="s">
        <v>751</v>
      </c>
      <c r="B146" s="12" t="s">
        <v>752</v>
      </c>
      <c r="C146" s="14"/>
      <c r="D146" s="14"/>
      <c r="E146" s="14"/>
      <c r="F146" s="12" t="s">
        <v>91</v>
      </c>
      <c r="G146" s="12" t="s">
        <v>308</v>
      </c>
      <c r="H146" s="12" t="s">
        <v>308</v>
      </c>
      <c r="I146" s="12" t="s">
        <v>95</v>
      </c>
      <c r="J146" s="12" t="s">
        <v>97</v>
      </c>
      <c r="K146" s="12"/>
      <c r="L146" s="12" t="s">
        <v>101</v>
      </c>
      <c r="M146" s="12" t="s">
        <v>72</v>
      </c>
      <c r="N146" s="18" t="str">
        <f t="shared" si="1"/>
        <v/>
      </c>
      <c r="O146" s="12"/>
      <c r="P146" s="12"/>
      <c r="Q146" s="12" t="s">
        <v>577</v>
      </c>
      <c r="R146" s="13">
        <v>46230.0</v>
      </c>
      <c r="S146" s="12" t="s">
        <v>193</v>
      </c>
      <c r="T146" s="12"/>
    </row>
    <row r="147" ht="15.75" customHeight="1">
      <c r="A147" s="12" t="s">
        <v>753</v>
      </c>
      <c r="B147" s="12" t="s">
        <v>754</v>
      </c>
      <c r="C147" s="14">
        <v>110.0</v>
      </c>
      <c r="D147" s="14">
        <v>980.0</v>
      </c>
      <c r="E147" s="14">
        <v>28.0</v>
      </c>
      <c r="F147" s="12" t="s">
        <v>91</v>
      </c>
      <c r="G147" s="12" t="s">
        <v>308</v>
      </c>
      <c r="H147" s="12" t="s">
        <v>308</v>
      </c>
      <c r="I147" s="12" t="s">
        <v>95</v>
      </c>
      <c r="J147" s="12" t="s">
        <v>97</v>
      </c>
      <c r="K147" s="12"/>
      <c r="L147" s="12" t="s">
        <v>101</v>
      </c>
      <c r="M147" s="12" t="s">
        <v>72</v>
      </c>
      <c r="N147" s="18">
        <f t="shared" si="1"/>
        <v>3.8</v>
      </c>
      <c r="O147" s="12"/>
      <c r="P147" s="12"/>
      <c r="Q147" s="12" t="s">
        <v>577</v>
      </c>
      <c r="R147" s="13">
        <v>46230.0</v>
      </c>
      <c r="S147" s="12" t="s">
        <v>193</v>
      </c>
      <c r="T147" s="12"/>
    </row>
    <row r="148" ht="15.75" customHeight="1">
      <c r="A148" s="12" t="s">
        <v>755</v>
      </c>
      <c r="B148" s="12" t="s">
        <v>756</v>
      </c>
      <c r="C148" s="14">
        <v>880.0</v>
      </c>
      <c r="D148" s="14">
        <v>7700.0</v>
      </c>
      <c r="E148" s="14">
        <v>26.0</v>
      </c>
      <c r="F148" s="12" t="s">
        <v>91</v>
      </c>
      <c r="G148" s="12" t="s">
        <v>757</v>
      </c>
      <c r="H148" s="12" t="s">
        <v>757</v>
      </c>
      <c r="I148" s="12" t="s">
        <v>95</v>
      </c>
      <c r="J148" s="12" t="s">
        <v>97</v>
      </c>
      <c r="K148" s="12"/>
      <c r="L148" s="12" t="s">
        <v>101</v>
      </c>
      <c r="M148" s="12" t="s">
        <v>72</v>
      </c>
      <c r="N148" s="18">
        <f t="shared" si="1"/>
        <v>32.6</v>
      </c>
      <c r="O148" s="12"/>
      <c r="P148" s="12"/>
      <c r="Q148" s="12" t="s">
        <v>577</v>
      </c>
      <c r="R148" s="13">
        <v>46230.0</v>
      </c>
      <c r="S148" s="12" t="s">
        <v>193</v>
      </c>
      <c r="T148" s="12"/>
    </row>
    <row r="149" ht="15.75" customHeight="1">
      <c r="A149" s="12" t="s">
        <v>758</v>
      </c>
      <c r="B149" s="12" t="s">
        <v>759</v>
      </c>
      <c r="C149" s="14">
        <v>590.0</v>
      </c>
      <c r="D149" s="14">
        <v>38400.0</v>
      </c>
      <c r="E149" s="14">
        <v>22.0</v>
      </c>
      <c r="F149" s="12" t="s">
        <v>91</v>
      </c>
      <c r="G149" s="12" t="s">
        <v>757</v>
      </c>
      <c r="H149" s="12" t="s">
        <v>757</v>
      </c>
      <c r="I149" s="12" t="s">
        <v>95</v>
      </c>
      <c r="J149" s="12" t="s">
        <v>97</v>
      </c>
      <c r="K149" s="12"/>
      <c r="L149" s="12" t="s">
        <v>101</v>
      </c>
      <c r="M149" s="12" t="s">
        <v>72</v>
      </c>
      <c r="N149" s="18">
        <f t="shared" si="1"/>
        <v>25.7</v>
      </c>
      <c r="O149" s="12"/>
      <c r="P149" s="12"/>
      <c r="Q149" s="12" t="s">
        <v>577</v>
      </c>
      <c r="R149" s="13">
        <v>46230.0</v>
      </c>
      <c r="S149" s="12" t="s">
        <v>193</v>
      </c>
      <c r="T149" s="12"/>
    </row>
    <row r="150" ht="15.75" customHeight="1">
      <c r="A150" s="12" t="s">
        <v>760</v>
      </c>
      <c r="B150" s="12" t="s">
        <v>761</v>
      </c>
      <c r="C150" s="14">
        <v>20.0</v>
      </c>
      <c r="D150" s="14">
        <v>30.0</v>
      </c>
      <c r="E150" s="14">
        <v>0.0</v>
      </c>
      <c r="F150" s="12" t="s">
        <v>91</v>
      </c>
      <c r="G150" s="12" t="s">
        <v>757</v>
      </c>
      <c r="H150" s="12" t="s">
        <v>757</v>
      </c>
      <c r="I150" s="12" t="s">
        <v>95</v>
      </c>
      <c r="J150" s="12" t="s">
        <v>97</v>
      </c>
      <c r="K150" s="12"/>
      <c r="L150" s="12" t="s">
        <v>101</v>
      </c>
      <c r="M150" s="12" t="s">
        <v>72</v>
      </c>
      <c r="N150" s="18">
        <f t="shared" si="1"/>
        <v>20</v>
      </c>
      <c r="O150" s="12"/>
      <c r="P150" s="12"/>
      <c r="Q150" s="12" t="s">
        <v>577</v>
      </c>
      <c r="R150" s="13">
        <v>46230.0</v>
      </c>
      <c r="S150" s="12" t="s">
        <v>193</v>
      </c>
      <c r="T150" s="12"/>
    </row>
    <row r="151" ht="15.75" customHeight="1">
      <c r="A151" s="12" t="s">
        <v>762</v>
      </c>
      <c r="B151" s="12" t="s">
        <v>763</v>
      </c>
      <c r="C151" s="14">
        <v>40.0</v>
      </c>
      <c r="D151" s="14">
        <v>140.0</v>
      </c>
      <c r="E151" s="14">
        <v>9.0</v>
      </c>
      <c r="F151" s="12" t="s">
        <v>91</v>
      </c>
      <c r="G151" s="12" t="s">
        <v>757</v>
      </c>
      <c r="H151" s="12" t="s">
        <v>757</v>
      </c>
      <c r="I151" s="12" t="s">
        <v>95</v>
      </c>
      <c r="J151" s="12" t="s">
        <v>97</v>
      </c>
      <c r="K151" s="12"/>
      <c r="L151" s="12" t="s">
        <v>101</v>
      </c>
      <c r="M151" s="12" t="s">
        <v>72</v>
      </c>
      <c r="N151" s="18">
        <f t="shared" si="1"/>
        <v>4</v>
      </c>
      <c r="O151" s="12"/>
      <c r="P151" s="12"/>
      <c r="Q151" s="12" t="s">
        <v>577</v>
      </c>
      <c r="R151" s="13">
        <v>46230.0</v>
      </c>
      <c r="S151" s="12" t="s">
        <v>193</v>
      </c>
      <c r="T151" s="12"/>
    </row>
    <row r="152" ht="15.75" customHeight="1">
      <c r="A152" s="12" t="s">
        <v>764</v>
      </c>
      <c r="B152" s="12" t="s">
        <v>765</v>
      </c>
      <c r="C152" s="14">
        <v>260.0</v>
      </c>
      <c r="D152" s="14">
        <v>440.0</v>
      </c>
      <c r="E152" s="14">
        <v>12.0</v>
      </c>
      <c r="F152" s="12" t="s">
        <v>353</v>
      </c>
      <c r="G152" s="12" t="s">
        <v>757</v>
      </c>
      <c r="H152" s="12" t="s">
        <v>757</v>
      </c>
      <c r="I152" s="12" t="s">
        <v>95</v>
      </c>
      <c r="J152" s="12" t="s">
        <v>44</v>
      </c>
      <c r="K152" s="12"/>
      <c r="L152" s="12" t="s">
        <v>101</v>
      </c>
      <c r="M152" s="12" t="s">
        <v>72</v>
      </c>
      <c r="N152" s="18">
        <f t="shared" si="1"/>
        <v>25</v>
      </c>
      <c r="O152" s="12"/>
      <c r="P152" s="12"/>
      <c r="Q152" s="12" t="s">
        <v>577</v>
      </c>
      <c r="R152" s="13">
        <v>46230.0</v>
      </c>
      <c r="S152" s="12" t="s">
        <v>193</v>
      </c>
      <c r="T152" s="12"/>
    </row>
    <row r="153" ht="15.75" customHeight="1">
      <c r="A153" s="12" t="s">
        <v>766</v>
      </c>
      <c r="B153" s="12" t="s">
        <v>767</v>
      </c>
      <c r="C153" s="14">
        <v>70.0</v>
      </c>
      <c r="D153" s="14">
        <v>80.0</v>
      </c>
      <c r="E153" s="14">
        <v>8.0</v>
      </c>
      <c r="F153" s="12" t="s">
        <v>87</v>
      </c>
      <c r="G153" s="12" t="s">
        <v>757</v>
      </c>
      <c r="H153" s="12" t="s">
        <v>757</v>
      </c>
      <c r="I153" s="12" t="s">
        <v>95</v>
      </c>
      <c r="J153" s="12" t="s">
        <v>97</v>
      </c>
      <c r="K153" s="12"/>
      <c r="L153" s="12" t="s">
        <v>101</v>
      </c>
      <c r="M153" s="12" t="s">
        <v>72</v>
      </c>
      <c r="N153" s="18">
        <f t="shared" si="1"/>
        <v>9.7</v>
      </c>
      <c r="O153" s="12"/>
      <c r="P153" s="12"/>
      <c r="Q153" s="12" t="s">
        <v>577</v>
      </c>
      <c r="R153" s="13">
        <v>46230.0</v>
      </c>
      <c r="S153" s="12" t="s">
        <v>193</v>
      </c>
      <c r="T153" s="12"/>
    </row>
    <row r="154" ht="15.75" customHeight="1">
      <c r="A154" s="12" t="s">
        <v>768</v>
      </c>
      <c r="B154" s="12" t="s">
        <v>769</v>
      </c>
      <c r="C154" s="14">
        <v>50.0</v>
      </c>
      <c r="D154" s="14">
        <v>150.0</v>
      </c>
      <c r="E154" s="14">
        <v>5.0</v>
      </c>
      <c r="F154" s="12" t="s">
        <v>91</v>
      </c>
      <c r="G154" s="12" t="s">
        <v>757</v>
      </c>
      <c r="H154" s="12" t="s">
        <v>757</v>
      </c>
      <c r="I154" s="12" t="s">
        <v>95</v>
      </c>
      <c r="J154" s="12" t="s">
        <v>97</v>
      </c>
      <c r="K154" s="12"/>
      <c r="L154" s="12" t="s">
        <v>101</v>
      </c>
      <c r="M154" s="12" t="s">
        <v>72</v>
      </c>
      <c r="N154" s="18">
        <f t="shared" si="1"/>
        <v>8.3</v>
      </c>
      <c r="O154" s="12"/>
      <c r="P154" s="12"/>
      <c r="Q154" s="12" t="s">
        <v>577</v>
      </c>
      <c r="R154" s="13">
        <v>46230.0</v>
      </c>
      <c r="S154" s="12" t="s">
        <v>193</v>
      </c>
      <c r="T154" s="12"/>
    </row>
    <row r="155" ht="15.75" customHeight="1">
      <c r="A155" s="12" t="s">
        <v>770</v>
      </c>
      <c r="B155" s="12" t="s">
        <v>771</v>
      </c>
      <c r="C155" s="14">
        <v>110.0</v>
      </c>
      <c r="D155" s="14">
        <v>210.0</v>
      </c>
      <c r="E155" s="14">
        <v>9.0</v>
      </c>
      <c r="F155" s="12" t="s">
        <v>91</v>
      </c>
      <c r="G155" s="12" t="s">
        <v>337</v>
      </c>
      <c r="H155" s="12" t="s">
        <v>337</v>
      </c>
      <c r="I155" s="12" t="s">
        <v>95</v>
      </c>
      <c r="J155" s="12" t="s">
        <v>97</v>
      </c>
      <c r="K155" s="12"/>
      <c r="L155" s="12" t="s">
        <v>101</v>
      </c>
      <c r="M155" s="12" t="s">
        <v>72</v>
      </c>
      <c r="N155" s="18">
        <f t="shared" si="1"/>
        <v>11</v>
      </c>
      <c r="O155" s="12"/>
      <c r="P155" s="12"/>
      <c r="Q155" s="12" t="s">
        <v>577</v>
      </c>
      <c r="R155" s="13">
        <v>46230.0</v>
      </c>
      <c r="S155" s="12" t="s">
        <v>193</v>
      </c>
      <c r="T155" s="12"/>
    </row>
    <row r="156" ht="15.75" customHeight="1">
      <c r="A156" s="12" t="s">
        <v>772</v>
      </c>
      <c r="B156" s="12" t="s">
        <v>773</v>
      </c>
      <c r="C156" s="14">
        <v>90.0</v>
      </c>
      <c r="D156" s="14">
        <v>350.0</v>
      </c>
      <c r="E156" s="14">
        <v>15.0</v>
      </c>
      <c r="F156" s="12" t="s">
        <v>91</v>
      </c>
      <c r="G156" s="12" t="s">
        <v>337</v>
      </c>
      <c r="H156" s="12" t="s">
        <v>337</v>
      </c>
      <c r="I156" s="12" t="s">
        <v>95</v>
      </c>
      <c r="J156" s="12" t="s">
        <v>44</v>
      </c>
      <c r="K156" s="12"/>
      <c r="L156" s="12" t="s">
        <v>101</v>
      </c>
      <c r="M156" s="12" t="s">
        <v>72</v>
      </c>
      <c r="N156" s="18">
        <f t="shared" si="1"/>
        <v>5.6</v>
      </c>
      <c r="O156" s="12"/>
      <c r="P156" s="12"/>
      <c r="Q156" s="12" t="s">
        <v>577</v>
      </c>
      <c r="R156" s="13">
        <v>46230.0</v>
      </c>
      <c r="S156" s="12" t="s">
        <v>193</v>
      </c>
      <c r="T156" s="12"/>
    </row>
    <row r="157" ht="15.75" customHeight="1">
      <c r="A157" s="12" t="s">
        <v>774</v>
      </c>
      <c r="B157" s="12" t="s">
        <v>775</v>
      </c>
      <c r="C157" s="14">
        <v>90.0</v>
      </c>
      <c r="D157" s="14">
        <v>150.0</v>
      </c>
      <c r="E157" s="14">
        <v>15.0</v>
      </c>
      <c r="F157" s="12" t="s">
        <v>91</v>
      </c>
      <c r="G157" s="12" t="s">
        <v>337</v>
      </c>
      <c r="H157" s="12" t="s">
        <v>337</v>
      </c>
      <c r="I157" s="12" t="s">
        <v>95</v>
      </c>
      <c r="J157" s="12" t="s">
        <v>97</v>
      </c>
      <c r="K157" s="12"/>
      <c r="L157" s="12" t="s">
        <v>101</v>
      </c>
      <c r="M157" s="12" t="s">
        <v>72</v>
      </c>
      <c r="N157" s="18">
        <f t="shared" si="1"/>
        <v>5.6</v>
      </c>
      <c r="O157" s="12"/>
      <c r="P157" s="12"/>
      <c r="Q157" s="12" t="s">
        <v>577</v>
      </c>
      <c r="R157" s="13">
        <v>46230.0</v>
      </c>
      <c r="S157" s="12" t="s">
        <v>193</v>
      </c>
      <c r="T157" s="12"/>
    </row>
    <row r="158" ht="15.75" customHeight="1">
      <c r="A158" s="12" t="s">
        <v>776</v>
      </c>
      <c r="B158" s="12" t="s">
        <v>777</v>
      </c>
      <c r="C158" s="14">
        <v>10.0</v>
      </c>
      <c r="D158" s="14">
        <v>10.0</v>
      </c>
      <c r="E158" s="14"/>
      <c r="F158" s="12" t="s">
        <v>91</v>
      </c>
      <c r="G158" s="12" t="s">
        <v>337</v>
      </c>
      <c r="H158" s="12" t="s">
        <v>337</v>
      </c>
      <c r="I158" s="12" t="s">
        <v>95</v>
      </c>
      <c r="J158" s="12" t="s">
        <v>97</v>
      </c>
      <c r="K158" s="12"/>
      <c r="L158" s="12" t="s">
        <v>101</v>
      </c>
      <c r="M158" s="12" t="s">
        <v>72</v>
      </c>
      <c r="N158" s="18" t="str">
        <f t="shared" si="1"/>
        <v/>
      </c>
      <c r="O158" s="12"/>
      <c r="P158" s="12"/>
      <c r="Q158" s="12" t="s">
        <v>577</v>
      </c>
      <c r="R158" s="13">
        <v>46230.0</v>
      </c>
      <c r="S158" s="12" t="s">
        <v>193</v>
      </c>
      <c r="T158" s="12"/>
    </row>
    <row r="159" ht="15.75" customHeight="1">
      <c r="A159" s="12" t="s">
        <v>778</v>
      </c>
      <c r="B159" s="12" t="s">
        <v>779</v>
      </c>
      <c r="C159" s="14"/>
      <c r="D159" s="14"/>
      <c r="E159" s="14"/>
      <c r="F159" s="12"/>
      <c r="G159" s="12" t="s">
        <v>337</v>
      </c>
      <c r="H159" s="12" t="s">
        <v>337</v>
      </c>
      <c r="I159" s="12" t="s">
        <v>95</v>
      </c>
      <c r="J159" s="12" t="s">
        <v>97</v>
      </c>
      <c r="K159" s="12"/>
      <c r="L159" s="12" t="s">
        <v>101</v>
      </c>
      <c r="M159" s="12" t="s">
        <v>72</v>
      </c>
      <c r="N159" s="18" t="str">
        <f t="shared" si="1"/>
        <v/>
      </c>
      <c r="O159" s="12"/>
      <c r="P159" s="12"/>
      <c r="Q159" s="12" t="s">
        <v>577</v>
      </c>
      <c r="R159" s="13">
        <v>46230.0</v>
      </c>
      <c r="S159" s="12" t="s">
        <v>193</v>
      </c>
      <c r="T159" s="12"/>
    </row>
    <row r="160" ht="15.75" customHeight="1">
      <c r="A160" s="12" t="s">
        <v>780</v>
      </c>
      <c r="B160" s="12" t="s">
        <v>781</v>
      </c>
      <c r="C160" s="14">
        <v>320.0</v>
      </c>
      <c r="D160" s="14">
        <v>930.0</v>
      </c>
      <c r="E160" s="14">
        <v>15.0</v>
      </c>
      <c r="F160" s="12" t="s">
        <v>91</v>
      </c>
      <c r="G160" s="12" t="s">
        <v>316</v>
      </c>
      <c r="H160" s="12" t="s">
        <v>316</v>
      </c>
      <c r="I160" s="12" t="s">
        <v>95</v>
      </c>
      <c r="J160" s="12" t="s">
        <v>97</v>
      </c>
      <c r="K160" s="12"/>
      <c r="L160" s="12" t="s">
        <v>101</v>
      </c>
      <c r="M160" s="12" t="s">
        <v>72</v>
      </c>
      <c r="N160" s="18">
        <f t="shared" si="1"/>
        <v>20</v>
      </c>
      <c r="O160" s="12"/>
      <c r="P160" s="12"/>
      <c r="Q160" s="12" t="s">
        <v>577</v>
      </c>
      <c r="R160" s="13">
        <v>46230.0</v>
      </c>
      <c r="S160" s="12" t="s">
        <v>193</v>
      </c>
      <c r="T160" s="12"/>
    </row>
    <row r="161" ht="15.75" customHeight="1">
      <c r="A161" s="12" t="s">
        <v>782</v>
      </c>
      <c r="B161" s="12" t="s">
        <v>783</v>
      </c>
      <c r="C161" s="14">
        <v>140.0</v>
      </c>
      <c r="D161" s="14">
        <v>1600.0</v>
      </c>
      <c r="E161" s="14">
        <v>24.0</v>
      </c>
      <c r="F161" s="12" t="s">
        <v>91</v>
      </c>
      <c r="G161" s="12" t="s">
        <v>316</v>
      </c>
      <c r="H161" s="12" t="s">
        <v>316</v>
      </c>
      <c r="I161" s="12" t="s">
        <v>95</v>
      </c>
      <c r="J161" s="12" t="s">
        <v>44</v>
      </c>
      <c r="K161" s="12"/>
      <c r="L161" s="12" t="s">
        <v>101</v>
      </c>
      <c r="M161" s="12" t="s">
        <v>72</v>
      </c>
      <c r="N161" s="18">
        <f t="shared" si="1"/>
        <v>5.6</v>
      </c>
      <c r="O161" s="12"/>
      <c r="P161" s="12"/>
      <c r="Q161" s="12" t="s">
        <v>577</v>
      </c>
      <c r="R161" s="13">
        <v>46230.0</v>
      </c>
      <c r="S161" s="12" t="s">
        <v>193</v>
      </c>
      <c r="T161" s="12"/>
    </row>
    <row r="162" ht="15.75" customHeight="1">
      <c r="A162" s="12" t="s">
        <v>784</v>
      </c>
      <c r="B162" s="12" t="s">
        <v>785</v>
      </c>
      <c r="C162" s="14">
        <v>210.0</v>
      </c>
      <c r="D162" s="14">
        <v>1900.0</v>
      </c>
      <c r="E162" s="14">
        <v>30.0</v>
      </c>
      <c r="F162" s="12" t="s">
        <v>91</v>
      </c>
      <c r="G162" s="12" t="s">
        <v>316</v>
      </c>
      <c r="H162" s="12" t="s">
        <v>316</v>
      </c>
      <c r="I162" s="12" t="s">
        <v>95</v>
      </c>
      <c r="J162" s="12" t="s">
        <v>97</v>
      </c>
      <c r="K162" s="12"/>
      <c r="L162" s="12" t="s">
        <v>101</v>
      </c>
      <c r="M162" s="12" t="s">
        <v>72</v>
      </c>
      <c r="N162" s="18">
        <f t="shared" si="1"/>
        <v>6.8</v>
      </c>
      <c r="O162" s="12"/>
      <c r="P162" s="12"/>
      <c r="Q162" s="12" t="s">
        <v>577</v>
      </c>
      <c r="R162" s="13">
        <v>46230.0</v>
      </c>
      <c r="S162" s="12" t="s">
        <v>193</v>
      </c>
      <c r="T162" s="12"/>
    </row>
    <row r="163" ht="15.75" customHeight="1">
      <c r="A163" s="12" t="s">
        <v>786</v>
      </c>
      <c r="B163" s="12" t="s">
        <v>787</v>
      </c>
      <c r="C163" s="14">
        <v>50.0</v>
      </c>
      <c r="D163" s="14">
        <v>240.0</v>
      </c>
      <c r="E163" s="14">
        <v>19.0</v>
      </c>
      <c r="F163" s="12" t="s">
        <v>91</v>
      </c>
      <c r="G163" s="12" t="s">
        <v>316</v>
      </c>
      <c r="H163" s="12" t="s">
        <v>316</v>
      </c>
      <c r="I163" s="12" t="s">
        <v>95</v>
      </c>
      <c r="J163" s="12" t="s">
        <v>97</v>
      </c>
      <c r="K163" s="12"/>
      <c r="L163" s="12" t="s">
        <v>101</v>
      </c>
      <c r="M163" s="12" t="s">
        <v>72</v>
      </c>
      <c r="N163" s="18">
        <f t="shared" si="1"/>
        <v>2.5</v>
      </c>
      <c r="O163" s="12"/>
      <c r="P163" s="12"/>
      <c r="Q163" s="12" t="s">
        <v>577</v>
      </c>
      <c r="R163" s="13">
        <v>46230.0</v>
      </c>
      <c r="S163" s="12" t="s">
        <v>193</v>
      </c>
      <c r="T163" s="12"/>
    </row>
    <row r="164" ht="15.75" customHeight="1">
      <c r="A164" s="12" t="s">
        <v>788</v>
      </c>
      <c r="B164" s="12" t="s">
        <v>789</v>
      </c>
      <c r="C164" s="14">
        <v>70.0</v>
      </c>
      <c r="D164" s="14">
        <v>540.0</v>
      </c>
      <c r="E164" s="14">
        <v>20.0</v>
      </c>
      <c r="F164" s="12" t="s">
        <v>91</v>
      </c>
      <c r="G164" s="12" t="s">
        <v>316</v>
      </c>
      <c r="H164" s="12" t="s">
        <v>316</v>
      </c>
      <c r="I164" s="12" t="s">
        <v>95</v>
      </c>
      <c r="J164" s="12" t="s">
        <v>97</v>
      </c>
      <c r="K164" s="12"/>
      <c r="L164" s="12" t="s">
        <v>101</v>
      </c>
      <c r="M164" s="12" t="s">
        <v>72</v>
      </c>
      <c r="N164" s="18">
        <f t="shared" si="1"/>
        <v>3.3</v>
      </c>
      <c r="O164" s="12"/>
      <c r="P164" s="12"/>
      <c r="Q164" s="12" t="s">
        <v>577</v>
      </c>
      <c r="R164" s="13">
        <v>46230.0</v>
      </c>
      <c r="S164" s="12" t="s">
        <v>193</v>
      </c>
      <c r="T164" s="12"/>
    </row>
    <row r="165" ht="15.75" customHeight="1">
      <c r="A165" s="12" t="s">
        <v>790</v>
      </c>
      <c r="B165" s="12" t="s">
        <v>791</v>
      </c>
      <c r="C165" s="14">
        <v>140.0</v>
      </c>
      <c r="D165" s="14">
        <v>520.0</v>
      </c>
      <c r="E165" s="14">
        <v>14.0</v>
      </c>
      <c r="F165" s="12" t="s">
        <v>91</v>
      </c>
      <c r="G165" s="12" t="s">
        <v>316</v>
      </c>
      <c r="H165" s="12" t="s">
        <v>316</v>
      </c>
      <c r="I165" s="12" t="s">
        <v>95</v>
      </c>
      <c r="J165" s="12" t="s">
        <v>97</v>
      </c>
      <c r="K165" s="12"/>
      <c r="L165" s="12" t="s">
        <v>101</v>
      </c>
      <c r="M165" s="12" t="s">
        <v>72</v>
      </c>
      <c r="N165" s="18">
        <f t="shared" si="1"/>
        <v>9.3</v>
      </c>
      <c r="O165" s="12"/>
      <c r="P165" s="12"/>
      <c r="Q165" s="12" t="s">
        <v>577</v>
      </c>
      <c r="R165" s="13">
        <v>46230.0</v>
      </c>
      <c r="S165" s="12" t="s">
        <v>193</v>
      </c>
      <c r="T165" s="12"/>
    </row>
    <row r="166" ht="15.75" customHeight="1">
      <c r="A166" s="12" t="s">
        <v>792</v>
      </c>
      <c r="B166" s="12" t="s">
        <v>793</v>
      </c>
      <c r="C166" s="14">
        <v>20.0</v>
      </c>
      <c r="D166" s="14">
        <v>50.0</v>
      </c>
      <c r="E166" s="14"/>
      <c r="F166" s="12"/>
      <c r="G166" s="12" t="s">
        <v>316</v>
      </c>
      <c r="H166" s="12" t="s">
        <v>316</v>
      </c>
      <c r="I166" s="12" t="s">
        <v>95</v>
      </c>
      <c r="J166" s="12" t="s">
        <v>97</v>
      </c>
      <c r="K166" s="12"/>
      <c r="L166" s="12" t="s">
        <v>101</v>
      </c>
      <c r="M166" s="12" t="s">
        <v>72</v>
      </c>
      <c r="N166" s="18" t="str">
        <f t="shared" si="1"/>
        <v/>
      </c>
      <c r="O166" s="12"/>
      <c r="P166" s="12"/>
      <c r="Q166" s="12" t="s">
        <v>577</v>
      </c>
      <c r="R166" s="13">
        <v>46230.0</v>
      </c>
      <c r="S166" s="12" t="s">
        <v>193</v>
      </c>
      <c r="T166" s="12"/>
    </row>
    <row r="167" ht="15.75" customHeight="1">
      <c r="A167" s="12" t="s">
        <v>794</v>
      </c>
      <c r="B167" s="12" t="s">
        <v>795</v>
      </c>
      <c r="C167" s="14">
        <v>20.0</v>
      </c>
      <c r="D167" s="14">
        <v>90.0</v>
      </c>
      <c r="E167" s="14"/>
      <c r="F167" s="12"/>
      <c r="G167" s="12" t="s">
        <v>319</v>
      </c>
      <c r="H167" s="12" t="s">
        <v>319</v>
      </c>
      <c r="I167" s="12" t="s">
        <v>95</v>
      </c>
      <c r="J167" s="12" t="s">
        <v>97</v>
      </c>
      <c r="K167" s="12"/>
      <c r="L167" s="12" t="s">
        <v>101</v>
      </c>
      <c r="M167" s="12" t="s">
        <v>72</v>
      </c>
      <c r="N167" s="18" t="str">
        <f t="shared" si="1"/>
        <v/>
      </c>
      <c r="O167" s="12"/>
      <c r="P167" s="12"/>
      <c r="Q167" s="12" t="s">
        <v>577</v>
      </c>
      <c r="R167" s="13">
        <v>46230.0</v>
      </c>
      <c r="S167" s="12" t="s">
        <v>193</v>
      </c>
      <c r="T167" s="12"/>
    </row>
    <row r="168" ht="15.75" customHeight="1">
      <c r="A168" s="12" t="s">
        <v>796</v>
      </c>
      <c r="B168" s="12" t="s">
        <v>797</v>
      </c>
      <c r="C168" s="14">
        <v>10.0</v>
      </c>
      <c r="D168" s="14">
        <v>30.0</v>
      </c>
      <c r="E168" s="14"/>
      <c r="F168" s="12"/>
      <c r="G168" s="12" t="s">
        <v>319</v>
      </c>
      <c r="H168" s="12" t="s">
        <v>319</v>
      </c>
      <c r="I168" s="12" t="s">
        <v>95</v>
      </c>
      <c r="J168" s="12" t="s">
        <v>97</v>
      </c>
      <c r="K168" s="12"/>
      <c r="L168" s="12" t="s">
        <v>101</v>
      </c>
      <c r="M168" s="12" t="s">
        <v>72</v>
      </c>
      <c r="N168" s="18" t="str">
        <f t="shared" si="1"/>
        <v/>
      </c>
      <c r="O168" s="12"/>
      <c r="P168" s="12"/>
      <c r="Q168" s="12" t="s">
        <v>577</v>
      </c>
      <c r="R168" s="13">
        <v>46230.0</v>
      </c>
      <c r="S168" s="12" t="s">
        <v>193</v>
      </c>
      <c r="T168" s="12"/>
    </row>
    <row r="169" ht="15.75" customHeight="1">
      <c r="A169" s="12" t="s">
        <v>798</v>
      </c>
      <c r="B169" s="12" t="s">
        <v>799</v>
      </c>
      <c r="C169" s="14">
        <v>140.0</v>
      </c>
      <c r="D169" s="14">
        <v>240.0</v>
      </c>
      <c r="E169" s="14">
        <v>29.0</v>
      </c>
      <c r="F169" s="12" t="s">
        <v>91</v>
      </c>
      <c r="G169" s="12" t="s">
        <v>319</v>
      </c>
      <c r="H169" s="12" t="s">
        <v>319</v>
      </c>
      <c r="I169" s="12" t="s">
        <v>95</v>
      </c>
      <c r="J169" s="12" t="s">
        <v>97</v>
      </c>
      <c r="K169" s="12"/>
      <c r="L169" s="12" t="s">
        <v>101</v>
      </c>
      <c r="M169" s="12" t="s">
        <v>72</v>
      </c>
      <c r="N169" s="18">
        <f t="shared" si="1"/>
        <v>4.7</v>
      </c>
      <c r="O169" s="12"/>
      <c r="P169" s="12"/>
      <c r="Q169" s="12" t="s">
        <v>577</v>
      </c>
      <c r="R169" s="13">
        <v>46230.0</v>
      </c>
      <c r="S169" s="12" t="s">
        <v>193</v>
      </c>
      <c r="T169" s="12"/>
    </row>
    <row r="170" ht="15.75" customHeight="1">
      <c r="A170" s="12" t="s">
        <v>800</v>
      </c>
      <c r="B170" s="12" t="s">
        <v>801</v>
      </c>
      <c r="C170" s="14">
        <v>40.0</v>
      </c>
      <c r="D170" s="14">
        <v>40.0</v>
      </c>
      <c r="E170" s="14">
        <v>13.0</v>
      </c>
      <c r="F170" s="12" t="s">
        <v>91</v>
      </c>
      <c r="G170" s="12" t="s">
        <v>319</v>
      </c>
      <c r="H170" s="12" t="s">
        <v>319</v>
      </c>
      <c r="I170" s="12" t="s">
        <v>95</v>
      </c>
      <c r="J170" s="12" t="s">
        <v>97</v>
      </c>
      <c r="K170" s="12"/>
      <c r="L170" s="12" t="s">
        <v>101</v>
      </c>
      <c r="M170" s="12" t="s">
        <v>72</v>
      </c>
      <c r="N170" s="18">
        <f t="shared" si="1"/>
        <v>2.9</v>
      </c>
      <c r="O170" s="12"/>
      <c r="P170" s="12"/>
      <c r="Q170" s="12" t="s">
        <v>577</v>
      </c>
      <c r="R170" s="13">
        <v>46230.0</v>
      </c>
      <c r="S170" s="12" t="s">
        <v>193</v>
      </c>
      <c r="T170" s="12"/>
    </row>
    <row r="171" ht="15.75" customHeight="1">
      <c r="A171" s="12" t="s">
        <v>802</v>
      </c>
      <c r="B171" s="12" t="s">
        <v>803</v>
      </c>
      <c r="C171" s="14">
        <v>50.0</v>
      </c>
      <c r="D171" s="14">
        <v>80.0</v>
      </c>
      <c r="E171" s="14">
        <v>14.0</v>
      </c>
      <c r="F171" s="12" t="s">
        <v>91</v>
      </c>
      <c r="G171" s="12" t="s">
        <v>319</v>
      </c>
      <c r="H171" s="12" t="s">
        <v>319</v>
      </c>
      <c r="I171" s="12" t="s">
        <v>95</v>
      </c>
      <c r="J171" s="12" t="s">
        <v>97</v>
      </c>
      <c r="K171" s="12"/>
      <c r="L171" s="12" t="s">
        <v>101</v>
      </c>
      <c r="M171" s="12" t="s">
        <v>72</v>
      </c>
      <c r="N171" s="18">
        <f t="shared" si="1"/>
        <v>3.3</v>
      </c>
      <c r="O171" s="12"/>
      <c r="P171" s="12"/>
      <c r="Q171" s="12" t="s">
        <v>577</v>
      </c>
      <c r="R171" s="13">
        <v>46230.0</v>
      </c>
      <c r="S171" s="12" t="s">
        <v>193</v>
      </c>
      <c r="T171" s="12"/>
    </row>
    <row r="172" ht="15.75" customHeight="1">
      <c r="A172" s="12" t="s">
        <v>804</v>
      </c>
      <c r="B172" s="12" t="s">
        <v>805</v>
      </c>
      <c r="C172" s="14"/>
      <c r="D172" s="14"/>
      <c r="E172" s="14"/>
      <c r="F172" s="12"/>
      <c r="G172" s="12" t="s">
        <v>319</v>
      </c>
      <c r="H172" s="12" t="s">
        <v>319</v>
      </c>
      <c r="I172" s="12" t="s">
        <v>95</v>
      </c>
      <c r="J172" s="12" t="s">
        <v>44</v>
      </c>
      <c r="K172" s="12"/>
      <c r="L172" s="12" t="s">
        <v>101</v>
      </c>
      <c r="M172" s="12" t="s">
        <v>72</v>
      </c>
      <c r="N172" s="18" t="str">
        <f t="shared" si="1"/>
        <v/>
      </c>
      <c r="O172" s="12"/>
      <c r="P172" s="12"/>
      <c r="Q172" s="12" t="s">
        <v>577</v>
      </c>
      <c r="R172" s="13">
        <v>46230.0</v>
      </c>
      <c r="S172" s="12" t="s">
        <v>193</v>
      </c>
      <c r="T172" s="12"/>
    </row>
    <row r="173" ht="15.75" customHeight="1">
      <c r="A173" s="12" t="s">
        <v>806</v>
      </c>
      <c r="B173" s="12" t="s">
        <v>807</v>
      </c>
      <c r="C173" s="14"/>
      <c r="D173" s="14"/>
      <c r="E173" s="14"/>
      <c r="F173" s="12" t="s">
        <v>91</v>
      </c>
      <c r="G173" s="12" t="s">
        <v>240</v>
      </c>
      <c r="H173" s="12" t="s">
        <v>240</v>
      </c>
      <c r="I173" s="12" t="s">
        <v>808</v>
      </c>
      <c r="J173" s="12" t="s">
        <v>809</v>
      </c>
      <c r="K173" s="12"/>
      <c r="L173" s="12" t="s">
        <v>101</v>
      </c>
      <c r="M173" s="12" t="s">
        <v>72</v>
      </c>
      <c r="N173" s="18" t="str">
        <f t="shared" si="1"/>
        <v/>
      </c>
      <c r="O173" s="12"/>
      <c r="P173" s="12"/>
      <c r="Q173" s="12" t="s">
        <v>810</v>
      </c>
      <c r="R173" s="13">
        <v>46230.0</v>
      </c>
      <c r="S173" s="12" t="s">
        <v>193</v>
      </c>
      <c r="T173" s="12"/>
    </row>
    <row r="174" ht="15.75" customHeight="1">
      <c r="A174" s="12" t="s">
        <v>811</v>
      </c>
      <c r="B174" s="12" t="s">
        <v>812</v>
      </c>
      <c r="C174" s="14"/>
      <c r="D174" s="14"/>
      <c r="E174" s="14"/>
      <c r="F174" s="12" t="s">
        <v>91</v>
      </c>
      <c r="G174" s="12" t="s">
        <v>240</v>
      </c>
      <c r="H174" s="12" t="s">
        <v>240</v>
      </c>
      <c r="I174" s="12" t="s">
        <v>808</v>
      </c>
      <c r="J174" s="12" t="s">
        <v>809</v>
      </c>
      <c r="K174" s="12"/>
      <c r="L174" s="12" t="s">
        <v>101</v>
      </c>
      <c r="M174" s="12" t="s">
        <v>72</v>
      </c>
      <c r="N174" s="18" t="str">
        <f t="shared" si="1"/>
        <v/>
      </c>
      <c r="O174" s="12"/>
      <c r="P174" s="12"/>
      <c r="Q174" s="12" t="s">
        <v>810</v>
      </c>
      <c r="R174" s="13">
        <v>46230.0</v>
      </c>
      <c r="S174" s="12" t="s">
        <v>193</v>
      </c>
      <c r="T174" s="12"/>
    </row>
    <row r="175" ht="15.75" customHeight="1">
      <c r="A175" s="12" t="s">
        <v>813</v>
      </c>
      <c r="B175" s="12" t="s">
        <v>814</v>
      </c>
      <c r="C175" s="14">
        <v>70.0</v>
      </c>
      <c r="D175" s="14">
        <v>140.0</v>
      </c>
      <c r="E175" s="14">
        <v>12.0</v>
      </c>
      <c r="F175" s="12" t="s">
        <v>91</v>
      </c>
      <c r="G175" s="12" t="s">
        <v>600</v>
      </c>
      <c r="H175" s="12" t="s">
        <v>600</v>
      </c>
      <c r="I175" s="12" t="s">
        <v>808</v>
      </c>
      <c r="J175" s="12" t="s">
        <v>809</v>
      </c>
      <c r="K175" s="12"/>
      <c r="L175" s="12" t="s">
        <v>101</v>
      </c>
      <c r="M175" s="12" t="s">
        <v>72</v>
      </c>
      <c r="N175" s="18">
        <f t="shared" si="1"/>
        <v>5.4</v>
      </c>
      <c r="O175" s="12"/>
      <c r="P175" s="12"/>
      <c r="Q175" s="12" t="s">
        <v>810</v>
      </c>
      <c r="R175" s="13">
        <v>46230.0</v>
      </c>
      <c r="S175" s="12" t="s">
        <v>193</v>
      </c>
      <c r="T175" s="12"/>
    </row>
    <row r="176" ht="15.75" customHeight="1">
      <c r="A176" s="12" t="s">
        <v>815</v>
      </c>
      <c r="B176" s="12" t="s">
        <v>816</v>
      </c>
      <c r="C176" s="14">
        <v>390.0</v>
      </c>
      <c r="D176" s="14">
        <v>1000.0</v>
      </c>
      <c r="E176" s="14">
        <v>26.0</v>
      </c>
      <c r="F176" s="12" t="s">
        <v>91</v>
      </c>
      <c r="G176" s="12" t="s">
        <v>600</v>
      </c>
      <c r="H176" s="12" t="s">
        <v>600</v>
      </c>
      <c r="I176" s="12" t="s">
        <v>808</v>
      </c>
      <c r="J176" s="12" t="s">
        <v>809</v>
      </c>
      <c r="K176" s="12"/>
      <c r="L176" s="12" t="s">
        <v>101</v>
      </c>
      <c r="M176" s="12" t="s">
        <v>72</v>
      </c>
      <c r="N176" s="18">
        <f t="shared" si="1"/>
        <v>14.4</v>
      </c>
      <c r="O176" s="12"/>
      <c r="P176" s="12"/>
      <c r="Q176" s="12" t="s">
        <v>810</v>
      </c>
      <c r="R176" s="13">
        <v>46230.0</v>
      </c>
      <c r="S176" s="12" t="s">
        <v>193</v>
      </c>
      <c r="T176" s="12"/>
    </row>
    <row r="177" ht="15.75" customHeight="1">
      <c r="A177" s="12" t="s">
        <v>817</v>
      </c>
      <c r="B177" s="12" t="s">
        <v>818</v>
      </c>
      <c r="C177" s="14">
        <v>5400.0</v>
      </c>
      <c r="D177" s="14">
        <v>7200.0</v>
      </c>
      <c r="E177" s="14">
        <v>38.0</v>
      </c>
      <c r="F177" s="12" t="s">
        <v>91</v>
      </c>
      <c r="G177" s="12" t="s">
        <v>600</v>
      </c>
      <c r="H177" s="12" t="s">
        <v>600</v>
      </c>
      <c r="I177" s="12" t="s">
        <v>808</v>
      </c>
      <c r="J177" s="12" t="s">
        <v>809</v>
      </c>
      <c r="K177" s="12"/>
      <c r="L177" s="12" t="s">
        <v>101</v>
      </c>
      <c r="M177" s="12" t="s">
        <v>72</v>
      </c>
      <c r="N177" s="18">
        <f t="shared" si="1"/>
        <v>138.5</v>
      </c>
      <c r="O177" s="12"/>
      <c r="P177" s="12"/>
      <c r="Q177" s="12" t="s">
        <v>810</v>
      </c>
      <c r="R177" s="13">
        <v>46230.0</v>
      </c>
      <c r="S177" s="12" t="s">
        <v>193</v>
      </c>
      <c r="T177" s="12"/>
    </row>
    <row r="178" ht="15.75" customHeight="1">
      <c r="A178" s="12" t="s">
        <v>819</v>
      </c>
      <c r="B178" s="12" t="s">
        <v>820</v>
      </c>
      <c r="C178" s="14">
        <v>390.0</v>
      </c>
      <c r="D178" s="14">
        <v>510.0</v>
      </c>
      <c r="E178" s="14">
        <v>19.0</v>
      </c>
      <c r="F178" s="12" t="s">
        <v>91</v>
      </c>
      <c r="G178" s="12" t="s">
        <v>600</v>
      </c>
      <c r="H178" s="12" t="s">
        <v>600</v>
      </c>
      <c r="I178" s="12" t="s">
        <v>808</v>
      </c>
      <c r="J178" s="12" t="s">
        <v>809</v>
      </c>
      <c r="K178" s="12"/>
      <c r="L178" s="12" t="s">
        <v>101</v>
      </c>
      <c r="M178" s="12" t="s">
        <v>72</v>
      </c>
      <c r="N178" s="18">
        <f t="shared" si="1"/>
        <v>19.5</v>
      </c>
      <c r="O178" s="12"/>
      <c r="P178" s="12"/>
      <c r="Q178" s="12" t="s">
        <v>810</v>
      </c>
      <c r="R178" s="13">
        <v>46230.0</v>
      </c>
      <c r="S178" s="12" t="s">
        <v>193</v>
      </c>
      <c r="T178" s="12"/>
    </row>
    <row r="179" ht="15.75" customHeight="1">
      <c r="A179" s="12" t="s">
        <v>821</v>
      </c>
      <c r="B179" s="12" t="s">
        <v>822</v>
      </c>
      <c r="C179" s="14">
        <v>22200.0</v>
      </c>
      <c r="D179" s="14">
        <v>78400.0</v>
      </c>
      <c r="E179" s="14">
        <v>64.0</v>
      </c>
      <c r="F179" s="12" t="s">
        <v>823</v>
      </c>
      <c r="G179" s="12" t="s">
        <v>97</v>
      </c>
      <c r="H179" s="12" t="s">
        <v>97</v>
      </c>
      <c r="I179" s="12" t="s">
        <v>808</v>
      </c>
      <c r="J179" s="12" t="s">
        <v>809</v>
      </c>
      <c r="K179" s="12"/>
      <c r="L179" s="12" t="s">
        <v>101</v>
      </c>
      <c r="M179" s="12" t="s">
        <v>72</v>
      </c>
      <c r="N179" s="18">
        <f t="shared" si="1"/>
        <v>426.9</v>
      </c>
      <c r="O179" s="12"/>
      <c r="P179" s="12"/>
      <c r="Q179" s="12" t="s">
        <v>810</v>
      </c>
      <c r="R179" s="13">
        <v>46230.0</v>
      </c>
      <c r="S179" s="12" t="s">
        <v>193</v>
      </c>
      <c r="T179" s="12"/>
    </row>
    <row r="180" ht="15.75" customHeight="1">
      <c r="A180" s="12" t="s">
        <v>824</v>
      </c>
      <c r="B180" s="12" t="s">
        <v>825</v>
      </c>
      <c r="C180" s="14">
        <v>2400.0</v>
      </c>
      <c r="D180" s="14">
        <v>4800.0</v>
      </c>
      <c r="E180" s="14">
        <v>37.0</v>
      </c>
      <c r="F180" s="12" t="s">
        <v>826</v>
      </c>
      <c r="G180" s="12" t="s">
        <v>97</v>
      </c>
      <c r="H180" s="12" t="s">
        <v>97</v>
      </c>
      <c r="I180" s="12" t="s">
        <v>808</v>
      </c>
      <c r="J180" s="12" t="s">
        <v>809</v>
      </c>
      <c r="K180" s="12"/>
      <c r="L180" s="12" t="s">
        <v>101</v>
      </c>
      <c r="M180" s="12" t="s">
        <v>72</v>
      </c>
      <c r="N180" s="18">
        <f t="shared" si="1"/>
        <v>63.2</v>
      </c>
      <c r="O180" s="12"/>
      <c r="P180" s="12"/>
      <c r="Q180" s="12" t="s">
        <v>810</v>
      </c>
      <c r="R180" s="13">
        <v>46230.0</v>
      </c>
      <c r="S180" s="12" t="s">
        <v>193</v>
      </c>
      <c r="T180" s="12"/>
    </row>
    <row r="181" ht="15.75" customHeight="1">
      <c r="A181" s="12" t="s">
        <v>827</v>
      </c>
      <c r="B181" s="12" t="s">
        <v>828</v>
      </c>
      <c r="C181" s="14">
        <v>260.0</v>
      </c>
      <c r="D181" s="14">
        <v>840.0</v>
      </c>
      <c r="E181" s="14">
        <v>28.0</v>
      </c>
      <c r="F181" s="12" t="s">
        <v>87</v>
      </c>
      <c r="G181" s="12" t="s">
        <v>97</v>
      </c>
      <c r="H181" s="12" t="s">
        <v>97</v>
      </c>
      <c r="I181" s="12" t="s">
        <v>808</v>
      </c>
      <c r="J181" s="12" t="s">
        <v>809</v>
      </c>
      <c r="K181" s="12"/>
      <c r="L181" s="12" t="s">
        <v>101</v>
      </c>
      <c r="M181" s="12" t="s">
        <v>72</v>
      </c>
      <c r="N181" s="18">
        <f t="shared" si="1"/>
        <v>11.2</v>
      </c>
      <c r="O181" s="12"/>
      <c r="P181" s="12"/>
      <c r="Q181" s="12" t="s">
        <v>810</v>
      </c>
      <c r="R181" s="13">
        <v>46230.0</v>
      </c>
      <c r="S181" s="12" t="s">
        <v>193</v>
      </c>
      <c r="T181" s="12"/>
    </row>
    <row r="182" ht="15.75" customHeight="1">
      <c r="A182" s="12" t="s">
        <v>829</v>
      </c>
      <c r="B182" s="12" t="s">
        <v>830</v>
      </c>
      <c r="C182" s="14">
        <v>390.0</v>
      </c>
      <c r="D182" s="14">
        <v>630.0</v>
      </c>
      <c r="E182" s="14">
        <v>24.0</v>
      </c>
      <c r="F182" s="12" t="s">
        <v>91</v>
      </c>
      <c r="G182" s="12" t="s">
        <v>97</v>
      </c>
      <c r="H182" s="12" t="s">
        <v>97</v>
      </c>
      <c r="I182" s="12" t="s">
        <v>808</v>
      </c>
      <c r="J182" s="12" t="s">
        <v>809</v>
      </c>
      <c r="K182" s="12"/>
      <c r="L182" s="12" t="s">
        <v>101</v>
      </c>
      <c r="M182" s="12" t="s">
        <v>72</v>
      </c>
      <c r="N182" s="18">
        <f t="shared" si="1"/>
        <v>15.6</v>
      </c>
      <c r="O182" s="12"/>
      <c r="P182" s="12"/>
      <c r="Q182" s="12" t="s">
        <v>810</v>
      </c>
      <c r="R182" s="13">
        <v>46230.0</v>
      </c>
      <c r="S182" s="12" t="s">
        <v>193</v>
      </c>
      <c r="T182" s="12"/>
    </row>
    <row r="183" ht="15.75" customHeight="1">
      <c r="A183" s="12" t="s">
        <v>831</v>
      </c>
      <c r="B183" s="12" t="s">
        <v>832</v>
      </c>
      <c r="C183" s="14">
        <v>40.0</v>
      </c>
      <c r="D183" s="14">
        <v>120.0</v>
      </c>
      <c r="E183" s="14">
        <v>17.0</v>
      </c>
      <c r="F183" s="12" t="s">
        <v>91</v>
      </c>
      <c r="G183" s="12" t="s">
        <v>97</v>
      </c>
      <c r="H183" s="12" t="s">
        <v>97</v>
      </c>
      <c r="I183" s="12" t="s">
        <v>808</v>
      </c>
      <c r="J183" s="12" t="s">
        <v>809</v>
      </c>
      <c r="K183" s="12"/>
      <c r="L183" s="12" t="s">
        <v>101</v>
      </c>
      <c r="M183" s="12" t="s">
        <v>72</v>
      </c>
      <c r="N183" s="18">
        <f t="shared" si="1"/>
        <v>2.2</v>
      </c>
      <c r="O183" s="12"/>
      <c r="P183" s="12"/>
      <c r="Q183" s="12" t="s">
        <v>810</v>
      </c>
      <c r="R183" s="13">
        <v>46230.0</v>
      </c>
      <c r="S183" s="12" t="s">
        <v>193</v>
      </c>
      <c r="T183" s="12"/>
    </row>
    <row r="184" ht="15.75" customHeight="1">
      <c r="A184" s="12" t="s">
        <v>833</v>
      </c>
      <c r="B184" s="12" t="s">
        <v>834</v>
      </c>
      <c r="C184" s="14">
        <v>170.0</v>
      </c>
      <c r="D184" s="14">
        <v>240.0</v>
      </c>
      <c r="E184" s="14">
        <v>29.0</v>
      </c>
      <c r="F184" s="12" t="s">
        <v>91</v>
      </c>
      <c r="G184" s="12" t="s">
        <v>97</v>
      </c>
      <c r="H184" s="12" t="s">
        <v>97</v>
      </c>
      <c r="I184" s="12" t="s">
        <v>808</v>
      </c>
      <c r="J184" s="12" t="s">
        <v>809</v>
      </c>
      <c r="K184" s="12"/>
      <c r="L184" s="12" t="s">
        <v>101</v>
      </c>
      <c r="M184" s="12" t="s">
        <v>72</v>
      </c>
      <c r="N184" s="18">
        <f t="shared" si="1"/>
        <v>5.7</v>
      </c>
      <c r="O184" s="12"/>
      <c r="P184" s="12"/>
      <c r="Q184" s="12" t="s">
        <v>810</v>
      </c>
      <c r="R184" s="13">
        <v>46230.0</v>
      </c>
      <c r="S184" s="12" t="s">
        <v>193</v>
      </c>
      <c r="T184" s="12"/>
    </row>
    <row r="185" ht="15.75" customHeight="1">
      <c r="A185" s="12" t="s">
        <v>835</v>
      </c>
      <c r="B185" s="12" t="s">
        <v>836</v>
      </c>
      <c r="C185" s="14">
        <v>40.0</v>
      </c>
      <c r="D185" s="14">
        <v>80.0</v>
      </c>
      <c r="E185" s="14">
        <v>19.0</v>
      </c>
      <c r="F185" s="12" t="s">
        <v>91</v>
      </c>
      <c r="G185" s="12" t="s">
        <v>97</v>
      </c>
      <c r="H185" s="12" t="s">
        <v>97</v>
      </c>
      <c r="I185" s="12" t="s">
        <v>808</v>
      </c>
      <c r="J185" s="12" t="s">
        <v>809</v>
      </c>
      <c r="K185" s="12"/>
      <c r="L185" s="12" t="s">
        <v>101</v>
      </c>
      <c r="M185" s="12" t="s">
        <v>72</v>
      </c>
      <c r="N185" s="18">
        <f t="shared" si="1"/>
        <v>2</v>
      </c>
      <c r="O185" s="12"/>
      <c r="P185" s="12"/>
      <c r="Q185" s="12" t="s">
        <v>810</v>
      </c>
      <c r="R185" s="13">
        <v>46230.0</v>
      </c>
      <c r="S185" s="12" t="s">
        <v>193</v>
      </c>
      <c r="T185" s="12"/>
    </row>
    <row r="186" ht="15.75" customHeight="1">
      <c r="A186" s="12" t="s">
        <v>839</v>
      </c>
      <c r="B186" s="12" t="s">
        <v>840</v>
      </c>
      <c r="C186" s="14">
        <v>20.0</v>
      </c>
      <c r="D186" s="14">
        <v>40.0</v>
      </c>
      <c r="E186" s="14">
        <v>0.0</v>
      </c>
      <c r="F186" s="12" t="s">
        <v>91</v>
      </c>
      <c r="G186" s="12" t="s">
        <v>44</v>
      </c>
      <c r="H186" s="12" t="s">
        <v>44</v>
      </c>
      <c r="I186" s="12" t="s">
        <v>808</v>
      </c>
      <c r="J186" s="12" t="s">
        <v>809</v>
      </c>
      <c r="K186" s="12"/>
      <c r="L186" s="12" t="s">
        <v>101</v>
      </c>
      <c r="M186" s="12" t="s">
        <v>72</v>
      </c>
      <c r="N186" s="18">
        <f t="shared" si="1"/>
        <v>20</v>
      </c>
      <c r="O186" s="12"/>
      <c r="P186" s="12"/>
      <c r="Q186" s="12" t="s">
        <v>810</v>
      </c>
      <c r="R186" s="13">
        <v>46230.0</v>
      </c>
      <c r="S186" s="12" t="s">
        <v>193</v>
      </c>
      <c r="T186" s="12"/>
    </row>
    <row r="187" ht="15.75" customHeight="1">
      <c r="A187" s="12" t="s">
        <v>850</v>
      </c>
      <c r="B187" s="12" t="s">
        <v>852</v>
      </c>
      <c r="C187" s="14">
        <v>210.0</v>
      </c>
      <c r="D187" s="14">
        <v>630.0</v>
      </c>
      <c r="E187" s="14">
        <v>11.0</v>
      </c>
      <c r="F187" s="12" t="s">
        <v>91</v>
      </c>
      <c r="G187" s="12" t="s">
        <v>97</v>
      </c>
      <c r="H187" s="12" t="s">
        <v>97</v>
      </c>
      <c r="I187" s="12" t="s">
        <v>808</v>
      </c>
      <c r="J187" s="12" t="s">
        <v>809</v>
      </c>
      <c r="K187" s="12"/>
      <c r="L187" s="12" t="s">
        <v>101</v>
      </c>
      <c r="M187" s="12" t="s">
        <v>72</v>
      </c>
      <c r="N187" s="18">
        <f t="shared" si="1"/>
        <v>17.5</v>
      </c>
      <c r="O187" s="12"/>
      <c r="P187" s="12"/>
      <c r="Q187" s="12" t="s">
        <v>810</v>
      </c>
      <c r="R187" s="13">
        <v>46230.0</v>
      </c>
      <c r="S187" s="12" t="s">
        <v>193</v>
      </c>
      <c r="T187" s="12"/>
    </row>
    <row r="188" ht="15.75" customHeight="1">
      <c r="A188" s="12" t="s">
        <v>862</v>
      </c>
      <c r="B188" s="12" t="s">
        <v>863</v>
      </c>
      <c r="C188" s="14">
        <v>40.0</v>
      </c>
      <c r="D188" s="14">
        <v>850.0</v>
      </c>
      <c r="E188" s="14">
        <v>11.0</v>
      </c>
      <c r="F188" s="12" t="s">
        <v>353</v>
      </c>
      <c r="G188" s="12" t="s">
        <v>97</v>
      </c>
      <c r="H188" s="12" t="s">
        <v>97</v>
      </c>
      <c r="I188" s="12" t="s">
        <v>808</v>
      </c>
      <c r="J188" s="12" t="s">
        <v>809</v>
      </c>
      <c r="K188" s="12"/>
      <c r="L188" s="12" t="s">
        <v>101</v>
      </c>
      <c r="M188" s="12" t="s">
        <v>72</v>
      </c>
      <c r="N188" s="18">
        <f t="shared" si="1"/>
        <v>4.2</v>
      </c>
      <c r="O188" s="12"/>
      <c r="P188" s="12"/>
      <c r="Q188" s="12" t="s">
        <v>810</v>
      </c>
      <c r="R188" s="13">
        <v>46230.0</v>
      </c>
      <c r="S188" s="12" t="s">
        <v>193</v>
      </c>
      <c r="T188" s="12"/>
    </row>
    <row r="189" ht="15.75" customHeight="1">
      <c r="A189" s="12"/>
      <c r="B189" s="12"/>
      <c r="C189" s="14"/>
      <c r="D189" s="14"/>
      <c r="E189" s="14"/>
      <c r="F189" s="12"/>
      <c r="G189" s="12"/>
      <c r="H189" s="12"/>
      <c r="I189" s="12"/>
      <c r="J189" s="12"/>
      <c r="K189" s="12"/>
      <c r="L189" s="12"/>
      <c r="M189" s="12"/>
      <c r="N189" s="18" t="str">
        <f t="shared" si="1"/>
        <v/>
      </c>
      <c r="O189" s="12"/>
      <c r="P189" s="12"/>
      <c r="Q189" s="12"/>
      <c r="R189" s="13"/>
      <c r="S189" s="12"/>
      <c r="T189" s="12"/>
    </row>
    <row r="190" ht="15.75" customHeight="1">
      <c r="A190" s="12"/>
      <c r="B190" s="12"/>
      <c r="C190" s="14"/>
      <c r="D190" s="14"/>
      <c r="E190" s="14"/>
      <c r="F190" s="12"/>
      <c r="G190" s="12"/>
      <c r="H190" s="12"/>
      <c r="I190" s="12"/>
      <c r="J190" s="12"/>
      <c r="K190" s="12"/>
      <c r="L190" s="12"/>
      <c r="M190" s="12"/>
      <c r="N190" s="18" t="str">
        <f t="shared" si="1"/>
        <v/>
      </c>
      <c r="O190" s="12"/>
      <c r="P190" s="12"/>
      <c r="Q190" s="12"/>
      <c r="R190" s="13"/>
      <c r="S190" s="12"/>
      <c r="T190" s="12"/>
    </row>
    <row r="191" ht="15.75" customHeight="1">
      <c r="A191" s="12"/>
      <c r="B191" s="12"/>
      <c r="C191" s="14"/>
      <c r="D191" s="14"/>
      <c r="E191" s="14"/>
      <c r="F191" s="12"/>
      <c r="G191" s="12"/>
      <c r="H191" s="12"/>
      <c r="I191" s="12"/>
      <c r="J191" s="12"/>
      <c r="K191" s="12"/>
      <c r="L191" s="12"/>
      <c r="M191" s="12"/>
      <c r="N191" s="18" t="str">
        <f t="shared" si="1"/>
        <v/>
      </c>
      <c r="O191" s="12"/>
      <c r="P191" s="12"/>
      <c r="Q191" s="12"/>
      <c r="R191" s="13"/>
      <c r="S191" s="12"/>
      <c r="T191" s="12"/>
    </row>
    <row r="192" ht="15.75" customHeight="1">
      <c r="A192" s="12"/>
      <c r="B192" s="12"/>
      <c r="C192" s="14"/>
      <c r="D192" s="14"/>
      <c r="E192" s="14"/>
      <c r="F192" s="12"/>
      <c r="G192" s="12"/>
      <c r="H192" s="12"/>
      <c r="I192" s="12"/>
      <c r="J192" s="12"/>
      <c r="K192" s="12"/>
      <c r="L192" s="12"/>
      <c r="M192" s="12"/>
      <c r="N192" s="18" t="str">
        <f t="shared" si="1"/>
        <v/>
      </c>
      <c r="O192" s="12"/>
      <c r="P192" s="12"/>
      <c r="Q192" s="12"/>
      <c r="R192" s="13"/>
      <c r="S192" s="12"/>
      <c r="T192" s="12"/>
    </row>
    <row r="193" ht="15.75" customHeight="1">
      <c r="A193" s="12"/>
      <c r="B193" s="12"/>
      <c r="C193" s="14"/>
      <c r="D193" s="14"/>
      <c r="E193" s="14"/>
      <c r="F193" s="12"/>
      <c r="G193" s="12"/>
      <c r="H193" s="12"/>
      <c r="I193" s="12"/>
      <c r="J193" s="12"/>
      <c r="K193" s="12"/>
      <c r="L193" s="12"/>
      <c r="M193" s="12"/>
      <c r="N193" s="18" t="str">
        <f t="shared" si="1"/>
        <v/>
      </c>
      <c r="O193" s="12"/>
      <c r="P193" s="12"/>
      <c r="Q193" s="12"/>
      <c r="R193" s="13"/>
      <c r="S193" s="12"/>
      <c r="T193" s="12"/>
    </row>
    <row r="194" ht="15.75" customHeight="1">
      <c r="A194" s="12"/>
      <c r="B194" s="12"/>
      <c r="C194" s="14"/>
      <c r="D194" s="14"/>
      <c r="E194" s="14"/>
      <c r="F194" s="12"/>
      <c r="G194" s="12"/>
      <c r="H194" s="12"/>
      <c r="I194" s="12"/>
      <c r="J194" s="12"/>
      <c r="K194" s="12"/>
      <c r="L194" s="12"/>
      <c r="M194" s="12"/>
      <c r="N194" s="18" t="str">
        <f t="shared" si="1"/>
        <v/>
      </c>
      <c r="O194" s="12"/>
      <c r="P194" s="12"/>
      <c r="Q194" s="12"/>
      <c r="R194" s="13"/>
      <c r="S194" s="12"/>
      <c r="T194" s="12"/>
    </row>
    <row r="195" ht="15.75" customHeight="1">
      <c r="A195" s="12"/>
      <c r="B195" s="12"/>
      <c r="C195" s="14"/>
      <c r="D195" s="14"/>
      <c r="E195" s="14"/>
      <c r="F195" s="12"/>
      <c r="G195" s="12"/>
      <c r="H195" s="12"/>
      <c r="I195" s="12"/>
      <c r="J195" s="12"/>
      <c r="K195" s="12"/>
      <c r="L195" s="12"/>
      <c r="M195" s="12"/>
      <c r="N195" s="18" t="str">
        <f t="shared" si="1"/>
        <v/>
      </c>
      <c r="O195" s="12"/>
      <c r="P195" s="12"/>
      <c r="Q195" s="12"/>
      <c r="R195" s="13"/>
      <c r="S195" s="12"/>
      <c r="T195" s="12"/>
    </row>
    <row r="196" ht="15.75" customHeight="1">
      <c r="A196" s="12"/>
      <c r="B196" s="12"/>
      <c r="C196" s="14"/>
      <c r="D196" s="14"/>
      <c r="E196" s="14"/>
      <c r="F196" s="12"/>
      <c r="G196" s="12"/>
      <c r="H196" s="12"/>
      <c r="I196" s="12"/>
      <c r="J196" s="12"/>
      <c r="K196" s="12"/>
      <c r="L196" s="12"/>
      <c r="M196" s="12"/>
      <c r="N196" s="18" t="str">
        <f t="shared" si="1"/>
        <v/>
      </c>
      <c r="O196" s="12"/>
      <c r="P196" s="12"/>
      <c r="Q196" s="12"/>
      <c r="R196" s="13"/>
      <c r="S196" s="12"/>
      <c r="T196" s="12"/>
    </row>
    <row r="197" ht="15.75" customHeight="1">
      <c r="A197" s="12"/>
      <c r="B197" s="12"/>
      <c r="C197" s="14"/>
      <c r="D197" s="14"/>
      <c r="E197" s="14"/>
      <c r="F197" s="12"/>
      <c r="G197" s="12"/>
      <c r="H197" s="12"/>
      <c r="I197" s="12"/>
      <c r="J197" s="12"/>
      <c r="K197" s="12"/>
      <c r="L197" s="12"/>
      <c r="M197" s="12"/>
      <c r="N197" s="18" t="str">
        <f t="shared" si="1"/>
        <v/>
      </c>
      <c r="O197" s="12"/>
      <c r="P197" s="12"/>
      <c r="Q197" s="12"/>
      <c r="R197" s="13"/>
      <c r="S197" s="12"/>
      <c r="T197" s="12"/>
    </row>
    <row r="198" ht="15.75" customHeight="1">
      <c r="A198" s="12"/>
      <c r="B198" s="12"/>
      <c r="C198" s="14"/>
      <c r="D198" s="14"/>
      <c r="E198" s="14"/>
      <c r="F198" s="12"/>
      <c r="G198" s="12"/>
      <c r="H198" s="12"/>
      <c r="I198" s="12"/>
      <c r="J198" s="12"/>
      <c r="K198" s="12"/>
      <c r="L198" s="12"/>
      <c r="M198" s="12"/>
      <c r="N198" s="18" t="str">
        <f t="shared" si="1"/>
        <v/>
      </c>
      <c r="O198" s="12"/>
      <c r="P198" s="12"/>
      <c r="Q198" s="12"/>
      <c r="R198" s="13"/>
      <c r="S198" s="12"/>
      <c r="T198" s="12"/>
    </row>
    <row r="199" ht="15.75" customHeight="1">
      <c r="A199" s="12"/>
      <c r="B199" s="12"/>
      <c r="C199" s="14"/>
      <c r="D199" s="14"/>
      <c r="E199" s="14"/>
      <c r="F199" s="12"/>
      <c r="G199" s="12"/>
      <c r="H199" s="12"/>
      <c r="I199" s="12"/>
      <c r="J199" s="12"/>
      <c r="K199" s="12"/>
      <c r="L199" s="12"/>
      <c r="M199" s="12"/>
      <c r="N199" s="18" t="str">
        <f t="shared" si="1"/>
        <v/>
      </c>
      <c r="O199" s="12"/>
      <c r="P199" s="12"/>
      <c r="Q199" s="12"/>
      <c r="R199" s="13"/>
      <c r="S199" s="12"/>
      <c r="T199" s="12"/>
    </row>
    <row r="200" ht="15.75" customHeight="1">
      <c r="A200" s="12"/>
      <c r="B200" s="12"/>
      <c r="C200" s="14"/>
      <c r="D200" s="14"/>
      <c r="E200" s="14"/>
      <c r="F200" s="12"/>
      <c r="G200" s="12"/>
      <c r="H200" s="12"/>
      <c r="I200" s="12"/>
      <c r="J200" s="12"/>
      <c r="K200" s="12"/>
      <c r="L200" s="12"/>
      <c r="M200" s="12"/>
      <c r="N200" s="18" t="str">
        <f t="shared" si="1"/>
        <v/>
      </c>
      <c r="O200" s="12"/>
      <c r="P200" s="12"/>
      <c r="Q200" s="12"/>
      <c r="R200" s="13"/>
      <c r="S200" s="12"/>
      <c r="T200" s="12"/>
    </row>
    <row r="201" ht="15.75" customHeight="1">
      <c r="A201" s="12"/>
      <c r="B201" s="12"/>
      <c r="C201" s="14"/>
      <c r="D201" s="14"/>
      <c r="E201" s="14"/>
      <c r="F201" s="12"/>
      <c r="G201" s="12"/>
      <c r="H201" s="12"/>
      <c r="I201" s="12"/>
      <c r="J201" s="12"/>
      <c r="K201" s="12"/>
      <c r="L201" s="12"/>
      <c r="M201" s="12"/>
      <c r="N201" s="18" t="str">
        <f t="shared" si="1"/>
        <v/>
      </c>
      <c r="O201" s="12"/>
      <c r="P201" s="12"/>
      <c r="Q201" s="12"/>
      <c r="R201" s="13"/>
      <c r="S201" s="12"/>
      <c r="T201" s="12"/>
    </row>
    <row r="202" ht="15.75" customHeight="1">
      <c r="A202" s="12"/>
      <c r="B202" s="12"/>
      <c r="C202" s="14"/>
      <c r="D202" s="14"/>
      <c r="E202" s="14"/>
      <c r="F202" s="12"/>
      <c r="G202" s="12"/>
      <c r="H202" s="12"/>
      <c r="I202" s="12"/>
      <c r="J202" s="12"/>
      <c r="K202" s="12"/>
      <c r="L202" s="12"/>
      <c r="M202" s="12"/>
      <c r="N202" s="18" t="str">
        <f t="shared" si="1"/>
        <v/>
      </c>
      <c r="O202" s="12"/>
      <c r="P202" s="12"/>
      <c r="Q202" s="12"/>
      <c r="R202" s="13"/>
      <c r="S202" s="12"/>
      <c r="T202" s="12"/>
    </row>
    <row r="203" ht="15.75" customHeight="1">
      <c r="A203" s="12"/>
      <c r="B203" s="12"/>
      <c r="C203" s="14"/>
      <c r="D203" s="14"/>
      <c r="E203" s="14"/>
      <c r="F203" s="12"/>
      <c r="G203" s="12"/>
      <c r="H203" s="12"/>
      <c r="I203" s="12"/>
      <c r="J203" s="12"/>
      <c r="K203" s="12"/>
      <c r="L203" s="12"/>
      <c r="M203" s="12"/>
      <c r="N203" s="18" t="str">
        <f t="shared" si="1"/>
        <v/>
      </c>
      <c r="O203" s="12"/>
      <c r="P203" s="12"/>
      <c r="Q203" s="12"/>
      <c r="R203" s="13"/>
      <c r="S203" s="12"/>
      <c r="T203" s="12"/>
    </row>
    <row r="204" ht="15.75" customHeight="1">
      <c r="A204" s="12"/>
      <c r="B204" s="12"/>
      <c r="C204" s="14"/>
      <c r="D204" s="14"/>
      <c r="E204" s="14"/>
      <c r="F204" s="12"/>
      <c r="G204" s="12"/>
      <c r="H204" s="12"/>
      <c r="I204" s="12"/>
      <c r="J204" s="12"/>
      <c r="K204" s="12"/>
      <c r="L204" s="12"/>
      <c r="M204" s="12"/>
      <c r="N204" s="18" t="str">
        <f t="shared" si="1"/>
        <v/>
      </c>
      <c r="O204" s="12"/>
      <c r="P204" s="12"/>
      <c r="Q204" s="12"/>
      <c r="R204" s="13"/>
      <c r="S204" s="12"/>
      <c r="T204" s="12"/>
    </row>
    <row r="205" ht="15.75" customHeight="1">
      <c r="A205" s="12"/>
      <c r="B205" s="12"/>
      <c r="C205" s="14"/>
      <c r="D205" s="14"/>
      <c r="E205" s="14"/>
      <c r="F205" s="12"/>
      <c r="G205" s="12"/>
      <c r="H205" s="12"/>
      <c r="I205" s="12"/>
      <c r="J205" s="12"/>
      <c r="K205" s="12"/>
      <c r="L205" s="12"/>
      <c r="M205" s="12"/>
      <c r="N205" s="18" t="str">
        <f t="shared" si="1"/>
        <v/>
      </c>
      <c r="O205" s="12"/>
      <c r="P205" s="12"/>
      <c r="Q205" s="12"/>
      <c r="R205" s="13"/>
      <c r="S205" s="12"/>
      <c r="T205" s="12"/>
    </row>
    <row r="206" ht="15.75" customHeight="1">
      <c r="A206" s="12"/>
      <c r="B206" s="12"/>
      <c r="C206" s="14"/>
      <c r="D206" s="14"/>
      <c r="E206" s="14"/>
      <c r="F206" s="12"/>
      <c r="G206" s="12"/>
      <c r="H206" s="12"/>
      <c r="I206" s="12"/>
      <c r="J206" s="12"/>
      <c r="K206" s="12"/>
      <c r="L206" s="12"/>
      <c r="M206" s="12"/>
      <c r="N206" s="18" t="str">
        <f t="shared" si="1"/>
        <v/>
      </c>
      <c r="O206" s="12"/>
      <c r="P206" s="12"/>
      <c r="Q206" s="12"/>
      <c r="R206" s="13"/>
      <c r="S206" s="12"/>
      <c r="T206" s="12"/>
    </row>
    <row r="207" ht="15.75" customHeight="1">
      <c r="A207" s="12"/>
      <c r="B207" s="12"/>
      <c r="C207" s="14"/>
      <c r="D207" s="14"/>
      <c r="E207" s="14"/>
      <c r="F207" s="12"/>
      <c r="G207" s="12"/>
      <c r="H207" s="12"/>
      <c r="I207" s="12"/>
      <c r="J207" s="12"/>
      <c r="K207" s="12"/>
      <c r="L207" s="12"/>
      <c r="M207" s="12"/>
      <c r="N207" s="18" t="str">
        <f t="shared" si="1"/>
        <v/>
      </c>
      <c r="O207" s="12"/>
      <c r="P207" s="12"/>
      <c r="Q207" s="12"/>
      <c r="R207" s="13"/>
      <c r="S207" s="12"/>
      <c r="T207" s="12"/>
    </row>
    <row r="208" ht="15.75" customHeight="1">
      <c r="A208" s="12"/>
      <c r="B208" s="12"/>
      <c r="C208" s="14"/>
      <c r="D208" s="14"/>
      <c r="E208" s="14"/>
      <c r="F208" s="12"/>
      <c r="G208" s="12"/>
      <c r="H208" s="12"/>
      <c r="I208" s="12"/>
      <c r="J208" s="12"/>
      <c r="K208" s="12"/>
      <c r="L208" s="12"/>
      <c r="M208" s="12"/>
      <c r="N208" s="18" t="str">
        <f t="shared" si="1"/>
        <v/>
      </c>
      <c r="O208" s="12"/>
      <c r="P208" s="12"/>
      <c r="Q208" s="12"/>
      <c r="R208" s="13"/>
      <c r="S208" s="12"/>
      <c r="T208" s="12"/>
    </row>
    <row r="209" ht="15.75" customHeight="1">
      <c r="A209" s="12"/>
      <c r="B209" s="12"/>
      <c r="C209" s="14"/>
      <c r="D209" s="14"/>
      <c r="E209" s="14"/>
      <c r="F209" s="12"/>
      <c r="G209" s="12"/>
      <c r="H209" s="12"/>
      <c r="I209" s="12"/>
      <c r="J209" s="12"/>
      <c r="K209" s="12"/>
      <c r="L209" s="12"/>
      <c r="M209" s="12"/>
      <c r="N209" s="18" t="str">
        <f t="shared" si="1"/>
        <v/>
      </c>
      <c r="O209" s="12"/>
      <c r="P209" s="12"/>
      <c r="Q209" s="12"/>
      <c r="R209" s="13"/>
      <c r="S209" s="12"/>
      <c r="T209" s="12"/>
    </row>
    <row r="210" ht="15.75" customHeight="1">
      <c r="A210" s="12"/>
      <c r="B210" s="12"/>
      <c r="C210" s="14"/>
      <c r="D210" s="14"/>
      <c r="E210" s="14"/>
      <c r="F210" s="12"/>
      <c r="G210" s="12"/>
      <c r="H210" s="12"/>
      <c r="I210" s="12"/>
      <c r="J210" s="12"/>
      <c r="K210" s="12"/>
      <c r="L210" s="12"/>
      <c r="M210" s="12"/>
      <c r="N210" s="18" t="str">
        <f t="shared" si="1"/>
        <v/>
      </c>
      <c r="O210" s="12"/>
      <c r="P210" s="12"/>
      <c r="Q210" s="12"/>
      <c r="R210" s="13"/>
      <c r="S210" s="12"/>
      <c r="T210" s="12"/>
    </row>
    <row r="211" ht="15.75" customHeight="1">
      <c r="A211" s="12"/>
      <c r="B211" s="12"/>
      <c r="C211" s="14"/>
      <c r="D211" s="14"/>
      <c r="E211" s="14"/>
      <c r="F211" s="12"/>
      <c r="G211" s="12"/>
      <c r="H211" s="12"/>
      <c r="I211" s="12"/>
      <c r="J211" s="12"/>
      <c r="K211" s="12"/>
      <c r="L211" s="12"/>
      <c r="M211" s="12"/>
      <c r="N211" s="18" t="str">
        <f t="shared" si="1"/>
        <v/>
      </c>
      <c r="O211" s="12"/>
      <c r="P211" s="12"/>
      <c r="Q211" s="12"/>
      <c r="R211" s="13"/>
      <c r="S211" s="12"/>
      <c r="T211" s="12"/>
    </row>
    <row r="212" ht="15.75" customHeight="1">
      <c r="A212" s="12"/>
      <c r="B212" s="12"/>
      <c r="C212" s="14"/>
      <c r="D212" s="14"/>
      <c r="E212" s="14"/>
      <c r="F212" s="12"/>
      <c r="G212" s="12"/>
      <c r="H212" s="12"/>
      <c r="I212" s="12"/>
      <c r="J212" s="12"/>
      <c r="K212" s="12"/>
      <c r="L212" s="12"/>
      <c r="M212" s="12"/>
      <c r="N212" s="18" t="str">
        <f t="shared" si="1"/>
        <v/>
      </c>
      <c r="O212" s="12"/>
      <c r="P212" s="12"/>
      <c r="Q212" s="12"/>
      <c r="R212" s="13"/>
      <c r="S212" s="12"/>
      <c r="T212" s="12"/>
    </row>
    <row r="213" ht="15.75" customHeight="1">
      <c r="A213" s="12"/>
      <c r="B213" s="12"/>
      <c r="C213" s="14"/>
      <c r="D213" s="14"/>
      <c r="E213" s="14"/>
      <c r="F213" s="12"/>
      <c r="G213" s="12"/>
      <c r="H213" s="12"/>
      <c r="I213" s="12"/>
      <c r="J213" s="12"/>
      <c r="K213" s="12"/>
      <c r="L213" s="12"/>
      <c r="M213" s="12"/>
      <c r="N213" s="18" t="str">
        <f t="shared" si="1"/>
        <v/>
      </c>
      <c r="O213" s="12"/>
      <c r="P213" s="12"/>
      <c r="Q213" s="12"/>
      <c r="R213" s="13"/>
      <c r="S213" s="12"/>
      <c r="T213" s="12"/>
    </row>
    <row r="214" ht="15.75" customHeight="1">
      <c r="A214" s="12"/>
      <c r="B214" s="12"/>
      <c r="C214" s="14"/>
      <c r="D214" s="14"/>
      <c r="E214" s="14"/>
      <c r="F214" s="12"/>
      <c r="G214" s="12"/>
      <c r="H214" s="12"/>
      <c r="I214" s="12"/>
      <c r="J214" s="12"/>
      <c r="K214" s="12"/>
      <c r="L214" s="12"/>
      <c r="M214" s="12"/>
      <c r="N214" s="18" t="str">
        <f t="shared" si="1"/>
        <v/>
      </c>
      <c r="O214" s="12"/>
      <c r="P214" s="12"/>
      <c r="Q214" s="12"/>
      <c r="R214" s="13"/>
      <c r="S214" s="12"/>
      <c r="T214" s="12"/>
    </row>
    <row r="215" ht="15.75" customHeight="1">
      <c r="A215" s="12"/>
      <c r="B215" s="12"/>
      <c r="C215" s="14"/>
      <c r="D215" s="14"/>
      <c r="E215" s="14"/>
      <c r="F215" s="12"/>
      <c r="G215" s="12"/>
      <c r="H215" s="12"/>
      <c r="I215" s="12"/>
      <c r="J215" s="12"/>
      <c r="K215" s="12"/>
      <c r="L215" s="12"/>
      <c r="M215" s="12"/>
      <c r="N215" s="18" t="str">
        <f t="shared" si="1"/>
        <v/>
      </c>
      <c r="O215" s="12"/>
      <c r="P215" s="12"/>
      <c r="Q215" s="12"/>
      <c r="R215" s="13"/>
      <c r="S215" s="12"/>
      <c r="T215" s="12"/>
    </row>
    <row r="216" ht="15.75" customHeight="1">
      <c r="A216" s="12"/>
      <c r="B216" s="12"/>
      <c r="C216" s="14"/>
      <c r="D216" s="14"/>
      <c r="E216" s="14"/>
      <c r="F216" s="12"/>
      <c r="G216" s="12"/>
      <c r="H216" s="12"/>
      <c r="I216" s="12"/>
      <c r="J216" s="12"/>
      <c r="K216" s="12"/>
      <c r="L216" s="12"/>
      <c r="M216" s="12"/>
      <c r="N216" s="18" t="str">
        <f t="shared" si="1"/>
        <v/>
      </c>
      <c r="O216" s="12"/>
      <c r="P216" s="12"/>
      <c r="Q216" s="12"/>
      <c r="R216" s="13"/>
      <c r="S216" s="12"/>
      <c r="T216" s="12"/>
    </row>
    <row r="217" ht="15.75" customHeight="1">
      <c r="A217" s="12"/>
      <c r="B217" s="12"/>
      <c r="C217" s="14"/>
      <c r="D217" s="14"/>
      <c r="E217" s="14"/>
      <c r="F217" s="12"/>
      <c r="G217" s="12"/>
      <c r="H217" s="12"/>
      <c r="I217" s="12"/>
      <c r="J217" s="12"/>
      <c r="K217" s="12"/>
      <c r="L217" s="12"/>
      <c r="M217" s="12"/>
      <c r="N217" s="18" t="str">
        <f t="shared" si="1"/>
        <v/>
      </c>
      <c r="O217" s="12"/>
      <c r="P217" s="12"/>
      <c r="Q217" s="12"/>
      <c r="R217" s="13"/>
      <c r="S217" s="12"/>
      <c r="T217" s="12"/>
    </row>
    <row r="218" ht="15.75" customHeight="1">
      <c r="A218" s="12"/>
      <c r="B218" s="12"/>
      <c r="C218" s="14"/>
      <c r="D218" s="14"/>
      <c r="E218" s="14"/>
      <c r="F218" s="12"/>
      <c r="G218" s="12"/>
      <c r="H218" s="12"/>
      <c r="I218" s="12"/>
      <c r="J218" s="12"/>
      <c r="K218" s="12"/>
      <c r="L218" s="12"/>
      <c r="M218" s="12"/>
      <c r="N218" s="18" t="str">
        <f t="shared" si="1"/>
        <v/>
      </c>
      <c r="O218" s="12"/>
      <c r="P218" s="12"/>
      <c r="Q218" s="12"/>
      <c r="R218" s="13"/>
      <c r="S218" s="12"/>
      <c r="T218" s="12"/>
    </row>
    <row r="219" ht="15.75" customHeight="1">
      <c r="A219" s="12"/>
      <c r="B219" s="12"/>
      <c r="C219" s="14"/>
      <c r="D219" s="14"/>
      <c r="E219" s="14"/>
      <c r="F219" s="12"/>
      <c r="G219" s="12"/>
      <c r="H219" s="12"/>
      <c r="I219" s="12"/>
      <c r="J219" s="12"/>
      <c r="K219" s="12"/>
      <c r="L219" s="12"/>
      <c r="M219" s="12"/>
      <c r="N219" s="18" t="str">
        <f t="shared" si="1"/>
        <v/>
      </c>
      <c r="O219" s="12"/>
      <c r="P219" s="12"/>
      <c r="Q219" s="12"/>
      <c r="R219" s="13"/>
      <c r="S219" s="12"/>
      <c r="T219" s="12"/>
    </row>
    <row r="220" ht="15.75" customHeight="1">
      <c r="A220" s="12"/>
      <c r="B220" s="12"/>
      <c r="C220" s="14"/>
      <c r="D220" s="14"/>
      <c r="E220" s="14"/>
      <c r="F220" s="12"/>
      <c r="G220" s="12"/>
      <c r="H220" s="12"/>
      <c r="I220" s="12"/>
      <c r="J220" s="12"/>
      <c r="K220" s="12"/>
      <c r="L220" s="12"/>
      <c r="M220" s="12"/>
      <c r="N220" s="18" t="str">
        <f t="shared" si="1"/>
        <v/>
      </c>
      <c r="O220" s="12"/>
      <c r="P220" s="12"/>
      <c r="Q220" s="12"/>
      <c r="R220" s="13"/>
      <c r="S220" s="12"/>
      <c r="T220" s="12"/>
    </row>
    <row r="221" ht="15.75" customHeight="1">
      <c r="A221" s="12"/>
      <c r="B221" s="12"/>
      <c r="C221" s="14"/>
      <c r="D221" s="14"/>
      <c r="E221" s="14"/>
      <c r="F221" s="12"/>
      <c r="G221" s="12"/>
      <c r="H221" s="12"/>
      <c r="I221" s="12"/>
      <c r="J221" s="12"/>
      <c r="K221" s="12"/>
      <c r="L221" s="12"/>
      <c r="M221" s="12"/>
      <c r="N221" s="18" t="str">
        <f t="shared" si="1"/>
        <v/>
      </c>
      <c r="O221" s="12"/>
      <c r="P221" s="12"/>
      <c r="Q221" s="12"/>
      <c r="R221" s="13"/>
      <c r="S221" s="12"/>
      <c r="T221" s="12"/>
    </row>
    <row r="222" ht="15.75" customHeight="1">
      <c r="A222" s="12"/>
      <c r="B222" s="12"/>
      <c r="C222" s="14"/>
      <c r="D222" s="14"/>
      <c r="E222" s="14"/>
      <c r="F222" s="12"/>
      <c r="G222" s="12"/>
      <c r="H222" s="12"/>
      <c r="I222" s="12"/>
      <c r="J222" s="12"/>
      <c r="K222" s="12"/>
      <c r="L222" s="12"/>
      <c r="M222" s="12"/>
      <c r="N222" s="18" t="str">
        <f t="shared" si="1"/>
        <v/>
      </c>
      <c r="O222" s="12"/>
      <c r="P222" s="12"/>
      <c r="Q222" s="12"/>
      <c r="R222" s="13"/>
      <c r="S222" s="12"/>
      <c r="T222" s="12"/>
    </row>
    <row r="223" ht="15.75" customHeight="1">
      <c r="A223" s="12"/>
      <c r="B223" s="12"/>
      <c r="C223" s="14"/>
      <c r="D223" s="14"/>
      <c r="E223" s="14"/>
      <c r="F223" s="12"/>
      <c r="G223" s="12"/>
      <c r="H223" s="12"/>
      <c r="I223" s="12"/>
      <c r="J223" s="12"/>
      <c r="K223" s="12"/>
      <c r="L223" s="12"/>
      <c r="M223" s="12"/>
      <c r="N223" s="18" t="str">
        <f t="shared" si="1"/>
        <v/>
      </c>
      <c r="O223" s="12"/>
      <c r="P223" s="12"/>
      <c r="Q223" s="12"/>
      <c r="R223" s="13"/>
      <c r="S223" s="12"/>
      <c r="T223" s="12"/>
    </row>
    <row r="224" ht="15.75" customHeight="1">
      <c r="A224" s="12"/>
      <c r="B224" s="12"/>
      <c r="C224" s="14"/>
      <c r="D224" s="14"/>
      <c r="E224" s="14"/>
      <c r="F224" s="12"/>
      <c r="G224" s="12"/>
      <c r="H224" s="12"/>
      <c r="I224" s="12"/>
      <c r="J224" s="12"/>
      <c r="K224" s="12"/>
      <c r="L224" s="12"/>
      <c r="M224" s="12"/>
      <c r="N224" s="18" t="str">
        <f t="shared" si="1"/>
        <v/>
      </c>
      <c r="O224" s="12"/>
      <c r="P224" s="12"/>
      <c r="Q224" s="12"/>
      <c r="R224" s="13"/>
      <c r="S224" s="12"/>
      <c r="T224" s="12"/>
    </row>
    <row r="225" ht="15.75" customHeight="1">
      <c r="A225" s="12"/>
      <c r="B225" s="12"/>
      <c r="C225" s="14"/>
      <c r="D225" s="14"/>
      <c r="E225" s="14"/>
      <c r="F225" s="12"/>
      <c r="G225" s="12"/>
      <c r="H225" s="12"/>
      <c r="I225" s="12"/>
      <c r="J225" s="12"/>
      <c r="K225" s="12"/>
      <c r="L225" s="12"/>
      <c r="M225" s="12"/>
      <c r="N225" s="18" t="str">
        <f t="shared" si="1"/>
        <v/>
      </c>
      <c r="O225" s="12"/>
      <c r="P225" s="12"/>
      <c r="Q225" s="12"/>
      <c r="R225" s="13"/>
      <c r="S225" s="12"/>
      <c r="T225" s="12"/>
    </row>
    <row r="226" ht="15.75" customHeight="1">
      <c r="A226" s="12"/>
      <c r="B226" s="12"/>
      <c r="C226" s="14"/>
      <c r="D226" s="14"/>
      <c r="E226" s="14"/>
      <c r="F226" s="12"/>
      <c r="G226" s="12"/>
      <c r="H226" s="12"/>
      <c r="I226" s="12"/>
      <c r="J226" s="12"/>
      <c r="K226" s="12"/>
      <c r="L226" s="12"/>
      <c r="M226" s="12"/>
      <c r="N226" s="18" t="str">
        <f t="shared" si="1"/>
        <v/>
      </c>
      <c r="O226" s="12"/>
      <c r="P226" s="12"/>
      <c r="Q226" s="12"/>
      <c r="R226" s="13"/>
      <c r="S226" s="12"/>
      <c r="T226" s="12"/>
    </row>
    <row r="227" ht="15.75" customHeight="1">
      <c r="A227" s="12"/>
      <c r="B227" s="12"/>
      <c r="C227" s="14"/>
      <c r="D227" s="14"/>
      <c r="E227" s="14"/>
      <c r="F227" s="12"/>
      <c r="G227" s="12"/>
      <c r="H227" s="12"/>
      <c r="I227" s="12"/>
      <c r="J227" s="12"/>
      <c r="K227" s="12"/>
      <c r="L227" s="12"/>
      <c r="M227" s="12"/>
      <c r="N227" s="18" t="str">
        <f t="shared" si="1"/>
        <v/>
      </c>
      <c r="O227" s="12"/>
      <c r="P227" s="12"/>
      <c r="Q227" s="12"/>
      <c r="R227" s="13"/>
      <c r="S227" s="12"/>
      <c r="T227" s="12"/>
    </row>
    <row r="228" ht="15.75" customHeight="1">
      <c r="A228" s="12"/>
      <c r="B228" s="12"/>
      <c r="C228" s="14"/>
      <c r="D228" s="14"/>
      <c r="E228" s="14"/>
      <c r="F228" s="12"/>
      <c r="G228" s="12"/>
      <c r="H228" s="12"/>
      <c r="I228" s="12"/>
      <c r="J228" s="12"/>
      <c r="K228" s="12"/>
      <c r="L228" s="12"/>
      <c r="M228" s="12"/>
      <c r="N228" s="18" t="str">
        <f t="shared" si="1"/>
        <v/>
      </c>
      <c r="O228" s="12"/>
      <c r="P228" s="12"/>
      <c r="Q228" s="12"/>
      <c r="R228" s="13"/>
      <c r="S228" s="12"/>
      <c r="T228" s="12"/>
    </row>
    <row r="229" ht="15.75" customHeight="1">
      <c r="A229" s="12"/>
      <c r="B229" s="12"/>
      <c r="C229" s="14"/>
      <c r="D229" s="14"/>
      <c r="E229" s="14"/>
      <c r="F229" s="12"/>
      <c r="G229" s="12"/>
      <c r="H229" s="12"/>
      <c r="I229" s="12"/>
      <c r="J229" s="12"/>
      <c r="K229" s="12"/>
      <c r="L229" s="12"/>
      <c r="M229" s="12"/>
      <c r="N229" s="18" t="str">
        <f t="shared" si="1"/>
        <v/>
      </c>
      <c r="O229" s="12"/>
      <c r="P229" s="12"/>
      <c r="Q229" s="12"/>
      <c r="R229" s="13"/>
      <c r="S229" s="12"/>
      <c r="T229" s="12"/>
    </row>
    <row r="230" ht="15.75" customHeight="1">
      <c r="A230" s="12"/>
      <c r="B230" s="12"/>
      <c r="C230" s="14"/>
      <c r="D230" s="14"/>
      <c r="E230" s="14"/>
      <c r="F230" s="12"/>
      <c r="G230" s="12"/>
      <c r="H230" s="12"/>
      <c r="I230" s="12"/>
      <c r="J230" s="12"/>
      <c r="K230" s="12"/>
      <c r="L230" s="12"/>
      <c r="M230" s="12"/>
      <c r="N230" s="18" t="str">
        <f t="shared" si="1"/>
        <v/>
      </c>
      <c r="O230" s="12"/>
      <c r="P230" s="12"/>
      <c r="Q230" s="12"/>
      <c r="R230" s="13"/>
      <c r="S230" s="12"/>
      <c r="T230" s="12"/>
    </row>
    <row r="231" ht="15.75" customHeight="1">
      <c r="A231" s="12"/>
      <c r="B231" s="12"/>
      <c r="C231" s="14"/>
      <c r="D231" s="14"/>
      <c r="E231" s="14"/>
      <c r="F231" s="12"/>
      <c r="G231" s="12"/>
      <c r="H231" s="12"/>
      <c r="I231" s="12"/>
      <c r="J231" s="12"/>
      <c r="K231" s="12"/>
      <c r="L231" s="12"/>
      <c r="M231" s="12"/>
      <c r="N231" s="18" t="str">
        <f t="shared" si="1"/>
        <v/>
      </c>
      <c r="O231" s="12"/>
      <c r="P231" s="12"/>
      <c r="Q231" s="12"/>
      <c r="R231" s="13"/>
      <c r="S231" s="12"/>
      <c r="T231" s="12"/>
    </row>
    <row r="232" ht="15.75" customHeight="1">
      <c r="A232" s="12"/>
      <c r="B232" s="12"/>
      <c r="C232" s="14"/>
      <c r="D232" s="14"/>
      <c r="E232" s="14"/>
      <c r="F232" s="12"/>
      <c r="G232" s="12"/>
      <c r="H232" s="12"/>
      <c r="I232" s="12"/>
      <c r="J232" s="12"/>
      <c r="K232" s="12"/>
      <c r="L232" s="12"/>
      <c r="M232" s="12"/>
      <c r="N232" s="18" t="str">
        <f t="shared" si="1"/>
        <v/>
      </c>
      <c r="O232" s="12"/>
      <c r="P232" s="12"/>
      <c r="Q232" s="12"/>
      <c r="R232" s="13"/>
      <c r="S232" s="12"/>
      <c r="T232" s="12"/>
    </row>
    <row r="233" ht="15.75" customHeight="1">
      <c r="A233" s="12"/>
      <c r="B233" s="12"/>
      <c r="C233" s="14"/>
      <c r="D233" s="14"/>
      <c r="E233" s="14"/>
      <c r="F233" s="12"/>
      <c r="G233" s="12"/>
      <c r="H233" s="12"/>
      <c r="I233" s="12"/>
      <c r="J233" s="12"/>
      <c r="K233" s="12"/>
      <c r="L233" s="12"/>
      <c r="M233" s="12"/>
      <c r="N233" s="18" t="str">
        <f t="shared" si="1"/>
        <v/>
      </c>
      <c r="O233" s="12"/>
      <c r="P233" s="12"/>
      <c r="Q233" s="12"/>
      <c r="R233" s="13"/>
      <c r="S233" s="12"/>
      <c r="T233" s="12"/>
    </row>
    <row r="234" ht="15.75" customHeight="1">
      <c r="A234" s="12"/>
      <c r="B234" s="12"/>
      <c r="C234" s="14"/>
      <c r="D234" s="14"/>
      <c r="E234" s="14"/>
      <c r="F234" s="12"/>
      <c r="G234" s="12"/>
      <c r="H234" s="12"/>
      <c r="I234" s="12"/>
      <c r="J234" s="12"/>
      <c r="K234" s="12"/>
      <c r="L234" s="12"/>
      <c r="M234" s="12"/>
      <c r="N234" s="18" t="str">
        <f t="shared" si="1"/>
        <v/>
      </c>
      <c r="O234" s="12"/>
      <c r="P234" s="12"/>
      <c r="Q234" s="12"/>
      <c r="R234" s="13"/>
      <c r="S234" s="12"/>
      <c r="T234" s="12"/>
    </row>
    <row r="235" ht="15.75" customHeight="1">
      <c r="A235" s="12"/>
      <c r="B235" s="12"/>
      <c r="C235" s="14"/>
      <c r="D235" s="14"/>
      <c r="E235" s="14"/>
      <c r="F235" s="12"/>
      <c r="G235" s="12"/>
      <c r="H235" s="12"/>
      <c r="I235" s="12"/>
      <c r="J235" s="12"/>
      <c r="K235" s="12"/>
      <c r="L235" s="12"/>
      <c r="M235" s="12"/>
      <c r="N235" s="18" t="str">
        <f t="shared" si="1"/>
        <v/>
      </c>
      <c r="O235" s="12"/>
      <c r="P235" s="12"/>
      <c r="Q235" s="12"/>
      <c r="R235" s="13"/>
      <c r="S235" s="12"/>
      <c r="T235" s="12"/>
    </row>
    <row r="236" ht="15.75" customHeight="1">
      <c r="A236" s="12"/>
      <c r="B236" s="12"/>
      <c r="C236" s="14"/>
      <c r="D236" s="14"/>
      <c r="E236" s="14"/>
      <c r="F236" s="12"/>
      <c r="G236" s="12"/>
      <c r="H236" s="12"/>
      <c r="I236" s="12"/>
      <c r="J236" s="12"/>
      <c r="K236" s="12"/>
      <c r="L236" s="12"/>
      <c r="M236" s="12"/>
      <c r="N236" s="18" t="str">
        <f t="shared" si="1"/>
        <v/>
      </c>
      <c r="O236" s="12"/>
      <c r="P236" s="12"/>
      <c r="Q236" s="12"/>
      <c r="R236" s="13"/>
      <c r="S236" s="12"/>
      <c r="T236" s="12"/>
    </row>
    <row r="237" ht="15.75" customHeight="1">
      <c r="A237" s="12"/>
      <c r="B237" s="12"/>
      <c r="C237" s="14"/>
      <c r="D237" s="14"/>
      <c r="E237" s="14"/>
      <c r="F237" s="12"/>
      <c r="G237" s="12"/>
      <c r="H237" s="12"/>
      <c r="I237" s="12"/>
      <c r="J237" s="12"/>
      <c r="K237" s="12"/>
      <c r="L237" s="12"/>
      <c r="M237" s="12"/>
      <c r="N237" s="18" t="str">
        <f t="shared" si="1"/>
        <v/>
      </c>
      <c r="O237" s="12"/>
      <c r="P237" s="12"/>
      <c r="Q237" s="12"/>
      <c r="R237" s="13"/>
      <c r="S237" s="12"/>
      <c r="T237" s="12"/>
    </row>
    <row r="238" ht="15.75" customHeight="1">
      <c r="A238" s="12"/>
      <c r="B238" s="12"/>
      <c r="C238" s="14"/>
      <c r="D238" s="14"/>
      <c r="E238" s="14"/>
      <c r="F238" s="12"/>
      <c r="G238" s="12"/>
      <c r="H238" s="12"/>
      <c r="I238" s="12"/>
      <c r="J238" s="12"/>
      <c r="K238" s="12"/>
      <c r="L238" s="12"/>
      <c r="M238" s="12"/>
      <c r="N238" s="18" t="str">
        <f t="shared" si="1"/>
        <v/>
      </c>
      <c r="O238" s="12"/>
      <c r="P238" s="12"/>
      <c r="Q238" s="12"/>
      <c r="R238" s="13"/>
      <c r="S238" s="12"/>
      <c r="T238" s="12"/>
    </row>
    <row r="239" ht="15.75" customHeight="1">
      <c r="A239" s="12"/>
      <c r="B239" s="12"/>
      <c r="C239" s="14"/>
      <c r="D239" s="14"/>
      <c r="E239" s="14"/>
      <c r="F239" s="12"/>
      <c r="G239" s="12"/>
      <c r="H239" s="12"/>
      <c r="I239" s="12"/>
      <c r="J239" s="12"/>
      <c r="K239" s="12"/>
      <c r="L239" s="12"/>
      <c r="M239" s="12"/>
      <c r="N239" s="18" t="str">
        <f t="shared" si="1"/>
        <v/>
      </c>
      <c r="O239" s="12"/>
      <c r="P239" s="12"/>
      <c r="Q239" s="12"/>
      <c r="R239" s="13"/>
      <c r="S239" s="12"/>
      <c r="T239" s="12"/>
    </row>
    <row r="240" ht="15.75" customHeight="1">
      <c r="A240" s="12"/>
      <c r="B240" s="12"/>
      <c r="C240" s="14"/>
      <c r="D240" s="14"/>
      <c r="E240" s="14"/>
      <c r="F240" s="12"/>
      <c r="G240" s="12"/>
      <c r="H240" s="12"/>
      <c r="I240" s="12"/>
      <c r="J240" s="12"/>
      <c r="K240" s="12"/>
      <c r="L240" s="12"/>
      <c r="M240" s="12"/>
      <c r="N240" s="18" t="str">
        <f t="shared" si="1"/>
        <v/>
      </c>
      <c r="O240" s="12"/>
      <c r="P240" s="12"/>
      <c r="Q240" s="12"/>
      <c r="R240" s="13"/>
      <c r="S240" s="12"/>
      <c r="T240" s="12"/>
    </row>
    <row r="241" ht="15.75" customHeight="1">
      <c r="A241" s="12"/>
      <c r="B241" s="12"/>
      <c r="C241" s="14"/>
      <c r="D241" s="14"/>
      <c r="E241" s="14"/>
      <c r="F241" s="12"/>
      <c r="G241" s="12"/>
      <c r="H241" s="12"/>
      <c r="I241" s="12"/>
      <c r="J241" s="12"/>
      <c r="K241" s="12"/>
      <c r="L241" s="12"/>
      <c r="M241" s="12"/>
      <c r="N241" s="18" t="str">
        <f t="shared" si="1"/>
        <v/>
      </c>
      <c r="O241" s="12"/>
      <c r="P241" s="12"/>
      <c r="Q241" s="12"/>
      <c r="R241" s="13"/>
      <c r="S241" s="12"/>
      <c r="T241" s="12"/>
    </row>
    <row r="242" ht="15.75" customHeight="1">
      <c r="A242" s="12"/>
      <c r="B242" s="12"/>
      <c r="C242" s="14"/>
      <c r="D242" s="14"/>
      <c r="E242" s="14"/>
      <c r="F242" s="12"/>
      <c r="G242" s="12"/>
      <c r="H242" s="12"/>
      <c r="I242" s="12"/>
      <c r="J242" s="12"/>
      <c r="K242" s="12"/>
      <c r="L242" s="12"/>
      <c r="M242" s="12"/>
      <c r="N242" s="18" t="str">
        <f t="shared" si="1"/>
        <v/>
      </c>
      <c r="O242" s="12"/>
      <c r="P242" s="12"/>
      <c r="Q242" s="12"/>
      <c r="R242" s="13"/>
      <c r="S242" s="12"/>
      <c r="T242" s="12"/>
    </row>
    <row r="243" ht="15.75" customHeight="1">
      <c r="A243" s="12"/>
      <c r="B243" s="12"/>
      <c r="C243" s="14"/>
      <c r="D243" s="14"/>
      <c r="E243" s="14"/>
      <c r="F243" s="12"/>
      <c r="G243" s="12"/>
      <c r="H243" s="12"/>
      <c r="I243" s="12"/>
      <c r="J243" s="12"/>
      <c r="K243" s="12"/>
      <c r="L243" s="12"/>
      <c r="M243" s="12"/>
      <c r="N243" s="18" t="str">
        <f t="shared" si="1"/>
        <v/>
      </c>
      <c r="O243" s="12"/>
      <c r="P243" s="12"/>
      <c r="Q243" s="12"/>
      <c r="R243" s="13"/>
      <c r="S243" s="12"/>
      <c r="T243" s="12"/>
    </row>
    <row r="244" ht="15.75" customHeight="1">
      <c r="A244" s="12"/>
      <c r="B244" s="12"/>
      <c r="C244" s="14"/>
      <c r="D244" s="14"/>
      <c r="E244" s="14"/>
      <c r="F244" s="12"/>
      <c r="G244" s="12"/>
      <c r="H244" s="12"/>
      <c r="I244" s="12"/>
      <c r="J244" s="12"/>
      <c r="K244" s="12"/>
      <c r="L244" s="12"/>
      <c r="M244" s="12"/>
      <c r="N244" s="18" t="str">
        <f t="shared" si="1"/>
        <v/>
      </c>
      <c r="O244" s="12"/>
      <c r="P244" s="12"/>
      <c r="Q244" s="12"/>
      <c r="R244" s="13"/>
      <c r="S244" s="12"/>
      <c r="T244" s="12"/>
    </row>
    <row r="245" ht="15.75" customHeight="1">
      <c r="A245" s="12"/>
      <c r="B245" s="12"/>
      <c r="C245" s="14"/>
      <c r="D245" s="14"/>
      <c r="E245" s="14"/>
      <c r="F245" s="12"/>
      <c r="G245" s="12"/>
      <c r="H245" s="12"/>
      <c r="I245" s="12"/>
      <c r="J245" s="12"/>
      <c r="K245" s="12"/>
      <c r="L245" s="12"/>
      <c r="M245" s="12"/>
      <c r="N245" s="18" t="str">
        <f t="shared" si="1"/>
        <v/>
      </c>
      <c r="O245" s="12"/>
      <c r="P245" s="12"/>
      <c r="Q245" s="12"/>
      <c r="R245" s="13"/>
      <c r="S245" s="12"/>
      <c r="T245" s="12"/>
    </row>
    <row r="246" ht="15.75" customHeight="1">
      <c r="A246" s="12"/>
      <c r="B246" s="12"/>
      <c r="C246" s="14"/>
      <c r="D246" s="14"/>
      <c r="E246" s="14"/>
      <c r="F246" s="12"/>
      <c r="G246" s="12"/>
      <c r="H246" s="12"/>
      <c r="I246" s="12"/>
      <c r="J246" s="12"/>
      <c r="K246" s="12"/>
      <c r="L246" s="12"/>
      <c r="M246" s="12"/>
      <c r="N246" s="18" t="str">
        <f t="shared" si="1"/>
        <v/>
      </c>
      <c r="O246" s="12"/>
      <c r="P246" s="12"/>
      <c r="Q246" s="12"/>
      <c r="R246" s="13"/>
      <c r="S246" s="12"/>
      <c r="T246" s="12"/>
    </row>
    <row r="247" ht="15.75" customHeight="1">
      <c r="A247" s="12"/>
      <c r="B247" s="12"/>
      <c r="C247" s="14"/>
      <c r="D247" s="14"/>
      <c r="E247" s="14"/>
      <c r="F247" s="12"/>
      <c r="G247" s="12"/>
      <c r="H247" s="12"/>
      <c r="I247" s="12"/>
      <c r="J247" s="12"/>
      <c r="K247" s="12"/>
      <c r="L247" s="12"/>
      <c r="M247" s="12"/>
      <c r="N247" s="18" t="str">
        <f t="shared" si="1"/>
        <v/>
      </c>
      <c r="O247" s="12"/>
      <c r="P247" s="12"/>
      <c r="Q247" s="12"/>
      <c r="R247" s="13"/>
      <c r="S247" s="12"/>
      <c r="T247" s="12"/>
    </row>
    <row r="248" ht="15.75" customHeight="1">
      <c r="A248" s="12"/>
      <c r="B248" s="12"/>
      <c r="C248" s="14"/>
      <c r="D248" s="14"/>
      <c r="E248" s="14"/>
      <c r="F248" s="12"/>
      <c r="G248" s="12"/>
      <c r="H248" s="12"/>
      <c r="I248" s="12"/>
      <c r="J248" s="12"/>
      <c r="K248" s="12"/>
      <c r="L248" s="12"/>
      <c r="M248" s="12"/>
      <c r="N248" s="18" t="str">
        <f t="shared" si="1"/>
        <v/>
      </c>
      <c r="O248" s="12"/>
      <c r="P248" s="12"/>
      <c r="Q248" s="12"/>
      <c r="R248" s="13"/>
      <c r="S248" s="12"/>
      <c r="T248" s="12"/>
    </row>
    <row r="249" ht="15.75" customHeight="1">
      <c r="A249" s="12"/>
      <c r="B249" s="12"/>
      <c r="C249" s="14"/>
      <c r="D249" s="14"/>
      <c r="E249" s="14"/>
      <c r="F249" s="12"/>
      <c r="G249" s="12"/>
      <c r="H249" s="12"/>
      <c r="I249" s="12"/>
      <c r="J249" s="12"/>
      <c r="K249" s="12"/>
      <c r="L249" s="12"/>
      <c r="M249" s="12"/>
      <c r="N249" s="18" t="str">
        <f t="shared" si="1"/>
        <v/>
      </c>
      <c r="O249" s="12"/>
      <c r="P249" s="12"/>
      <c r="Q249" s="12"/>
      <c r="R249" s="13"/>
      <c r="S249" s="12"/>
      <c r="T249" s="12"/>
    </row>
    <row r="250" ht="15.75" customHeight="1">
      <c r="A250" s="12"/>
      <c r="B250" s="12"/>
      <c r="C250" s="14"/>
      <c r="D250" s="14"/>
      <c r="E250" s="14"/>
      <c r="F250" s="12"/>
      <c r="G250" s="12"/>
      <c r="H250" s="12"/>
      <c r="I250" s="12"/>
      <c r="J250" s="12"/>
      <c r="K250" s="12"/>
      <c r="L250" s="12"/>
      <c r="M250" s="12"/>
      <c r="N250" s="18" t="str">
        <f t="shared" si="1"/>
        <v/>
      </c>
      <c r="O250" s="12"/>
      <c r="P250" s="12"/>
      <c r="Q250" s="12"/>
      <c r="R250" s="13"/>
      <c r="S250" s="12"/>
      <c r="T250" s="12"/>
    </row>
    <row r="251" ht="15.75" customHeight="1">
      <c r="A251" s="12"/>
      <c r="B251" s="12"/>
      <c r="C251" s="14"/>
      <c r="D251" s="14"/>
      <c r="E251" s="14"/>
      <c r="F251" s="12"/>
      <c r="G251" s="12"/>
      <c r="H251" s="12"/>
      <c r="I251" s="12"/>
      <c r="J251" s="12"/>
      <c r="K251" s="12"/>
      <c r="L251" s="12"/>
      <c r="M251" s="12"/>
      <c r="N251" s="18" t="str">
        <f t="shared" si="1"/>
        <v/>
      </c>
      <c r="O251" s="12"/>
      <c r="P251" s="12"/>
      <c r="Q251" s="12"/>
      <c r="R251" s="13"/>
      <c r="S251" s="12"/>
      <c r="T251" s="12"/>
    </row>
    <row r="252" ht="15.75" customHeight="1">
      <c r="A252" s="12"/>
      <c r="B252" s="12"/>
      <c r="C252" s="14"/>
      <c r="D252" s="14"/>
      <c r="E252" s="14"/>
      <c r="F252" s="12"/>
      <c r="G252" s="12"/>
      <c r="H252" s="12"/>
      <c r="I252" s="12"/>
      <c r="J252" s="12"/>
      <c r="K252" s="12"/>
      <c r="L252" s="12"/>
      <c r="M252" s="12"/>
      <c r="N252" s="18" t="str">
        <f t="shared" si="1"/>
        <v/>
      </c>
      <c r="O252" s="12"/>
      <c r="P252" s="12"/>
      <c r="Q252" s="12"/>
      <c r="R252" s="13"/>
      <c r="S252" s="12"/>
      <c r="T252" s="12"/>
    </row>
    <row r="253" ht="15.75" customHeight="1">
      <c r="A253" s="12"/>
      <c r="B253" s="12"/>
      <c r="C253" s="14"/>
      <c r="D253" s="14"/>
      <c r="E253" s="14"/>
      <c r="F253" s="12"/>
      <c r="G253" s="12"/>
      <c r="H253" s="12"/>
      <c r="I253" s="12"/>
      <c r="J253" s="12"/>
      <c r="K253" s="12"/>
      <c r="L253" s="12"/>
      <c r="M253" s="12"/>
      <c r="N253" s="18" t="str">
        <f t="shared" si="1"/>
        <v/>
      </c>
      <c r="O253" s="12"/>
      <c r="P253" s="12"/>
      <c r="Q253" s="12"/>
      <c r="R253" s="13"/>
      <c r="S253" s="12"/>
      <c r="T253" s="12"/>
    </row>
    <row r="254" ht="15.75" customHeight="1">
      <c r="A254" s="12"/>
      <c r="B254" s="12"/>
      <c r="C254" s="14"/>
      <c r="D254" s="14"/>
      <c r="E254" s="14"/>
      <c r="F254" s="12"/>
      <c r="G254" s="12"/>
      <c r="H254" s="12"/>
      <c r="I254" s="12"/>
      <c r="J254" s="12"/>
      <c r="K254" s="12"/>
      <c r="L254" s="12"/>
      <c r="M254" s="12"/>
      <c r="N254" s="18" t="str">
        <f t="shared" si="1"/>
        <v/>
      </c>
      <c r="O254" s="12"/>
      <c r="P254" s="12"/>
      <c r="Q254" s="12"/>
      <c r="R254" s="13"/>
      <c r="S254" s="12"/>
      <c r="T254" s="12"/>
    </row>
    <row r="255" ht="15.75" customHeight="1">
      <c r="A255" s="12"/>
      <c r="B255" s="12"/>
      <c r="C255" s="14"/>
      <c r="D255" s="14"/>
      <c r="E255" s="14"/>
      <c r="F255" s="12"/>
      <c r="G255" s="12"/>
      <c r="H255" s="12"/>
      <c r="I255" s="12"/>
      <c r="J255" s="12"/>
      <c r="K255" s="12"/>
      <c r="L255" s="12"/>
      <c r="M255" s="12"/>
      <c r="N255" s="18" t="str">
        <f t="shared" si="1"/>
        <v/>
      </c>
      <c r="O255" s="12"/>
      <c r="P255" s="12"/>
      <c r="Q255" s="12"/>
      <c r="R255" s="13"/>
      <c r="S255" s="12"/>
      <c r="T255" s="12"/>
    </row>
    <row r="256" ht="15.75" customHeight="1">
      <c r="A256" s="12"/>
      <c r="B256" s="12"/>
      <c r="C256" s="14"/>
      <c r="D256" s="14"/>
      <c r="E256" s="14"/>
      <c r="F256" s="12"/>
      <c r="G256" s="12"/>
      <c r="H256" s="12"/>
      <c r="I256" s="12"/>
      <c r="J256" s="12"/>
      <c r="K256" s="12"/>
      <c r="L256" s="12"/>
      <c r="M256" s="12"/>
      <c r="N256" s="18" t="str">
        <f t="shared" si="1"/>
        <v/>
      </c>
      <c r="O256" s="12"/>
      <c r="P256" s="12"/>
      <c r="Q256" s="12"/>
      <c r="R256" s="13"/>
      <c r="S256" s="12"/>
      <c r="T256" s="12"/>
    </row>
    <row r="257" ht="15.75" customHeight="1">
      <c r="A257" s="12"/>
      <c r="B257" s="12"/>
      <c r="C257" s="14"/>
      <c r="D257" s="14"/>
      <c r="E257" s="14"/>
      <c r="F257" s="12"/>
      <c r="G257" s="12"/>
      <c r="H257" s="12"/>
      <c r="I257" s="12"/>
      <c r="J257" s="12"/>
      <c r="K257" s="12"/>
      <c r="L257" s="12"/>
      <c r="M257" s="12"/>
      <c r="N257" s="18" t="str">
        <f t="shared" si="1"/>
        <v/>
      </c>
      <c r="O257" s="12"/>
      <c r="P257" s="12"/>
      <c r="Q257" s="12"/>
      <c r="R257" s="13"/>
      <c r="S257" s="12"/>
      <c r="T257" s="12"/>
    </row>
    <row r="258" ht="15.75" customHeight="1">
      <c r="A258" s="12"/>
      <c r="B258" s="12"/>
      <c r="C258" s="14"/>
      <c r="D258" s="14"/>
      <c r="E258" s="14"/>
      <c r="F258" s="12"/>
      <c r="G258" s="12"/>
      <c r="H258" s="12"/>
      <c r="I258" s="12"/>
      <c r="J258" s="12"/>
      <c r="K258" s="12"/>
      <c r="L258" s="12"/>
      <c r="M258" s="12"/>
      <c r="N258" s="18" t="str">
        <f t="shared" si="1"/>
        <v/>
      </c>
      <c r="O258" s="12"/>
      <c r="P258" s="12"/>
      <c r="Q258" s="12"/>
      <c r="R258" s="13"/>
      <c r="S258" s="12"/>
      <c r="T258" s="12"/>
    </row>
    <row r="259" ht="15.75" customHeight="1">
      <c r="A259" s="12"/>
      <c r="B259" s="12"/>
      <c r="C259" s="14"/>
      <c r="D259" s="14"/>
      <c r="E259" s="14"/>
      <c r="F259" s="12"/>
      <c r="G259" s="12"/>
      <c r="H259" s="12"/>
      <c r="I259" s="12"/>
      <c r="J259" s="12"/>
      <c r="K259" s="12"/>
      <c r="L259" s="12"/>
      <c r="M259" s="12"/>
      <c r="N259" s="18" t="str">
        <f t="shared" si="1"/>
        <v/>
      </c>
      <c r="O259" s="12"/>
      <c r="P259" s="12"/>
      <c r="Q259" s="12"/>
      <c r="R259" s="13"/>
      <c r="S259" s="12"/>
      <c r="T259" s="12"/>
    </row>
    <row r="260" ht="15.75" customHeight="1">
      <c r="A260" s="12"/>
      <c r="B260" s="12"/>
      <c r="C260" s="14"/>
      <c r="D260" s="14"/>
      <c r="E260" s="14"/>
      <c r="F260" s="12"/>
      <c r="G260" s="12"/>
      <c r="H260" s="12"/>
      <c r="I260" s="12"/>
      <c r="J260" s="12"/>
      <c r="K260" s="12"/>
      <c r="L260" s="12"/>
      <c r="M260" s="12"/>
      <c r="N260" s="18" t="str">
        <f t="shared" si="1"/>
        <v/>
      </c>
      <c r="O260" s="12"/>
      <c r="P260" s="12"/>
      <c r="Q260" s="12"/>
      <c r="R260" s="13"/>
      <c r="S260" s="12"/>
      <c r="T260" s="12"/>
    </row>
    <row r="261" ht="15.75" customHeight="1">
      <c r="A261" s="12"/>
      <c r="B261" s="12"/>
      <c r="C261" s="14"/>
      <c r="D261" s="14"/>
      <c r="E261" s="14"/>
      <c r="F261" s="12"/>
      <c r="G261" s="12"/>
      <c r="H261" s="12"/>
      <c r="I261" s="12"/>
      <c r="J261" s="12"/>
      <c r="K261" s="12"/>
      <c r="L261" s="12"/>
      <c r="M261" s="12"/>
      <c r="N261" s="18" t="str">
        <f t="shared" si="1"/>
        <v/>
      </c>
      <c r="O261" s="12"/>
      <c r="P261" s="12"/>
      <c r="Q261" s="12"/>
      <c r="R261" s="13"/>
      <c r="S261" s="12"/>
      <c r="T261" s="12"/>
    </row>
    <row r="262" ht="15.75" customHeight="1">
      <c r="A262" s="12"/>
      <c r="B262" s="12"/>
      <c r="C262" s="14"/>
      <c r="D262" s="14"/>
      <c r="E262" s="14"/>
      <c r="F262" s="12"/>
      <c r="G262" s="12"/>
      <c r="H262" s="12"/>
      <c r="I262" s="12"/>
      <c r="J262" s="12"/>
      <c r="K262" s="12"/>
      <c r="L262" s="12"/>
      <c r="M262" s="12"/>
      <c r="N262" s="18" t="str">
        <f t="shared" si="1"/>
        <v/>
      </c>
      <c r="O262" s="12"/>
      <c r="P262" s="12"/>
      <c r="Q262" s="12"/>
      <c r="R262" s="13"/>
      <c r="S262" s="12"/>
      <c r="T262" s="12"/>
    </row>
    <row r="263" ht="15.75" customHeight="1">
      <c r="A263" s="12"/>
      <c r="B263" s="12"/>
      <c r="C263" s="14"/>
      <c r="D263" s="14"/>
      <c r="E263" s="14"/>
      <c r="F263" s="12"/>
      <c r="G263" s="12"/>
      <c r="H263" s="12"/>
      <c r="I263" s="12"/>
      <c r="J263" s="12"/>
      <c r="K263" s="12"/>
      <c r="L263" s="12"/>
      <c r="M263" s="12"/>
      <c r="N263" s="18" t="str">
        <f t="shared" si="1"/>
        <v/>
      </c>
      <c r="O263" s="12"/>
      <c r="P263" s="12"/>
      <c r="Q263" s="12"/>
      <c r="R263" s="13"/>
      <c r="S263" s="12"/>
      <c r="T263" s="12"/>
    </row>
    <row r="264" ht="15.75" customHeight="1">
      <c r="A264" s="12"/>
      <c r="B264" s="12"/>
      <c r="C264" s="14"/>
      <c r="D264" s="14"/>
      <c r="E264" s="14"/>
      <c r="F264" s="12"/>
      <c r="G264" s="12"/>
      <c r="H264" s="12"/>
      <c r="I264" s="12"/>
      <c r="J264" s="12"/>
      <c r="K264" s="12"/>
      <c r="L264" s="12"/>
      <c r="M264" s="12"/>
      <c r="N264" s="18" t="str">
        <f t="shared" si="1"/>
        <v/>
      </c>
      <c r="O264" s="12"/>
      <c r="P264" s="12"/>
      <c r="Q264" s="12"/>
      <c r="R264" s="13"/>
      <c r="S264" s="12"/>
      <c r="T264" s="12"/>
    </row>
    <row r="265" ht="15.75" customHeight="1">
      <c r="A265" s="12"/>
      <c r="B265" s="12"/>
      <c r="C265" s="14"/>
      <c r="D265" s="14"/>
      <c r="E265" s="14"/>
      <c r="F265" s="12"/>
      <c r="G265" s="12"/>
      <c r="H265" s="12"/>
      <c r="I265" s="12"/>
      <c r="J265" s="12"/>
      <c r="K265" s="12"/>
      <c r="L265" s="12"/>
      <c r="M265" s="12"/>
      <c r="N265" s="18" t="str">
        <f t="shared" si="1"/>
        <v/>
      </c>
      <c r="O265" s="12"/>
      <c r="P265" s="12"/>
      <c r="Q265" s="12"/>
      <c r="R265" s="13"/>
      <c r="S265" s="12"/>
      <c r="T265" s="12"/>
    </row>
    <row r="266" ht="15.75" customHeight="1">
      <c r="A266" s="12"/>
      <c r="B266" s="12"/>
      <c r="C266" s="14"/>
      <c r="D266" s="14"/>
      <c r="E266" s="14"/>
      <c r="F266" s="12"/>
      <c r="G266" s="12"/>
      <c r="H266" s="12"/>
      <c r="I266" s="12"/>
      <c r="J266" s="12"/>
      <c r="K266" s="12"/>
      <c r="L266" s="12"/>
      <c r="M266" s="12"/>
      <c r="N266" s="18" t="str">
        <f t="shared" si="1"/>
        <v/>
      </c>
      <c r="O266" s="12"/>
      <c r="P266" s="12"/>
      <c r="Q266" s="12"/>
      <c r="R266" s="13"/>
      <c r="S266" s="12"/>
      <c r="T266" s="12"/>
    </row>
    <row r="267" ht="15.75" customHeight="1">
      <c r="A267" s="12"/>
      <c r="B267" s="12"/>
      <c r="C267" s="14"/>
      <c r="D267" s="14"/>
      <c r="E267" s="14"/>
      <c r="F267" s="12"/>
      <c r="G267" s="12"/>
      <c r="H267" s="12"/>
      <c r="I267" s="12"/>
      <c r="J267" s="12"/>
      <c r="K267" s="12"/>
      <c r="L267" s="12"/>
      <c r="M267" s="12"/>
      <c r="N267" s="18" t="str">
        <f t="shared" si="1"/>
        <v/>
      </c>
      <c r="O267" s="12"/>
      <c r="P267" s="12"/>
      <c r="Q267" s="12"/>
      <c r="R267" s="13"/>
      <c r="S267" s="12"/>
      <c r="T267" s="12"/>
    </row>
    <row r="268" ht="15.75" customHeight="1">
      <c r="A268" s="12"/>
      <c r="B268" s="12"/>
      <c r="C268" s="14"/>
      <c r="D268" s="14"/>
      <c r="E268" s="14"/>
      <c r="F268" s="12"/>
      <c r="G268" s="12"/>
      <c r="H268" s="12"/>
      <c r="I268" s="12"/>
      <c r="J268" s="12"/>
      <c r="K268" s="12"/>
      <c r="L268" s="12"/>
      <c r="M268" s="12"/>
      <c r="N268" s="18" t="str">
        <f t="shared" si="1"/>
        <v/>
      </c>
      <c r="O268" s="12"/>
      <c r="P268" s="12"/>
      <c r="Q268" s="12"/>
      <c r="R268" s="13"/>
      <c r="S268" s="12"/>
      <c r="T268" s="12"/>
    </row>
    <row r="269" ht="15.75" customHeight="1">
      <c r="A269" s="12"/>
      <c r="B269" s="12"/>
      <c r="C269" s="14"/>
      <c r="D269" s="14"/>
      <c r="E269" s="14"/>
      <c r="F269" s="12"/>
      <c r="G269" s="12"/>
      <c r="H269" s="12"/>
      <c r="I269" s="12"/>
      <c r="J269" s="12"/>
      <c r="K269" s="12"/>
      <c r="L269" s="12"/>
      <c r="M269" s="12"/>
      <c r="N269" s="18" t="str">
        <f t="shared" si="1"/>
        <v/>
      </c>
      <c r="O269" s="12"/>
      <c r="P269" s="12"/>
      <c r="Q269" s="12"/>
      <c r="R269" s="13"/>
      <c r="S269" s="12"/>
      <c r="T269" s="12"/>
    </row>
    <row r="270" ht="15.75" customHeight="1">
      <c r="A270" s="12"/>
      <c r="B270" s="12"/>
      <c r="C270" s="14"/>
      <c r="D270" s="14"/>
      <c r="E270" s="14"/>
      <c r="F270" s="12"/>
      <c r="G270" s="12"/>
      <c r="H270" s="12"/>
      <c r="I270" s="12"/>
      <c r="J270" s="12"/>
      <c r="K270" s="12"/>
      <c r="L270" s="12"/>
      <c r="M270" s="12"/>
      <c r="N270" s="18" t="str">
        <f t="shared" si="1"/>
        <v/>
      </c>
      <c r="O270" s="12"/>
      <c r="P270" s="12"/>
      <c r="Q270" s="12"/>
      <c r="R270" s="13"/>
      <c r="S270" s="12"/>
      <c r="T270" s="12"/>
    </row>
    <row r="271" ht="15.75" customHeight="1">
      <c r="A271" s="12"/>
      <c r="B271" s="12"/>
      <c r="C271" s="14"/>
      <c r="D271" s="14"/>
      <c r="E271" s="14"/>
      <c r="F271" s="12"/>
      <c r="G271" s="12"/>
      <c r="H271" s="12"/>
      <c r="I271" s="12"/>
      <c r="J271" s="12"/>
      <c r="K271" s="12"/>
      <c r="L271" s="12"/>
      <c r="M271" s="12"/>
      <c r="N271" s="18" t="str">
        <f t="shared" si="1"/>
        <v/>
      </c>
      <c r="O271" s="12"/>
      <c r="P271" s="12"/>
      <c r="Q271" s="12"/>
      <c r="R271" s="13"/>
      <c r="S271" s="12"/>
      <c r="T271" s="12"/>
    </row>
    <row r="272" ht="15.75" customHeight="1">
      <c r="A272" s="12"/>
      <c r="B272" s="12"/>
      <c r="C272" s="14"/>
      <c r="D272" s="14"/>
      <c r="E272" s="14"/>
      <c r="F272" s="12"/>
      <c r="G272" s="12"/>
      <c r="H272" s="12"/>
      <c r="I272" s="12"/>
      <c r="J272" s="12"/>
      <c r="K272" s="12"/>
      <c r="L272" s="12"/>
      <c r="M272" s="12"/>
      <c r="N272" s="18" t="str">
        <f t="shared" si="1"/>
        <v/>
      </c>
      <c r="O272" s="12"/>
      <c r="P272" s="12"/>
      <c r="Q272" s="12"/>
      <c r="R272" s="13"/>
      <c r="S272" s="12"/>
      <c r="T272" s="12"/>
    </row>
    <row r="273" ht="15.75" customHeight="1">
      <c r="A273" s="12"/>
      <c r="B273" s="12"/>
      <c r="C273" s="14"/>
      <c r="D273" s="14"/>
      <c r="E273" s="14"/>
      <c r="F273" s="12"/>
      <c r="G273" s="12"/>
      <c r="H273" s="12"/>
      <c r="I273" s="12"/>
      <c r="J273" s="12"/>
      <c r="K273" s="12"/>
      <c r="L273" s="12"/>
      <c r="M273" s="12"/>
      <c r="N273" s="18" t="str">
        <f t="shared" si="1"/>
        <v/>
      </c>
      <c r="O273" s="12"/>
      <c r="P273" s="12"/>
      <c r="Q273" s="12"/>
      <c r="R273" s="13"/>
      <c r="S273" s="12"/>
      <c r="T273" s="12"/>
    </row>
    <row r="274" ht="15.75" customHeight="1">
      <c r="A274" s="12"/>
      <c r="B274" s="12"/>
      <c r="C274" s="14"/>
      <c r="D274" s="14"/>
      <c r="E274" s="14"/>
      <c r="F274" s="12"/>
      <c r="G274" s="12"/>
      <c r="H274" s="12"/>
      <c r="I274" s="12"/>
      <c r="J274" s="12"/>
      <c r="K274" s="12"/>
      <c r="L274" s="12"/>
      <c r="M274" s="12"/>
      <c r="N274" s="18" t="str">
        <f t="shared" si="1"/>
        <v/>
      </c>
      <c r="O274" s="12"/>
      <c r="P274" s="12"/>
      <c r="Q274" s="12"/>
      <c r="R274" s="13"/>
      <c r="S274" s="12"/>
      <c r="T274" s="12"/>
    </row>
    <row r="275" ht="15.75" customHeight="1">
      <c r="A275" s="12"/>
      <c r="B275" s="12"/>
      <c r="C275" s="14"/>
      <c r="D275" s="14"/>
      <c r="E275" s="14"/>
      <c r="F275" s="12"/>
      <c r="G275" s="12"/>
      <c r="H275" s="12"/>
      <c r="I275" s="12"/>
      <c r="J275" s="12"/>
      <c r="K275" s="12"/>
      <c r="L275" s="12"/>
      <c r="M275" s="12"/>
      <c r="N275" s="18" t="str">
        <f t="shared" si="1"/>
        <v/>
      </c>
      <c r="O275" s="12"/>
      <c r="P275" s="12"/>
      <c r="Q275" s="12"/>
      <c r="R275" s="13"/>
      <c r="S275" s="12"/>
      <c r="T275" s="12"/>
    </row>
    <row r="276" ht="15.75" customHeight="1">
      <c r="A276" s="12"/>
      <c r="B276" s="12"/>
      <c r="C276" s="14"/>
      <c r="D276" s="14"/>
      <c r="E276" s="14"/>
      <c r="F276" s="12"/>
      <c r="G276" s="12"/>
      <c r="H276" s="12"/>
      <c r="I276" s="12"/>
      <c r="J276" s="12"/>
      <c r="K276" s="12"/>
      <c r="L276" s="12"/>
      <c r="M276" s="12"/>
      <c r="N276" s="18" t="str">
        <f t="shared" si="1"/>
        <v/>
      </c>
      <c r="O276" s="12"/>
      <c r="P276" s="12"/>
      <c r="Q276" s="12"/>
      <c r="R276" s="13"/>
      <c r="S276" s="12"/>
      <c r="T276" s="12"/>
    </row>
    <row r="277" ht="15.75" customHeight="1">
      <c r="A277" s="12"/>
      <c r="B277" s="12"/>
      <c r="C277" s="14"/>
      <c r="D277" s="14"/>
      <c r="E277" s="14"/>
      <c r="F277" s="12"/>
      <c r="G277" s="12"/>
      <c r="H277" s="12"/>
      <c r="I277" s="12"/>
      <c r="J277" s="12"/>
      <c r="K277" s="12"/>
      <c r="L277" s="12"/>
      <c r="M277" s="12"/>
      <c r="N277" s="18" t="str">
        <f t="shared" si="1"/>
        <v/>
      </c>
      <c r="O277" s="12"/>
      <c r="P277" s="12"/>
      <c r="Q277" s="12"/>
      <c r="R277" s="13"/>
      <c r="S277" s="12"/>
      <c r="T277" s="12"/>
    </row>
    <row r="278" ht="15.75" customHeight="1">
      <c r="A278" s="12"/>
      <c r="B278" s="12"/>
      <c r="C278" s="14"/>
      <c r="D278" s="14"/>
      <c r="E278" s="14"/>
      <c r="F278" s="12"/>
      <c r="G278" s="12"/>
      <c r="H278" s="12"/>
      <c r="I278" s="12"/>
      <c r="J278" s="12"/>
      <c r="K278" s="12"/>
      <c r="L278" s="12"/>
      <c r="M278" s="12"/>
      <c r="N278" s="18" t="str">
        <f t="shared" si="1"/>
        <v/>
      </c>
      <c r="O278" s="12"/>
      <c r="P278" s="12"/>
      <c r="Q278" s="12"/>
      <c r="R278" s="13"/>
      <c r="S278" s="12"/>
      <c r="T278" s="12"/>
    </row>
    <row r="279" ht="15.75" customHeight="1">
      <c r="A279" s="12"/>
      <c r="B279" s="12"/>
      <c r="C279" s="14"/>
      <c r="D279" s="14"/>
      <c r="E279" s="14"/>
      <c r="F279" s="12"/>
      <c r="G279" s="12"/>
      <c r="H279" s="12"/>
      <c r="I279" s="12"/>
      <c r="J279" s="12"/>
      <c r="K279" s="12"/>
      <c r="L279" s="12"/>
      <c r="M279" s="12"/>
      <c r="N279" s="18" t="str">
        <f t="shared" si="1"/>
        <v/>
      </c>
      <c r="O279" s="12"/>
      <c r="P279" s="12"/>
      <c r="Q279" s="12"/>
      <c r="R279" s="13"/>
      <c r="S279" s="12"/>
      <c r="T279" s="12"/>
    </row>
    <row r="280" ht="15.75" customHeight="1">
      <c r="A280" s="12"/>
      <c r="B280" s="12"/>
      <c r="C280" s="14"/>
      <c r="D280" s="14"/>
      <c r="E280" s="14"/>
      <c r="F280" s="12"/>
      <c r="G280" s="12"/>
      <c r="H280" s="12"/>
      <c r="I280" s="12"/>
      <c r="J280" s="12"/>
      <c r="K280" s="12"/>
      <c r="L280" s="12"/>
      <c r="M280" s="12"/>
      <c r="N280" s="18" t="str">
        <f t="shared" si="1"/>
        <v/>
      </c>
      <c r="O280" s="12"/>
      <c r="P280" s="12"/>
      <c r="Q280" s="12"/>
      <c r="R280" s="13"/>
      <c r="S280" s="12"/>
      <c r="T280" s="12"/>
    </row>
    <row r="281" ht="15.75" customHeight="1">
      <c r="A281" s="12"/>
      <c r="B281" s="12"/>
      <c r="C281" s="14"/>
      <c r="D281" s="14"/>
      <c r="E281" s="14"/>
      <c r="F281" s="12"/>
      <c r="G281" s="12"/>
      <c r="H281" s="12"/>
      <c r="I281" s="12"/>
      <c r="J281" s="12"/>
      <c r="K281" s="12"/>
      <c r="L281" s="12"/>
      <c r="M281" s="12"/>
      <c r="N281" s="18" t="str">
        <f t="shared" si="1"/>
        <v/>
      </c>
      <c r="O281" s="12"/>
      <c r="P281" s="12"/>
      <c r="Q281" s="12"/>
      <c r="R281" s="13"/>
      <c r="S281" s="12"/>
      <c r="T281" s="12"/>
    </row>
    <row r="282" ht="15.75" customHeight="1">
      <c r="A282" s="12"/>
      <c r="B282" s="12"/>
      <c r="C282" s="14"/>
      <c r="D282" s="14"/>
      <c r="E282" s="14"/>
      <c r="F282" s="12"/>
      <c r="G282" s="12"/>
      <c r="H282" s="12"/>
      <c r="I282" s="12"/>
      <c r="J282" s="12"/>
      <c r="K282" s="12"/>
      <c r="L282" s="12"/>
      <c r="M282" s="12"/>
      <c r="N282" s="18" t="str">
        <f t="shared" si="1"/>
        <v/>
      </c>
      <c r="O282" s="12"/>
      <c r="P282" s="12"/>
      <c r="Q282" s="12"/>
      <c r="R282" s="13"/>
      <c r="S282" s="12"/>
      <c r="T282" s="12"/>
    </row>
    <row r="283" ht="15.75" customHeight="1">
      <c r="A283" s="12"/>
      <c r="B283" s="12"/>
      <c r="C283" s="14"/>
      <c r="D283" s="14"/>
      <c r="E283" s="14"/>
      <c r="F283" s="12"/>
      <c r="G283" s="12"/>
      <c r="H283" s="12"/>
      <c r="I283" s="12"/>
      <c r="J283" s="12"/>
      <c r="K283" s="12"/>
      <c r="L283" s="12"/>
      <c r="M283" s="12"/>
      <c r="N283" s="18" t="str">
        <f t="shared" si="1"/>
        <v/>
      </c>
      <c r="O283" s="12"/>
      <c r="P283" s="12"/>
      <c r="Q283" s="12"/>
      <c r="R283" s="13"/>
      <c r="S283" s="12"/>
      <c r="T283" s="12"/>
    </row>
    <row r="284" ht="15.75" customHeight="1">
      <c r="A284" s="12"/>
      <c r="B284" s="12"/>
      <c r="C284" s="14"/>
      <c r="D284" s="14"/>
      <c r="E284" s="14"/>
      <c r="F284" s="12"/>
      <c r="G284" s="12"/>
      <c r="H284" s="12"/>
      <c r="I284" s="12"/>
      <c r="J284" s="12"/>
      <c r="K284" s="12"/>
      <c r="L284" s="12"/>
      <c r="M284" s="12"/>
      <c r="N284" s="18" t="str">
        <f t="shared" si="1"/>
        <v/>
      </c>
      <c r="O284" s="12"/>
      <c r="P284" s="12"/>
      <c r="Q284" s="12"/>
      <c r="R284" s="13"/>
      <c r="S284" s="12"/>
      <c r="T284" s="12"/>
    </row>
    <row r="285" ht="15.75" customHeight="1">
      <c r="A285" s="12"/>
      <c r="B285" s="12"/>
      <c r="C285" s="14"/>
      <c r="D285" s="14"/>
      <c r="E285" s="14"/>
      <c r="F285" s="12"/>
      <c r="G285" s="12"/>
      <c r="H285" s="12"/>
      <c r="I285" s="12"/>
      <c r="J285" s="12"/>
      <c r="K285" s="12"/>
      <c r="L285" s="12"/>
      <c r="M285" s="12"/>
      <c r="N285" s="18" t="str">
        <f t="shared" si="1"/>
        <v/>
      </c>
      <c r="O285" s="12"/>
      <c r="P285" s="12"/>
      <c r="Q285" s="12"/>
      <c r="R285" s="13"/>
      <c r="S285" s="12"/>
      <c r="T285" s="12"/>
    </row>
    <row r="286" ht="15.75" customHeight="1">
      <c r="A286" s="12"/>
      <c r="B286" s="12"/>
      <c r="C286" s="14"/>
      <c r="D286" s="14"/>
      <c r="E286" s="14"/>
      <c r="F286" s="12"/>
      <c r="G286" s="12"/>
      <c r="H286" s="12"/>
      <c r="I286" s="12"/>
      <c r="J286" s="12"/>
      <c r="K286" s="12"/>
      <c r="L286" s="12"/>
      <c r="M286" s="12"/>
      <c r="N286" s="18" t="str">
        <f t="shared" si="1"/>
        <v/>
      </c>
      <c r="O286" s="12"/>
      <c r="P286" s="12"/>
      <c r="Q286" s="12"/>
      <c r="R286" s="13"/>
      <c r="S286" s="12"/>
      <c r="T286" s="12"/>
    </row>
    <row r="287" ht="15.75" customHeight="1">
      <c r="A287" s="12"/>
      <c r="B287" s="12"/>
      <c r="C287" s="14"/>
      <c r="D287" s="14"/>
      <c r="E287" s="14"/>
      <c r="F287" s="12"/>
      <c r="G287" s="12"/>
      <c r="H287" s="12"/>
      <c r="I287" s="12"/>
      <c r="J287" s="12"/>
      <c r="K287" s="12"/>
      <c r="L287" s="12"/>
      <c r="M287" s="12"/>
      <c r="N287" s="18" t="str">
        <f t="shared" si="1"/>
        <v/>
      </c>
      <c r="O287" s="12"/>
      <c r="P287" s="12"/>
      <c r="Q287" s="12"/>
      <c r="R287" s="13"/>
      <c r="S287" s="12"/>
      <c r="T287" s="12"/>
    </row>
    <row r="288" ht="15.75" customHeight="1">
      <c r="A288" s="12"/>
      <c r="B288" s="12"/>
      <c r="C288" s="14"/>
      <c r="D288" s="14"/>
      <c r="E288" s="14"/>
      <c r="F288" s="12"/>
      <c r="G288" s="12"/>
      <c r="H288" s="12"/>
      <c r="I288" s="12"/>
      <c r="J288" s="12"/>
      <c r="K288" s="12"/>
      <c r="L288" s="12"/>
      <c r="M288" s="12"/>
      <c r="N288" s="18" t="str">
        <f t="shared" si="1"/>
        <v/>
      </c>
      <c r="O288" s="12"/>
      <c r="P288" s="12"/>
      <c r="Q288" s="12"/>
      <c r="R288" s="13"/>
      <c r="S288" s="12"/>
      <c r="T288" s="12"/>
    </row>
    <row r="289" ht="15.75" customHeight="1">
      <c r="A289" s="12"/>
      <c r="B289" s="12"/>
      <c r="C289" s="14"/>
      <c r="D289" s="14"/>
      <c r="E289" s="14"/>
      <c r="F289" s="12"/>
      <c r="G289" s="12"/>
      <c r="H289" s="12"/>
      <c r="I289" s="12"/>
      <c r="J289" s="12"/>
      <c r="K289" s="12"/>
      <c r="L289" s="12"/>
      <c r="M289" s="12"/>
      <c r="N289" s="18" t="str">
        <f t="shared" si="1"/>
        <v/>
      </c>
      <c r="O289" s="12"/>
      <c r="P289" s="12"/>
      <c r="Q289" s="12"/>
      <c r="R289" s="13"/>
      <c r="S289" s="12"/>
      <c r="T289" s="12"/>
    </row>
    <row r="290" ht="15.75" customHeight="1">
      <c r="A290" s="12"/>
      <c r="B290" s="12"/>
      <c r="C290" s="14"/>
      <c r="D290" s="14"/>
      <c r="E290" s="14"/>
      <c r="F290" s="12"/>
      <c r="G290" s="12"/>
      <c r="H290" s="12"/>
      <c r="I290" s="12"/>
      <c r="J290" s="12"/>
      <c r="K290" s="12"/>
      <c r="L290" s="12"/>
      <c r="M290" s="12"/>
      <c r="N290" s="18" t="str">
        <f t="shared" si="1"/>
        <v/>
      </c>
      <c r="O290" s="12"/>
      <c r="P290" s="12"/>
      <c r="Q290" s="12"/>
      <c r="R290" s="13"/>
      <c r="S290" s="12"/>
      <c r="T290" s="12"/>
    </row>
    <row r="291" ht="15.75" customHeight="1">
      <c r="A291" s="12"/>
      <c r="B291" s="12"/>
      <c r="C291" s="14"/>
      <c r="D291" s="14"/>
      <c r="E291" s="14"/>
      <c r="F291" s="12"/>
      <c r="G291" s="12"/>
      <c r="H291" s="12"/>
      <c r="I291" s="12"/>
      <c r="J291" s="12"/>
      <c r="K291" s="12"/>
      <c r="L291" s="12"/>
      <c r="M291" s="12"/>
      <c r="N291" s="18" t="str">
        <f t="shared" si="1"/>
        <v/>
      </c>
      <c r="O291" s="12"/>
      <c r="P291" s="12"/>
      <c r="Q291" s="12"/>
      <c r="R291" s="13"/>
      <c r="S291" s="12"/>
      <c r="T291" s="12"/>
    </row>
    <row r="292" ht="15.75" customHeight="1">
      <c r="A292" s="12"/>
      <c r="B292" s="12"/>
      <c r="C292" s="14"/>
      <c r="D292" s="14"/>
      <c r="E292" s="14"/>
      <c r="F292" s="12"/>
      <c r="G292" s="12"/>
      <c r="H292" s="12"/>
      <c r="I292" s="12"/>
      <c r="J292" s="12"/>
      <c r="K292" s="12"/>
      <c r="L292" s="12"/>
      <c r="M292" s="12"/>
      <c r="N292" s="18" t="str">
        <f t="shared" si="1"/>
        <v/>
      </c>
      <c r="O292" s="12"/>
      <c r="P292" s="12"/>
      <c r="Q292" s="12"/>
      <c r="R292" s="13"/>
      <c r="S292" s="12"/>
      <c r="T292" s="12"/>
    </row>
    <row r="293" ht="15.75" customHeight="1">
      <c r="A293" s="12"/>
      <c r="B293" s="12"/>
      <c r="C293" s="14"/>
      <c r="D293" s="14"/>
      <c r="E293" s="14"/>
      <c r="F293" s="12"/>
      <c r="G293" s="12"/>
      <c r="H293" s="12"/>
      <c r="I293" s="12"/>
      <c r="J293" s="12"/>
      <c r="K293" s="12"/>
      <c r="L293" s="12"/>
      <c r="M293" s="12"/>
      <c r="N293" s="18" t="str">
        <f t="shared" si="1"/>
        <v/>
      </c>
      <c r="O293" s="12"/>
      <c r="P293" s="12"/>
      <c r="Q293" s="12"/>
      <c r="R293" s="13"/>
      <c r="S293" s="12"/>
      <c r="T293" s="12"/>
    </row>
    <row r="294" ht="15.75" customHeight="1">
      <c r="A294" s="12"/>
      <c r="B294" s="12"/>
      <c r="C294" s="14"/>
      <c r="D294" s="14"/>
      <c r="E294" s="14"/>
      <c r="F294" s="12"/>
      <c r="G294" s="12"/>
      <c r="H294" s="12"/>
      <c r="I294" s="12"/>
      <c r="J294" s="12"/>
      <c r="K294" s="12"/>
      <c r="L294" s="12"/>
      <c r="M294" s="12"/>
      <c r="N294" s="18" t="str">
        <f t="shared" si="1"/>
        <v/>
      </c>
      <c r="O294" s="12"/>
      <c r="P294" s="12"/>
      <c r="Q294" s="12"/>
      <c r="R294" s="13"/>
      <c r="S294" s="12"/>
      <c r="T294" s="12"/>
    </row>
    <row r="295" ht="15.75" customHeight="1">
      <c r="A295" s="12"/>
      <c r="B295" s="12"/>
      <c r="C295" s="14"/>
      <c r="D295" s="14"/>
      <c r="E295" s="14"/>
      <c r="F295" s="12"/>
      <c r="G295" s="12"/>
      <c r="H295" s="12"/>
      <c r="I295" s="12"/>
      <c r="J295" s="12"/>
      <c r="K295" s="12"/>
      <c r="L295" s="12"/>
      <c r="M295" s="12"/>
      <c r="N295" s="18" t="str">
        <f t="shared" si="1"/>
        <v/>
      </c>
      <c r="O295" s="12"/>
      <c r="P295" s="12"/>
      <c r="Q295" s="12"/>
      <c r="R295" s="13"/>
      <c r="S295" s="12"/>
      <c r="T295" s="12"/>
    </row>
    <row r="296" ht="15.75" customHeight="1">
      <c r="A296" s="12"/>
      <c r="B296" s="12"/>
      <c r="C296" s="14"/>
      <c r="D296" s="14"/>
      <c r="E296" s="14"/>
      <c r="F296" s="12"/>
      <c r="G296" s="12"/>
      <c r="H296" s="12"/>
      <c r="I296" s="12"/>
      <c r="J296" s="12"/>
      <c r="K296" s="12"/>
      <c r="L296" s="12"/>
      <c r="M296" s="12"/>
      <c r="N296" s="18" t="str">
        <f t="shared" si="1"/>
        <v/>
      </c>
      <c r="O296" s="12"/>
      <c r="P296" s="12"/>
      <c r="Q296" s="12"/>
      <c r="R296" s="13"/>
      <c r="S296" s="12"/>
      <c r="T296" s="12"/>
    </row>
    <row r="297" ht="15.75" customHeight="1">
      <c r="A297" s="12"/>
      <c r="B297" s="12"/>
      <c r="C297" s="14"/>
      <c r="D297" s="14"/>
      <c r="E297" s="14"/>
      <c r="F297" s="12"/>
      <c r="G297" s="12"/>
      <c r="H297" s="12"/>
      <c r="I297" s="12"/>
      <c r="J297" s="12"/>
      <c r="K297" s="12"/>
      <c r="L297" s="12"/>
      <c r="M297" s="12"/>
      <c r="N297" s="18" t="str">
        <f t="shared" si="1"/>
        <v/>
      </c>
      <c r="O297" s="12"/>
      <c r="P297" s="12"/>
      <c r="Q297" s="12"/>
      <c r="R297" s="13"/>
      <c r="S297" s="12"/>
      <c r="T297" s="12"/>
    </row>
    <row r="298" ht="15.75" customHeight="1">
      <c r="A298" s="12"/>
      <c r="B298" s="12"/>
      <c r="C298" s="14"/>
      <c r="D298" s="14"/>
      <c r="E298" s="14"/>
      <c r="F298" s="12"/>
      <c r="G298" s="12"/>
      <c r="H298" s="12"/>
      <c r="I298" s="12"/>
      <c r="J298" s="12"/>
      <c r="K298" s="12"/>
      <c r="L298" s="12"/>
      <c r="M298" s="12"/>
      <c r="N298" s="18" t="str">
        <f t="shared" si="1"/>
        <v/>
      </c>
      <c r="O298" s="12"/>
      <c r="P298" s="12"/>
      <c r="Q298" s="12"/>
      <c r="R298" s="13"/>
      <c r="S298" s="12"/>
      <c r="T298" s="12"/>
    </row>
    <row r="299" ht="15.75" customHeight="1">
      <c r="A299" s="12"/>
      <c r="B299" s="12"/>
      <c r="C299" s="14"/>
      <c r="D299" s="14"/>
      <c r="E299" s="14"/>
      <c r="F299" s="12"/>
      <c r="G299" s="12"/>
      <c r="H299" s="12"/>
      <c r="I299" s="12"/>
      <c r="J299" s="12"/>
      <c r="K299" s="12"/>
      <c r="L299" s="12"/>
      <c r="M299" s="12"/>
      <c r="N299" s="18" t="str">
        <f t="shared" si="1"/>
        <v/>
      </c>
      <c r="O299" s="12"/>
      <c r="P299" s="12"/>
      <c r="Q299" s="12"/>
      <c r="R299" s="13"/>
      <c r="S299" s="12"/>
      <c r="T299" s="12"/>
    </row>
    <row r="300" ht="15.75" customHeight="1">
      <c r="A300" s="12"/>
      <c r="B300" s="12"/>
      <c r="C300" s="14"/>
      <c r="D300" s="14"/>
      <c r="E300" s="14"/>
      <c r="F300" s="12"/>
      <c r="G300" s="12"/>
      <c r="H300" s="12"/>
      <c r="I300" s="12"/>
      <c r="J300" s="12"/>
      <c r="K300" s="12"/>
      <c r="L300" s="12"/>
      <c r="M300" s="12"/>
      <c r="N300" s="18" t="str">
        <f t="shared" si="1"/>
        <v/>
      </c>
      <c r="O300" s="12"/>
      <c r="P300" s="12"/>
      <c r="Q300" s="12"/>
      <c r="R300" s="13"/>
      <c r="S300" s="12"/>
      <c r="T300" s="12"/>
    </row>
    <row r="301" ht="15.75" customHeight="1">
      <c r="A301" s="12"/>
      <c r="B301" s="12"/>
      <c r="C301" s="14"/>
      <c r="D301" s="14"/>
      <c r="E301" s="14"/>
      <c r="F301" s="12"/>
      <c r="G301" s="12"/>
      <c r="H301" s="12"/>
      <c r="I301" s="12"/>
      <c r="J301" s="12"/>
      <c r="K301" s="12"/>
      <c r="L301" s="12"/>
      <c r="M301" s="12"/>
      <c r="N301" s="18" t="str">
        <f t="shared" si="1"/>
        <v/>
      </c>
      <c r="O301" s="12"/>
      <c r="P301" s="12"/>
      <c r="Q301" s="12"/>
      <c r="R301" s="13"/>
      <c r="S301" s="12"/>
      <c r="T301" s="12"/>
    </row>
    <row r="302" ht="15.75" customHeight="1">
      <c r="A302" s="12"/>
      <c r="B302" s="12"/>
      <c r="C302" s="14"/>
      <c r="D302" s="14"/>
      <c r="E302" s="14"/>
      <c r="F302" s="12"/>
      <c r="G302" s="12"/>
      <c r="H302" s="12"/>
      <c r="I302" s="12"/>
      <c r="J302" s="12"/>
      <c r="K302" s="12"/>
      <c r="L302" s="12"/>
      <c r="M302" s="12"/>
      <c r="N302" s="18" t="str">
        <f t="shared" si="1"/>
        <v/>
      </c>
      <c r="O302" s="12"/>
      <c r="P302" s="12"/>
      <c r="Q302" s="12"/>
      <c r="R302" s="13"/>
      <c r="S302" s="12"/>
      <c r="T302" s="12"/>
    </row>
    <row r="303" ht="15.75" customHeight="1">
      <c r="A303" s="12"/>
      <c r="B303" s="12"/>
      <c r="C303" s="14"/>
      <c r="D303" s="14"/>
      <c r="E303" s="14"/>
      <c r="F303" s="12"/>
      <c r="G303" s="12"/>
      <c r="H303" s="12"/>
      <c r="I303" s="12"/>
      <c r="J303" s="12"/>
      <c r="K303" s="12"/>
      <c r="L303" s="12"/>
      <c r="M303" s="12"/>
      <c r="N303" s="18" t="str">
        <f t="shared" si="1"/>
        <v/>
      </c>
      <c r="O303" s="12"/>
      <c r="P303" s="12"/>
      <c r="Q303" s="12"/>
      <c r="R303" s="13"/>
      <c r="S303" s="12"/>
      <c r="T303" s="12"/>
    </row>
    <row r="304" ht="15.75" customHeight="1">
      <c r="A304" s="12"/>
      <c r="B304" s="12"/>
      <c r="C304" s="14"/>
      <c r="D304" s="14"/>
      <c r="E304" s="14"/>
      <c r="F304" s="12"/>
      <c r="G304" s="12"/>
      <c r="H304" s="12"/>
      <c r="I304" s="12"/>
      <c r="J304" s="12"/>
      <c r="K304" s="12"/>
      <c r="L304" s="12"/>
      <c r="M304" s="12"/>
      <c r="N304" s="18" t="str">
        <f t="shared" si="1"/>
        <v/>
      </c>
      <c r="O304" s="12"/>
      <c r="P304" s="12"/>
      <c r="Q304" s="12"/>
      <c r="R304" s="13"/>
      <c r="S304" s="12"/>
      <c r="T304" s="12"/>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T1"/>
    <mergeCell ref="A2:T2"/>
  </mergeCells>
  <conditionalFormatting sqref="L5:L304">
    <cfRule type="expression" dxfId="4" priority="1">
      <formula>L5="Done"</formula>
    </cfRule>
  </conditionalFormatting>
  <conditionalFormatting sqref="L5:L304">
    <cfRule type="expression" dxfId="5" priority="2">
      <formula>L5="In Progress"</formula>
    </cfRule>
  </conditionalFormatting>
  <conditionalFormatting sqref="L5:L304">
    <cfRule type="expression" dxfId="6" priority="3">
      <formula>L5="Blocked"</formula>
    </cfRule>
  </conditionalFormatting>
  <conditionalFormatting sqref="L5:L304">
    <cfRule type="expression" dxfId="7" priority="4">
      <formula>L5="Needs Review"</formula>
    </cfRule>
  </conditionalFormatting>
  <conditionalFormatting sqref="L5:L304">
    <cfRule type="expression" dxfId="7" priority="5">
      <formula>L5="Needs Revalidation"</formula>
    </cfRule>
  </conditionalFormatting>
  <dataValidations>
    <dataValidation type="list" allowBlank="1" sqref="J5:J304">
      <formula1>"Primary Keyword,Secondary Keyword,Supporting,Blog keyword"</formula1>
    </dataValidation>
    <dataValidation type="list" allowBlank="1" sqref="L5:L304">
      <formula1>"Mapped,Needs Mapping,Needs Review,Deprecated,Cannibalization Risk"</formula1>
    </dataValidation>
    <dataValidation type="list" allowBlank="1" sqref="I5:I304">
      <formula1>"Service / Pillar,Blog / Guide,Case Study,Comparison,Resource / Template,Unmapped"</formula1>
    </dataValidation>
    <dataValidation type="list" allowBlank="1" sqref="M5:M304">
      <formula1>"Unassigned,SEO Manager,Content Lead,Content Writer"</formula1>
    </dataValidation>
    <dataValidation type="list" allowBlank="1" sqref="F5:F304">
      <formula1>"Informational,Commercial,Commercial+Informational,Transactional,Navigational,Mixed"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8.86"/>
    <col customWidth="1" min="3" max="3" width="20.57"/>
    <col customWidth="1" min="4" max="4" width="29.71"/>
    <col customWidth="1" min="5" max="5" width="32.0"/>
    <col customWidth="1" min="6" max="6" width="22.86"/>
    <col customWidth="1" min="7" max="7" width="16.0"/>
    <col customWidth="1" min="8" max="8" width="41.14"/>
    <col customWidth="1" min="9" max="9" width="43.43"/>
    <col customWidth="1" min="10" max="10" width="18.29"/>
    <col customWidth="1" min="11" max="11" width="11.43"/>
    <col customWidth="1" min="12" max="12" width="16.0"/>
    <col customWidth="1" min="13" max="14" width="13.71"/>
    <col customWidth="1" min="15" max="15" width="29.71"/>
    <col customWidth="1" min="16" max="16" width="41.14"/>
    <col customWidth="1" min="17" max="17" width="27.43"/>
    <col customWidth="1" min="18" max="18" width="22.86"/>
    <col customWidth="1" min="19" max="19" width="14.86"/>
    <col customWidth="1" min="20" max="20" width="38.86"/>
    <col customWidth="1" min="21" max="26" width="9.86"/>
  </cols>
  <sheetData>
    <row r="1" ht="33.75" customHeight="1">
      <c r="A1" s="1" t="s">
        <v>14</v>
      </c>
    </row>
    <row r="2" ht="27.75" customHeight="1">
      <c r="A2" s="2" t="s">
        <v>29</v>
      </c>
    </row>
    <row r="4" ht="30.0" customHeight="1">
      <c r="A4" s="6" t="s">
        <v>34</v>
      </c>
      <c r="B4" s="7" t="s">
        <v>37</v>
      </c>
      <c r="C4" s="7" t="s">
        <v>40</v>
      </c>
      <c r="D4" s="7" t="s">
        <v>42</v>
      </c>
      <c r="E4" s="7" t="s">
        <v>44</v>
      </c>
      <c r="F4" s="7" t="s">
        <v>45</v>
      </c>
      <c r="G4" s="7" t="s">
        <v>48</v>
      </c>
      <c r="H4" s="7" t="s">
        <v>51</v>
      </c>
      <c r="I4" s="7" t="s">
        <v>55</v>
      </c>
      <c r="J4" s="7" t="s">
        <v>22</v>
      </c>
      <c r="K4" s="7" t="s">
        <v>20</v>
      </c>
      <c r="L4" s="7" t="s">
        <v>21</v>
      </c>
      <c r="M4" s="7" t="s">
        <v>12</v>
      </c>
      <c r="N4" s="7" t="s">
        <v>63</v>
      </c>
      <c r="O4" s="7" t="s">
        <v>66</v>
      </c>
      <c r="P4" s="7" t="s">
        <v>68</v>
      </c>
      <c r="Q4" s="7" t="s">
        <v>69</v>
      </c>
      <c r="R4" s="7" t="s">
        <v>73</v>
      </c>
      <c r="S4" s="7" t="s">
        <v>74</v>
      </c>
      <c r="T4" s="11" t="s">
        <v>76</v>
      </c>
    </row>
    <row r="5">
      <c r="A5" s="12" t="s">
        <v>79</v>
      </c>
      <c r="B5" s="12" t="s">
        <v>82</v>
      </c>
      <c r="C5" s="12" t="s">
        <v>84</v>
      </c>
      <c r="D5" s="12" t="s">
        <v>85</v>
      </c>
      <c r="E5" s="12" t="s">
        <v>86</v>
      </c>
      <c r="F5" s="12" t="s">
        <v>87</v>
      </c>
      <c r="G5" s="12" t="s">
        <v>88</v>
      </c>
      <c r="H5" s="12" t="s">
        <v>57</v>
      </c>
      <c r="I5" s="12"/>
      <c r="J5" s="12" t="s">
        <v>90</v>
      </c>
      <c r="K5" s="12" t="s">
        <v>59</v>
      </c>
      <c r="L5" s="12" t="s">
        <v>72</v>
      </c>
      <c r="M5" s="13"/>
      <c r="N5" s="13"/>
      <c r="O5" s="12" t="s">
        <v>93</v>
      </c>
      <c r="P5" s="12" t="s">
        <v>94</v>
      </c>
      <c r="Q5" s="12" t="s">
        <v>96</v>
      </c>
      <c r="R5" s="12" t="s">
        <v>98</v>
      </c>
      <c r="S5" s="13"/>
      <c r="T5" s="12" t="s">
        <v>99</v>
      </c>
    </row>
    <row r="6">
      <c r="A6" s="12" t="s">
        <v>102</v>
      </c>
      <c r="B6" s="12" t="s">
        <v>104</v>
      </c>
      <c r="C6" s="12" t="s">
        <v>84</v>
      </c>
      <c r="D6" s="12" t="s">
        <v>106</v>
      </c>
      <c r="E6" s="12" t="s">
        <v>107</v>
      </c>
      <c r="F6" s="12" t="s">
        <v>87</v>
      </c>
      <c r="G6" s="12" t="s">
        <v>108</v>
      </c>
      <c r="H6" s="12" t="s">
        <v>109</v>
      </c>
      <c r="I6" s="12"/>
      <c r="J6" s="12" t="s">
        <v>90</v>
      </c>
      <c r="K6" s="12" t="s">
        <v>59</v>
      </c>
      <c r="L6" s="12" t="s">
        <v>72</v>
      </c>
      <c r="M6" s="13"/>
      <c r="N6" s="13"/>
      <c r="O6" s="12" t="s">
        <v>93</v>
      </c>
      <c r="P6" s="12" t="s">
        <v>110</v>
      </c>
      <c r="Q6" s="12" t="s">
        <v>111</v>
      </c>
      <c r="R6" s="12" t="s">
        <v>112</v>
      </c>
      <c r="S6" s="13"/>
      <c r="T6" s="12" t="s">
        <v>113</v>
      </c>
    </row>
    <row r="7">
      <c r="A7" s="12" t="s">
        <v>114</v>
      </c>
      <c r="B7" s="12" t="s">
        <v>115</v>
      </c>
      <c r="C7" s="12" t="s">
        <v>84</v>
      </c>
      <c r="D7" s="12" t="s">
        <v>117</v>
      </c>
      <c r="E7" s="12" t="s">
        <v>118</v>
      </c>
      <c r="F7" s="12" t="s">
        <v>87</v>
      </c>
      <c r="G7" s="12" t="s">
        <v>108</v>
      </c>
      <c r="H7" s="12" t="s">
        <v>119</v>
      </c>
      <c r="I7" s="12"/>
      <c r="J7" s="12" t="s">
        <v>90</v>
      </c>
      <c r="K7" s="12" t="s">
        <v>120</v>
      </c>
      <c r="L7" s="12" t="s">
        <v>72</v>
      </c>
      <c r="M7" s="13"/>
      <c r="N7" s="13"/>
      <c r="O7" s="12" t="s">
        <v>121</v>
      </c>
      <c r="P7" s="12" t="s">
        <v>123</v>
      </c>
      <c r="Q7" s="12" t="s">
        <v>124</v>
      </c>
      <c r="R7" s="12" t="s">
        <v>112</v>
      </c>
      <c r="S7" s="13"/>
      <c r="T7" s="12"/>
    </row>
    <row r="8">
      <c r="A8" s="12" t="s">
        <v>125</v>
      </c>
      <c r="B8" s="12" t="s">
        <v>126</v>
      </c>
      <c r="C8" s="12" t="s">
        <v>84</v>
      </c>
      <c r="D8" s="12" t="s">
        <v>128</v>
      </c>
      <c r="E8" s="12" t="s">
        <v>129</v>
      </c>
      <c r="F8" s="12" t="s">
        <v>87</v>
      </c>
      <c r="G8" s="12" t="s">
        <v>88</v>
      </c>
      <c r="H8" s="12" t="s">
        <v>130</v>
      </c>
      <c r="I8" s="12"/>
      <c r="J8" s="12" t="s">
        <v>90</v>
      </c>
      <c r="K8" s="12" t="s">
        <v>120</v>
      </c>
      <c r="L8" s="12" t="s">
        <v>135</v>
      </c>
      <c r="M8" s="13"/>
      <c r="N8" s="13"/>
      <c r="O8" s="12" t="s">
        <v>136</v>
      </c>
      <c r="P8" s="12" t="s">
        <v>137</v>
      </c>
      <c r="Q8" s="12" t="s">
        <v>138</v>
      </c>
      <c r="R8" s="12" t="s">
        <v>112</v>
      </c>
      <c r="S8" s="13"/>
      <c r="T8" s="12"/>
    </row>
    <row r="9">
      <c r="A9" s="12" t="s">
        <v>139</v>
      </c>
      <c r="B9" s="12" t="s">
        <v>140</v>
      </c>
      <c r="C9" s="12" t="s">
        <v>84</v>
      </c>
      <c r="D9" s="12" t="s">
        <v>140</v>
      </c>
      <c r="E9" s="12" t="s">
        <v>141</v>
      </c>
      <c r="F9" s="12" t="s">
        <v>87</v>
      </c>
      <c r="G9" s="12" t="s">
        <v>88</v>
      </c>
      <c r="H9" s="12" t="s">
        <v>143</v>
      </c>
      <c r="I9" s="12"/>
      <c r="J9" s="12" t="s">
        <v>90</v>
      </c>
      <c r="K9" s="12" t="s">
        <v>120</v>
      </c>
      <c r="L9" s="12" t="s">
        <v>72</v>
      </c>
      <c r="M9" s="13"/>
      <c r="N9" s="13"/>
      <c r="O9" s="12" t="s">
        <v>147</v>
      </c>
      <c r="P9" s="12" t="s">
        <v>148</v>
      </c>
      <c r="Q9" s="12" t="s">
        <v>124</v>
      </c>
      <c r="R9" s="12" t="s">
        <v>112</v>
      </c>
      <c r="S9" s="13"/>
      <c r="T9" s="12"/>
    </row>
    <row r="10">
      <c r="A10" s="12" t="s">
        <v>150</v>
      </c>
      <c r="B10" s="12" t="s">
        <v>151</v>
      </c>
      <c r="C10" s="12" t="s">
        <v>84</v>
      </c>
      <c r="D10" s="12" t="s">
        <v>152</v>
      </c>
      <c r="E10" s="12" t="s">
        <v>153</v>
      </c>
      <c r="F10" s="12" t="s">
        <v>154</v>
      </c>
      <c r="G10" s="12" t="s">
        <v>88</v>
      </c>
      <c r="H10" s="12" t="s">
        <v>155</v>
      </c>
      <c r="I10" s="12"/>
      <c r="J10" s="12" t="s">
        <v>112</v>
      </c>
      <c r="K10" s="12" t="s">
        <v>120</v>
      </c>
      <c r="L10" s="12" t="s">
        <v>135</v>
      </c>
      <c r="M10" s="13">
        <v>46235.0</v>
      </c>
      <c r="N10" s="13"/>
      <c r="O10" s="12" t="s">
        <v>162</v>
      </c>
      <c r="P10" s="12" t="s">
        <v>163</v>
      </c>
      <c r="Q10" s="12" t="s">
        <v>164</v>
      </c>
      <c r="R10" s="12" t="s">
        <v>166</v>
      </c>
      <c r="S10" s="13"/>
      <c r="T10" s="12" t="s">
        <v>169</v>
      </c>
    </row>
    <row r="11">
      <c r="A11" s="12" t="s">
        <v>171</v>
      </c>
      <c r="B11" s="12" t="s">
        <v>172</v>
      </c>
      <c r="C11" s="12" t="s">
        <v>84</v>
      </c>
      <c r="D11" s="12" t="s">
        <v>173</v>
      </c>
      <c r="E11" s="12" t="s">
        <v>174</v>
      </c>
      <c r="F11" s="12" t="s">
        <v>154</v>
      </c>
      <c r="G11" s="12" t="s">
        <v>88</v>
      </c>
      <c r="H11" s="12" t="s">
        <v>146</v>
      </c>
      <c r="I11" s="12"/>
      <c r="J11" s="12" t="s">
        <v>112</v>
      </c>
      <c r="K11" s="12" t="s">
        <v>59</v>
      </c>
      <c r="L11" s="12" t="s">
        <v>72</v>
      </c>
      <c r="M11" s="13">
        <v>46234.0</v>
      </c>
      <c r="N11" s="13"/>
      <c r="O11" s="12" t="s">
        <v>178</v>
      </c>
      <c r="P11" s="12" t="s">
        <v>181</v>
      </c>
      <c r="Q11" s="12" t="s">
        <v>183</v>
      </c>
      <c r="R11" s="12" t="s">
        <v>166</v>
      </c>
      <c r="S11" s="13"/>
      <c r="T11" s="12" t="s">
        <v>185</v>
      </c>
    </row>
    <row r="12">
      <c r="A12" s="12" t="s">
        <v>187</v>
      </c>
      <c r="B12" s="12" t="s">
        <v>189</v>
      </c>
      <c r="C12" s="12" t="s">
        <v>192</v>
      </c>
      <c r="D12" s="12" t="s">
        <v>194</v>
      </c>
      <c r="E12" s="12" t="s">
        <v>195</v>
      </c>
      <c r="F12" s="12" t="s">
        <v>87</v>
      </c>
      <c r="G12" s="12" t="s">
        <v>88</v>
      </c>
      <c r="H12" s="12" t="s">
        <v>198</v>
      </c>
      <c r="I12" s="12"/>
      <c r="J12" s="12" t="s">
        <v>90</v>
      </c>
      <c r="K12" s="12" t="s">
        <v>59</v>
      </c>
      <c r="L12" s="12" t="s">
        <v>72</v>
      </c>
      <c r="M12" s="13"/>
      <c r="N12" s="13"/>
      <c r="O12" s="12" t="s">
        <v>199</v>
      </c>
      <c r="P12" s="12" t="s">
        <v>200</v>
      </c>
      <c r="Q12" s="12" t="s">
        <v>124</v>
      </c>
      <c r="R12" s="12" t="s">
        <v>112</v>
      </c>
      <c r="S12" s="13"/>
      <c r="T12" s="12" t="s">
        <v>203</v>
      </c>
    </row>
    <row r="13">
      <c r="A13" s="12" t="s">
        <v>204</v>
      </c>
      <c r="B13" s="12" t="s">
        <v>205</v>
      </c>
      <c r="C13" s="12" t="s">
        <v>208</v>
      </c>
      <c r="D13" s="12" t="s">
        <v>205</v>
      </c>
      <c r="E13" s="12"/>
      <c r="F13" s="12" t="s">
        <v>87</v>
      </c>
      <c r="G13" s="12" t="s">
        <v>108</v>
      </c>
      <c r="H13" s="12"/>
      <c r="I13" s="12" t="s">
        <v>212</v>
      </c>
      <c r="J13" s="12" t="s">
        <v>214</v>
      </c>
      <c r="K13" s="12" t="s">
        <v>120</v>
      </c>
      <c r="L13" s="12" t="s">
        <v>135</v>
      </c>
      <c r="M13" s="13"/>
      <c r="N13" s="13"/>
      <c r="O13" s="12" t="s">
        <v>93</v>
      </c>
      <c r="P13" s="12" t="s">
        <v>218</v>
      </c>
      <c r="Q13" s="12" t="s">
        <v>124</v>
      </c>
      <c r="R13" s="12" t="s">
        <v>222</v>
      </c>
      <c r="S13" s="13"/>
      <c r="T13" s="12" t="s">
        <v>225</v>
      </c>
    </row>
    <row r="14">
      <c r="A14" s="12" t="s">
        <v>226</v>
      </c>
      <c r="B14" s="12" t="s">
        <v>227</v>
      </c>
      <c r="C14" s="12" t="s">
        <v>208</v>
      </c>
      <c r="D14" s="12" t="s">
        <v>227</v>
      </c>
      <c r="E14" s="12"/>
      <c r="F14" s="12" t="s">
        <v>87</v>
      </c>
      <c r="G14" s="12" t="s">
        <v>108</v>
      </c>
      <c r="H14" s="12"/>
      <c r="I14" s="12" t="s">
        <v>232</v>
      </c>
      <c r="J14" s="12" t="s">
        <v>214</v>
      </c>
      <c r="K14" s="12" t="s">
        <v>120</v>
      </c>
      <c r="L14" s="12" t="s">
        <v>135</v>
      </c>
      <c r="M14" s="13"/>
      <c r="N14" s="13"/>
      <c r="O14" s="12" t="s">
        <v>93</v>
      </c>
      <c r="P14" s="12" t="s">
        <v>218</v>
      </c>
      <c r="Q14" s="12" t="s">
        <v>124</v>
      </c>
      <c r="R14" s="12" t="s">
        <v>222</v>
      </c>
      <c r="S14" s="13"/>
      <c r="T14" s="12" t="s">
        <v>225</v>
      </c>
    </row>
    <row r="15">
      <c r="A15" s="12" t="s">
        <v>238</v>
      </c>
      <c r="B15" s="12" t="s">
        <v>240</v>
      </c>
      <c r="C15" s="12" t="s">
        <v>208</v>
      </c>
      <c r="D15" s="12" t="s">
        <v>240</v>
      </c>
      <c r="E15" s="12"/>
      <c r="F15" s="12" t="s">
        <v>87</v>
      </c>
      <c r="G15" s="12" t="s">
        <v>108</v>
      </c>
      <c r="H15" s="12"/>
      <c r="I15" s="12" t="s">
        <v>245</v>
      </c>
      <c r="J15" s="12" t="s">
        <v>214</v>
      </c>
      <c r="K15" s="12" t="s">
        <v>120</v>
      </c>
      <c r="L15" s="12" t="s">
        <v>135</v>
      </c>
      <c r="M15" s="13"/>
      <c r="N15" s="13"/>
      <c r="O15" s="12" t="s">
        <v>93</v>
      </c>
      <c r="P15" s="12" t="s">
        <v>218</v>
      </c>
      <c r="Q15" s="12" t="s">
        <v>124</v>
      </c>
      <c r="R15" s="12" t="s">
        <v>222</v>
      </c>
      <c r="S15" s="13"/>
      <c r="T15" s="12" t="s">
        <v>225</v>
      </c>
    </row>
    <row r="16">
      <c r="A16" s="12" t="s">
        <v>256</v>
      </c>
      <c r="B16" s="12" t="s">
        <v>259</v>
      </c>
      <c r="C16" s="12" t="s">
        <v>208</v>
      </c>
      <c r="D16" s="12" t="s">
        <v>259</v>
      </c>
      <c r="E16" s="12"/>
      <c r="F16" s="12" t="s">
        <v>87</v>
      </c>
      <c r="G16" s="12" t="s">
        <v>108</v>
      </c>
      <c r="H16" s="12"/>
      <c r="I16" s="12" t="s">
        <v>264</v>
      </c>
      <c r="J16" s="12" t="s">
        <v>214</v>
      </c>
      <c r="K16" s="12" t="s">
        <v>120</v>
      </c>
      <c r="L16" s="12" t="s">
        <v>135</v>
      </c>
      <c r="M16" s="13"/>
      <c r="N16" s="13"/>
      <c r="O16" s="12" t="s">
        <v>93</v>
      </c>
      <c r="P16" s="12" t="s">
        <v>218</v>
      </c>
      <c r="Q16" s="12" t="s">
        <v>124</v>
      </c>
      <c r="R16" s="12" t="s">
        <v>222</v>
      </c>
      <c r="S16" s="13"/>
      <c r="T16" s="12" t="s">
        <v>225</v>
      </c>
    </row>
    <row r="17">
      <c r="A17" s="12" t="s">
        <v>267</v>
      </c>
      <c r="B17" s="12" t="s">
        <v>268</v>
      </c>
      <c r="C17" s="12" t="s">
        <v>208</v>
      </c>
      <c r="D17" s="12" t="s">
        <v>268</v>
      </c>
      <c r="E17" s="12"/>
      <c r="F17" s="12" t="s">
        <v>87</v>
      </c>
      <c r="G17" s="12" t="s">
        <v>108</v>
      </c>
      <c r="H17" s="12"/>
      <c r="I17" s="12" t="s">
        <v>273</v>
      </c>
      <c r="J17" s="12" t="s">
        <v>214</v>
      </c>
      <c r="K17" s="12" t="s">
        <v>120</v>
      </c>
      <c r="L17" s="12" t="s">
        <v>135</v>
      </c>
      <c r="M17" s="13"/>
      <c r="N17" s="13"/>
      <c r="O17" s="12" t="s">
        <v>93</v>
      </c>
      <c r="P17" s="12" t="s">
        <v>218</v>
      </c>
      <c r="Q17" s="12" t="s">
        <v>124</v>
      </c>
      <c r="R17" s="12" t="s">
        <v>222</v>
      </c>
      <c r="S17" s="13"/>
      <c r="T17" s="12" t="s">
        <v>225</v>
      </c>
    </row>
    <row r="18">
      <c r="A18" s="12" t="s">
        <v>281</v>
      </c>
      <c r="B18" s="12" t="s">
        <v>282</v>
      </c>
      <c r="C18" s="12" t="s">
        <v>208</v>
      </c>
      <c r="D18" s="12" t="s">
        <v>282</v>
      </c>
      <c r="E18" s="12"/>
      <c r="F18" s="12" t="s">
        <v>87</v>
      </c>
      <c r="G18" s="12" t="s">
        <v>108</v>
      </c>
      <c r="H18" s="12"/>
      <c r="I18" s="12" t="s">
        <v>287</v>
      </c>
      <c r="J18" s="12" t="s">
        <v>214</v>
      </c>
      <c r="K18" s="12" t="s">
        <v>120</v>
      </c>
      <c r="L18" s="12" t="s">
        <v>135</v>
      </c>
      <c r="M18" s="13"/>
      <c r="N18" s="13"/>
      <c r="O18" s="12" t="s">
        <v>93</v>
      </c>
      <c r="P18" s="12" t="s">
        <v>218</v>
      </c>
      <c r="Q18" s="12" t="s">
        <v>124</v>
      </c>
      <c r="R18" s="12" t="s">
        <v>222</v>
      </c>
      <c r="S18" s="13"/>
      <c r="T18" s="12" t="s">
        <v>225</v>
      </c>
    </row>
    <row r="19">
      <c r="A19" s="12" t="s">
        <v>290</v>
      </c>
      <c r="B19" s="12" t="s">
        <v>291</v>
      </c>
      <c r="C19" s="12" t="s">
        <v>208</v>
      </c>
      <c r="D19" s="12" t="s">
        <v>291</v>
      </c>
      <c r="E19" s="12"/>
      <c r="F19" s="12" t="s">
        <v>87</v>
      </c>
      <c r="G19" s="12" t="s">
        <v>108</v>
      </c>
      <c r="H19" s="12"/>
      <c r="I19" s="12" t="s">
        <v>292</v>
      </c>
      <c r="J19" s="12" t="s">
        <v>214</v>
      </c>
      <c r="K19" s="12" t="s">
        <v>120</v>
      </c>
      <c r="L19" s="12" t="s">
        <v>135</v>
      </c>
      <c r="M19" s="13"/>
      <c r="N19" s="13"/>
      <c r="O19" s="12" t="s">
        <v>93</v>
      </c>
      <c r="P19" s="12" t="s">
        <v>218</v>
      </c>
      <c r="Q19" s="12" t="s">
        <v>124</v>
      </c>
      <c r="R19" s="12" t="s">
        <v>222</v>
      </c>
      <c r="S19" s="13"/>
      <c r="T19" s="12" t="s">
        <v>225</v>
      </c>
    </row>
    <row r="20">
      <c r="A20" s="12" t="s">
        <v>299</v>
      </c>
      <c r="B20" s="12" t="s">
        <v>300</v>
      </c>
      <c r="C20" s="12" t="s">
        <v>208</v>
      </c>
      <c r="D20" s="12" t="s">
        <v>300</v>
      </c>
      <c r="E20" s="12"/>
      <c r="F20" s="12" t="s">
        <v>87</v>
      </c>
      <c r="G20" s="12" t="s">
        <v>108</v>
      </c>
      <c r="H20" s="12"/>
      <c r="I20" s="12" t="s">
        <v>301</v>
      </c>
      <c r="J20" s="12" t="s">
        <v>214</v>
      </c>
      <c r="K20" s="12" t="s">
        <v>120</v>
      </c>
      <c r="L20" s="12" t="s">
        <v>135</v>
      </c>
      <c r="M20" s="13"/>
      <c r="N20" s="13"/>
      <c r="O20" s="12" t="s">
        <v>93</v>
      </c>
      <c r="P20" s="12" t="s">
        <v>218</v>
      </c>
      <c r="Q20" s="12" t="s">
        <v>124</v>
      </c>
      <c r="R20" s="12" t="s">
        <v>222</v>
      </c>
      <c r="S20" s="13"/>
      <c r="T20" s="12" t="s">
        <v>225</v>
      </c>
    </row>
    <row r="21" ht="15.75" customHeight="1">
      <c r="A21" s="12" t="s">
        <v>307</v>
      </c>
      <c r="B21" s="12" t="s">
        <v>308</v>
      </c>
      <c r="C21" s="12" t="s">
        <v>208</v>
      </c>
      <c r="D21" s="12" t="s">
        <v>308</v>
      </c>
      <c r="E21" s="12"/>
      <c r="F21" s="12" t="s">
        <v>87</v>
      </c>
      <c r="G21" s="12" t="s">
        <v>108</v>
      </c>
      <c r="H21" s="12"/>
      <c r="I21" s="12" t="s">
        <v>309</v>
      </c>
      <c r="J21" s="12" t="s">
        <v>214</v>
      </c>
      <c r="K21" s="12" t="s">
        <v>120</v>
      </c>
      <c r="L21" s="12" t="s">
        <v>135</v>
      </c>
      <c r="M21" s="13"/>
      <c r="N21" s="13"/>
      <c r="O21" s="12" t="s">
        <v>93</v>
      </c>
      <c r="P21" s="12" t="s">
        <v>218</v>
      </c>
      <c r="Q21" s="12" t="s">
        <v>124</v>
      </c>
      <c r="R21" s="12" t="s">
        <v>222</v>
      </c>
      <c r="S21" s="13"/>
      <c r="T21" s="12" t="s">
        <v>225</v>
      </c>
    </row>
    <row r="22" ht="15.75" customHeight="1">
      <c r="A22" s="12" t="s">
        <v>310</v>
      </c>
      <c r="B22" s="12" t="s">
        <v>311</v>
      </c>
      <c r="C22" s="12" t="s">
        <v>208</v>
      </c>
      <c r="D22" s="12" t="s">
        <v>311</v>
      </c>
      <c r="E22" s="12"/>
      <c r="F22" s="12" t="s">
        <v>87</v>
      </c>
      <c r="G22" s="12" t="s">
        <v>108</v>
      </c>
      <c r="H22" s="12"/>
      <c r="I22" s="12" t="s">
        <v>314</v>
      </c>
      <c r="J22" s="12" t="s">
        <v>214</v>
      </c>
      <c r="K22" s="12" t="s">
        <v>120</v>
      </c>
      <c r="L22" s="12" t="s">
        <v>135</v>
      </c>
      <c r="M22" s="13"/>
      <c r="N22" s="13"/>
      <c r="O22" s="12" t="s">
        <v>93</v>
      </c>
      <c r="P22" s="12" t="s">
        <v>218</v>
      </c>
      <c r="Q22" s="12" t="s">
        <v>124</v>
      </c>
      <c r="R22" s="12" t="s">
        <v>222</v>
      </c>
      <c r="S22" s="13"/>
      <c r="T22" s="12" t="s">
        <v>225</v>
      </c>
    </row>
    <row r="23" ht="15.75" customHeight="1">
      <c r="A23" s="12" t="s">
        <v>315</v>
      </c>
      <c r="B23" s="12" t="s">
        <v>316</v>
      </c>
      <c r="C23" s="12" t="s">
        <v>208</v>
      </c>
      <c r="D23" s="12" t="s">
        <v>316</v>
      </c>
      <c r="E23" s="12"/>
      <c r="F23" s="12" t="s">
        <v>87</v>
      </c>
      <c r="G23" s="12" t="s">
        <v>108</v>
      </c>
      <c r="H23" s="12"/>
      <c r="I23" s="12" t="s">
        <v>317</v>
      </c>
      <c r="J23" s="12" t="s">
        <v>214</v>
      </c>
      <c r="K23" s="12" t="s">
        <v>120</v>
      </c>
      <c r="L23" s="12" t="s">
        <v>135</v>
      </c>
      <c r="M23" s="13"/>
      <c r="N23" s="13"/>
      <c r="O23" s="12" t="s">
        <v>93</v>
      </c>
      <c r="P23" s="12" t="s">
        <v>218</v>
      </c>
      <c r="Q23" s="12" t="s">
        <v>124</v>
      </c>
      <c r="R23" s="12" t="s">
        <v>222</v>
      </c>
      <c r="S23" s="13"/>
      <c r="T23" s="12" t="s">
        <v>225</v>
      </c>
    </row>
    <row r="24" ht="15.75" customHeight="1">
      <c r="A24" s="12" t="s">
        <v>318</v>
      </c>
      <c r="B24" s="12" t="s">
        <v>319</v>
      </c>
      <c r="C24" s="12" t="s">
        <v>208</v>
      </c>
      <c r="D24" s="12" t="s">
        <v>319</v>
      </c>
      <c r="E24" s="12"/>
      <c r="F24" s="12" t="s">
        <v>87</v>
      </c>
      <c r="G24" s="12" t="s">
        <v>108</v>
      </c>
      <c r="H24" s="12"/>
      <c r="I24" s="12" t="s">
        <v>322</v>
      </c>
      <c r="J24" s="12" t="s">
        <v>214</v>
      </c>
      <c r="K24" s="12" t="s">
        <v>120</v>
      </c>
      <c r="L24" s="12" t="s">
        <v>135</v>
      </c>
      <c r="M24" s="13"/>
      <c r="N24" s="13"/>
      <c r="O24" s="12" t="s">
        <v>93</v>
      </c>
      <c r="P24" s="12" t="s">
        <v>218</v>
      </c>
      <c r="Q24" s="12" t="s">
        <v>124</v>
      </c>
      <c r="R24" s="12" t="s">
        <v>222</v>
      </c>
      <c r="S24" s="13"/>
      <c r="T24" s="12" t="s">
        <v>225</v>
      </c>
    </row>
    <row r="25" ht="15.75" customHeight="1">
      <c r="A25" s="12" t="s">
        <v>323</v>
      </c>
      <c r="B25" s="12" t="s">
        <v>324</v>
      </c>
      <c r="C25" s="12" t="s">
        <v>208</v>
      </c>
      <c r="D25" s="12" t="s">
        <v>324</v>
      </c>
      <c r="E25" s="12"/>
      <c r="F25" s="12" t="s">
        <v>87</v>
      </c>
      <c r="G25" s="12" t="s">
        <v>108</v>
      </c>
      <c r="H25" s="12"/>
      <c r="I25" s="12" t="s">
        <v>325</v>
      </c>
      <c r="J25" s="12" t="s">
        <v>214</v>
      </c>
      <c r="K25" s="12" t="s">
        <v>120</v>
      </c>
      <c r="L25" s="12" t="s">
        <v>135</v>
      </c>
      <c r="M25" s="13"/>
      <c r="N25" s="13"/>
      <c r="O25" s="12" t="s">
        <v>93</v>
      </c>
      <c r="P25" s="12" t="s">
        <v>218</v>
      </c>
      <c r="Q25" s="12" t="s">
        <v>124</v>
      </c>
      <c r="R25" s="12" t="s">
        <v>222</v>
      </c>
      <c r="S25" s="13"/>
      <c r="T25" s="12" t="s">
        <v>225</v>
      </c>
    </row>
    <row r="26" ht="15.75" customHeight="1">
      <c r="A26" s="12" t="s">
        <v>328</v>
      </c>
      <c r="B26" s="12" t="s">
        <v>329</v>
      </c>
      <c r="C26" s="12" t="s">
        <v>208</v>
      </c>
      <c r="D26" s="12" t="s">
        <v>329</v>
      </c>
      <c r="E26" s="12"/>
      <c r="F26" s="12" t="s">
        <v>87</v>
      </c>
      <c r="G26" s="12" t="s">
        <v>108</v>
      </c>
      <c r="H26" s="12"/>
      <c r="I26" s="12" t="s">
        <v>330</v>
      </c>
      <c r="J26" s="12" t="s">
        <v>214</v>
      </c>
      <c r="K26" s="12" t="s">
        <v>120</v>
      </c>
      <c r="L26" s="12" t="s">
        <v>135</v>
      </c>
      <c r="M26" s="13"/>
      <c r="N26" s="13"/>
      <c r="O26" s="12" t="s">
        <v>93</v>
      </c>
      <c r="P26" s="12" t="s">
        <v>218</v>
      </c>
      <c r="Q26" s="12" t="s">
        <v>124</v>
      </c>
      <c r="R26" s="12" t="s">
        <v>222</v>
      </c>
      <c r="S26" s="13"/>
      <c r="T26" s="12" t="s">
        <v>225</v>
      </c>
    </row>
    <row r="27" ht="15.75" customHeight="1">
      <c r="A27" s="12" t="s">
        <v>331</v>
      </c>
      <c r="B27" s="12" t="s">
        <v>332</v>
      </c>
      <c r="C27" s="12" t="s">
        <v>208</v>
      </c>
      <c r="D27" s="12" t="s">
        <v>332</v>
      </c>
      <c r="E27" s="12"/>
      <c r="F27" s="12" t="s">
        <v>87</v>
      </c>
      <c r="G27" s="12" t="s">
        <v>108</v>
      </c>
      <c r="H27" s="12"/>
      <c r="I27" s="12" t="s">
        <v>335</v>
      </c>
      <c r="J27" s="12" t="s">
        <v>214</v>
      </c>
      <c r="K27" s="12" t="s">
        <v>120</v>
      </c>
      <c r="L27" s="12" t="s">
        <v>135</v>
      </c>
      <c r="M27" s="13"/>
      <c r="N27" s="13"/>
      <c r="O27" s="12" t="s">
        <v>93</v>
      </c>
      <c r="P27" s="12" t="s">
        <v>218</v>
      </c>
      <c r="Q27" s="12" t="s">
        <v>124</v>
      </c>
      <c r="R27" s="12" t="s">
        <v>222</v>
      </c>
      <c r="S27" s="13"/>
      <c r="T27" s="12" t="s">
        <v>225</v>
      </c>
    </row>
    <row r="28" ht="15.75" customHeight="1">
      <c r="A28" s="12" t="s">
        <v>336</v>
      </c>
      <c r="B28" s="12" t="s">
        <v>337</v>
      </c>
      <c r="C28" s="12" t="s">
        <v>208</v>
      </c>
      <c r="D28" s="12" t="s">
        <v>337</v>
      </c>
      <c r="E28" s="12"/>
      <c r="F28" s="12" t="s">
        <v>87</v>
      </c>
      <c r="G28" s="12" t="s">
        <v>108</v>
      </c>
      <c r="H28" s="12"/>
      <c r="I28" s="12" t="s">
        <v>340</v>
      </c>
      <c r="J28" s="12" t="s">
        <v>214</v>
      </c>
      <c r="K28" s="12" t="s">
        <v>120</v>
      </c>
      <c r="L28" s="12" t="s">
        <v>135</v>
      </c>
      <c r="M28" s="13"/>
      <c r="N28" s="13"/>
      <c r="O28" s="12" t="s">
        <v>93</v>
      </c>
      <c r="P28" s="12" t="s">
        <v>218</v>
      </c>
      <c r="Q28" s="12" t="s">
        <v>124</v>
      </c>
      <c r="R28" s="12" t="s">
        <v>222</v>
      </c>
      <c r="S28" s="13"/>
      <c r="T28" s="12" t="s">
        <v>225</v>
      </c>
    </row>
    <row r="29" ht="15.75" customHeight="1">
      <c r="A29" s="12" t="s">
        <v>341</v>
      </c>
      <c r="B29" s="12" t="s">
        <v>342</v>
      </c>
      <c r="C29" s="12" t="s">
        <v>208</v>
      </c>
      <c r="D29" s="12" t="s">
        <v>342</v>
      </c>
      <c r="E29" s="12"/>
      <c r="F29" s="12" t="s">
        <v>87</v>
      </c>
      <c r="G29" s="12" t="s">
        <v>108</v>
      </c>
      <c r="H29" s="12"/>
      <c r="I29" s="12" t="s">
        <v>273</v>
      </c>
      <c r="J29" s="12" t="s">
        <v>214</v>
      </c>
      <c r="K29" s="12" t="s">
        <v>210</v>
      </c>
      <c r="L29" s="12" t="s">
        <v>135</v>
      </c>
      <c r="M29" s="13"/>
      <c r="N29" s="13"/>
      <c r="O29" s="12" t="s">
        <v>93</v>
      </c>
      <c r="P29" s="12" t="s">
        <v>218</v>
      </c>
      <c r="Q29" s="12" t="s">
        <v>124</v>
      </c>
      <c r="R29" s="12" t="s">
        <v>222</v>
      </c>
      <c r="S29" s="13"/>
      <c r="T29" s="12" t="s">
        <v>225</v>
      </c>
    </row>
    <row r="30" ht="15.75" customHeight="1">
      <c r="A30" s="12" t="s">
        <v>347</v>
      </c>
      <c r="B30" s="12" t="s">
        <v>349</v>
      </c>
      <c r="C30" s="12" t="s">
        <v>208</v>
      </c>
      <c r="D30" s="12" t="s">
        <v>349</v>
      </c>
      <c r="E30" s="12"/>
      <c r="F30" s="12" t="s">
        <v>87</v>
      </c>
      <c r="G30" s="12" t="s">
        <v>108</v>
      </c>
      <c r="H30" s="12"/>
      <c r="I30" s="12" t="s">
        <v>352</v>
      </c>
      <c r="J30" s="12" t="s">
        <v>214</v>
      </c>
      <c r="K30" s="12" t="s">
        <v>210</v>
      </c>
      <c r="L30" s="12" t="s">
        <v>135</v>
      </c>
      <c r="M30" s="13"/>
      <c r="N30" s="13"/>
      <c r="O30" s="12" t="s">
        <v>93</v>
      </c>
      <c r="P30" s="12" t="s">
        <v>218</v>
      </c>
      <c r="Q30" s="12" t="s">
        <v>124</v>
      </c>
      <c r="R30" s="12" t="s">
        <v>222</v>
      </c>
      <c r="S30" s="13"/>
      <c r="T30" s="12" t="s">
        <v>225</v>
      </c>
    </row>
    <row r="31" ht="15.75" customHeight="1">
      <c r="A31" s="12" t="s">
        <v>356</v>
      </c>
      <c r="B31" s="12" t="s">
        <v>357</v>
      </c>
      <c r="C31" s="12" t="s">
        <v>208</v>
      </c>
      <c r="D31" s="12" t="s">
        <v>357</v>
      </c>
      <c r="E31" s="12"/>
      <c r="F31" s="12" t="s">
        <v>87</v>
      </c>
      <c r="G31" s="12" t="s">
        <v>108</v>
      </c>
      <c r="H31" s="12"/>
      <c r="I31" s="12" t="s">
        <v>358</v>
      </c>
      <c r="J31" s="12" t="s">
        <v>214</v>
      </c>
      <c r="K31" s="12" t="s">
        <v>210</v>
      </c>
      <c r="L31" s="12" t="s">
        <v>135</v>
      </c>
      <c r="M31" s="13"/>
      <c r="N31" s="13"/>
      <c r="O31" s="12" t="s">
        <v>93</v>
      </c>
      <c r="P31" s="12" t="s">
        <v>218</v>
      </c>
      <c r="Q31" s="12" t="s">
        <v>124</v>
      </c>
      <c r="R31" s="12" t="s">
        <v>222</v>
      </c>
      <c r="S31" s="13"/>
      <c r="T31" s="12" t="s">
        <v>225</v>
      </c>
    </row>
    <row r="32" ht="15.75" customHeight="1">
      <c r="A32" s="12" t="s">
        <v>362</v>
      </c>
      <c r="B32" s="12" t="s">
        <v>363</v>
      </c>
      <c r="C32" s="12" t="s">
        <v>208</v>
      </c>
      <c r="D32" s="12" t="s">
        <v>363</v>
      </c>
      <c r="E32" s="12"/>
      <c r="F32" s="12" t="s">
        <v>87</v>
      </c>
      <c r="G32" s="12" t="s">
        <v>108</v>
      </c>
      <c r="H32" s="12"/>
      <c r="I32" s="12" t="s">
        <v>364</v>
      </c>
      <c r="J32" s="12" t="s">
        <v>214</v>
      </c>
      <c r="K32" s="12" t="s">
        <v>210</v>
      </c>
      <c r="L32" s="12" t="s">
        <v>135</v>
      </c>
      <c r="M32" s="13"/>
      <c r="N32" s="13"/>
      <c r="O32" s="12" t="s">
        <v>93</v>
      </c>
      <c r="P32" s="12" t="s">
        <v>218</v>
      </c>
      <c r="Q32" s="12" t="s">
        <v>124</v>
      </c>
      <c r="R32" s="12" t="s">
        <v>222</v>
      </c>
      <c r="S32" s="13"/>
      <c r="T32" s="12" t="s">
        <v>225</v>
      </c>
    </row>
    <row r="33" ht="15.75" customHeight="1">
      <c r="A33" s="12" t="s">
        <v>367</v>
      </c>
      <c r="B33" s="12" t="s">
        <v>368</v>
      </c>
      <c r="C33" s="12" t="s">
        <v>208</v>
      </c>
      <c r="D33" s="12" t="s">
        <v>368</v>
      </c>
      <c r="E33" s="12"/>
      <c r="F33" s="12" t="s">
        <v>87</v>
      </c>
      <c r="G33" s="12" t="s">
        <v>108</v>
      </c>
      <c r="H33" s="12"/>
      <c r="I33" s="12" t="s">
        <v>369</v>
      </c>
      <c r="J33" s="12" t="s">
        <v>214</v>
      </c>
      <c r="K33" s="12" t="s">
        <v>210</v>
      </c>
      <c r="L33" s="12" t="s">
        <v>135</v>
      </c>
      <c r="M33" s="13"/>
      <c r="N33" s="13"/>
      <c r="O33" s="12" t="s">
        <v>93</v>
      </c>
      <c r="P33" s="12" t="s">
        <v>218</v>
      </c>
      <c r="Q33" s="12" t="s">
        <v>124</v>
      </c>
      <c r="R33" s="12" t="s">
        <v>222</v>
      </c>
      <c r="S33" s="13"/>
      <c r="T33" s="12" t="s">
        <v>225</v>
      </c>
    </row>
    <row r="34" ht="15.75" customHeight="1">
      <c r="A34" s="12" t="s">
        <v>372</v>
      </c>
      <c r="B34" s="12" t="s">
        <v>373</v>
      </c>
      <c r="C34" s="12" t="s">
        <v>208</v>
      </c>
      <c r="D34" s="12" t="s">
        <v>373</v>
      </c>
      <c r="E34" s="12"/>
      <c r="F34" s="12" t="s">
        <v>87</v>
      </c>
      <c r="G34" s="12" t="s">
        <v>108</v>
      </c>
      <c r="H34" s="12"/>
      <c r="I34" s="12" t="s">
        <v>374</v>
      </c>
      <c r="J34" s="12" t="s">
        <v>214</v>
      </c>
      <c r="K34" s="12" t="s">
        <v>210</v>
      </c>
      <c r="L34" s="12" t="s">
        <v>135</v>
      </c>
      <c r="M34" s="13"/>
      <c r="N34" s="13"/>
      <c r="O34" s="12" t="s">
        <v>93</v>
      </c>
      <c r="P34" s="12" t="s">
        <v>218</v>
      </c>
      <c r="Q34" s="12" t="s">
        <v>124</v>
      </c>
      <c r="R34" s="12" t="s">
        <v>222</v>
      </c>
      <c r="S34" s="13"/>
      <c r="T34" s="12" t="s">
        <v>225</v>
      </c>
    </row>
    <row r="35" ht="15.75" customHeight="1">
      <c r="A35" s="12" t="s">
        <v>377</v>
      </c>
      <c r="B35" s="12" t="s">
        <v>378</v>
      </c>
      <c r="C35" s="12" t="s">
        <v>208</v>
      </c>
      <c r="D35" s="12" t="s">
        <v>378</v>
      </c>
      <c r="E35" s="12"/>
      <c r="F35" s="12" t="s">
        <v>87</v>
      </c>
      <c r="G35" s="12" t="s">
        <v>108</v>
      </c>
      <c r="H35" s="12"/>
      <c r="I35" s="12" t="s">
        <v>379</v>
      </c>
      <c r="J35" s="12" t="s">
        <v>214</v>
      </c>
      <c r="K35" s="12" t="s">
        <v>210</v>
      </c>
      <c r="L35" s="12" t="s">
        <v>135</v>
      </c>
      <c r="M35" s="13"/>
      <c r="N35" s="13"/>
      <c r="O35" s="12" t="s">
        <v>93</v>
      </c>
      <c r="P35" s="12" t="s">
        <v>218</v>
      </c>
      <c r="Q35" s="12" t="s">
        <v>124</v>
      </c>
      <c r="R35" s="12" t="s">
        <v>222</v>
      </c>
      <c r="S35" s="13"/>
      <c r="T35" s="12" t="s">
        <v>225</v>
      </c>
    </row>
    <row r="36" ht="15.75" customHeight="1">
      <c r="A36" s="12" t="s">
        <v>380</v>
      </c>
      <c r="B36" s="12" t="s">
        <v>381</v>
      </c>
      <c r="C36" s="12" t="s">
        <v>208</v>
      </c>
      <c r="D36" s="12" t="s">
        <v>381</v>
      </c>
      <c r="E36" s="12"/>
      <c r="F36" s="12" t="s">
        <v>87</v>
      </c>
      <c r="G36" s="12" t="s">
        <v>108</v>
      </c>
      <c r="H36" s="12"/>
      <c r="I36" s="12" t="s">
        <v>383</v>
      </c>
      <c r="J36" s="12" t="s">
        <v>214</v>
      </c>
      <c r="K36" s="12" t="s">
        <v>210</v>
      </c>
      <c r="L36" s="12" t="s">
        <v>135</v>
      </c>
      <c r="M36" s="13"/>
      <c r="N36" s="13"/>
      <c r="O36" s="12" t="s">
        <v>93</v>
      </c>
      <c r="P36" s="12" t="s">
        <v>218</v>
      </c>
      <c r="Q36" s="12" t="s">
        <v>124</v>
      </c>
      <c r="R36" s="12" t="s">
        <v>222</v>
      </c>
      <c r="S36" s="13"/>
      <c r="T36" s="12" t="s">
        <v>225</v>
      </c>
    </row>
    <row r="37" ht="15.75" customHeight="1">
      <c r="A37" s="12" t="s">
        <v>386</v>
      </c>
      <c r="B37" s="12" t="s">
        <v>387</v>
      </c>
      <c r="C37" s="12" t="s">
        <v>208</v>
      </c>
      <c r="D37" s="12" t="s">
        <v>387</v>
      </c>
      <c r="E37" s="12"/>
      <c r="F37" s="12" t="s">
        <v>87</v>
      </c>
      <c r="G37" s="12" t="s">
        <v>108</v>
      </c>
      <c r="H37" s="12"/>
      <c r="I37" s="12" t="s">
        <v>388</v>
      </c>
      <c r="J37" s="12" t="s">
        <v>214</v>
      </c>
      <c r="K37" s="12" t="s">
        <v>210</v>
      </c>
      <c r="L37" s="12" t="s">
        <v>135</v>
      </c>
      <c r="M37" s="13"/>
      <c r="N37" s="13"/>
      <c r="O37" s="12" t="s">
        <v>93</v>
      </c>
      <c r="P37" s="12" t="s">
        <v>218</v>
      </c>
      <c r="Q37" s="12" t="s">
        <v>124</v>
      </c>
      <c r="R37" s="12" t="s">
        <v>222</v>
      </c>
      <c r="S37" s="13"/>
      <c r="T37" s="12" t="s">
        <v>225</v>
      </c>
    </row>
    <row r="38" ht="15.75" customHeight="1">
      <c r="A38" s="12" t="s">
        <v>393</v>
      </c>
      <c r="B38" s="12" t="s">
        <v>394</v>
      </c>
      <c r="C38" s="12" t="s">
        <v>208</v>
      </c>
      <c r="D38" s="12" t="s">
        <v>394</v>
      </c>
      <c r="E38" s="12"/>
      <c r="F38" s="12" t="s">
        <v>87</v>
      </c>
      <c r="G38" s="12" t="s">
        <v>108</v>
      </c>
      <c r="H38" s="12"/>
      <c r="I38" s="12" t="s">
        <v>395</v>
      </c>
      <c r="J38" s="12" t="s">
        <v>214</v>
      </c>
      <c r="K38" s="12" t="s">
        <v>210</v>
      </c>
      <c r="L38" s="12" t="s">
        <v>135</v>
      </c>
      <c r="M38" s="13"/>
      <c r="N38" s="13"/>
      <c r="O38" s="12" t="s">
        <v>93</v>
      </c>
      <c r="P38" s="12" t="s">
        <v>218</v>
      </c>
      <c r="Q38" s="12" t="s">
        <v>124</v>
      </c>
      <c r="R38" s="12" t="s">
        <v>222</v>
      </c>
      <c r="S38" s="13"/>
      <c r="T38" s="12" t="s">
        <v>225</v>
      </c>
    </row>
    <row r="39" ht="15.75" customHeight="1">
      <c r="A39" s="12"/>
      <c r="B39" s="12"/>
      <c r="C39" s="12"/>
      <c r="D39" s="12"/>
      <c r="E39" s="12"/>
      <c r="F39" s="12"/>
      <c r="G39" s="12"/>
      <c r="H39" s="12"/>
      <c r="I39" s="12"/>
      <c r="J39" s="12"/>
      <c r="K39" s="12"/>
      <c r="L39" s="12"/>
      <c r="M39" s="13"/>
      <c r="N39" s="13"/>
      <c r="O39" s="12"/>
      <c r="P39" s="12"/>
      <c r="Q39" s="12"/>
      <c r="R39" s="12"/>
      <c r="S39" s="13"/>
      <c r="T39" s="12"/>
    </row>
    <row r="40" ht="15.75" customHeight="1">
      <c r="A40" s="12"/>
      <c r="B40" s="12"/>
      <c r="C40" s="12"/>
      <c r="D40" s="12"/>
      <c r="E40" s="12"/>
      <c r="F40" s="12"/>
      <c r="G40" s="12"/>
      <c r="H40" s="12"/>
      <c r="I40" s="12"/>
      <c r="J40" s="12"/>
      <c r="K40" s="12"/>
      <c r="L40" s="12"/>
      <c r="M40" s="13"/>
      <c r="N40" s="13"/>
      <c r="O40" s="12"/>
      <c r="P40" s="12"/>
      <c r="Q40" s="12"/>
      <c r="R40" s="12"/>
      <c r="S40" s="13"/>
      <c r="T40" s="12"/>
    </row>
    <row r="41" ht="15.75" customHeight="1">
      <c r="A41" s="12"/>
      <c r="B41" s="12"/>
      <c r="C41" s="12"/>
      <c r="D41" s="12"/>
      <c r="E41" s="12"/>
      <c r="F41" s="12"/>
      <c r="G41" s="12"/>
      <c r="H41" s="12"/>
      <c r="I41" s="12"/>
      <c r="J41" s="12"/>
      <c r="K41" s="12"/>
      <c r="L41" s="12"/>
      <c r="M41" s="13"/>
      <c r="N41" s="13"/>
      <c r="O41" s="12"/>
      <c r="P41" s="12"/>
      <c r="Q41" s="12"/>
      <c r="R41" s="12"/>
      <c r="S41" s="13"/>
      <c r="T41" s="12"/>
    </row>
    <row r="42" ht="15.75" customHeight="1">
      <c r="A42" s="12"/>
      <c r="B42" s="12"/>
      <c r="C42" s="12"/>
      <c r="D42" s="12"/>
      <c r="E42" s="12"/>
      <c r="F42" s="12"/>
      <c r="G42" s="12"/>
      <c r="H42" s="12"/>
      <c r="I42" s="12"/>
      <c r="J42" s="12"/>
      <c r="K42" s="12"/>
      <c r="L42" s="12"/>
      <c r="M42" s="13"/>
      <c r="N42" s="13"/>
      <c r="O42" s="12"/>
      <c r="P42" s="12"/>
      <c r="Q42" s="12"/>
      <c r="R42" s="12"/>
      <c r="S42" s="13"/>
      <c r="T42" s="12"/>
    </row>
    <row r="43" ht="15.75" customHeight="1">
      <c r="A43" s="12"/>
      <c r="B43" s="12"/>
      <c r="C43" s="12"/>
      <c r="D43" s="12"/>
      <c r="E43" s="12"/>
      <c r="F43" s="12"/>
      <c r="G43" s="12"/>
      <c r="H43" s="12"/>
      <c r="I43" s="12"/>
      <c r="J43" s="12"/>
      <c r="K43" s="12"/>
      <c r="L43" s="12"/>
      <c r="M43" s="13"/>
      <c r="N43" s="13"/>
      <c r="O43" s="12"/>
      <c r="P43" s="12"/>
      <c r="Q43" s="12"/>
      <c r="R43" s="12"/>
      <c r="S43" s="13"/>
      <c r="T43" s="12"/>
    </row>
    <row r="44" ht="15.75" customHeight="1">
      <c r="A44" s="12"/>
      <c r="B44" s="12"/>
      <c r="C44" s="12"/>
      <c r="D44" s="12"/>
      <c r="E44" s="12"/>
      <c r="F44" s="12"/>
      <c r="G44" s="12"/>
      <c r="H44" s="12"/>
      <c r="I44" s="12"/>
      <c r="J44" s="12"/>
      <c r="K44" s="12"/>
      <c r="L44" s="12"/>
      <c r="M44" s="13"/>
      <c r="N44" s="13"/>
      <c r="O44" s="12"/>
      <c r="P44" s="12"/>
      <c r="Q44" s="12"/>
      <c r="R44" s="12"/>
      <c r="S44" s="13"/>
      <c r="T44" s="12"/>
    </row>
    <row r="45" ht="15.75" customHeight="1">
      <c r="A45" s="12"/>
      <c r="B45" s="12"/>
      <c r="C45" s="12"/>
      <c r="D45" s="12"/>
      <c r="E45" s="12"/>
      <c r="F45" s="12"/>
      <c r="G45" s="12"/>
      <c r="H45" s="12"/>
      <c r="I45" s="12"/>
      <c r="J45" s="12"/>
      <c r="K45" s="12"/>
      <c r="L45" s="12"/>
      <c r="M45" s="13"/>
      <c r="N45" s="13"/>
      <c r="O45" s="12"/>
      <c r="P45" s="12"/>
      <c r="Q45" s="12"/>
      <c r="R45" s="12"/>
      <c r="S45" s="13"/>
      <c r="T45" s="12"/>
    </row>
    <row r="46" ht="15.75" customHeight="1">
      <c r="A46" s="12"/>
      <c r="B46" s="12"/>
      <c r="C46" s="12"/>
      <c r="D46" s="12"/>
      <c r="E46" s="12"/>
      <c r="F46" s="12"/>
      <c r="G46" s="12"/>
      <c r="H46" s="12"/>
      <c r="I46" s="12"/>
      <c r="J46" s="12"/>
      <c r="K46" s="12"/>
      <c r="L46" s="12"/>
      <c r="M46" s="13"/>
      <c r="N46" s="13"/>
      <c r="O46" s="12"/>
      <c r="P46" s="12"/>
      <c r="Q46" s="12"/>
      <c r="R46" s="12"/>
      <c r="S46" s="13"/>
      <c r="T46" s="12"/>
    </row>
    <row r="47" ht="15.75" customHeight="1">
      <c r="A47" s="12"/>
      <c r="B47" s="12"/>
      <c r="C47" s="12"/>
      <c r="D47" s="12"/>
      <c r="E47" s="12"/>
      <c r="F47" s="12"/>
      <c r="G47" s="12"/>
      <c r="H47" s="12"/>
      <c r="I47" s="12"/>
      <c r="J47" s="12"/>
      <c r="K47" s="12"/>
      <c r="L47" s="12"/>
      <c r="M47" s="13"/>
      <c r="N47" s="13"/>
      <c r="O47" s="12"/>
      <c r="P47" s="12"/>
      <c r="Q47" s="12"/>
      <c r="R47" s="12"/>
      <c r="S47" s="13"/>
      <c r="T47" s="12"/>
    </row>
    <row r="48" ht="15.75" customHeight="1">
      <c r="A48" s="12"/>
      <c r="B48" s="12"/>
      <c r="C48" s="12"/>
      <c r="D48" s="12"/>
      <c r="E48" s="12"/>
      <c r="F48" s="12"/>
      <c r="G48" s="12"/>
      <c r="H48" s="12"/>
      <c r="I48" s="12"/>
      <c r="J48" s="12"/>
      <c r="K48" s="12"/>
      <c r="L48" s="12"/>
      <c r="M48" s="13"/>
      <c r="N48" s="13"/>
      <c r="O48" s="12"/>
      <c r="P48" s="12"/>
      <c r="Q48" s="12"/>
      <c r="R48" s="12"/>
      <c r="S48" s="13"/>
      <c r="T48" s="12"/>
    </row>
    <row r="49" ht="15.75" customHeight="1">
      <c r="A49" s="12"/>
      <c r="B49" s="12"/>
      <c r="C49" s="12"/>
      <c r="D49" s="12"/>
      <c r="E49" s="12"/>
      <c r="F49" s="12"/>
      <c r="G49" s="12"/>
      <c r="H49" s="12"/>
      <c r="I49" s="12"/>
      <c r="J49" s="12"/>
      <c r="K49" s="12"/>
      <c r="L49" s="12"/>
      <c r="M49" s="13"/>
      <c r="N49" s="13"/>
      <c r="O49" s="12"/>
      <c r="P49" s="12"/>
      <c r="Q49" s="12"/>
      <c r="R49" s="12"/>
      <c r="S49" s="13"/>
      <c r="T49" s="12"/>
    </row>
    <row r="50" ht="15.75" customHeight="1">
      <c r="A50" s="12"/>
      <c r="B50" s="12"/>
      <c r="C50" s="12"/>
      <c r="D50" s="12"/>
      <c r="E50" s="12"/>
      <c r="F50" s="12"/>
      <c r="G50" s="12"/>
      <c r="H50" s="12"/>
      <c r="I50" s="12"/>
      <c r="J50" s="12"/>
      <c r="K50" s="12"/>
      <c r="L50" s="12"/>
      <c r="M50" s="13"/>
      <c r="N50" s="13"/>
      <c r="O50" s="12"/>
      <c r="P50" s="12"/>
      <c r="Q50" s="12"/>
      <c r="R50" s="12"/>
      <c r="S50" s="13"/>
      <c r="T50" s="12"/>
    </row>
    <row r="51" ht="15.75" customHeight="1">
      <c r="A51" s="12"/>
      <c r="B51" s="12"/>
      <c r="C51" s="12"/>
      <c r="D51" s="12"/>
      <c r="E51" s="12"/>
      <c r="F51" s="12"/>
      <c r="G51" s="12"/>
      <c r="H51" s="12"/>
      <c r="I51" s="12"/>
      <c r="J51" s="12"/>
      <c r="K51" s="12"/>
      <c r="L51" s="12"/>
      <c r="M51" s="13"/>
      <c r="N51" s="13"/>
      <c r="O51" s="12"/>
      <c r="P51" s="12"/>
      <c r="Q51" s="12"/>
      <c r="R51" s="12"/>
      <c r="S51" s="13"/>
      <c r="T51" s="12"/>
    </row>
    <row r="52" ht="15.75" customHeight="1">
      <c r="A52" s="12"/>
      <c r="B52" s="12"/>
      <c r="C52" s="12"/>
      <c r="D52" s="12"/>
      <c r="E52" s="12"/>
      <c r="F52" s="12"/>
      <c r="G52" s="12"/>
      <c r="H52" s="12"/>
      <c r="I52" s="12"/>
      <c r="J52" s="12"/>
      <c r="K52" s="12"/>
      <c r="L52" s="12"/>
      <c r="M52" s="13"/>
      <c r="N52" s="13"/>
      <c r="O52" s="12"/>
      <c r="P52" s="12"/>
      <c r="Q52" s="12"/>
      <c r="R52" s="12"/>
      <c r="S52" s="13"/>
      <c r="T52" s="12"/>
    </row>
    <row r="53" ht="15.75" customHeight="1">
      <c r="A53" s="12"/>
      <c r="B53" s="12"/>
      <c r="C53" s="12"/>
      <c r="D53" s="12"/>
      <c r="E53" s="12"/>
      <c r="F53" s="12"/>
      <c r="G53" s="12"/>
      <c r="H53" s="12"/>
      <c r="I53" s="12"/>
      <c r="J53" s="12"/>
      <c r="K53" s="12"/>
      <c r="L53" s="12"/>
      <c r="M53" s="13"/>
      <c r="N53" s="13"/>
      <c r="O53" s="12"/>
      <c r="P53" s="12"/>
      <c r="Q53" s="12"/>
      <c r="R53" s="12"/>
      <c r="S53" s="13"/>
      <c r="T53" s="12"/>
    </row>
    <row r="54" ht="15.75" customHeight="1">
      <c r="A54" s="12"/>
      <c r="B54" s="12"/>
      <c r="C54" s="12"/>
      <c r="D54" s="12"/>
      <c r="E54" s="12"/>
      <c r="F54" s="12"/>
      <c r="G54" s="12"/>
      <c r="H54" s="12"/>
      <c r="I54" s="12"/>
      <c r="J54" s="12"/>
      <c r="K54" s="12"/>
      <c r="L54" s="12"/>
      <c r="M54" s="13"/>
      <c r="N54" s="13"/>
      <c r="O54" s="12"/>
      <c r="P54" s="12"/>
      <c r="Q54" s="12"/>
      <c r="R54" s="12"/>
      <c r="S54" s="13"/>
      <c r="T54" s="12"/>
    </row>
    <row r="55" ht="15.75" customHeight="1">
      <c r="A55" s="12"/>
      <c r="B55" s="12"/>
      <c r="C55" s="12"/>
      <c r="D55" s="12"/>
      <c r="E55" s="12"/>
      <c r="F55" s="12"/>
      <c r="G55" s="12"/>
      <c r="H55" s="12"/>
      <c r="I55" s="12"/>
      <c r="J55" s="12"/>
      <c r="K55" s="12"/>
      <c r="L55" s="12"/>
      <c r="M55" s="13"/>
      <c r="N55" s="13"/>
      <c r="O55" s="12"/>
      <c r="P55" s="12"/>
      <c r="Q55" s="12"/>
      <c r="R55" s="12"/>
      <c r="S55" s="13"/>
      <c r="T55" s="12"/>
    </row>
    <row r="56" ht="15.75" customHeight="1">
      <c r="A56" s="12"/>
      <c r="B56" s="12"/>
      <c r="C56" s="12"/>
      <c r="D56" s="12"/>
      <c r="E56" s="12"/>
      <c r="F56" s="12"/>
      <c r="G56" s="12"/>
      <c r="H56" s="12"/>
      <c r="I56" s="12"/>
      <c r="J56" s="12"/>
      <c r="K56" s="12"/>
      <c r="L56" s="12"/>
      <c r="M56" s="13"/>
      <c r="N56" s="13"/>
      <c r="O56" s="12"/>
      <c r="P56" s="12"/>
      <c r="Q56" s="12"/>
      <c r="R56" s="12"/>
      <c r="S56" s="13"/>
      <c r="T56" s="12"/>
    </row>
    <row r="57" ht="15.75" customHeight="1">
      <c r="A57" s="12"/>
      <c r="B57" s="12"/>
      <c r="C57" s="12"/>
      <c r="D57" s="12"/>
      <c r="E57" s="12"/>
      <c r="F57" s="12"/>
      <c r="G57" s="12"/>
      <c r="H57" s="12"/>
      <c r="I57" s="12"/>
      <c r="J57" s="12"/>
      <c r="K57" s="12"/>
      <c r="L57" s="12"/>
      <c r="M57" s="13"/>
      <c r="N57" s="13"/>
      <c r="O57" s="12"/>
      <c r="P57" s="12"/>
      <c r="Q57" s="12"/>
      <c r="R57" s="12"/>
      <c r="S57" s="13"/>
      <c r="T57" s="12"/>
    </row>
    <row r="58" ht="15.75" customHeight="1">
      <c r="A58" s="12"/>
      <c r="B58" s="12"/>
      <c r="C58" s="12"/>
      <c r="D58" s="12"/>
      <c r="E58" s="12"/>
      <c r="F58" s="12"/>
      <c r="G58" s="12"/>
      <c r="H58" s="12"/>
      <c r="I58" s="12"/>
      <c r="J58" s="12"/>
      <c r="K58" s="12"/>
      <c r="L58" s="12"/>
      <c r="M58" s="13"/>
      <c r="N58" s="13"/>
      <c r="O58" s="12"/>
      <c r="P58" s="12"/>
      <c r="Q58" s="12"/>
      <c r="R58" s="12"/>
      <c r="S58" s="13"/>
      <c r="T58" s="12"/>
    </row>
    <row r="59" ht="15.75" customHeight="1">
      <c r="A59" s="12"/>
      <c r="B59" s="12"/>
      <c r="C59" s="12"/>
      <c r="D59" s="12"/>
      <c r="E59" s="12"/>
      <c r="F59" s="12"/>
      <c r="G59" s="12"/>
      <c r="H59" s="12"/>
      <c r="I59" s="12"/>
      <c r="J59" s="12"/>
      <c r="K59" s="12"/>
      <c r="L59" s="12"/>
      <c r="M59" s="13"/>
      <c r="N59" s="13"/>
      <c r="O59" s="12"/>
      <c r="P59" s="12"/>
      <c r="Q59" s="12"/>
      <c r="R59" s="12"/>
      <c r="S59" s="13"/>
      <c r="T59" s="12"/>
    </row>
    <row r="60" ht="15.75" customHeight="1">
      <c r="A60" s="12"/>
      <c r="B60" s="12"/>
      <c r="C60" s="12"/>
      <c r="D60" s="12"/>
      <c r="E60" s="12"/>
      <c r="F60" s="12"/>
      <c r="G60" s="12"/>
      <c r="H60" s="12"/>
      <c r="I60" s="12"/>
      <c r="J60" s="12"/>
      <c r="K60" s="12"/>
      <c r="L60" s="12"/>
      <c r="M60" s="13"/>
      <c r="N60" s="13"/>
      <c r="O60" s="12"/>
      <c r="P60" s="12"/>
      <c r="Q60" s="12"/>
      <c r="R60" s="12"/>
      <c r="S60" s="13"/>
      <c r="T60" s="12"/>
    </row>
    <row r="61" ht="15.75" customHeight="1">
      <c r="A61" s="12"/>
      <c r="B61" s="12"/>
      <c r="C61" s="12"/>
      <c r="D61" s="12"/>
      <c r="E61" s="12"/>
      <c r="F61" s="12"/>
      <c r="G61" s="12"/>
      <c r="H61" s="12"/>
      <c r="I61" s="12"/>
      <c r="J61" s="12"/>
      <c r="K61" s="12"/>
      <c r="L61" s="12"/>
      <c r="M61" s="13"/>
      <c r="N61" s="13"/>
      <c r="O61" s="12"/>
      <c r="P61" s="12"/>
      <c r="Q61" s="12"/>
      <c r="R61" s="12"/>
      <c r="S61" s="13"/>
      <c r="T61" s="12"/>
    </row>
    <row r="62" ht="15.75" customHeight="1">
      <c r="A62" s="12"/>
      <c r="B62" s="12"/>
      <c r="C62" s="12"/>
      <c r="D62" s="12"/>
      <c r="E62" s="12"/>
      <c r="F62" s="12"/>
      <c r="G62" s="12"/>
      <c r="H62" s="12"/>
      <c r="I62" s="12"/>
      <c r="J62" s="12"/>
      <c r="K62" s="12"/>
      <c r="L62" s="12"/>
      <c r="M62" s="13"/>
      <c r="N62" s="13"/>
      <c r="O62" s="12"/>
      <c r="P62" s="12"/>
      <c r="Q62" s="12"/>
      <c r="R62" s="12"/>
      <c r="S62" s="13"/>
      <c r="T62" s="12"/>
    </row>
    <row r="63" ht="15.75" customHeight="1">
      <c r="A63" s="12"/>
      <c r="B63" s="12"/>
      <c r="C63" s="12"/>
      <c r="D63" s="12"/>
      <c r="E63" s="12"/>
      <c r="F63" s="12"/>
      <c r="G63" s="12"/>
      <c r="H63" s="12"/>
      <c r="I63" s="12"/>
      <c r="J63" s="12"/>
      <c r="K63" s="12"/>
      <c r="L63" s="12"/>
      <c r="M63" s="13"/>
      <c r="N63" s="13"/>
      <c r="O63" s="12"/>
      <c r="P63" s="12"/>
      <c r="Q63" s="12"/>
      <c r="R63" s="12"/>
      <c r="S63" s="13"/>
      <c r="T63" s="12"/>
    </row>
    <row r="64" ht="15.75" customHeight="1">
      <c r="A64" s="12"/>
      <c r="B64" s="12"/>
      <c r="C64" s="12"/>
      <c r="D64" s="12"/>
      <c r="E64" s="12"/>
      <c r="F64" s="12"/>
      <c r="G64" s="12"/>
      <c r="H64" s="12"/>
      <c r="I64" s="12"/>
      <c r="J64" s="12"/>
      <c r="K64" s="12"/>
      <c r="L64" s="12"/>
      <c r="M64" s="13"/>
      <c r="N64" s="13"/>
      <c r="O64" s="12"/>
      <c r="P64" s="12"/>
      <c r="Q64" s="12"/>
      <c r="R64" s="12"/>
      <c r="S64" s="13"/>
      <c r="T64" s="12"/>
    </row>
    <row r="65" ht="15.75" customHeight="1">
      <c r="A65" s="12"/>
      <c r="B65" s="12"/>
      <c r="C65" s="12"/>
      <c r="D65" s="12"/>
      <c r="E65" s="12"/>
      <c r="F65" s="12"/>
      <c r="G65" s="12"/>
      <c r="H65" s="12"/>
      <c r="I65" s="12"/>
      <c r="J65" s="12"/>
      <c r="K65" s="12"/>
      <c r="L65" s="12"/>
      <c r="M65" s="13"/>
      <c r="N65" s="13"/>
      <c r="O65" s="12"/>
      <c r="P65" s="12"/>
      <c r="Q65" s="12"/>
      <c r="R65" s="12"/>
      <c r="S65" s="13"/>
      <c r="T65" s="12"/>
    </row>
    <row r="66" ht="15.75" customHeight="1">
      <c r="A66" s="12"/>
      <c r="B66" s="12"/>
      <c r="C66" s="12"/>
      <c r="D66" s="12"/>
      <c r="E66" s="12"/>
      <c r="F66" s="12"/>
      <c r="G66" s="12"/>
      <c r="H66" s="12"/>
      <c r="I66" s="12"/>
      <c r="J66" s="12"/>
      <c r="K66" s="12"/>
      <c r="L66" s="12"/>
      <c r="M66" s="13"/>
      <c r="N66" s="13"/>
      <c r="O66" s="12"/>
      <c r="P66" s="12"/>
      <c r="Q66" s="12"/>
      <c r="R66" s="12"/>
      <c r="S66" s="13"/>
      <c r="T66" s="12"/>
    </row>
    <row r="67" ht="15.75" customHeight="1">
      <c r="A67" s="12"/>
      <c r="B67" s="12"/>
      <c r="C67" s="12"/>
      <c r="D67" s="12"/>
      <c r="E67" s="12"/>
      <c r="F67" s="12"/>
      <c r="G67" s="12"/>
      <c r="H67" s="12"/>
      <c r="I67" s="12"/>
      <c r="J67" s="12"/>
      <c r="K67" s="12"/>
      <c r="L67" s="12"/>
      <c r="M67" s="13"/>
      <c r="N67" s="13"/>
      <c r="O67" s="12"/>
      <c r="P67" s="12"/>
      <c r="Q67" s="12"/>
      <c r="R67" s="12"/>
      <c r="S67" s="13"/>
      <c r="T67" s="12"/>
    </row>
    <row r="68" ht="15.75" customHeight="1">
      <c r="A68" s="12"/>
      <c r="B68" s="12"/>
      <c r="C68" s="12"/>
      <c r="D68" s="12"/>
      <c r="E68" s="12"/>
      <c r="F68" s="12"/>
      <c r="G68" s="12"/>
      <c r="H68" s="12"/>
      <c r="I68" s="12"/>
      <c r="J68" s="12"/>
      <c r="K68" s="12"/>
      <c r="L68" s="12"/>
      <c r="M68" s="13"/>
      <c r="N68" s="13"/>
      <c r="O68" s="12"/>
      <c r="P68" s="12"/>
      <c r="Q68" s="12"/>
      <c r="R68" s="12"/>
      <c r="S68" s="13"/>
      <c r="T68" s="12"/>
    </row>
    <row r="69" ht="15.75" customHeight="1">
      <c r="A69" s="12"/>
      <c r="B69" s="12"/>
      <c r="C69" s="12"/>
      <c r="D69" s="12"/>
      <c r="E69" s="12"/>
      <c r="F69" s="12"/>
      <c r="G69" s="12"/>
      <c r="H69" s="12"/>
      <c r="I69" s="12"/>
      <c r="J69" s="12"/>
      <c r="K69" s="12"/>
      <c r="L69" s="12"/>
      <c r="M69" s="13"/>
      <c r="N69" s="13"/>
      <c r="O69" s="12"/>
      <c r="P69" s="12"/>
      <c r="Q69" s="12"/>
      <c r="R69" s="12"/>
      <c r="S69" s="13"/>
      <c r="T69" s="12"/>
    </row>
    <row r="70" ht="15.75" customHeight="1">
      <c r="A70" s="12"/>
      <c r="B70" s="12"/>
      <c r="C70" s="12"/>
      <c r="D70" s="12"/>
      <c r="E70" s="12"/>
      <c r="F70" s="12"/>
      <c r="G70" s="12"/>
      <c r="H70" s="12"/>
      <c r="I70" s="12"/>
      <c r="J70" s="12"/>
      <c r="K70" s="12"/>
      <c r="L70" s="12"/>
      <c r="M70" s="13"/>
      <c r="N70" s="13"/>
      <c r="O70" s="12"/>
      <c r="P70" s="12"/>
      <c r="Q70" s="12"/>
      <c r="R70" s="12"/>
      <c r="S70" s="13"/>
      <c r="T70" s="12"/>
    </row>
    <row r="71" ht="15.75" customHeight="1">
      <c r="A71" s="12"/>
      <c r="B71" s="12"/>
      <c r="C71" s="12"/>
      <c r="D71" s="12"/>
      <c r="E71" s="12"/>
      <c r="F71" s="12"/>
      <c r="G71" s="12"/>
      <c r="H71" s="12"/>
      <c r="I71" s="12"/>
      <c r="J71" s="12"/>
      <c r="K71" s="12"/>
      <c r="L71" s="12"/>
      <c r="M71" s="13"/>
      <c r="N71" s="13"/>
      <c r="O71" s="12"/>
      <c r="P71" s="12"/>
      <c r="Q71" s="12"/>
      <c r="R71" s="12"/>
      <c r="S71" s="13"/>
      <c r="T71" s="12"/>
    </row>
    <row r="72" ht="15.75" customHeight="1">
      <c r="A72" s="12"/>
      <c r="B72" s="12"/>
      <c r="C72" s="12"/>
      <c r="D72" s="12"/>
      <c r="E72" s="12"/>
      <c r="F72" s="12"/>
      <c r="G72" s="12"/>
      <c r="H72" s="12"/>
      <c r="I72" s="12"/>
      <c r="J72" s="12"/>
      <c r="K72" s="12"/>
      <c r="L72" s="12"/>
      <c r="M72" s="13"/>
      <c r="N72" s="13"/>
      <c r="O72" s="12"/>
      <c r="P72" s="12"/>
      <c r="Q72" s="12"/>
      <c r="R72" s="12"/>
      <c r="S72" s="13"/>
      <c r="T72" s="12"/>
    </row>
    <row r="73" ht="15.75" customHeight="1">
      <c r="A73" s="12"/>
      <c r="B73" s="12"/>
      <c r="C73" s="12"/>
      <c r="D73" s="12"/>
      <c r="E73" s="12"/>
      <c r="F73" s="12"/>
      <c r="G73" s="12"/>
      <c r="H73" s="12"/>
      <c r="I73" s="12"/>
      <c r="J73" s="12"/>
      <c r="K73" s="12"/>
      <c r="L73" s="12"/>
      <c r="M73" s="13"/>
      <c r="N73" s="13"/>
      <c r="O73" s="12"/>
      <c r="P73" s="12"/>
      <c r="Q73" s="12"/>
      <c r="R73" s="12"/>
      <c r="S73" s="13"/>
      <c r="T73" s="12"/>
    </row>
    <row r="74" ht="15.75" customHeight="1">
      <c r="A74" s="12"/>
      <c r="B74" s="12"/>
      <c r="C74" s="12"/>
      <c r="D74" s="12"/>
      <c r="E74" s="12"/>
      <c r="F74" s="12"/>
      <c r="G74" s="12"/>
      <c r="H74" s="12"/>
      <c r="I74" s="12"/>
      <c r="J74" s="12"/>
      <c r="K74" s="12"/>
      <c r="L74" s="12"/>
      <c r="M74" s="13"/>
      <c r="N74" s="13"/>
      <c r="O74" s="12"/>
      <c r="P74" s="12"/>
      <c r="Q74" s="12"/>
      <c r="R74" s="12"/>
      <c r="S74" s="13"/>
      <c r="T74" s="12"/>
    </row>
    <row r="75" ht="15.75" customHeight="1">
      <c r="A75" s="12"/>
      <c r="B75" s="12"/>
      <c r="C75" s="12"/>
      <c r="D75" s="12"/>
      <c r="E75" s="12"/>
      <c r="F75" s="12"/>
      <c r="G75" s="12"/>
      <c r="H75" s="12"/>
      <c r="I75" s="12"/>
      <c r="J75" s="12"/>
      <c r="K75" s="12"/>
      <c r="L75" s="12"/>
      <c r="M75" s="13"/>
      <c r="N75" s="13"/>
      <c r="O75" s="12"/>
      <c r="P75" s="12"/>
      <c r="Q75" s="12"/>
      <c r="R75" s="12"/>
      <c r="S75" s="13"/>
      <c r="T75" s="12"/>
    </row>
    <row r="76" ht="15.75" customHeight="1">
      <c r="A76" s="12"/>
      <c r="B76" s="12"/>
      <c r="C76" s="12"/>
      <c r="D76" s="12"/>
      <c r="E76" s="12"/>
      <c r="F76" s="12"/>
      <c r="G76" s="12"/>
      <c r="H76" s="12"/>
      <c r="I76" s="12"/>
      <c r="J76" s="12"/>
      <c r="K76" s="12"/>
      <c r="L76" s="12"/>
      <c r="M76" s="13"/>
      <c r="N76" s="13"/>
      <c r="O76" s="12"/>
      <c r="P76" s="12"/>
      <c r="Q76" s="12"/>
      <c r="R76" s="12"/>
      <c r="S76" s="13"/>
      <c r="T76" s="12"/>
    </row>
    <row r="77" ht="15.75" customHeight="1">
      <c r="A77" s="12"/>
      <c r="B77" s="12"/>
      <c r="C77" s="12"/>
      <c r="D77" s="12"/>
      <c r="E77" s="12"/>
      <c r="F77" s="12"/>
      <c r="G77" s="12"/>
      <c r="H77" s="12"/>
      <c r="I77" s="12"/>
      <c r="J77" s="12"/>
      <c r="K77" s="12"/>
      <c r="L77" s="12"/>
      <c r="M77" s="13"/>
      <c r="N77" s="13"/>
      <c r="O77" s="12"/>
      <c r="P77" s="12"/>
      <c r="Q77" s="12"/>
      <c r="R77" s="12"/>
      <c r="S77" s="13"/>
      <c r="T77" s="12"/>
    </row>
    <row r="78" ht="15.75" customHeight="1">
      <c r="A78" s="12"/>
      <c r="B78" s="12"/>
      <c r="C78" s="12"/>
      <c r="D78" s="12"/>
      <c r="E78" s="12"/>
      <c r="F78" s="12"/>
      <c r="G78" s="12"/>
      <c r="H78" s="12"/>
      <c r="I78" s="12"/>
      <c r="J78" s="12"/>
      <c r="K78" s="12"/>
      <c r="L78" s="12"/>
      <c r="M78" s="13"/>
      <c r="N78" s="13"/>
      <c r="O78" s="12"/>
      <c r="P78" s="12"/>
      <c r="Q78" s="12"/>
      <c r="R78" s="12"/>
      <c r="S78" s="13"/>
      <c r="T78" s="12"/>
    </row>
    <row r="79" ht="15.75" customHeight="1">
      <c r="A79" s="12"/>
      <c r="B79" s="12"/>
      <c r="C79" s="12"/>
      <c r="D79" s="12"/>
      <c r="E79" s="12"/>
      <c r="F79" s="12"/>
      <c r="G79" s="12"/>
      <c r="H79" s="12"/>
      <c r="I79" s="12"/>
      <c r="J79" s="12"/>
      <c r="K79" s="12"/>
      <c r="L79" s="12"/>
      <c r="M79" s="13"/>
      <c r="N79" s="13"/>
      <c r="O79" s="12"/>
      <c r="P79" s="12"/>
      <c r="Q79" s="12"/>
      <c r="R79" s="12"/>
      <c r="S79" s="13"/>
      <c r="T79" s="12"/>
    </row>
    <row r="80" ht="15.75" customHeight="1">
      <c r="A80" s="12"/>
      <c r="B80" s="12"/>
      <c r="C80" s="12"/>
      <c r="D80" s="12"/>
      <c r="E80" s="12"/>
      <c r="F80" s="12"/>
      <c r="G80" s="12"/>
      <c r="H80" s="12"/>
      <c r="I80" s="12"/>
      <c r="J80" s="12"/>
      <c r="K80" s="12"/>
      <c r="L80" s="12"/>
      <c r="M80" s="13"/>
      <c r="N80" s="13"/>
      <c r="O80" s="12"/>
      <c r="P80" s="12"/>
      <c r="Q80" s="12"/>
      <c r="R80" s="12"/>
      <c r="S80" s="13"/>
      <c r="T80" s="12"/>
    </row>
    <row r="81" ht="15.75" customHeight="1">
      <c r="A81" s="12"/>
      <c r="B81" s="12"/>
      <c r="C81" s="12"/>
      <c r="D81" s="12"/>
      <c r="E81" s="12"/>
      <c r="F81" s="12"/>
      <c r="G81" s="12"/>
      <c r="H81" s="12"/>
      <c r="I81" s="12"/>
      <c r="J81" s="12"/>
      <c r="K81" s="12"/>
      <c r="L81" s="12"/>
      <c r="M81" s="13"/>
      <c r="N81" s="13"/>
      <c r="O81" s="12"/>
      <c r="P81" s="12"/>
      <c r="Q81" s="12"/>
      <c r="R81" s="12"/>
      <c r="S81" s="13"/>
      <c r="T81" s="12"/>
    </row>
    <row r="82" ht="15.75" customHeight="1">
      <c r="A82" s="12"/>
      <c r="B82" s="12"/>
      <c r="C82" s="12"/>
      <c r="D82" s="12"/>
      <c r="E82" s="12"/>
      <c r="F82" s="12"/>
      <c r="G82" s="12"/>
      <c r="H82" s="12"/>
      <c r="I82" s="12"/>
      <c r="J82" s="12"/>
      <c r="K82" s="12"/>
      <c r="L82" s="12"/>
      <c r="M82" s="13"/>
      <c r="N82" s="13"/>
      <c r="O82" s="12"/>
      <c r="P82" s="12"/>
      <c r="Q82" s="12"/>
      <c r="R82" s="12"/>
      <c r="S82" s="13"/>
      <c r="T82" s="12"/>
    </row>
    <row r="83" ht="15.75" customHeight="1">
      <c r="A83" s="12"/>
      <c r="B83" s="12"/>
      <c r="C83" s="12"/>
      <c r="D83" s="12"/>
      <c r="E83" s="12"/>
      <c r="F83" s="12"/>
      <c r="G83" s="12"/>
      <c r="H83" s="12"/>
      <c r="I83" s="12"/>
      <c r="J83" s="12"/>
      <c r="K83" s="12"/>
      <c r="L83" s="12"/>
      <c r="M83" s="13"/>
      <c r="N83" s="13"/>
      <c r="O83" s="12"/>
      <c r="P83" s="12"/>
      <c r="Q83" s="12"/>
      <c r="R83" s="12"/>
      <c r="S83" s="13"/>
      <c r="T83" s="12"/>
    </row>
    <row r="84" ht="15.75" customHeight="1">
      <c r="A84" s="12"/>
      <c r="B84" s="12"/>
      <c r="C84" s="12"/>
      <c r="D84" s="12"/>
      <c r="E84" s="12"/>
      <c r="F84" s="12"/>
      <c r="G84" s="12"/>
      <c r="H84" s="12"/>
      <c r="I84" s="12"/>
      <c r="J84" s="12"/>
      <c r="K84" s="12"/>
      <c r="L84" s="12"/>
      <c r="M84" s="13"/>
      <c r="N84" s="13"/>
      <c r="O84" s="12"/>
      <c r="P84" s="12"/>
      <c r="Q84" s="12"/>
      <c r="R84" s="12"/>
      <c r="S84" s="13"/>
      <c r="T84" s="12"/>
    </row>
    <row r="85" ht="15.75" customHeight="1">
      <c r="A85" s="12"/>
      <c r="B85" s="12"/>
      <c r="C85" s="12"/>
      <c r="D85" s="12"/>
      <c r="E85" s="12"/>
      <c r="F85" s="12"/>
      <c r="G85" s="12"/>
      <c r="H85" s="12"/>
      <c r="I85" s="12"/>
      <c r="J85" s="12"/>
      <c r="K85" s="12"/>
      <c r="L85" s="12"/>
      <c r="M85" s="13"/>
      <c r="N85" s="13"/>
      <c r="O85" s="12"/>
      <c r="P85" s="12"/>
      <c r="Q85" s="12"/>
      <c r="R85" s="12"/>
      <c r="S85" s="13"/>
      <c r="T85" s="12"/>
    </row>
    <row r="86" ht="15.75" customHeight="1">
      <c r="A86" s="12"/>
      <c r="B86" s="12"/>
      <c r="C86" s="12"/>
      <c r="D86" s="12"/>
      <c r="E86" s="12"/>
      <c r="F86" s="12"/>
      <c r="G86" s="12"/>
      <c r="H86" s="12"/>
      <c r="I86" s="12"/>
      <c r="J86" s="12"/>
      <c r="K86" s="12"/>
      <c r="L86" s="12"/>
      <c r="M86" s="13"/>
      <c r="N86" s="13"/>
      <c r="O86" s="12"/>
      <c r="P86" s="12"/>
      <c r="Q86" s="12"/>
      <c r="R86" s="12"/>
      <c r="S86" s="13"/>
      <c r="T86" s="12"/>
    </row>
    <row r="87" ht="15.75" customHeight="1">
      <c r="A87" s="12"/>
      <c r="B87" s="12"/>
      <c r="C87" s="12"/>
      <c r="D87" s="12"/>
      <c r="E87" s="12"/>
      <c r="F87" s="12"/>
      <c r="G87" s="12"/>
      <c r="H87" s="12"/>
      <c r="I87" s="12"/>
      <c r="J87" s="12"/>
      <c r="K87" s="12"/>
      <c r="L87" s="12"/>
      <c r="M87" s="13"/>
      <c r="N87" s="13"/>
      <c r="O87" s="12"/>
      <c r="P87" s="12"/>
      <c r="Q87" s="12"/>
      <c r="R87" s="12"/>
      <c r="S87" s="13"/>
      <c r="T87" s="12"/>
    </row>
    <row r="88" ht="15.75" customHeight="1">
      <c r="A88" s="12"/>
      <c r="B88" s="12"/>
      <c r="C88" s="12"/>
      <c r="D88" s="12"/>
      <c r="E88" s="12"/>
      <c r="F88" s="12"/>
      <c r="G88" s="12"/>
      <c r="H88" s="12"/>
      <c r="I88" s="12"/>
      <c r="J88" s="12"/>
      <c r="K88" s="12"/>
      <c r="L88" s="12"/>
      <c r="M88" s="13"/>
      <c r="N88" s="13"/>
      <c r="O88" s="12"/>
      <c r="P88" s="12"/>
      <c r="Q88" s="12"/>
      <c r="R88" s="12"/>
      <c r="S88" s="13"/>
      <c r="T88" s="12"/>
    </row>
    <row r="89" ht="15.75" customHeight="1">
      <c r="A89" s="12"/>
      <c r="B89" s="12"/>
      <c r="C89" s="12"/>
      <c r="D89" s="12"/>
      <c r="E89" s="12"/>
      <c r="F89" s="12"/>
      <c r="G89" s="12"/>
      <c r="H89" s="12"/>
      <c r="I89" s="12"/>
      <c r="J89" s="12"/>
      <c r="K89" s="12"/>
      <c r="L89" s="12"/>
      <c r="M89" s="13"/>
      <c r="N89" s="13"/>
      <c r="O89" s="12"/>
      <c r="P89" s="12"/>
      <c r="Q89" s="12"/>
      <c r="R89" s="12"/>
      <c r="S89" s="13"/>
      <c r="T89" s="12"/>
    </row>
    <row r="90" ht="15.75" customHeight="1">
      <c r="A90" s="12"/>
      <c r="B90" s="12"/>
      <c r="C90" s="12"/>
      <c r="D90" s="12"/>
      <c r="E90" s="12"/>
      <c r="F90" s="12"/>
      <c r="G90" s="12"/>
      <c r="H90" s="12"/>
      <c r="I90" s="12"/>
      <c r="J90" s="12"/>
      <c r="K90" s="12"/>
      <c r="L90" s="12"/>
      <c r="M90" s="13"/>
      <c r="N90" s="13"/>
      <c r="O90" s="12"/>
      <c r="P90" s="12"/>
      <c r="Q90" s="12"/>
      <c r="R90" s="12"/>
      <c r="S90" s="13"/>
      <c r="T90" s="12"/>
    </row>
    <row r="91" ht="15.75" customHeight="1">
      <c r="A91" s="12"/>
      <c r="B91" s="12"/>
      <c r="C91" s="12"/>
      <c r="D91" s="12"/>
      <c r="E91" s="12"/>
      <c r="F91" s="12"/>
      <c r="G91" s="12"/>
      <c r="H91" s="12"/>
      <c r="I91" s="12"/>
      <c r="J91" s="12"/>
      <c r="K91" s="12"/>
      <c r="L91" s="12"/>
      <c r="M91" s="13"/>
      <c r="N91" s="13"/>
      <c r="O91" s="12"/>
      <c r="P91" s="12"/>
      <c r="Q91" s="12"/>
      <c r="R91" s="12"/>
      <c r="S91" s="13"/>
      <c r="T91" s="12"/>
    </row>
    <row r="92" ht="15.75" customHeight="1">
      <c r="A92" s="12"/>
      <c r="B92" s="12"/>
      <c r="C92" s="12"/>
      <c r="D92" s="12"/>
      <c r="E92" s="12"/>
      <c r="F92" s="12"/>
      <c r="G92" s="12"/>
      <c r="H92" s="12"/>
      <c r="I92" s="12"/>
      <c r="J92" s="12"/>
      <c r="K92" s="12"/>
      <c r="L92" s="12"/>
      <c r="M92" s="13"/>
      <c r="N92" s="13"/>
      <c r="O92" s="12"/>
      <c r="P92" s="12"/>
      <c r="Q92" s="12"/>
      <c r="R92" s="12"/>
      <c r="S92" s="13"/>
      <c r="T92" s="12"/>
    </row>
    <row r="93" ht="15.75" customHeight="1">
      <c r="A93" s="12"/>
      <c r="B93" s="12"/>
      <c r="C93" s="12"/>
      <c r="D93" s="12"/>
      <c r="E93" s="12"/>
      <c r="F93" s="12"/>
      <c r="G93" s="12"/>
      <c r="H93" s="12"/>
      <c r="I93" s="12"/>
      <c r="J93" s="12"/>
      <c r="K93" s="12"/>
      <c r="L93" s="12"/>
      <c r="M93" s="13"/>
      <c r="N93" s="13"/>
      <c r="O93" s="12"/>
      <c r="P93" s="12"/>
      <c r="Q93" s="12"/>
      <c r="R93" s="12"/>
      <c r="S93" s="13"/>
      <c r="T93" s="12"/>
    </row>
    <row r="94" ht="15.75" customHeight="1">
      <c r="A94" s="12"/>
      <c r="B94" s="12"/>
      <c r="C94" s="12"/>
      <c r="D94" s="12"/>
      <c r="E94" s="12"/>
      <c r="F94" s="12"/>
      <c r="G94" s="12"/>
      <c r="H94" s="12"/>
      <c r="I94" s="12"/>
      <c r="J94" s="12"/>
      <c r="K94" s="12"/>
      <c r="L94" s="12"/>
      <c r="M94" s="13"/>
      <c r="N94" s="13"/>
      <c r="O94" s="12"/>
      <c r="P94" s="12"/>
      <c r="Q94" s="12"/>
      <c r="R94" s="12"/>
      <c r="S94" s="13"/>
      <c r="T94" s="12"/>
    </row>
    <row r="95" ht="15.75" customHeight="1">
      <c r="A95" s="12"/>
      <c r="B95" s="12"/>
      <c r="C95" s="12"/>
      <c r="D95" s="12"/>
      <c r="E95" s="12"/>
      <c r="F95" s="12"/>
      <c r="G95" s="12"/>
      <c r="H95" s="12"/>
      <c r="I95" s="12"/>
      <c r="J95" s="12"/>
      <c r="K95" s="12"/>
      <c r="L95" s="12"/>
      <c r="M95" s="13"/>
      <c r="N95" s="13"/>
      <c r="O95" s="12"/>
      <c r="P95" s="12"/>
      <c r="Q95" s="12"/>
      <c r="R95" s="12"/>
      <c r="S95" s="13"/>
      <c r="T95" s="12"/>
    </row>
    <row r="96" ht="15.75" customHeight="1">
      <c r="A96" s="12"/>
      <c r="B96" s="12"/>
      <c r="C96" s="12"/>
      <c r="D96" s="12"/>
      <c r="E96" s="12"/>
      <c r="F96" s="12"/>
      <c r="G96" s="12"/>
      <c r="H96" s="12"/>
      <c r="I96" s="12"/>
      <c r="J96" s="12"/>
      <c r="K96" s="12"/>
      <c r="L96" s="12"/>
      <c r="M96" s="13"/>
      <c r="N96" s="13"/>
      <c r="O96" s="12"/>
      <c r="P96" s="12"/>
      <c r="Q96" s="12"/>
      <c r="R96" s="12"/>
      <c r="S96" s="13"/>
      <c r="T96" s="12"/>
    </row>
    <row r="97" ht="15.75" customHeight="1">
      <c r="A97" s="12"/>
      <c r="B97" s="12"/>
      <c r="C97" s="12"/>
      <c r="D97" s="12"/>
      <c r="E97" s="12"/>
      <c r="F97" s="12"/>
      <c r="G97" s="12"/>
      <c r="H97" s="12"/>
      <c r="I97" s="12"/>
      <c r="J97" s="12"/>
      <c r="K97" s="12"/>
      <c r="L97" s="12"/>
      <c r="M97" s="13"/>
      <c r="N97" s="13"/>
      <c r="O97" s="12"/>
      <c r="P97" s="12"/>
      <c r="Q97" s="12"/>
      <c r="R97" s="12"/>
      <c r="S97" s="13"/>
      <c r="T97" s="12"/>
    </row>
    <row r="98" ht="15.75" customHeight="1">
      <c r="A98" s="12"/>
      <c r="B98" s="12"/>
      <c r="C98" s="12"/>
      <c r="D98" s="12"/>
      <c r="E98" s="12"/>
      <c r="F98" s="12"/>
      <c r="G98" s="12"/>
      <c r="H98" s="12"/>
      <c r="I98" s="12"/>
      <c r="J98" s="12"/>
      <c r="K98" s="12"/>
      <c r="L98" s="12"/>
      <c r="M98" s="13"/>
      <c r="N98" s="13"/>
      <c r="O98" s="12"/>
      <c r="P98" s="12"/>
      <c r="Q98" s="12"/>
      <c r="R98" s="12"/>
      <c r="S98" s="13"/>
      <c r="T98" s="12"/>
    </row>
    <row r="99" ht="15.75" customHeight="1">
      <c r="A99" s="12"/>
      <c r="B99" s="12"/>
      <c r="C99" s="12"/>
      <c r="D99" s="12"/>
      <c r="E99" s="12"/>
      <c r="F99" s="12"/>
      <c r="G99" s="12"/>
      <c r="H99" s="12"/>
      <c r="I99" s="12"/>
      <c r="J99" s="12"/>
      <c r="K99" s="12"/>
      <c r="L99" s="12"/>
      <c r="M99" s="13"/>
      <c r="N99" s="13"/>
      <c r="O99" s="12"/>
      <c r="P99" s="12"/>
      <c r="Q99" s="12"/>
      <c r="R99" s="12"/>
      <c r="S99" s="13"/>
      <c r="T99" s="12"/>
    </row>
    <row r="100" ht="15.75" customHeight="1">
      <c r="A100" s="12"/>
      <c r="B100" s="12"/>
      <c r="C100" s="12"/>
      <c r="D100" s="12"/>
      <c r="E100" s="12"/>
      <c r="F100" s="12"/>
      <c r="G100" s="12"/>
      <c r="H100" s="12"/>
      <c r="I100" s="12"/>
      <c r="J100" s="12"/>
      <c r="K100" s="12"/>
      <c r="L100" s="12"/>
      <c r="M100" s="13"/>
      <c r="N100" s="13"/>
      <c r="O100" s="12"/>
      <c r="P100" s="12"/>
      <c r="Q100" s="12"/>
      <c r="R100" s="12"/>
      <c r="S100" s="13"/>
      <c r="T100" s="12"/>
    </row>
    <row r="101" ht="15.75" customHeight="1">
      <c r="A101" s="12"/>
      <c r="B101" s="12"/>
      <c r="C101" s="12"/>
      <c r="D101" s="12"/>
      <c r="E101" s="12"/>
      <c r="F101" s="12"/>
      <c r="G101" s="12"/>
      <c r="H101" s="12"/>
      <c r="I101" s="12"/>
      <c r="J101" s="12"/>
      <c r="K101" s="12"/>
      <c r="L101" s="12"/>
      <c r="M101" s="13"/>
      <c r="N101" s="13"/>
      <c r="O101" s="12"/>
      <c r="P101" s="12"/>
      <c r="Q101" s="12"/>
      <c r="R101" s="12"/>
      <c r="S101" s="13"/>
      <c r="T101" s="12"/>
    </row>
    <row r="102" ht="15.75" customHeight="1">
      <c r="A102" s="12"/>
      <c r="B102" s="12"/>
      <c r="C102" s="12"/>
      <c r="D102" s="12"/>
      <c r="E102" s="12"/>
      <c r="F102" s="12"/>
      <c r="G102" s="12"/>
      <c r="H102" s="12"/>
      <c r="I102" s="12"/>
      <c r="J102" s="12"/>
      <c r="K102" s="12"/>
      <c r="L102" s="12"/>
      <c r="M102" s="13"/>
      <c r="N102" s="13"/>
      <c r="O102" s="12"/>
      <c r="P102" s="12"/>
      <c r="Q102" s="12"/>
      <c r="R102" s="12"/>
      <c r="S102" s="13"/>
      <c r="T102" s="12"/>
    </row>
    <row r="103" ht="15.75" customHeight="1">
      <c r="A103" s="12"/>
      <c r="B103" s="12"/>
      <c r="C103" s="12"/>
      <c r="D103" s="12"/>
      <c r="E103" s="12"/>
      <c r="F103" s="12"/>
      <c r="G103" s="12"/>
      <c r="H103" s="12"/>
      <c r="I103" s="12"/>
      <c r="J103" s="12"/>
      <c r="K103" s="12"/>
      <c r="L103" s="12"/>
      <c r="M103" s="13"/>
      <c r="N103" s="13"/>
      <c r="O103" s="12"/>
      <c r="P103" s="12"/>
      <c r="Q103" s="12"/>
      <c r="R103" s="12"/>
      <c r="S103" s="13"/>
      <c r="T103" s="12"/>
    </row>
    <row r="104" ht="15.75" customHeight="1">
      <c r="A104" s="12"/>
      <c r="B104" s="12"/>
      <c r="C104" s="12"/>
      <c r="D104" s="12"/>
      <c r="E104" s="12"/>
      <c r="F104" s="12"/>
      <c r="G104" s="12"/>
      <c r="H104" s="12"/>
      <c r="I104" s="12"/>
      <c r="J104" s="12"/>
      <c r="K104" s="12"/>
      <c r="L104" s="12"/>
      <c r="M104" s="13"/>
      <c r="N104" s="13"/>
      <c r="O104" s="12"/>
      <c r="P104" s="12"/>
      <c r="Q104" s="12"/>
      <c r="R104" s="12"/>
      <c r="S104" s="13"/>
      <c r="T104" s="12"/>
    </row>
    <row r="105" ht="15.75" customHeight="1">
      <c r="A105" s="12"/>
      <c r="B105" s="12"/>
      <c r="C105" s="12"/>
      <c r="D105" s="12"/>
      <c r="E105" s="12"/>
      <c r="F105" s="12"/>
      <c r="G105" s="12"/>
      <c r="H105" s="12"/>
      <c r="I105" s="12"/>
      <c r="J105" s="12"/>
      <c r="K105" s="12"/>
      <c r="L105" s="12"/>
      <c r="M105" s="13"/>
      <c r="N105" s="13"/>
      <c r="O105" s="12"/>
      <c r="P105" s="12"/>
      <c r="Q105" s="12"/>
      <c r="R105" s="12"/>
      <c r="S105" s="13"/>
      <c r="T105" s="12"/>
    </row>
    <row r="106" ht="15.75" customHeight="1">
      <c r="A106" s="12"/>
      <c r="B106" s="12"/>
      <c r="C106" s="12"/>
      <c r="D106" s="12"/>
      <c r="E106" s="12"/>
      <c r="F106" s="12"/>
      <c r="G106" s="12"/>
      <c r="H106" s="12"/>
      <c r="I106" s="12"/>
      <c r="J106" s="12"/>
      <c r="K106" s="12"/>
      <c r="L106" s="12"/>
      <c r="M106" s="13"/>
      <c r="N106" s="13"/>
      <c r="O106" s="12"/>
      <c r="P106" s="12"/>
      <c r="Q106" s="12"/>
      <c r="R106" s="12"/>
      <c r="S106" s="13"/>
      <c r="T106" s="12"/>
    </row>
    <row r="107" ht="15.75" customHeight="1">
      <c r="A107" s="12"/>
      <c r="B107" s="12"/>
      <c r="C107" s="12"/>
      <c r="D107" s="12"/>
      <c r="E107" s="12"/>
      <c r="F107" s="12"/>
      <c r="G107" s="12"/>
      <c r="H107" s="12"/>
      <c r="I107" s="12"/>
      <c r="J107" s="12"/>
      <c r="K107" s="12"/>
      <c r="L107" s="12"/>
      <c r="M107" s="13"/>
      <c r="N107" s="13"/>
      <c r="O107" s="12"/>
      <c r="P107" s="12"/>
      <c r="Q107" s="12"/>
      <c r="R107" s="12"/>
      <c r="S107" s="13"/>
      <c r="T107" s="12"/>
    </row>
    <row r="108" ht="15.75" customHeight="1">
      <c r="A108" s="12"/>
      <c r="B108" s="12"/>
      <c r="C108" s="12"/>
      <c r="D108" s="12"/>
      <c r="E108" s="12"/>
      <c r="F108" s="12"/>
      <c r="G108" s="12"/>
      <c r="H108" s="12"/>
      <c r="I108" s="12"/>
      <c r="J108" s="12"/>
      <c r="K108" s="12"/>
      <c r="L108" s="12"/>
      <c r="M108" s="13"/>
      <c r="N108" s="13"/>
      <c r="O108" s="12"/>
      <c r="P108" s="12"/>
      <c r="Q108" s="12"/>
      <c r="R108" s="12"/>
      <c r="S108" s="13"/>
      <c r="T108" s="12"/>
    </row>
    <row r="109" ht="15.75" customHeight="1">
      <c r="A109" s="12"/>
      <c r="B109" s="12"/>
      <c r="C109" s="12"/>
      <c r="D109" s="12"/>
      <c r="E109" s="12"/>
      <c r="F109" s="12"/>
      <c r="G109" s="12"/>
      <c r="H109" s="12"/>
      <c r="I109" s="12"/>
      <c r="J109" s="12"/>
      <c r="K109" s="12"/>
      <c r="L109" s="12"/>
      <c r="M109" s="13"/>
      <c r="N109" s="13"/>
      <c r="O109" s="12"/>
      <c r="P109" s="12"/>
      <c r="Q109" s="12"/>
      <c r="R109" s="12"/>
      <c r="S109" s="13"/>
      <c r="T109" s="12"/>
    </row>
    <row r="110" ht="15.75" customHeight="1">
      <c r="A110" s="12"/>
      <c r="B110" s="12"/>
      <c r="C110" s="12"/>
      <c r="D110" s="12"/>
      <c r="E110" s="12"/>
      <c r="F110" s="12"/>
      <c r="G110" s="12"/>
      <c r="H110" s="12"/>
      <c r="I110" s="12"/>
      <c r="J110" s="12"/>
      <c r="K110" s="12"/>
      <c r="L110" s="12"/>
      <c r="M110" s="13"/>
      <c r="N110" s="13"/>
      <c r="O110" s="12"/>
      <c r="P110" s="12"/>
      <c r="Q110" s="12"/>
      <c r="R110" s="12"/>
      <c r="S110" s="13"/>
      <c r="T110" s="12"/>
    </row>
    <row r="111" ht="15.75" customHeight="1">
      <c r="A111" s="12"/>
      <c r="B111" s="12"/>
      <c r="C111" s="12"/>
      <c r="D111" s="12"/>
      <c r="E111" s="12"/>
      <c r="F111" s="12"/>
      <c r="G111" s="12"/>
      <c r="H111" s="12"/>
      <c r="I111" s="12"/>
      <c r="J111" s="12"/>
      <c r="K111" s="12"/>
      <c r="L111" s="12"/>
      <c r="M111" s="13"/>
      <c r="N111" s="13"/>
      <c r="O111" s="12"/>
      <c r="P111" s="12"/>
      <c r="Q111" s="12"/>
      <c r="R111" s="12"/>
      <c r="S111" s="13"/>
      <c r="T111" s="12"/>
    </row>
    <row r="112" ht="15.75" customHeight="1">
      <c r="A112" s="12"/>
      <c r="B112" s="12"/>
      <c r="C112" s="12"/>
      <c r="D112" s="12"/>
      <c r="E112" s="12"/>
      <c r="F112" s="12"/>
      <c r="G112" s="12"/>
      <c r="H112" s="12"/>
      <c r="I112" s="12"/>
      <c r="J112" s="12"/>
      <c r="K112" s="12"/>
      <c r="L112" s="12"/>
      <c r="M112" s="13"/>
      <c r="N112" s="13"/>
      <c r="O112" s="12"/>
      <c r="P112" s="12"/>
      <c r="Q112" s="12"/>
      <c r="R112" s="12"/>
      <c r="S112" s="13"/>
      <c r="T112" s="12"/>
    </row>
    <row r="113" ht="15.75" customHeight="1">
      <c r="A113" s="12"/>
      <c r="B113" s="12"/>
      <c r="C113" s="12"/>
      <c r="D113" s="12"/>
      <c r="E113" s="12"/>
      <c r="F113" s="12"/>
      <c r="G113" s="12"/>
      <c r="H113" s="12"/>
      <c r="I113" s="12"/>
      <c r="J113" s="12"/>
      <c r="K113" s="12"/>
      <c r="L113" s="12"/>
      <c r="M113" s="13"/>
      <c r="N113" s="13"/>
      <c r="O113" s="12"/>
      <c r="P113" s="12"/>
      <c r="Q113" s="12"/>
      <c r="R113" s="12"/>
      <c r="S113" s="13"/>
      <c r="T113" s="12"/>
    </row>
    <row r="114" ht="15.75" customHeight="1">
      <c r="A114" s="12"/>
      <c r="B114" s="12"/>
      <c r="C114" s="12"/>
      <c r="D114" s="12"/>
      <c r="E114" s="12"/>
      <c r="F114" s="12"/>
      <c r="G114" s="12"/>
      <c r="H114" s="12"/>
      <c r="I114" s="12"/>
      <c r="J114" s="12"/>
      <c r="K114" s="12"/>
      <c r="L114" s="12"/>
      <c r="M114" s="13"/>
      <c r="N114" s="13"/>
      <c r="O114" s="12"/>
      <c r="P114" s="12"/>
      <c r="Q114" s="12"/>
      <c r="R114" s="12"/>
      <c r="S114" s="13"/>
      <c r="T114" s="12"/>
    </row>
    <row r="115" ht="15.75" customHeight="1">
      <c r="A115" s="12"/>
      <c r="B115" s="12"/>
      <c r="C115" s="12"/>
      <c r="D115" s="12"/>
      <c r="E115" s="12"/>
      <c r="F115" s="12"/>
      <c r="G115" s="12"/>
      <c r="H115" s="12"/>
      <c r="I115" s="12"/>
      <c r="J115" s="12"/>
      <c r="K115" s="12"/>
      <c r="L115" s="12"/>
      <c r="M115" s="13"/>
      <c r="N115" s="13"/>
      <c r="O115" s="12"/>
      <c r="P115" s="12"/>
      <c r="Q115" s="12"/>
      <c r="R115" s="12"/>
      <c r="S115" s="13"/>
      <c r="T115" s="12"/>
    </row>
    <row r="116" ht="15.75" customHeight="1">
      <c r="A116" s="12"/>
      <c r="B116" s="12"/>
      <c r="C116" s="12"/>
      <c r="D116" s="12"/>
      <c r="E116" s="12"/>
      <c r="F116" s="12"/>
      <c r="G116" s="12"/>
      <c r="H116" s="12"/>
      <c r="I116" s="12"/>
      <c r="J116" s="12"/>
      <c r="K116" s="12"/>
      <c r="L116" s="12"/>
      <c r="M116" s="13"/>
      <c r="N116" s="13"/>
      <c r="O116" s="12"/>
      <c r="P116" s="12"/>
      <c r="Q116" s="12"/>
      <c r="R116" s="12"/>
      <c r="S116" s="13"/>
      <c r="T116" s="12"/>
    </row>
    <row r="117" ht="15.75" customHeight="1">
      <c r="A117" s="12"/>
      <c r="B117" s="12"/>
      <c r="C117" s="12"/>
      <c r="D117" s="12"/>
      <c r="E117" s="12"/>
      <c r="F117" s="12"/>
      <c r="G117" s="12"/>
      <c r="H117" s="12"/>
      <c r="I117" s="12"/>
      <c r="J117" s="12"/>
      <c r="K117" s="12"/>
      <c r="L117" s="12"/>
      <c r="M117" s="13"/>
      <c r="N117" s="13"/>
      <c r="O117" s="12"/>
      <c r="P117" s="12"/>
      <c r="Q117" s="12"/>
      <c r="R117" s="12"/>
      <c r="S117" s="13"/>
      <c r="T117" s="12"/>
    </row>
    <row r="118" ht="15.75" customHeight="1">
      <c r="A118" s="12"/>
      <c r="B118" s="12"/>
      <c r="C118" s="12"/>
      <c r="D118" s="12"/>
      <c r="E118" s="12"/>
      <c r="F118" s="12"/>
      <c r="G118" s="12"/>
      <c r="H118" s="12"/>
      <c r="I118" s="12"/>
      <c r="J118" s="12"/>
      <c r="K118" s="12"/>
      <c r="L118" s="12"/>
      <c r="M118" s="13"/>
      <c r="N118" s="13"/>
      <c r="O118" s="12"/>
      <c r="P118" s="12"/>
      <c r="Q118" s="12"/>
      <c r="R118" s="12"/>
      <c r="S118" s="13"/>
      <c r="T118" s="12"/>
    </row>
    <row r="119" ht="15.75" customHeight="1">
      <c r="A119" s="12"/>
      <c r="B119" s="12"/>
      <c r="C119" s="12"/>
      <c r="D119" s="12"/>
      <c r="E119" s="12"/>
      <c r="F119" s="12"/>
      <c r="G119" s="12"/>
      <c r="H119" s="12"/>
      <c r="I119" s="12"/>
      <c r="J119" s="12"/>
      <c r="K119" s="12"/>
      <c r="L119" s="12"/>
      <c r="M119" s="13"/>
      <c r="N119" s="13"/>
      <c r="O119" s="12"/>
      <c r="P119" s="12"/>
      <c r="Q119" s="12"/>
      <c r="R119" s="12"/>
      <c r="S119" s="13"/>
      <c r="T119" s="12"/>
    </row>
    <row r="120" ht="15.75" customHeight="1">
      <c r="A120" s="12"/>
      <c r="B120" s="12"/>
      <c r="C120" s="12"/>
      <c r="D120" s="12"/>
      <c r="E120" s="12"/>
      <c r="F120" s="12"/>
      <c r="G120" s="12"/>
      <c r="H120" s="12"/>
      <c r="I120" s="12"/>
      <c r="J120" s="12"/>
      <c r="K120" s="12"/>
      <c r="L120" s="12"/>
      <c r="M120" s="13"/>
      <c r="N120" s="13"/>
      <c r="O120" s="12"/>
      <c r="P120" s="12"/>
      <c r="Q120" s="12"/>
      <c r="R120" s="12"/>
      <c r="S120" s="13"/>
      <c r="T120" s="12"/>
    </row>
    <row r="121" ht="15.75" customHeight="1">
      <c r="A121" s="12"/>
      <c r="B121" s="12"/>
      <c r="C121" s="12"/>
      <c r="D121" s="12"/>
      <c r="E121" s="12"/>
      <c r="F121" s="12"/>
      <c r="G121" s="12"/>
      <c r="H121" s="12"/>
      <c r="I121" s="12"/>
      <c r="J121" s="12"/>
      <c r="K121" s="12"/>
      <c r="L121" s="12"/>
      <c r="M121" s="13"/>
      <c r="N121" s="13"/>
      <c r="O121" s="12"/>
      <c r="P121" s="12"/>
      <c r="Q121" s="12"/>
      <c r="R121" s="12"/>
      <c r="S121" s="13"/>
      <c r="T121" s="12"/>
    </row>
    <row r="122" ht="15.75" customHeight="1">
      <c r="A122" s="12"/>
      <c r="B122" s="12"/>
      <c r="C122" s="12"/>
      <c r="D122" s="12"/>
      <c r="E122" s="12"/>
      <c r="F122" s="12"/>
      <c r="G122" s="12"/>
      <c r="H122" s="12"/>
      <c r="I122" s="12"/>
      <c r="J122" s="12"/>
      <c r="K122" s="12"/>
      <c r="L122" s="12"/>
      <c r="M122" s="13"/>
      <c r="N122" s="13"/>
      <c r="O122" s="12"/>
      <c r="P122" s="12"/>
      <c r="Q122" s="12"/>
      <c r="R122" s="12"/>
      <c r="S122" s="13"/>
      <c r="T122" s="12"/>
    </row>
    <row r="123" ht="15.75" customHeight="1">
      <c r="A123" s="12"/>
      <c r="B123" s="12"/>
      <c r="C123" s="12"/>
      <c r="D123" s="12"/>
      <c r="E123" s="12"/>
      <c r="F123" s="12"/>
      <c r="G123" s="12"/>
      <c r="H123" s="12"/>
      <c r="I123" s="12"/>
      <c r="J123" s="12"/>
      <c r="K123" s="12"/>
      <c r="L123" s="12"/>
      <c r="M123" s="13"/>
      <c r="N123" s="13"/>
      <c r="O123" s="12"/>
      <c r="P123" s="12"/>
      <c r="Q123" s="12"/>
      <c r="R123" s="12"/>
      <c r="S123" s="13"/>
      <c r="T123" s="12"/>
    </row>
    <row r="124" ht="15.75" customHeight="1">
      <c r="A124" s="12"/>
      <c r="B124" s="12"/>
      <c r="C124" s="12"/>
      <c r="D124" s="12"/>
      <c r="E124" s="12"/>
      <c r="F124" s="12"/>
      <c r="G124" s="12"/>
      <c r="H124" s="12"/>
      <c r="I124" s="12"/>
      <c r="J124" s="12"/>
      <c r="K124" s="12"/>
      <c r="L124" s="12"/>
      <c r="M124" s="13"/>
      <c r="N124" s="13"/>
      <c r="O124" s="12"/>
      <c r="P124" s="12"/>
      <c r="Q124" s="12"/>
      <c r="R124" s="12"/>
      <c r="S124" s="13"/>
      <c r="T124" s="12"/>
    </row>
    <row r="125" ht="15.75" customHeight="1">
      <c r="A125" s="12"/>
      <c r="B125" s="12"/>
      <c r="C125" s="12"/>
      <c r="D125" s="12"/>
      <c r="E125" s="12"/>
      <c r="F125" s="12"/>
      <c r="G125" s="12"/>
      <c r="H125" s="12"/>
      <c r="I125" s="12"/>
      <c r="J125" s="12"/>
      <c r="K125" s="12"/>
      <c r="L125" s="12"/>
      <c r="M125" s="13"/>
      <c r="N125" s="13"/>
      <c r="O125" s="12"/>
      <c r="P125" s="12"/>
      <c r="Q125" s="12"/>
      <c r="R125" s="12"/>
      <c r="S125" s="13"/>
      <c r="T125" s="12"/>
    </row>
    <row r="126" ht="15.75" customHeight="1">
      <c r="A126" s="12"/>
      <c r="B126" s="12"/>
      <c r="C126" s="12"/>
      <c r="D126" s="12"/>
      <c r="E126" s="12"/>
      <c r="F126" s="12"/>
      <c r="G126" s="12"/>
      <c r="H126" s="12"/>
      <c r="I126" s="12"/>
      <c r="J126" s="12"/>
      <c r="K126" s="12"/>
      <c r="L126" s="12"/>
      <c r="M126" s="13"/>
      <c r="N126" s="13"/>
      <c r="O126" s="12"/>
      <c r="P126" s="12"/>
      <c r="Q126" s="12"/>
      <c r="R126" s="12"/>
      <c r="S126" s="13"/>
      <c r="T126" s="12"/>
    </row>
    <row r="127" ht="15.75" customHeight="1">
      <c r="A127" s="12"/>
      <c r="B127" s="12"/>
      <c r="C127" s="12"/>
      <c r="D127" s="12"/>
      <c r="E127" s="12"/>
      <c r="F127" s="12"/>
      <c r="G127" s="12"/>
      <c r="H127" s="12"/>
      <c r="I127" s="12"/>
      <c r="J127" s="12"/>
      <c r="K127" s="12"/>
      <c r="L127" s="12"/>
      <c r="M127" s="13"/>
      <c r="N127" s="13"/>
      <c r="O127" s="12"/>
      <c r="P127" s="12"/>
      <c r="Q127" s="12"/>
      <c r="R127" s="12"/>
      <c r="S127" s="13"/>
      <c r="T127" s="12"/>
    </row>
    <row r="128" ht="15.75" customHeight="1">
      <c r="A128" s="12"/>
      <c r="B128" s="12"/>
      <c r="C128" s="12"/>
      <c r="D128" s="12"/>
      <c r="E128" s="12"/>
      <c r="F128" s="12"/>
      <c r="G128" s="12"/>
      <c r="H128" s="12"/>
      <c r="I128" s="12"/>
      <c r="J128" s="12"/>
      <c r="K128" s="12"/>
      <c r="L128" s="12"/>
      <c r="M128" s="13"/>
      <c r="N128" s="13"/>
      <c r="O128" s="12"/>
      <c r="P128" s="12"/>
      <c r="Q128" s="12"/>
      <c r="R128" s="12"/>
      <c r="S128" s="13"/>
      <c r="T128" s="12"/>
    </row>
    <row r="129" ht="15.75" customHeight="1">
      <c r="A129" s="12"/>
      <c r="B129" s="12"/>
      <c r="C129" s="12"/>
      <c r="D129" s="12"/>
      <c r="E129" s="12"/>
      <c r="F129" s="12"/>
      <c r="G129" s="12"/>
      <c r="H129" s="12"/>
      <c r="I129" s="12"/>
      <c r="J129" s="12"/>
      <c r="K129" s="12"/>
      <c r="L129" s="12"/>
      <c r="M129" s="13"/>
      <c r="N129" s="13"/>
      <c r="O129" s="12"/>
      <c r="P129" s="12"/>
      <c r="Q129" s="12"/>
      <c r="R129" s="12"/>
      <c r="S129" s="13"/>
      <c r="T129" s="12"/>
    </row>
    <row r="130" ht="15.75" customHeight="1">
      <c r="A130" s="12"/>
      <c r="B130" s="12"/>
      <c r="C130" s="12"/>
      <c r="D130" s="12"/>
      <c r="E130" s="12"/>
      <c r="F130" s="12"/>
      <c r="G130" s="12"/>
      <c r="H130" s="12"/>
      <c r="I130" s="12"/>
      <c r="J130" s="12"/>
      <c r="K130" s="12"/>
      <c r="L130" s="12"/>
      <c r="M130" s="13"/>
      <c r="N130" s="13"/>
      <c r="O130" s="12"/>
      <c r="P130" s="12"/>
      <c r="Q130" s="12"/>
      <c r="R130" s="12"/>
      <c r="S130" s="13"/>
      <c r="T130" s="12"/>
    </row>
    <row r="131" ht="15.75" customHeight="1">
      <c r="A131" s="12"/>
      <c r="B131" s="12"/>
      <c r="C131" s="12"/>
      <c r="D131" s="12"/>
      <c r="E131" s="12"/>
      <c r="F131" s="12"/>
      <c r="G131" s="12"/>
      <c r="H131" s="12"/>
      <c r="I131" s="12"/>
      <c r="J131" s="12"/>
      <c r="K131" s="12"/>
      <c r="L131" s="12"/>
      <c r="M131" s="13"/>
      <c r="N131" s="13"/>
      <c r="O131" s="12"/>
      <c r="P131" s="12"/>
      <c r="Q131" s="12"/>
      <c r="R131" s="12"/>
      <c r="S131" s="13"/>
      <c r="T131" s="12"/>
    </row>
    <row r="132" ht="15.75" customHeight="1">
      <c r="A132" s="12"/>
      <c r="B132" s="12"/>
      <c r="C132" s="12"/>
      <c r="D132" s="12"/>
      <c r="E132" s="12"/>
      <c r="F132" s="12"/>
      <c r="G132" s="12"/>
      <c r="H132" s="12"/>
      <c r="I132" s="12"/>
      <c r="J132" s="12"/>
      <c r="K132" s="12"/>
      <c r="L132" s="12"/>
      <c r="M132" s="13"/>
      <c r="N132" s="13"/>
      <c r="O132" s="12"/>
      <c r="P132" s="12"/>
      <c r="Q132" s="12"/>
      <c r="R132" s="12"/>
      <c r="S132" s="13"/>
      <c r="T132" s="12"/>
    </row>
    <row r="133" ht="15.75" customHeight="1">
      <c r="A133" s="12"/>
      <c r="B133" s="12"/>
      <c r="C133" s="12"/>
      <c r="D133" s="12"/>
      <c r="E133" s="12"/>
      <c r="F133" s="12"/>
      <c r="G133" s="12"/>
      <c r="H133" s="12"/>
      <c r="I133" s="12"/>
      <c r="J133" s="12"/>
      <c r="K133" s="12"/>
      <c r="L133" s="12"/>
      <c r="M133" s="13"/>
      <c r="N133" s="13"/>
      <c r="O133" s="12"/>
      <c r="P133" s="12"/>
      <c r="Q133" s="12"/>
      <c r="R133" s="12"/>
      <c r="S133" s="13"/>
      <c r="T133" s="12"/>
    </row>
    <row r="134" ht="15.75" customHeight="1">
      <c r="A134" s="12"/>
      <c r="B134" s="12"/>
      <c r="C134" s="12"/>
      <c r="D134" s="12"/>
      <c r="E134" s="12"/>
      <c r="F134" s="12"/>
      <c r="G134" s="12"/>
      <c r="H134" s="12"/>
      <c r="I134" s="12"/>
      <c r="J134" s="12"/>
      <c r="K134" s="12"/>
      <c r="L134" s="12"/>
      <c r="M134" s="13"/>
      <c r="N134" s="13"/>
      <c r="O134" s="12"/>
      <c r="P134" s="12"/>
      <c r="Q134" s="12"/>
      <c r="R134" s="12"/>
      <c r="S134" s="13"/>
      <c r="T134" s="12"/>
    </row>
    <row r="135" ht="15.75" customHeight="1">
      <c r="A135" s="12"/>
      <c r="B135" s="12"/>
      <c r="C135" s="12"/>
      <c r="D135" s="12"/>
      <c r="E135" s="12"/>
      <c r="F135" s="12"/>
      <c r="G135" s="12"/>
      <c r="H135" s="12"/>
      <c r="I135" s="12"/>
      <c r="J135" s="12"/>
      <c r="K135" s="12"/>
      <c r="L135" s="12"/>
      <c r="M135" s="13"/>
      <c r="N135" s="13"/>
      <c r="O135" s="12"/>
      <c r="P135" s="12"/>
      <c r="Q135" s="12"/>
      <c r="R135" s="12"/>
      <c r="S135" s="13"/>
      <c r="T135" s="12"/>
    </row>
    <row r="136" ht="15.75" customHeight="1">
      <c r="A136" s="12"/>
      <c r="B136" s="12"/>
      <c r="C136" s="12"/>
      <c r="D136" s="12"/>
      <c r="E136" s="12"/>
      <c r="F136" s="12"/>
      <c r="G136" s="12"/>
      <c r="H136" s="12"/>
      <c r="I136" s="12"/>
      <c r="J136" s="12"/>
      <c r="K136" s="12"/>
      <c r="L136" s="12"/>
      <c r="M136" s="13"/>
      <c r="N136" s="13"/>
      <c r="O136" s="12"/>
      <c r="P136" s="12"/>
      <c r="Q136" s="12"/>
      <c r="R136" s="12"/>
      <c r="S136" s="13"/>
      <c r="T136" s="12"/>
    </row>
    <row r="137" ht="15.75" customHeight="1">
      <c r="A137" s="12"/>
      <c r="B137" s="12"/>
      <c r="C137" s="12"/>
      <c r="D137" s="12"/>
      <c r="E137" s="12"/>
      <c r="F137" s="12"/>
      <c r="G137" s="12"/>
      <c r="H137" s="12"/>
      <c r="I137" s="12"/>
      <c r="J137" s="12"/>
      <c r="K137" s="12"/>
      <c r="L137" s="12"/>
      <c r="M137" s="13"/>
      <c r="N137" s="13"/>
      <c r="O137" s="12"/>
      <c r="P137" s="12"/>
      <c r="Q137" s="12"/>
      <c r="R137" s="12"/>
      <c r="S137" s="13"/>
      <c r="T137" s="12"/>
    </row>
    <row r="138" ht="15.75" customHeight="1">
      <c r="A138" s="12"/>
      <c r="B138" s="12"/>
      <c r="C138" s="12"/>
      <c r="D138" s="12"/>
      <c r="E138" s="12"/>
      <c r="F138" s="12"/>
      <c r="G138" s="12"/>
      <c r="H138" s="12"/>
      <c r="I138" s="12"/>
      <c r="J138" s="12"/>
      <c r="K138" s="12"/>
      <c r="L138" s="12"/>
      <c r="M138" s="13"/>
      <c r="N138" s="13"/>
      <c r="O138" s="12"/>
      <c r="P138" s="12"/>
      <c r="Q138" s="12"/>
      <c r="R138" s="12"/>
      <c r="S138" s="13"/>
      <c r="T138" s="12"/>
    </row>
    <row r="139" ht="15.75" customHeight="1">
      <c r="A139" s="12"/>
      <c r="B139" s="12"/>
      <c r="C139" s="12"/>
      <c r="D139" s="12"/>
      <c r="E139" s="12"/>
      <c r="F139" s="12"/>
      <c r="G139" s="12"/>
      <c r="H139" s="12"/>
      <c r="I139" s="12"/>
      <c r="J139" s="12"/>
      <c r="K139" s="12"/>
      <c r="L139" s="12"/>
      <c r="M139" s="13"/>
      <c r="N139" s="13"/>
      <c r="O139" s="12"/>
      <c r="P139" s="12"/>
      <c r="Q139" s="12"/>
      <c r="R139" s="12"/>
      <c r="S139" s="13"/>
      <c r="T139" s="12"/>
    </row>
    <row r="140" ht="15.75" customHeight="1">
      <c r="A140" s="12"/>
      <c r="B140" s="12"/>
      <c r="C140" s="12"/>
      <c r="D140" s="12"/>
      <c r="E140" s="12"/>
      <c r="F140" s="12"/>
      <c r="G140" s="12"/>
      <c r="H140" s="12"/>
      <c r="I140" s="12"/>
      <c r="J140" s="12"/>
      <c r="K140" s="12"/>
      <c r="L140" s="12"/>
      <c r="M140" s="13"/>
      <c r="N140" s="13"/>
      <c r="O140" s="12"/>
      <c r="P140" s="12"/>
      <c r="Q140" s="12"/>
      <c r="R140" s="12"/>
      <c r="S140" s="13"/>
      <c r="T140" s="12"/>
    </row>
    <row r="141" ht="15.75" customHeight="1">
      <c r="A141" s="12"/>
      <c r="B141" s="12"/>
      <c r="C141" s="12"/>
      <c r="D141" s="12"/>
      <c r="E141" s="12"/>
      <c r="F141" s="12"/>
      <c r="G141" s="12"/>
      <c r="H141" s="12"/>
      <c r="I141" s="12"/>
      <c r="J141" s="12"/>
      <c r="K141" s="12"/>
      <c r="L141" s="12"/>
      <c r="M141" s="13"/>
      <c r="N141" s="13"/>
      <c r="O141" s="12"/>
      <c r="P141" s="12"/>
      <c r="Q141" s="12"/>
      <c r="R141" s="12"/>
      <c r="S141" s="13"/>
      <c r="T141" s="12"/>
    </row>
    <row r="142" ht="15.75" customHeight="1">
      <c r="A142" s="12"/>
      <c r="B142" s="12"/>
      <c r="C142" s="12"/>
      <c r="D142" s="12"/>
      <c r="E142" s="12"/>
      <c r="F142" s="12"/>
      <c r="G142" s="12"/>
      <c r="H142" s="12"/>
      <c r="I142" s="12"/>
      <c r="J142" s="12"/>
      <c r="K142" s="12"/>
      <c r="L142" s="12"/>
      <c r="M142" s="13"/>
      <c r="N142" s="13"/>
      <c r="O142" s="12"/>
      <c r="P142" s="12"/>
      <c r="Q142" s="12"/>
      <c r="R142" s="12"/>
      <c r="S142" s="13"/>
      <c r="T142" s="12"/>
    </row>
    <row r="143" ht="15.75" customHeight="1">
      <c r="A143" s="12"/>
      <c r="B143" s="12"/>
      <c r="C143" s="12"/>
      <c r="D143" s="12"/>
      <c r="E143" s="12"/>
      <c r="F143" s="12"/>
      <c r="G143" s="12"/>
      <c r="H143" s="12"/>
      <c r="I143" s="12"/>
      <c r="J143" s="12"/>
      <c r="K143" s="12"/>
      <c r="L143" s="12"/>
      <c r="M143" s="13"/>
      <c r="N143" s="13"/>
      <c r="O143" s="12"/>
      <c r="P143" s="12"/>
      <c r="Q143" s="12"/>
      <c r="R143" s="12"/>
      <c r="S143" s="13"/>
      <c r="T143" s="12"/>
    </row>
    <row r="144" ht="15.75" customHeight="1">
      <c r="A144" s="12"/>
      <c r="B144" s="12"/>
      <c r="C144" s="12"/>
      <c r="D144" s="12"/>
      <c r="E144" s="12"/>
      <c r="F144" s="12"/>
      <c r="G144" s="12"/>
      <c r="H144" s="12"/>
      <c r="I144" s="12"/>
      <c r="J144" s="12"/>
      <c r="K144" s="12"/>
      <c r="L144" s="12"/>
      <c r="M144" s="13"/>
      <c r="N144" s="13"/>
      <c r="O144" s="12"/>
      <c r="P144" s="12"/>
      <c r="Q144" s="12"/>
      <c r="R144" s="12"/>
      <c r="S144" s="13"/>
      <c r="T144" s="12"/>
    </row>
    <row r="145" ht="15.75" customHeight="1">
      <c r="A145" s="12"/>
      <c r="B145" s="12"/>
      <c r="C145" s="12"/>
      <c r="D145" s="12"/>
      <c r="E145" s="12"/>
      <c r="F145" s="12"/>
      <c r="G145" s="12"/>
      <c r="H145" s="12"/>
      <c r="I145" s="12"/>
      <c r="J145" s="12"/>
      <c r="K145" s="12"/>
      <c r="L145" s="12"/>
      <c r="M145" s="13"/>
      <c r="N145" s="13"/>
      <c r="O145" s="12"/>
      <c r="P145" s="12"/>
      <c r="Q145" s="12"/>
      <c r="R145" s="12"/>
      <c r="S145" s="13"/>
      <c r="T145" s="12"/>
    </row>
    <row r="146" ht="15.75" customHeight="1">
      <c r="A146" s="12"/>
      <c r="B146" s="12"/>
      <c r="C146" s="12"/>
      <c r="D146" s="12"/>
      <c r="E146" s="12"/>
      <c r="F146" s="12"/>
      <c r="G146" s="12"/>
      <c r="H146" s="12"/>
      <c r="I146" s="12"/>
      <c r="J146" s="12"/>
      <c r="K146" s="12"/>
      <c r="L146" s="12"/>
      <c r="M146" s="13"/>
      <c r="N146" s="13"/>
      <c r="O146" s="12"/>
      <c r="P146" s="12"/>
      <c r="Q146" s="12"/>
      <c r="R146" s="12"/>
      <c r="S146" s="13"/>
      <c r="T146" s="12"/>
    </row>
    <row r="147" ht="15.75" customHeight="1">
      <c r="A147" s="12"/>
      <c r="B147" s="12"/>
      <c r="C147" s="12"/>
      <c r="D147" s="12"/>
      <c r="E147" s="12"/>
      <c r="F147" s="12"/>
      <c r="G147" s="12"/>
      <c r="H147" s="12"/>
      <c r="I147" s="12"/>
      <c r="J147" s="12"/>
      <c r="K147" s="12"/>
      <c r="L147" s="12"/>
      <c r="M147" s="13"/>
      <c r="N147" s="13"/>
      <c r="O147" s="12"/>
      <c r="P147" s="12"/>
      <c r="Q147" s="12"/>
      <c r="R147" s="12"/>
      <c r="S147" s="13"/>
      <c r="T147" s="12"/>
    </row>
    <row r="148" ht="15.75" customHeight="1">
      <c r="A148" s="12"/>
      <c r="B148" s="12"/>
      <c r="C148" s="12"/>
      <c r="D148" s="12"/>
      <c r="E148" s="12"/>
      <c r="F148" s="12"/>
      <c r="G148" s="12"/>
      <c r="H148" s="12"/>
      <c r="I148" s="12"/>
      <c r="J148" s="12"/>
      <c r="K148" s="12"/>
      <c r="L148" s="12"/>
      <c r="M148" s="13"/>
      <c r="N148" s="13"/>
      <c r="O148" s="12"/>
      <c r="P148" s="12"/>
      <c r="Q148" s="12"/>
      <c r="R148" s="12"/>
      <c r="S148" s="13"/>
      <c r="T148" s="12"/>
    </row>
    <row r="149" ht="15.75" customHeight="1">
      <c r="A149" s="12"/>
      <c r="B149" s="12"/>
      <c r="C149" s="12"/>
      <c r="D149" s="12"/>
      <c r="E149" s="12"/>
      <c r="F149" s="12"/>
      <c r="G149" s="12"/>
      <c r="H149" s="12"/>
      <c r="I149" s="12"/>
      <c r="J149" s="12"/>
      <c r="K149" s="12"/>
      <c r="L149" s="12"/>
      <c r="M149" s="13"/>
      <c r="N149" s="13"/>
      <c r="O149" s="12"/>
      <c r="P149" s="12"/>
      <c r="Q149" s="12"/>
      <c r="R149" s="12"/>
      <c r="S149" s="13"/>
      <c r="T149" s="12"/>
    </row>
    <row r="150" ht="15.75" customHeight="1">
      <c r="A150" s="12"/>
      <c r="B150" s="12"/>
      <c r="C150" s="12"/>
      <c r="D150" s="12"/>
      <c r="E150" s="12"/>
      <c r="F150" s="12"/>
      <c r="G150" s="12"/>
      <c r="H150" s="12"/>
      <c r="I150" s="12"/>
      <c r="J150" s="12"/>
      <c r="K150" s="12"/>
      <c r="L150" s="12"/>
      <c r="M150" s="13"/>
      <c r="N150" s="13"/>
      <c r="O150" s="12"/>
      <c r="P150" s="12"/>
      <c r="Q150" s="12"/>
      <c r="R150" s="12"/>
      <c r="S150" s="13"/>
      <c r="T150" s="12"/>
    </row>
    <row r="151" ht="15.75" customHeight="1">
      <c r="A151" s="12"/>
      <c r="B151" s="12"/>
      <c r="C151" s="12"/>
      <c r="D151" s="12"/>
      <c r="E151" s="12"/>
      <c r="F151" s="12"/>
      <c r="G151" s="12"/>
      <c r="H151" s="12"/>
      <c r="I151" s="12"/>
      <c r="J151" s="12"/>
      <c r="K151" s="12"/>
      <c r="L151" s="12"/>
      <c r="M151" s="13"/>
      <c r="N151" s="13"/>
      <c r="O151" s="12"/>
      <c r="P151" s="12"/>
      <c r="Q151" s="12"/>
      <c r="R151" s="12"/>
      <c r="S151" s="13"/>
      <c r="T151" s="12"/>
    </row>
    <row r="152" ht="15.75" customHeight="1">
      <c r="A152" s="12"/>
      <c r="B152" s="12"/>
      <c r="C152" s="12"/>
      <c r="D152" s="12"/>
      <c r="E152" s="12"/>
      <c r="F152" s="12"/>
      <c r="G152" s="12"/>
      <c r="H152" s="12"/>
      <c r="I152" s="12"/>
      <c r="J152" s="12"/>
      <c r="K152" s="12"/>
      <c r="L152" s="12"/>
      <c r="M152" s="13"/>
      <c r="N152" s="13"/>
      <c r="O152" s="12"/>
      <c r="P152" s="12"/>
      <c r="Q152" s="12"/>
      <c r="R152" s="12"/>
      <c r="S152" s="13"/>
      <c r="T152" s="12"/>
    </row>
    <row r="153" ht="15.75" customHeight="1">
      <c r="A153" s="12"/>
      <c r="B153" s="12"/>
      <c r="C153" s="12"/>
      <c r="D153" s="12"/>
      <c r="E153" s="12"/>
      <c r="F153" s="12"/>
      <c r="G153" s="12"/>
      <c r="H153" s="12"/>
      <c r="I153" s="12"/>
      <c r="J153" s="12"/>
      <c r="K153" s="12"/>
      <c r="L153" s="12"/>
      <c r="M153" s="13"/>
      <c r="N153" s="13"/>
      <c r="O153" s="12"/>
      <c r="P153" s="12"/>
      <c r="Q153" s="12"/>
      <c r="R153" s="12"/>
      <c r="S153" s="13"/>
      <c r="T153" s="12"/>
    </row>
    <row r="154" ht="15.75" customHeight="1">
      <c r="A154" s="12"/>
      <c r="B154" s="12"/>
      <c r="C154" s="12"/>
      <c r="D154" s="12"/>
      <c r="E154" s="12"/>
      <c r="F154" s="12"/>
      <c r="G154" s="12"/>
      <c r="H154" s="12"/>
      <c r="I154" s="12"/>
      <c r="J154" s="12"/>
      <c r="K154" s="12"/>
      <c r="L154" s="12"/>
      <c r="M154" s="13"/>
      <c r="N154" s="13"/>
      <c r="O154" s="12"/>
      <c r="P154" s="12"/>
      <c r="Q154" s="12"/>
      <c r="R154" s="12"/>
      <c r="S154" s="13"/>
      <c r="T154" s="12"/>
    </row>
    <row r="155" ht="15.75" customHeight="1">
      <c r="A155" s="12"/>
      <c r="B155" s="12"/>
      <c r="C155" s="12"/>
      <c r="D155" s="12"/>
      <c r="E155" s="12"/>
      <c r="F155" s="12"/>
      <c r="G155" s="12"/>
      <c r="H155" s="12"/>
      <c r="I155" s="12"/>
      <c r="J155" s="12"/>
      <c r="K155" s="12"/>
      <c r="L155" s="12"/>
      <c r="M155" s="13"/>
      <c r="N155" s="13"/>
      <c r="O155" s="12"/>
      <c r="P155" s="12"/>
      <c r="Q155" s="12"/>
      <c r="R155" s="12"/>
      <c r="S155" s="13"/>
      <c r="T155" s="12"/>
    </row>
    <row r="156" ht="15.75" customHeight="1">
      <c r="A156" s="12"/>
      <c r="B156" s="12"/>
      <c r="C156" s="12"/>
      <c r="D156" s="12"/>
      <c r="E156" s="12"/>
      <c r="F156" s="12"/>
      <c r="G156" s="12"/>
      <c r="H156" s="12"/>
      <c r="I156" s="12"/>
      <c r="J156" s="12"/>
      <c r="K156" s="12"/>
      <c r="L156" s="12"/>
      <c r="M156" s="13"/>
      <c r="N156" s="13"/>
      <c r="O156" s="12"/>
      <c r="P156" s="12"/>
      <c r="Q156" s="12"/>
      <c r="R156" s="12"/>
      <c r="S156" s="13"/>
      <c r="T156" s="12"/>
    </row>
    <row r="157" ht="15.75" customHeight="1">
      <c r="A157" s="12"/>
      <c r="B157" s="12"/>
      <c r="C157" s="12"/>
      <c r="D157" s="12"/>
      <c r="E157" s="12"/>
      <c r="F157" s="12"/>
      <c r="G157" s="12"/>
      <c r="H157" s="12"/>
      <c r="I157" s="12"/>
      <c r="J157" s="12"/>
      <c r="K157" s="12"/>
      <c r="L157" s="12"/>
      <c r="M157" s="13"/>
      <c r="N157" s="13"/>
      <c r="O157" s="12"/>
      <c r="P157" s="12"/>
      <c r="Q157" s="12"/>
      <c r="R157" s="12"/>
      <c r="S157" s="13"/>
      <c r="T157" s="12"/>
    </row>
    <row r="158" ht="15.75" customHeight="1">
      <c r="A158" s="12"/>
      <c r="B158" s="12"/>
      <c r="C158" s="12"/>
      <c r="D158" s="12"/>
      <c r="E158" s="12"/>
      <c r="F158" s="12"/>
      <c r="G158" s="12"/>
      <c r="H158" s="12"/>
      <c r="I158" s="12"/>
      <c r="J158" s="12"/>
      <c r="K158" s="12"/>
      <c r="L158" s="12"/>
      <c r="M158" s="13"/>
      <c r="N158" s="13"/>
      <c r="O158" s="12"/>
      <c r="P158" s="12"/>
      <c r="Q158" s="12"/>
      <c r="R158" s="12"/>
      <c r="S158" s="13"/>
      <c r="T158" s="12"/>
    </row>
    <row r="159" ht="15.75" customHeight="1">
      <c r="A159" s="12"/>
      <c r="B159" s="12"/>
      <c r="C159" s="12"/>
      <c r="D159" s="12"/>
      <c r="E159" s="12"/>
      <c r="F159" s="12"/>
      <c r="G159" s="12"/>
      <c r="H159" s="12"/>
      <c r="I159" s="12"/>
      <c r="J159" s="12"/>
      <c r="K159" s="12"/>
      <c r="L159" s="12"/>
      <c r="M159" s="13"/>
      <c r="N159" s="13"/>
      <c r="O159" s="12"/>
      <c r="P159" s="12"/>
      <c r="Q159" s="12"/>
      <c r="R159" s="12"/>
      <c r="S159" s="13"/>
      <c r="T159" s="12"/>
    </row>
    <row r="160" ht="15.75" customHeight="1">
      <c r="A160" s="12"/>
      <c r="B160" s="12"/>
      <c r="C160" s="12"/>
      <c r="D160" s="12"/>
      <c r="E160" s="12"/>
      <c r="F160" s="12"/>
      <c r="G160" s="12"/>
      <c r="H160" s="12"/>
      <c r="I160" s="12"/>
      <c r="J160" s="12"/>
      <c r="K160" s="12"/>
      <c r="L160" s="12"/>
      <c r="M160" s="13"/>
      <c r="N160" s="13"/>
      <c r="O160" s="12"/>
      <c r="P160" s="12"/>
      <c r="Q160" s="12"/>
      <c r="R160" s="12"/>
      <c r="S160" s="13"/>
      <c r="T160" s="12"/>
    </row>
    <row r="161" ht="15.75" customHeight="1">
      <c r="A161" s="12"/>
      <c r="B161" s="12"/>
      <c r="C161" s="12"/>
      <c r="D161" s="12"/>
      <c r="E161" s="12"/>
      <c r="F161" s="12"/>
      <c r="G161" s="12"/>
      <c r="H161" s="12"/>
      <c r="I161" s="12"/>
      <c r="J161" s="12"/>
      <c r="K161" s="12"/>
      <c r="L161" s="12"/>
      <c r="M161" s="13"/>
      <c r="N161" s="13"/>
      <c r="O161" s="12"/>
      <c r="P161" s="12"/>
      <c r="Q161" s="12"/>
      <c r="R161" s="12"/>
      <c r="S161" s="13"/>
      <c r="T161" s="12"/>
    </row>
    <row r="162" ht="15.75" customHeight="1">
      <c r="A162" s="12"/>
      <c r="B162" s="12"/>
      <c r="C162" s="12"/>
      <c r="D162" s="12"/>
      <c r="E162" s="12"/>
      <c r="F162" s="12"/>
      <c r="G162" s="12"/>
      <c r="H162" s="12"/>
      <c r="I162" s="12"/>
      <c r="J162" s="12"/>
      <c r="K162" s="12"/>
      <c r="L162" s="12"/>
      <c r="M162" s="13"/>
      <c r="N162" s="13"/>
      <c r="O162" s="12"/>
      <c r="P162" s="12"/>
      <c r="Q162" s="12"/>
      <c r="R162" s="12"/>
      <c r="S162" s="13"/>
      <c r="T162" s="12"/>
    </row>
    <row r="163" ht="15.75" customHeight="1">
      <c r="A163" s="12"/>
      <c r="B163" s="12"/>
      <c r="C163" s="12"/>
      <c r="D163" s="12"/>
      <c r="E163" s="12"/>
      <c r="F163" s="12"/>
      <c r="G163" s="12"/>
      <c r="H163" s="12"/>
      <c r="I163" s="12"/>
      <c r="J163" s="12"/>
      <c r="K163" s="12"/>
      <c r="L163" s="12"/>
      <c r="M163" s="13"/>
      <c r="N163" s="13"/>
      <c r="O163" s="12"/>
      <c r="P163" s="12"/>
      <c r="Q163" s="12"/>
      <c r="R163" s="12"/>
      <c r="S163" s="13"/>
      <c r="T163" s="12"/>
    </row>
    <row r="164" ht="15.75" customHeight="1">
      <c r="A164" s="12"/>
      <c r="B164" s="12"/>
      <c r="C164" s="12"/>
      <c r="D164" s="12"/>
      <c r="E164" s="12"/>
      <c r="F164" s="12"/>
      <c r="G164" s="12"/>
      <c r="H164" s="12"/>
      <c r="I164" s="12"/>
      <c r="J164" s="12"/>
      <c r="K164" s="12"/>
      <c r="L164" s="12"/>
      <c r="M164" s="13"/>
      <c r="N164" s="13"/>
      <c r="O164" s="12"/>
      <c r="P164" s="12"/>
      <c r="Q164" s="12"/>
      <c r="R164" s="12"/>
      <c r="S164" s="13"/>
      <c r="T164" s="12"/>
    </row>
    <row r="165" ht="15.75" customHeight="1">
      <c r="A165" s="12"/>
      <c r="B165" s="12"/>
      <c r="C165" s="12"/>
      <c r="D165" s="12"/>
      <c r="E165" s="12"/>
      <c r="F165" s="12"/>
      <c r="G165" s="12"/>
      <c r="H165" s="12"/>
      <c r="I165" s="12"/>
      <c r="J165" s="12"/>
      <c r="K165" s="12"/>
      <c r="L165" s="12"/>
      <c r="M165" s="13"/>
      <c r="N165" s="13"/>
      <c r="O165" s="12"/>
      <c r="P165" s="12"/>
      <c r="Q165" s="12"/>
      <c r="R165" s="12"/>
      <c r="S165" s="13"/>
      <c r="T165" s="12"/>
    </row>
    <row r="166" ht="15.75" customHeight="1">
      <c r="A166" s="12"/>
      <c r="B166" s="12"/>
      <c r="C166" s="12"/>
      <c r="D166" s="12"/>
      <c r="E166" s="12"/>
      <c r="F166" s="12"/>
      <c r="G166" s="12"/>
      <c r="H166" s="12"/>
      <c r="I166" s="12"/>
      <c r="J166" s="12"/>
      <c r="K166" s="12"/>
      <c r="L166" s="12"/>
      <c r="M166" s="13"/>
      <c r="N166" s="13"/>
      <c r="O166" s="12"/>
      <c r="P166" s="12"/>
      <c r="Q166" s="12"/>
      <c r="R166" s="12"/>
      <c r="S166" s="13"/>
      <c r="T166" s="12"/>
    </row>
    <row r="167" ht="15.75" customHeight="1">
      <c r="A167" s="12"/>
      <c r="B167" s="12"/>
      <c r="C167" s="12"/>
      <c r="D167" s="12"/>
      <c r="E167" s="12"/>
      <c r="F167" s="12"/>
      <c r="G167" s="12"/>
      <c r="H167" s="12"/>
      <c r="I167" s="12"/>
      <c r="J167" s="12"/>
      <c r="K167" s="12"/>
      <c r="L167" s="12"/>
      <c r="M167" s="13"/>
      <c r="N167" s="13"/>
      <c r="O167" s="12"/>
      <c r="P167" s="12"/>
      <c r="Q167" s="12"/>
      <c r="R167" s="12"/>
      <c r="S167" s="13"/>
      <c r="T167" s="12"/>
    </row>
    <row r="168" ht="15.75" customHeight="1">
      <c r="A168" s="12"/>
      <c r="B168" s="12"/>
      <c r="C168" s="12"/>
      <c r="D168" s="12"/>
      <c r="E168" s="12"/>
      <c r="F168" s="12"/>
      <c r="G168" s="12"/>
      <c r="H168" s="12"/>
      <c r="I168" s="12"/>
      <c r="J168" s="12"/>
      <c r="K168" s="12"/>
      <c r="L168" s="12"/>
      <c r="M168" s="13"/>
      <c r="N168" s="13"/>
      <c r="O168" s="12"/>
      <c r="P168" s="12"/>
      <c r="Q168" s="12"/>
      <c r="R168" s="12"/>
      <c r="S168" s="13"/>
      <c r="T168" s="12"/>
    </row>
    <row r="169" ht="15.75" customHeight="1">
      <c r="A169" s="12"/>
      <c r="B169" s="12"/>
      <c r="C169" s="12"/>
      <c r="D169" s="12"/>
      <c r="E169" s="12"/>
      <c r="F169" s="12"/>
      <c r="G169" s="12"/>
      <c r="H169" s="12"/>
      <c r="I169" s="12"/>
      <c r="J169" s="12"/>
      <c r="K169" s="12"/>
      <c r="L169" s="12"/>
      <c r="M169" s="13"/>
      <c r="N169" s="13"/>
      <c r="O169" s="12"/>
      <c r="P169" s="12"/>
      <c r="Q169" s="12"/>
      <c r="R169" s="12"/>
      <c r="S169" s="13"/>
      <c r="T169" s="12"/>
    </row>
    <row r="170" ht="15.75" customHeight="1">
      <c r="A170" s="12"/>
      <c r="B170" s="12"/>
      <c r="C170" s="12"/>
      <c r="D170" s="12"/>
      <c r="E170" s="12"/>
      <c r="F170" s="12"/>
      <c r="G170" s="12"/>
      <c r="H170" s="12"/>
      <c r="I170" s="12"/>
      <c r="J170" s="12"/>
      <c r="K170" s="12"/>
      <c r="L170" s="12"/>
      <c r="M170" s="13"/>
      <c r="N170" s="13"/>
      <c r="O170" s="12"/>
      <c r="P170" s="12"/>
      <c r="Q170" s="12"/>
      <c r="R170" s="12"/>
      <c r="S170" s="13"/>
      <c r="T170" s="12"/>
    </row>
    <row r="171" ht="15.75" customHeight="1">
      <c r="A171" s="12"/>
      <c r="B171" s="12"/>
      <c r="C171" s="12"/>
      <c r="D171" s="12"/>
      <c r="E171" s="12"/>
      <c r="F171" s="12"/>
      <c r="G171" s="12"/>
      <c r="H171" s="12"/>
      <c r="I171" s="12"/>
      <c r="J171" s="12"/>
      <c r="K171" s="12"/>
      <c r="L171" s="12"/>
      <c r="M171" s="13"/>
      <c r="N171" s="13"/>
      <c r="O171" s="12"/>
      <c r="P171" s="12"/>
      <c r="Q171" s="12"/>
      <c r="R171" s="12"/>
      <c r="S171" s="13"/>
      <c r="T171" s="12"/>
    </row>
    <row r="172" ht="15.75" customHeight="1">
      <c r="A172" s="12"/>
      <c r="B172" s="12"/>
      <c r="C172" s="12"/>
      <c r="D172" s="12"/>
      <c r="E172" s="12"/>
      <c r="F172" s="12"/>
      <c r="G172" s="12"/>
      <c r="H172" s="12"/>
      <c r="I172" s="12"/>
      <c r="J172" s="12"/>
      <c r="K172" s="12"/>
      <c r="L172" s="12"/>
      <c r="M172" s="13"/>
      <c r="N172" s="13"/>
      <c r="O172" s="12"/>
      <c r="P172" s="12"/>
      <c r="Q172" s="12"/>
      <c r="R172" s="12"/>
      <c r="S172" s="13"/>
      <c r="T172" s="12"/>
    </row>
    <row r="173" ht="15.75" customHeight="1">
      <c r="A173" s="12"/>
      <c r="B173" s="12"/>
      <c r="C173" s="12"/>
      <c r="D173" s="12"/>
      <c r="E173" s="12"/>
      <c r="F173" s="12"/>
      <c r="G173" s="12"/>
      <c r="H173" s="12"/>
      <c r="I173" s="12"/>
      <c r="J173" s="12"/>
      <c r="K173" s="12"/>
      <c r="L173" s="12"/>
      <c r="M173" s="13"/>
      <c r="N173" s="13"/>
      <c r="O173" s="12"/>
      <c r="P173" s="12"/>
      <c r="Q173" s="12"/>
      <c r="R173" s="12"/>
      <c r="S173" s="13"/>
      <c r="T173" s="12"/>
    </row>
    <row r="174" ht="15.75" customHeight="1">
      <c r="A174" s="12"/>
      <c r="B174" s="12"/>
      <c r="C174" s="12"/>
      <c r="D174" s="12"/>
      <c r="E174" s="12"/>
      <c r="F174" s="12"/>
      <c r="G174" s="12"/>
      <c r="H174" s="12"/>
      <c r="I174" s="12"/>
      <c r="J174" s="12"/>
      <c r="K174" s="12"/>
      <c r="L174" s="12"/>
      <c r="M174" s="13"/>
      <c r="N174" s="13"/>
      <c r="O174" s="12"/>
      <c r="P174" s="12"/>
      <c r="Q174" s="12"/>
      <c r="R174" s="12"/>
      <c r="S174" s="13"/>
      <c r="T174" s="12"/>
    </row>
    <row r="175" ht="15.75" customHeight="1">
      <c r="A175" s="12"/>
      <c r="B175" s="12"/>
      <c r="C175" s="12"/>
      <c r="D175" s="12"/>
      <c r="E175" s="12"/>
      <c r="F175" s="12"/>
      <c r="G175" s="12"/>
      <c r="H175" s="12"/>
      <c r="I175" s="12"/>
      <c r="J175" s="12"/>
      <c r="K175" s="12"/>
      <c r="L175" s="12"/>
      <c r="M175" s="13"/>
      <c r="N175" s="13"/>
      <c r="O175" s="12"/>
      <c r="P175" s="12"/>
      <c r="Q175" s="12"/>
      <c r="R175" s="12"/>
      <c r="S175" s="13"/>
      <c r="T175" s="12"/>
    </row>
    <row r="176" ht="15.75" customHeight="1">
      <c r="A176" s="12"/>
      <c r="B176" s="12"/>
      <c r="C176" s="12"/>
      <c r="D176" s="12"/>
      <c r="E176" s="12"/>
      <c r="F176" s="12"/>
      <c r="G176" s="12"/>
      <c r="H176" s="12"/>
      <c r="I176" s="12"/>
      <c r="J176" s="12"/>
      <c r="K176" s="12"/>
      <c r="L176" s="12"/>
      <c r="M176" s="13"/>
      <c r="N176" s="13"/>
      <c r="O176" s="12"/>
      <c r="P176" s="12"/>
      <c r="Q176" s="12"/>
      <c r="R176" s="12"/>
      <c r="S176" s="13"/>
      <c r="T176" s="12"/>
    </row>
    <row r="177" ht="15.75" customHeight="1">
      <c r="A177" s="12"/>
      <c r="B177" s="12"/>
      <c r="C177" s="12"/>
      <c r="D177" s="12"/>
      <c r="E177" s="12"/>
      <c r="F177" s="12"/>
      <c r="G177" s="12"/>
      <c r="H177" s="12"/>
      <c r="I177" s="12"/>
      <c r="J177" s="12"/>
      <c r="K177" s="12"/>
      <c r="L177" s="12"/>
      <c r="M177" s="13"/>
      <c r="N177" s="13"/>
      <c r="O177" s="12"/>
      <c r="P177" s="12"/>
      <c r="Q177" s="12"/>
      <c r="R177" s="12"/>
      <c r="S177" s="13"/>
      <c r="T177" s="12"/>
    </row>
    <row r="178" ht="15.75" customHeight="1">
      <c r="A178" s="12"/>
      <c r="B178" s="12"/>
      <c r="C178" s="12"/>
      <c r="D178" s="12"/>
      <c r="E178" s="12"/>
      <c r="F178" s="12"/>
      <c r="G178" s="12"/>
      <c r="H178" s="12"/>
      <c r="I178" s="12"/>
      <c r="J178" s="12"/>
      <c r="K178" s="12"/>
      <c r="L178" s="12"/>
      <c r="M178" s="13"/>
      <c r="N178" s="13"/>
      <c r="O178" s="12"/>
      <c r="P178" s="12"/>
      <c r="Q178" s="12"/>
      <c r="R178" s="12"/>
      <c r="S178" s="13"/>
      <c r="T178" s="12"/>
    </row>
    <row r="179" ht="15.75" customHeight="1">
      <c r="A179" s="12"/>
      <c r="B179" s="12"/>
      <c r="C179" s="12"/>
      <c r="D179" s="12"/>
      <c r="E179" s="12"/>
      <c r="F179" s="12"/>
      <c r="G179" s="12"/>
      <c r="H179" s="12"/>
      <c r="I179" s="12"/>
      <c r="J179" s="12"/>
      <c r="K179" s="12"/>
      <c r="L179" s="12"/>
      <c r="M179" s="13"/>
      <c r="N179" s="13"/>
      <c r="O179" s="12"/>
      <c r="P179" s="12"/>
      <c r="Q179" s="12"/>
      <c r="R179" s="12"/>
      <c r="S179" s="13"/>
      <c r="T179" s="12"/>
    </row>
    <row r="180" ht="15.75" customHeight="1">
      <c r="A180" s="12"/>
      <c r="B180" s="12"/>
      <c r="C180" s="12"/>
      <c r="D180" s="12"/>
      <c r="E180" s="12"/>
      <c r="F180" s="12"/>
      <c r="G180" s="12"/>
      <c r="H180" s="12"/>
      <c r="I180" s="12"/>
      <c r="J180" s="12"/>
      <c r="K180" s="12"/>
      <c r="L180" s="12"/>
      <c r="M180" s="13"/>
      <c r="N180" s="13"/>
      <c r="O180" s="12"/>
      <c r="P180" s="12"/>
      <c r="Q180" s="12"/>
      <c r="R180" s="12"/>
      <c r="S180" s="13"/>
      <c r="T180" s="12"/>
    </row>
    <row r="181" ht="15.75" customHeight="1">
      <c r="A181" s="12"/>
      <c r="B181" s="12"/>
      <c r="C181" s="12"/>
      <c r="D181" s="12"/>
      <c r="E181" s="12"/>
      <c r="F181" s="12"/>
      <c r="G181" s="12"/>
      <c r="H181" s="12"/>
      <c r="I181" s="12"/>
      <c r="J181" s="12"/>
      <c r="K181" s="12"/>
      <c r="L181" s="12"/>
      <c r="M181" s="13"/>
      <c r="N181" s="13"/>
      <c r="O181" s="12"/>
      <c r="P181" s="12"/>
      <c r="Q181" s="12"/>
      <c r="R181" s="12"/>
      <c r="S181" s="13"/>
      <c r="T181" s="12"/>
    </row>
    <row r="182" ht="15.75" customHeight="1">
      <c r="A182" s="12"/>
      <c r="B182" s="12"/>
      <c r="C182" s="12"/>
      <c r="D182" s="12"/>
      <c r="E182" s="12"/>
      <c r="F182" s="12"/>
      <c r="G182" s="12"/>
      <c r="H182" s="12"/>
      <c r="I182" s="12"/>
      <c r="J182" s="12"/>
      <c r="K182" s="12"/>
      <c r="L182" s="12"/>
      <c r="M182" s="13"/>
      <c r="N182" s="13"/>
      <c r="O182" s="12"/>
      <c r="P182" s="12"/>
      <c r="Q182" s="12"/>
      <c r="R182" s="12"/>
      <c r="S182" s="13"/>
      <c r="T182" s="12"/>
    </row>
    <row r="183" ht="15.75" customHeight="1">
      <c r="A183" s="12"/>
      <c r="B183" s="12"/>
      <c r="C183" s="12"/>
      <c r="D183" s="12"/>
      <c r="E183" s="12"/>
      <c r="F183" s="12"/>
      <c r="G183" s="12"/>
      <c r="H183" s="12"/>
      <c r="I183" s="12"/>
      <c r="J183" s="12"/>
      <c r="K183" s="12"/>
      <c r="L183" s="12"/>
      <c r="M183" s="13"/>
      <c r="N183" s="13"/>
      <c r="O183" s="12"/>
      <c r="P183" s="12"/>
      <c r="Q183" s="12"/>
      <c r="R183" s="12"/>
      <c r="S183" s="13"/>
      <c r="T183" s="12"/>
    </row>
    <row r="184" ht="15.75" customHeight="1">
      <c r="A184" s="12"/>
      <c r="B184" s="12"/>
      <c r="C184" s="12"/>
      <c r="D184" s="12"/>
      <c r="E184" s="12"/>
      <c r="F184" s="12"/>
      <c r="G184" s="12"/>
      <c r="H184" s="12"/>
      <c r="I184" s="12"/>
      <c r="J184" s="12"/>
      <c r="K184" s="12"/>
      <c r="L184" s="12"/>
      <c r="M184" s="13"/>
      <c r="N184" s="13"/>
      <c r="O184" s="12"/>
      <c r="P184" s="12"/>
      <c r="Q184" s="12"/>
      <c r="R184" s="12"/>
      <c r="S184" s="13"/>
      <c r="T184" s="12"/>
    </row>
    <row r="185" ht="15.75" customHeight="1">
      <c r="A185" s="12"/>
      <c r="B185" s="12"/>
      <c r="C185" s="12"/>
      <c r="D185" s="12"/>
      <c r="E185" s="12"/>
      <c r="F185" s="12"/>
      <c r="G185" s="12"/>
      <c r="H185" s="12"/>
      <c r="I185" s="12"/>
      <c r="J185" s="12"/>
      <c r="K185" s="12"/>
      <c r="L185" s="12"/>
      <c r="M185" s="13"/>
      <c r="N185" s="13"/>
      <c r="O185" s="12"/>
      <c r="P185" s="12"/>
      <c r="Q185" s="12"/>
      <c r="R185" s="12"/>
      <c r="S185" s="13"/>
      <c r="T185" s="12"/>
    </row>
    <row r="186" ht="15.75" customHeight="1">
      <c r="A186" s="12"/>
      <c r="B186" s="12"/>
      <c r="C186" s="12"/>
      <c r="D186" s="12"/>
      <c r="E186" s="12"/>
      <c r="F186" s="12"/>
      <c r="G186" s="12"/>
      <c r="H186" s="12"/>
      <c r="I186" s="12"/>
      <c r="J186" s="12"/>
      <c r="K186" s="12"/>
      <c r="L186" s="12"/>
      <c r="M186" s="13"/>
      <c r="N186" s="13"/>
      <c r="O186" s="12"/>
      <c r="P186" s="12"/>
      <c r="Q186" s="12"/>
      <c r="R186" s="12"/>
      <c r="S186" s="13"/>
      <c r="T186" s="12"/>
    </row>
    <row r="187" ht="15.75" customHeight="1">
      <c r="A187" s="12"/>
      <c r="B187" s="12"/>
      <c r="C187" s="12"/>
      <c r="D187" s="12"/>
      <c r="E187" s="12"/>
      <c r="F187" s="12"/>
      <c r="G187" s="12"/>
      <c r="H187" s="12"/>
      <c r="I187" s="12"/>
      <c r="J187" s="12"/>
      <c r="K187" s="12"/>
      <c r="L187" s="12"/>
      <c r="M187" s="13"/>
      <c r="N187" s="13"/>
      <c r="O187" s="12"/>
      <c r="P187" s="12"/>
      <c r="Q187" s="12"/>
      <c r="R187" s="12"/>
      <c r="S187" s="13"/>
      <c r="T187" s="12"/>
    </row>
    <row r="188" ht="15.75" customHeight="1">
      <c r="A188" s="12"/>
      <c r="B188" s="12"/>
      <c r="C188" s="12"/>
      <c r="D188" s="12"/>
      <c r="E188" s="12"/>
      <c r="F188" s="12"/>
      <c r="G188" s="12"/>
      <c r="H188" s="12"/>
      <c r="I188" s="12"/>
      <c r="J188" s="12"/>
      <c r="K188" s="12"/>
      <c r="L188" s="12"/>
      <c r="M188" s="13"/>
      <c r="N188" s="13"/>
      <c r="O188" s="12"/>
      <c r="P188" s="12"/>
      <c r="Q188" s="12"/>
      <c r="R188" s="12"/>
      <c r="S188" s="13"/>
      <c r="T188" s="12"/>
    </row>
    <row r="189" ht="15.75" customHeight="1">
      <c r="A189" s="12"/>
      <c r="B189" s="12"/>
      <c r="C189" s="12"/>
      <c r="D189" s="12"/>
      <c r="E189" s="12"/>
      <c r="F189" s="12"/>
      <c r="G189" s="12"/>
      <c r="H189" s="12"/>
      <c r="I189" s="12"/>
      <c r="J189" s="12"/>
      <c r="K189" s="12"/>
      <c r="L189" s="12"/>
      <c r="M189" s="13"/>
      <c r="N189" s="13"/>
      <c r="O189" s="12"/>
      <c r="P189" s="12"/>
      <c r="Q189" s="12"/>
      <c r="R189" s="12"/>
      <c r="S189" s="13"/>
      <c r="T189" s="12"/>
    </row>
    <row r="190" ht="15.75" customHeight="1">
      <c r="A190" s="12"/>
      <c r="B190" s="12"/>
      <c r="C190" s="12"/>
      <c r="D190" s="12"/>
      <c r="E190" s="12"/>
      <c r="F190" s="12"/>
      <c r="G190" s="12"/>
      <c r="H190" s="12"/>
      <c r="I190" s="12"/>
      <c r="J190" s="12"/>
      <c r="K190" s="12"/>
      <c r="L190" s="12"/>
      <c r="M190" s="13"/>
      <c r="N190" s="13"/>
      <c r="O190" s="12"/>
      <c r="P190" s="12"/>
      <c r="Q190" s="12"/>
      <c r="R190" s="12"/>
      <c r="S190" s="13"/>
      <c r="T190" s="12"/>
    </row>
    <row r="191" ht="15.75" customHeight="1">
      <c r="A191" s="12"/>
      <c r="B191" s="12"/>
      <c r="C191" s="12"/>
      <c r="D191" s="12"/>
      <c r="E191" s="12"/>
      <c r="F191" s="12"/>
      <c r="G191" s="12"/>
      <c r="H191" s="12"/>
      <c r="I191" s="12"/>
      <c r="J191" s="12"/>
      <c r="K191" s="12"/>
      <c r="L191" s="12"/>
      <c r="M191" s="13"/>
      <c r="N191" s="13"/>
      <c r="O191" s="12"/>
      <c r="P191" s="12"/>
      <c r="Q191" s="12"/>
      <c r="R191" s="12"/>
      <c r="S191" s="13"/>
      <c r="T191" s="12"/>
    </row>
    <row r="192" ht="15.75" customHeight="1">
      <c r="A192" s="12"/>
      <c r="B192" s="12"/>
      <c r="C192" s="12"/>
      <c r="D192" s="12"/>
      <c r="E192" s="12"/>
      <c r="F192" s="12"/>
      <c r="G192" s="12"/>
      <c r="H192" s="12"/>
      <c r="I192" s="12"/>
      <c r="J192" s="12"/>
      <c r="K192" s="12"/>
      <c r="L192" s="12"/>
      <c r="M192" s="13"/>
      <c r="N192" s="13"/>
      <c r="O192" s="12"/>
      <c r="P192" s="12"/>
      <c r="Q192" s="12"/>
      <c r="R192" s="12"/>
      <c r="S192" s="13"/>
      <c r="T192" s="12"/>
    </row>
    <row r="193" ht="15.75" customHeight="1">
      <c r="A193" s="12"/>
      <c r="B193" s="12"/>
      <c r="C193" s="12"/>
      <c r="D193" s="12"/>
      <c r="E193" s="12"/>
      <c r="F193" s="12"/>
      <c r="G193" s="12"/>
      <c r="H193" s="12"/>
      <c r="I193" s="12"/>
      <c r="J193" s="12"/>
      <c r="K193" s="12"/>
      <c r="L193" s="12"/>
      <c r="M193" s="13"/>
      <c r="N193" s="13"/>
      <c r="O193" s="12"/>
      <c r="P193" s="12"/>
      <c r="Q193" s="12"/>
      <c r="R193" s="12"/>
      <c r="S193" s="13"/>
      <c r="T193" s="12"/>
    </row>
    <row r="194" ht="15.75" customHeight="1">
      <c r="A194" s="12"/>
      <c r="B194" s="12"/>
      <c r="C194" s="12"/>
      <c r="D194" s="12"/>
      <c r="E194" s="12"/>
      <c r="F194" s="12"/>
      <c r="G194" s="12"/>
      <c r="H194" s="12"/>
      <c r="I194" s="12"/>
      <c r="J194" s="12"/>
      <c r="K194" s="12"/>
      <c r="L194" s="12"/>
      <c r="M194" s="13"/>
      <c r="N194" s="13"/>
      <c r="O194" s="12"/>
      <c r="P194" s="12"/>
      <c r="Q194" s="12"/>
      <c r="R194" s="12"/>
      <c r="S194" s="13"/>
      <c r="T194" s="12"/>
    </row>
    <row r="195" ht="15.75" customHeight="1">
      <c r="A195" s="12"/>
      <c r="B195" s="12"/>
      <c r="C195" s="12"/>
      <c r="D195" s="12"/>
      <c r="E195" s="12"/>
      <c r="F195" s="12"/>
      <c r="G195" s="12"/>
      <c r="H195" s="12"/>
      <c r="I195" s="12"/>
      <c r="J195" s="12"/>
      <c r="K195" s="12"/>
      <c r="L195" s="12"/>
      <c r="M195" s="13"/>
      <c r="N195" s="13"/>
      <c r="O195" s="12"/>
      <c r="P195" s="12"/>
      <c r="Q195" s="12"/>
      <c r="R195" s="12"/>
      <c r="S195" s="13"/>
      <c r="T195" s="12"/>
    </row>
    <row r="196" ht="15.75" customHeight="1">
      <c r="A196" s="12"/>
      <c r="B196" s="12"/>
      <c r="C196" s="12"/>
      <c r="D196" s="12"/>
      <c r="E196" s="12"/>
      <c r="F196" s="12"/>
      <c r="G196" s="12"/>
      <c r="H196" s="12"/>
      <c r="I196" s="12"/>
      <c r="J196" s="12"/>
      <c r="K196" s="12"/>
      <c r="L196" s="12"/>
      <c r="M196" s="13"/>
      <c r="N196" s="13"/>
      <c r="O196" s="12"/>
      <c r="P196" s="12"/>
      <c r="Q196" s="12"/>
      <c r="R196" s="12"/>
      <c r="S196" s="13"/>
      <c r="T196" s="12"/>
    </row>
    <row r="197" ht="15.75" customHeight="1">
      <c r="A197" s="12"/>
      <c r="B197" s="12"/>
      <c r="C197" s="12"/>
      <c r="D197" s="12"/>
      <c r="E197" s="12"/>
      <c r="F197" s="12"/>
      <c r="G197" s="12"/>
      <c r="H197" s="12"/>
      <c r="I197" s="12"/>
      <c r="J197" s="12"/>
      <c r="K197" s="12"/>
      <c r="L197" s="12"/>
      <c r="M197" s="13"/>
      <c r="N197" s="13"/>
      <c r="O197" s="12"/>
      <c r="P197" s="12"/>
      <c r="Q197" s="12"/>
      <c r="R197" s="12"/>
      <c r="S197" s="13"/>
      <c r="T197" s="12"/>
    </row>
    <row r="198" ht="15.75" customHeight="1">
      <c r="A198" s="12"/>
      <c r="B198" s="12"/>
      <c r="C198" s="12"/>
      <c r="D198" s="12"/>
      <c r="E198" s="12"/>
      <c r="F198" s="12"/>
      <c r="G198" s="12"/>
      <c r="H198" s="12"/>
      <c r="I198" s="12"/>
      <c r="J198" s="12"/>
      <c r="K198" s="12"/>
      <c r="L198" s="12"/>
      <c r="M198" s="13"/>
      <c r="N198" s="13"/>
      <c r="O198" s="12"/>
      <c r="P198" s="12"/>
      <c r="Q198" s="12"/>
      <c r="R198" s="12"/>
      <c r="S198" s="13"/>
      <c r="T198" s="12"/>
    </row>
    <row r="199" ht="15.75" customHeight="1">
      <c r="A199" s="12"/>
      <c r="B199" s="12"/>
      <c r="C199" s="12"/>
      <c r="D199" s="12"/>
      <c r="E199" s="12"/>
      <c r="F199" s="12"/>
      <c r="G199" s="12"/>
      <c r="H199" s="12"/>
      <c r="I199" s="12"/>
      <c r="J199" s="12"/>
      <c r="K199" s="12"/>
      <c r="L199" s="12"/>
      <c r="M199" s="13"/>
      <c r="N199" s="13"/>
      <c r="O199" s="12"/>
      <c r="P199" s="12"/>
      <c r="Q199" s="12"/>
      <c r="R199" s="12"/>
      <c r="S199" s="13"/>
      <c r="T199" s="12"/>
    </row>
    <row r="200" ht="15.75" customHeight="1">
      <c r="A200" s="12"/>
      <c r="B200" s="12"/>
      <c r="C200" s="12"/>
      <c r="D200" s="12"/>
      <c r="E200" s="12"/>
      <c r="F200" s="12"/>
      <c r="G200" s="12"/>
      <c r="H200" s="12"/>
      <c r="I200" s="12"/>
      <c r="J200" s="12"/>
      <c r="K200" s="12"/>
      <c r="L200" s="12"/>
      <c r="M200" s="13"/>
      <c r="N200" s="13"/>
      <c r="O200" s="12"/>
      <c r="P200" s="12"/>
      <c r="Q200" s="12"/>
      <c r="R200" s="12"/>
      <c r="S200" s="13"/>
      <c r="T200" s="12"/>
    </row>
    <row r="201" ht="15.75" customHeight="1">
      <c r="A201" s="12"/>
      <c r="B201" s="12"/>
      <c r="C201" s="12"/>
      <c r="D201" s="12"/>
      <c r="E201" s="12"/>
      <c r="F201" s="12"/>
      <c r="G201" s="12"/>
      <c r="H201" s="12"/>
      <c r="I201" s="12"/>
      <c r="J201" s="12"/>
      <c r="K201" s="12"/>
      <c r="L201" s="12"/>
      <c r="M201" s="13"/>
      <c r="N201" s="13"/>
      <c r="O201" s="12"/>
      <c r="P201" s="12"/>
      <c r="Q201" s="12"/>
      <c r="R201" s="12"/>
      <c r="S201" s="13"/>
      <c r="T201" s="12"/>
    </row>
    <row r="202" ht="15.75" customHeight="1">
      <c r="A202" s="12"/>
      <c r="B202" s="12"/>
      <c r="C202" s="12"/>
      <c r="D202" s="12"/>
      <c r="E202" s="12"/>
      <c r="F202" s="12"/>
      <c r="G202" s="12"/>
      <c r="H202" s="12"/>
      <c r="I202" s="12"/>
      <c r="J202" s="12"/>
      <c r="K202" s="12"/>
      <c r="L202" s="12"/>
      <c r="M202" s="13"/>
      <c r="N202" s="13"/>
      <c r="O202" s="12"/>
      <c r="P202" s="12"/>
      <c r="Q202" s="12"/>
      <c r="R202" s="12"/>
      <c r="S202" s="13"/>
      <c r="T202" s="12"/>
    </row>
    <row r="203" ht="15.75" customHeight="1">
      <c r="A203" s="12"/>
      <c r="B203" s="12"/>
      <c r="C203" s="12"/>
      <c r="D203" s="12"/>
      <c r="E203" s="12"/>
      <c r="F203" s="12"/>
      <c r="G203" s="12"/>
      <c r="H203" s="12"/>
      <c r="I203" s="12"/>
      <c r="J203" s="12"/>
      <c r="K203" s="12"/>
      <c r="L203" s="12"/>
      <c r="M203" s="13"/>
      <c r="N203" s="13"/>
      <c r="O203" s="12"/>
      <c r="P203" s="12"/>
      <c r="Q203" s="12"/>
      <c r="R203" s="12"/>
      <c r="S203" s="13"/>
      <c r="T203" s="12"/>
    </row>
    <row r="204" ht="15.75" customHeight="1">
      <c r="A204" s="12"/>
      <c r="B204" s="12"/>
      <c r="C204" s="12"/>
      <c r="D204" s="12"/>
      <c r="E204" s="12"/>
      <c r="F204" s="12"/>
      <c r="G204" s="12"/>
      <c r="H204" s="12"/>
      <c r="I204" s="12"/>
      <c r="J204" s="12"/>
      <c r="K204" s="12"/>
      <c r="L204" s="12"/>
      <c r="M204" s="13"/>
      <c r="N204" s="13"/>
      <c r="O204" s="12"/>
      <c r="P204" s="12"/>
      <c r="Q204" s="12"/>
      <c r="R204" s="12"/>
      <c r="S204" s="13"/>
      <c r="T204" s="12"/>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T1"/>
    <mergeCell ref="A2:T2"/>
  </mergeCells>
  <conditionalFormatting sqref="J5:J204">
    <cfRule type="expression" dxfId="4" priority="1">
      <formula>J5="Done"</formula>
    </cfRule>
  </conditionalFormatting>
  <conditionalFormatting sqref="J5:J204">
    <cfRule type="expression" dxfId="5" priority="2">
      <formula>J5="In Progress"</formula>
    </cfRule>
  </conditionalFormatting>
  <conditionalFormatting sqref="J5:J204">
    <cfRule type="expression" dxfId="6" priority="3">
      <formula>J5="Blocked"</formula>
    </cfRule>
  </conditionalFormatting>
  <conditionalFormatting sqref="J5:J204">
    <cfRule type="expression" dxfId="7" priority="4">
      <formula>J5="Needs Review"</formula>
    </cfRule>
  </conditionalFormatting>
  <conditionalFormatting sqref="J5:J204">
    <cfRule type="expression" dxfId="7" priority="5">
      <formula>J5="Needs Revalidation"</formula>
    </cfRule>
  </conditionalFormatting>
  <conditionalFormatting sqref="K5:K204">
    <cfRule type="expression" dxfId="6" priority="6">
      <formula>K5="Critical"</formula>
    </cfRule>
  </conditionalFormatting>
  <conditionalFormatting sqref="K5:K204">
    <cfRule type="expression" dxfId="7" priority="7">
      <formula>K5="High"</formula>
    </cfRule>
  </conditionalFormatting>
  <dataValidations>
    <dataValidation type="list" allowBlank="1" sqref="L5:L204">
      <formula1>"Unassigned,SEO Manager,Content Lead,Content Writer,Developer,Designer,QA"</formula1>
    </dataValidation>
    <dataValidation type="list" allowBlank="1" sqref="C5:C204">
      <formula1>"Core Page,Service Page,Blog / Guide,Case Study,Comparison,Resource / Template,Conversion Page"</formula1>
    </dataValidation>
    <dataValidation type="list" allowBlank="1" sqref="G5:G204">
      <formula1>"Awareness,Consideration,Decision,Retention"</formula1>
    </dataValidation>
    <dataValidation type="list" allowBlank="1" sqref="R5:R204">
      <formula1>"Not Checked,Indexed,Not Indexed,Discovered - Not Indexed,Crawled - Not Indexed,Excluded,Request Indexing,Needs Revalidation"</formula1>
    </dataValidation>
    <dataValidation type="list" allowBlank="1" sqref="J5:J204">
      <formula1>"Idea,Planned,Brief Available,Writing,Design,Development,SEO Review,Needs Review,Approved,Scheduled,Published,Refresh Required,Archived"</formula1>
    </dataValidation>
    <dataValidation type="list" allowBlank="1" sqref="F5:F204">
      <formula1>"Informational,Commercial,Commercial+Informational,Transactional,Navigational,Mixed"</formula1>
    </dataValidation>
    <dataValidation type="list" allowBlank="1" sqref="K5:K204">
      <formula1>"Critical,High,Medium,Low"</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3.71"/>
    <col customWidth="1" min="3" max="3" width="20.57"/>
    <col customWidth="1" min="4" max="4" width="11.43"/>
    <col customWidth="1" min="5" max="5" width="22.86"/>
    <col customWidth="1" min="6" max="6" width="41.14"/>
    <col customWidth="1" min="7" max="7" width="43.43"/>
    <col customWidth="1" min="8" max="8" width="38.86"/>
    <col customWidth="1" min="9" max="9" width="45.71"/>
    <col customWidth="1" min="10" max="10" width="16.0"/>
    <col customWidth="1" min="11" max="11" width="20.57"/>
    <col customWidth="1" min="12" max="12" width="13.71"/>
    <col customWidth="1" min="13" max="13" width="32.0"/>
    <col customWidth="1" min="14" max="14" width="34.29"/>
    <col customWidth="1" min="15" max="16" width="13.71"/>
    <col customWidth="1" min="17" max="17" width="32.0"/>
    <col customWidth="1" min="18" max="26" width="9.86"/>
  </cols>
  <sheetData>
    <row r="1" ht="33.75" customHeight="1">
      <c r="A1" s="1" t="s">
        <v>435</v>
      </c>
    </row>
    <row r="2" ht="27.75" customHeight="1">
      <c r="A2" s="2" t="s">
        <v>436</v>
      </c>
    </row>
    <row r="4" ht="30.0" customHeight="1">
      <c r="A4" s="6" t="s">
        <v>437</v>
      </c>
      <c r="B4" s="7" t="s">
        <v>440</v>
      </c>
      <c r="C4" s="7" t="s">
        <v>67</v>
      </c>
      <c r="D4" s="7" t="s">
        <v>441</v>
      </c>
      <c r="E4" s="7" t="s">
        <v>442</v>
      </c>
      <c r="F4" s="7" t="s">
        <v>443</v>
      </c>
      <c r="G4" s="7" t="s">
        <v>445</v>
      </c>
      <c r="H4" s="7" t="s">
        <v>446</v>
      </c>
      <c r="I4" s="7" t="s">
        <v>447</v>
      </c>
      <c r="J4" s="7" t="s">
        <v>21</v>
      </c>
      <c r="K4" s="7" t="s">
        <v>22</v>
      </c>
      <c r="L4" s="7" t="s">
        <v>12</v>
      </c>
      <c r="M4" s="7" t="s">
        <v>217</v>
      </c>
      <c r="N4" s="7" t="s">
        <v>449</v>
      </c>
      <c r="O4" s="7" t="s">
        <v>450</v>
      </c>
      <c r="P4" s="7" t="s">
        <v>451</v>
      </c>
      <c r="Q4" s="11" t="s">
        <v>76</v>
      </c>
    </row>
    <row r="5">
      <c r="A5" s="12" t="s">
        <v>454</v>
      </c>
      <c r="B5" s="13">
        <v>46230.0</v>
      </c>
      <c r="C5" s="12" t="s">
        <v>455</v>
      </c>
      <c r="D5" s="12" t="s">
        <v>59</v>
      </c>
      <c r="E5" s="12" t="s">
        <v>456</v>
      </c>
      <c r="F5" s="12" t="s">
        <v>57</v>
      </c>
      <c r="G5" s="12" t="s">
        <v>457</v>
      </c>
      <c r="H5" s="12" t="s">
        <v>458</v>
      </c>
      <c r="I5" s="12" t="s">
        <v>459</v>
      </c>
      <c r="J5" s="12" t="s">
        <v>61</v>
      </c>
      <c r="K5" s="12" t="s">
        <v>166</v>
      </c>
      <c r="L5" s="13">
        <v>46232.0</v>
      </c>
      <c r="M5" s="12"/>
      <c r="N5" s="12" t="s">
        <v>462</v>
      </c>
      <c r="O5" s="13"/>
      <c r="P5" s="12" t="s">
        <v>46</v>
      </c>
      <c r="Q5" s="12"/>
    </row>
    <row r="6">
      <c r="A6" s="12" t="s">
        <v>463</v>
      </c>
      <c r="B6" s="13">
        <v>46230.0</v>
      </c>
      <c r="C6" s="12" t="s">
        <v>455</v>
      </c>
      <c r="D6" s="12" t="s">
        <v>59</v>
      </c>
      <c r="E6" s="12" t="s">
        <v>464</v>
      </c>
      <c r="F6" s="12" t="s">
        <v>465</v>
      </c>
      <c r="G6" s="12" t="s">
        <v>466</v>
      </c>
      <c r="H6" s="12" t="s">
        <v>467</v>
      </c>
      <c r="I6" s="12" t="s">
        <v>468</v>
      </c>
      <c r="J6" s="12" t="s">
        <v>61</v>
      </c>
      <c r="K6" s="12" t="s">
        <v>166</v>
      </c>
      <c r="L6" s="13">
        <v>46233.0</v>
      </c>
      <c r="M6" s="12"/>
      <c r="N6" s="12" t="s">
        <v>471</v>
      </c>
      <c r="O6" s="13"/>
      <c r="P6" s="12" t="s">
        <v>46</v>
      </c>
      <c r="Q6" s="12" t="s">
        <v>473</v>
      </c>
    </row>
    <row r="7">
      <c r="A7" s="12" t="s">
        <v>474</v>
      </c>
      <c r="B7" s="13">
        <v>46230.0</v>
      </c>
      <c r="C7" s="12" t="s">
        <v>455</v>
      </c>
      <c r="D7" s="12" t="s">
        <v>120</v>
      </c>
      <c r="E7" s="12" t="s">
        <v>475</v>
      </c>
      <c r="F7" s="12" t="s">
        <v>146</v>
      </c>
      <c r="G7" s="12" t="s">
        <v>476</v>
      </c>
      <c r="H7" s="12" t="s">
        <v>477</v>
      </c>
      <c r="I7" s="12" t="s">
        <v>478</v>
      </c>
      <c r="J7" s="12" t="s">
        <v>72</v>
      </c>
      <c r="K7" s="12" t="s">
        <v>166</v>
      </c>
      <c r="L7" s="13">
        <v>46234.0</v>
      </c>
      <c r="M7" s="12"/>
      <c r="N7" s="12" t="s">
        <v>479</v>
      </c>
      <c r="O7" s="13"/>
      <c r="P7" s="12" t="s">
        <v>482</v>
      </c>
      <c r="Q7" s="12"/>
    </row>
    <row r="8">
      <c r="A8" s="12" t="s">
        <v>483</v>
      </c>
      <c r="B8" s="13">
        <v>46230.0</v>
      </c>
      <c r="C8" s="12" t="s">
        <v>455</v>
      </c>
      <c r="D8" s="12" t="s">
        <v>120</v>
      </c>
      <c r="E8" s="12" t="s">
        <v>484</v>
      </c>
      <c r="F8" s="12" t="s">
        <v>155</v>
      </c>
      <c r="G8" s="12" t="s">
        <v>485</v>
      </c>
      <c r="H8" s="12" t="s">
        <v>486</v>
      </c>
      <c r="I8" s="12" t="s">
        <v>487</v>
      </c>
      <c r="J8" s="12" t="s">
        <v>135</v>
      </c>
      <c r="K8" s="12" t="s">
        <v>166</v>
      </c>
      <c r="L8" s="13">
        <v>46235.0</v>
      </c>
      <c r="M8" s="12"/>
      <c r="N8" s="12" t="s">
        <v>488</v>
      </c>
      <c r="O8" s="13"/>
      <c r="P8" s="12" t="s">
        <v>482</v>
      </c>
      <c r="Q8" s="12"/>
    </row>
    <row r="9">
      <c r="A9" s="12" t="s">
        <v>489</v>
      </c>
      <c r="B9" s="13">
        <v>46230.0</v>
      </c>
      <c r="C9" s="12" t="s">
        <v>490</v>
      </c>
      <c r="D9" s="12" t="s">
        <v>120</v>
      </c>
      <c r="E9" s="12" t="s">
        <v>275</v>
      </c>
      <c r="F9" s="12" t="s">
        <v>491</v>
      </c>
      <c r="G9" s="12" t="s">
        <v>492</v>
      </c>
      <c r="H9" s="12" t="s">
        <v>493</v>
      </c>
      <c r="I9" s="12" t="s">
        <v>494</v>
      </c>
      <c r="J9" s="12" t="s">
        <v>72</v>
      </c>
      <c r="K9" s="12" t="s">
        <v>495</v>
      </c>
      <c r="L9" s="13">
        <v>46230.0</v>
      </c>
      <c r="M9" s="12" t="s">
        <v>496</v>
      </c>
      <c r="N9" s="12" t="s">
        <v>497</v>
      </c>
      <c r="O9" s="13">
        <v>46230.0</v>
      </c>
      <c r="P9" s="12" t="s">
        <v>46</v>
      </c>
      <c r="Q9" s="12"/>
    </row>
    <row r="10">
      <c r="A10" s="12" t="s">
        <v>498</v>
      </c>
      <c r="B10" s="13">
        <v>46230.0</v>
      </c>
      <c r="C10" s="12" t="s">
        <v>490</v>
      </c>
      <c r="D10" s="12" t="s">
        <v>120</v>
      </c>
      <c r="E10" s="12" t="s">
        <v>254</v>
      </c>
      <c r="F10" s="12" t="s">
        <v>500</v>
      </c>
      <c r="G10" s="12" t="s">
        <v>502</v>
      </c>
      <c r="H10" s="12" t="s">
        <v>503</v>
      </c>
      <c r="I10" s="12" t="s">
        <v>504</v>
      </c>
      <c r="J10" s="12" t="s">
        <v>262</v>
      </c>
      <c r="K10" s="12" t="s">
        <v>505</v>
      </c>
      <c r="L10" s="13">
        <v>46240.0</v>
      </c>
      <c r="M10" s="12"/>
      <c r="N10" s="12" t="s">
        <v>506</v>
      </c>
      <c r="O10" s="13"/>
      <c r="P10" s="12" t="s">
        <v>266</v>
      </c>
      <c r="Q10" s="12"/>
    </row>
    <row r="11">
      <c r="A11" s="12" t="s">
        <v>508</v>
      </c>
      <c r="B11" s="13">
        <v>46230.0</v>
      </c>
      <c r="C11" s="12" t="s">
        <v>509</v>
      </c>
      <c r="D11" s="12" t="s">
        <v>59</v>
      </c>
      <c r="E11" s="12" t="s">
        <v>296</v>
      </c>
      <c r="F11" s="12" t="s">
        <v>510</v>
      </c>
      <c r="G11" s="12" t="s">
        <v>511</v>
      </c>
      <c r="H11" s="12" t="s">
        <v>512</v>
      </c>
      <c r="I11" s="12" t="s">
        <v>513</v>
      </c>
      <c r="J11" s="12" t="s">
        <v>61</v>
      </c>
      <c r="K11" s="12" t="s">
        <v>505</v>
      </c>
      <c r="L11" s="13">
        <v>46239.0</v>
      </c>
      <c r="M11" s="12"/>
      <c r="N11" s="12" t="s">
        <v>515</v>
      </c>
      <c r="O11" s="13"/>
      <c r="P11" s="12" t="s">
        <v>266</v>
      </c>
      <c r="Q11" s="12"/>
    </row>
    <row r="12">
      <c r="A12" s="12" t="s">
        <v>516</v>
      </c>
      <c r="B12" s="13">
        <v>46230.0</v>
      </c>
      <c r="C12" s="12" t="s">
        <v>509</v>
      </c>
      <c r="D12" s="12" t="s">
        <v>120</v>
      </c>
      <c r="E12" s="12" t="s">
        <v>519</v>
      </c>
      <c r="F12" s="12" t="s">
        <v>520</v>
      </c>
      <c r="G12" s="12" t="s">
        <v>521</v>
      </c>
      <c r="H12" s="12" t="s">
        <v>522</v>
      </c>
      <c r="I12" s="12" t="s">
        <v>523</v>
      </c>
      <c r="J12" s="12" t="s">
        <v>61</v>
      </c>
      <c r="K12" s="12" t="s">
        <v>505</v>
      </c>
      <c r="L12" s="13">
        <v>46241.0</v>
      </c>
      <c r="M12" s="12"/>
      <c r="N12" s="12" t="s">
        <v>524</v>
      </c>
      <c r="O12" s="13"/>
      <c r="P12" s="12" t="s">
        <v>525</v>
      </c>
      <c r="Q12" s="12"/>
    </row>
    <row r="13">
      <c r="A13" s="12" t="s">
        <v>526</v>
      </c>
      <c r="B13" s="13">
        <v>46230.0</v>
      </c>
      <c r="C13" s="12" t="s">
        <v>509</v>
      </c>
      <c r="D13" s="12" t="s">
        <v>120</v>
      </c>
      <c r="E13" s="12" t="s">
        <v>527</v>
      </c>
      <c r="F13" s="12" t="s">
        <v>528</v>
      </c>
      <c r="G13" s="12" t="s">
        <v>529</v>
      </c>
      <c r="H13" s="12" t="s">
        <v>530</v>
      </c>
      <c r="I13" s="12" t="s">
        <v>531</v>
      </c>
      <c r="J13" s="12" t="s">
        <v>61</v>
      </c>
      <c r="K13" s="12" t="s">
        <v>505</v>
      </c>
      <c r="L13" s="13">
        <v>46236.0</v>
      </c>
      <c r="M13" s="12"/>
      <c r="N13" s="12" t="s">
        <v>534</v>
      </c>
      <c r="O13" s="13"/>
      <c r="P13" s="12" t="s">
        <v>525</v>
      </c>
      <c r="Q13" s="12"/>
    </row>
    <row r="14">
      <c r="A14" s="12" t="s">
        <v>535</v>
      </c>
      <c r="B14" s="13">
        <v>46230.0</v>
      </c>
      <c r="C14" s="12" t="s">
        <v>509</v>
      </c>
      <c r="D14" s="12" t="s">
        <v>210</v>
      </c>
      <c r="E14" s="12" t="s">
        <v>536</v>
      </c>
      <c r="F14" s="12" t="s">
        <v>537</v>
      </c>
      <c r="G14" s="12" t="s">
        <v>538</v>
      </c>
      <c r="H14" s="12" t="s">
        <v>539</v>
      </c>
      <c r="I14" s="12" t="s">
        <v>540</v>
      </c>
      <c r="J14" s="12" t="s">
        <v>72</v>
      </c>
      <c r="K14" s="12" t="s">
        <v>505</v>
      </c>
      <c r="L14" s="13">
        <v>46239.0</v>
      </c>
      <c r="M14" s="12"/>
      <c r="N14" s="12" t="s">
        <v>541</v>
      </c>
      <c r="O14" s="13"/>
      <c r="P14" s="12" t="s">
        <v>266</v>
      </c>
      <c r="Q14" s="12"/>
    </row>
    <row r="15">
      <c r="A15" s="12"/>
      <c r="B15" s="13"/>
      <c r="C15" s="12"/>
      <c r="D15" s="12"/>
      <c r="E15" s="12"/>
      <c r="F15" s="12"/>
      <c r="G15" s="12"/>
      <c r="H15" s="12"/>
      <c r="I15" s="12"/>
      <c r="J15" s="12"/>
      <c r="K15" s="12"/>
      <c r="L15" s="13"/>
      <c r="M15" s="12"/>
      <c r="N15" s="12"/>
      <c r="O15" s="13"/>
      <c r="P15" s="12"/>
      <c r="Q15" s="12"/>
    </row>
    <row r="16">
      <c r="A16" s="12"/>
      <c r="B16" s="13"/>
      <c r="C16" s="12"/>
      <c r="D16" s="12"/>
      <c r="E16" s="12"/>
      <c r="F16" s="12"/>
      <c r="G16" s="12"/>
      <c r="H16" s="12"/>
      <c r="I16" s="12"/>
      <c r="J16" s="12"/>
      <c r="K16" s="12"/>
      <c r="L16" s="13"/>
      <c r="M16" s="12"/>
      <c r="N16" s="12"/>
      <c r="O16" s="13"/>
      <c r="P16" s="12"/>
      <c r="Q16" s="12"/>
    </row>
    <row r="17">
      <c r="A17" s="12"/>
      <c r="B17" s="13"/>
      <c r="C17" s="12"/>
      <c r="D17" s="12"/>
      <c r="E17" s="12"/>
      <c r="F17" s="12"/>
      <c r="G17" s="12"/>
      <c r="H17" s="12"/>
      <c r="I17" s="12"/>
      <c r="J17" s="12"/>
      <c r="K17" s="12"/>
      <c r="L17" s="13"/>
      <c r="M17" s="12"/>
      <c r="N17" s="12"/>
      <c r="O17" s="13"/>
      <c r="P17" s="12"/>
      <c r="Q17" s="12"/>
    </row>
    <row r="18">
      <c r="A18" s="12"/>
      <c r="B18" s="13"/>
      <c r="C18" s="12"/>
      <c r="D18" s="12"/>
      <c r="E18" s="12"/>
      <c r="F18" s="12"/>
      <c r="G18" s="12"/>
      <c r="H18" s="12"/>
      <c r="I18" s="12"/>
      <c r="J18" s="12"/>
      <c r="K18" s="12"/>
      <c r="L18" s="13"/>
      <c r="M18" s="12"/>
      <c r="N18" s="12"/>
      <c r="O18" s="13"/>
      <c r="P18" s="12"/>
      <c r="Q18" s="12"/>
    </row>
    <row r="19">
      <c r="A19" s="12"/>
      <c r="B19" s="13"/>
      <c r="C19" s="12"/>
      <c r="D19" s="12"/>
      <c r="E19" s="12"/>
      <c r="F19" s="12"/>
      <c r="G19" s="12"/>
      <c r="H19" s="12"/>
      <c r="I19" s="12"/>
      <c r="J19" s="12"/>
      <c r="K19" s="12"/>
      <c r="L19" s="13"/>
      <c r="M19" s="12"/>
      <c r="N19" s="12"/>
      <c r="O19" s="13"/>
      <c r="P19" s="12"/>
      <c r="Q19" s="12"/>
    </row>
    <row r="20">
      <c r="A20" s="12"/>
      <c r="B20" s="13"/>
      <c r="C20" s="12"/>
      <c r="D20" s="12"/>
      <c r="E20" s="12"/>
      <c r="F20" s="12"/>
      <c r="G20" s="12"/>
      <c r="H20" s="12"/>
      <c r="I20" s="12"/>
      <c r="J20" s="12"/>
      <c r="K20" s="12"/>
      <c r="L20" s="13"/>
      <c r="M20" s="12"/>
      <c r="N20" s="12"/>
      <c r="O20" s="13"/>
      <c r="P20" s="12"/>
      <c r="Q20" s="12"/>
    </row>
    <row r="21" ht="15.75" customHeight="1">
      <c r="A21" s="12"/>
      <c r="B21" s="13"/>
      <c r="C21" s="12"/>
      <c r="D21" s="12"/>
      <c r="E21" s="12"/>
      <c r="F21" s="12"/>
      <c r="G21" s="12"/>
      <c r="H21" s="12"/>
      <c r="I21" s="12"/>
      <c r="J21" s="12"/>
      <c r="K21" s="12"/>
      <c r="L21" s="13"/>
      <c r="M21" s="12"/>
      <c r="N21" s="12"/>
      <c r="O21" s="13"/>
      <c r="P21" s="12"/>
      <c r="Q21" s="12"/>
    </row>
    <row r="22" ht="15.75" customHeight="1">
      <c r="A22" s="12"/>
      <c r="B22" s="13"/>
      <c r="C22" s="12"/>
      <c r="D22" s="12"/>
      <c r="E22" s="12"/>
      <c r="F22" s="12"/>
      <c r="G22" s="12"/>
      <c r="H22" s="12"/>
      <c r="I22" s="12"/>
      <c r="J22" s="12"/>
      <c r="K22" s="12"/>
      <c r="L22" s="13"/>
      <c r="M22" s="12"/>
      <c r="N22" s="12"/>
      <c r="O22" s="13"/>
      <c r="P22" s="12"/>
      <c r="Q22" s="12"/>
    </row>
    <row r="23" ht="15.75" customHeight="1">
      <c r="A23" s="12"/>
      <c r="B23" s="13"/>
      <c r="C23" s="12"/>
      <c r="D23" s="12"/>
      <c r="E23" s="12"/>
      <c r="F23" s="12"/>
      <c r="G23" s="12"/>
      <c r="H23" s="12"/>
      <c r="I23" s="12"/>
      <c r="J23" s="12"/>
      <c r="K23" s="12"/>
      <c r="L23" s="13"/>
      <c r="M23" s="12"/>
      <c r="N23" s="12"/>
      <c r="O23" s="13"/>
      <c r="P23" s="12"/>
      <c r="Q23" s="12"/>
    </row>
    <row r="24" ht="15.75" customHeight="1">
      <c r="A24" s="12"/>
      <c r="B24" s="13"/>
      <c r="C24" s="12"/>
      <c r="D24" s="12"/>
      <c r="E24" s="12"/>
      <c r="F24" s="12"/>
      <c r="G24" s="12"/>
      <c r="H24" s="12"/>
      <c r="I24" s="12"/>
      <c r="J24" s="12"/>
      <c r="K24" s="12"/>
      <c r="L24" s="13"/>
      <c r="M24" s="12"/>
      <c r="N24" s="12"/>
      <c r="O24" s="13"/>
      <c r="P24" s="12"/>
      <c r="Q24" s="12"/>
    </row>
    <row r="25" ht="15.75" customHeight="1">
      <c r="A25" s="12"/>
      <c r="B25" s="13"/>
      <c r="C25" s="12"/>
      <c r="D25" s="12"/>
      <c r="E25" s="12"/>
      <c r="F25" s="12"/>
      <c r="G25" s="12"/>
      <c r="H25" s="12"/>
      <c r="I25" s="12"/>
      <c r="J25" s="12"/>
      <c r="K25" s="12"/>
      <c r="L25" s="13"/>
      <c r="M25" s="12"/>
      <c r="N25" s="12"/>
      <c r="O25" s="13"/>
      <c r="P25" s="12"/>
      <c r="Q25" s="12"/>
    </row>
    <row r="26" ht="15.75" customHeight="1">
      <c r="A26" s="12"/>
      <c r="B26" s="13"/>
      <c r="C26" s="12"/>
      <c r="D26" s="12"/>
      <c r="E26" s="12"/>
      <c r="F26" s="12"/>
      <c r="G26" s="12"/>
      <c r="H26" s="12"/>
      <c r="I26" s="12"/>
      <c r="J26" s="12"/>
      <c r="K26" s="12"/>
      <c r="L26" s="13"/>
      <c r="M26" s="12"/>
      <c r="N26" s="12"/>
      <c r="O26" s="13"/>
      <c r="P26" s="12"/>
      <c r="Q26" s="12"/>
    </row>
    <row r="27" ht="15.75" customHeight="1">
      <c r="A27" s="12"/>
      <c r="B27" s="13"/>
      <c r="C27" s="12"/>
      <c r="D27" s="12"/>
      <c r="E27" s="12"/>
      <c r="F27" s="12"/>
      <c r="G27" s="12"/>
      <c r="H27" s="12"/>
      <c r="I27" s="12"/>
      <c r="J27" s="12"/>
      <c r="K27" s="12"/>
      <c r="L27" s="13"/>
      <c r="M27" s="12"/>
      <c r="N27" s="12"/>
      <c r="O27" s="13"/>
      <c r="P27" s="12"/>
      <c r="Q27" s="12"/>
    </row>
    <row r="28" ht="15.75" customHeight="1">
      <c r="A28" s="12"/>
      <c r="B28" s="13"/>
      <c r="C28" s="12"/>
      <c r="D28" s="12"/>
      <c r="E28" s="12"/>
      <c r="F28" s="12"/>
      <c r="G28" s="12"/>
      <c r="H28" s="12"/>
      <c r="I28" s="12"/>
      <c r="J28" s="12"/>
      <c r="K28" s="12"/>
      <c r="L28" s="13"/>
      <c r="M28" s="12"/>
      <c r="N28" s="12"/>
      <c r="O28" s="13"/>
      <c r="P28" s="12"/>
      <c r="Q28" s="12"/>
    </row>
    <row r="29" ht="15.75" customHeight="1">
      <c r="A29" s="12"/>
      <c r="B29" s="13"/>
      <c r="C29" s="12"/>
      <c r="D29" s="12"/>
      <c r="E29" s="12"/>
      <c r="F29" s="12"/>
      <c r="G29" s="12"/>
      <c r="H29" s="12"/>
      <c r="I29" s="12"/>
      <c r="J29" s="12"/>
      <c r="K29" s="12"/>
      <c r="L29" s="13"/>
      <c r="M29" s="12"/>
      <c r="N29" s="12"/>
      <c r="O29" s="13"/>
      <c r="P29" s="12"/>
      <c r="Q29" s="12"/>
    </row>
    <row r="30" ht="15.75" customHeight="1">
      <c r="A30" s="12"/>
      <c r="B30" s="13"/>
      <c r="C30" s="12"/>
      <c r="D30" s="12"/>
      <c r="E30" s="12"/>
      <c r="F30" s="12"/>
      <c r="G30" s="12"/>
      <c r="H30" s="12"/>
      <c r="I30" s="12"/>
      <c r="J30" s="12"/>
      <c r="K30" s="12"/>
      <c r="L30" s="13"/>
      <c r="M30" s="12"/>
      <c r="N30" s="12"/>
      <c r="O30" s="13"/>
      <c r="P30" s="12"/>
      <c r="Q30" s="12"/>
    </row>
    <row r="31" ht="15.75" customHeight="1">
      <c r="A31" s="12"/>
      <c r="B31" s="13"/>
      <c r="C31" s="12"/>
      <c r="D31" s="12"/>
      <c r="E31" s="12"/>
      <c r="F31" s="12"/>
      <c r="G31" s="12"/>
      <c r="H31" s="12"/>
      <c r="I31" s="12"/>
      <c r="J31" s="12"/>
      <c r="K31" s="12"/>
      <c r="L31" s="13"/>
      <c r="M31" s="12"/>
      <c r="N31" s="12"/>
      <c r="O31" s="13"/>
      <c r="P31" s="12"/>
      <c r="Q31" s="12"/>
    </row>
    <row r="32" ht="15.75" customHeight="1">
      <c r="A32" s="12"/>
      <c r="B32" s="13"/>
      <c r="C32" s="12"/>
      <c r="D32" s="12"/>
      <c r="E32" s="12"/>
      <c r="F32" s="12"/>
      <c r="G32" s="12"/>
      <c r="H32" s="12"/>
      <c r="I32" s="12"/>
      <c r="J32" s="12"/>
      <c r="K32" s="12"/>
      <c r="L32" s="13"/>
      <c r="M32" s="12"/>
      <c r="N32" s="12"/>
      <c r="O32" s="13"/>
      <c r="P32" s="12"/>
      <c r="Q32" s="12"/>
    </row>
    <row r="33" ht="15.75" customHeight="1">
      <c r="A33" s="12"/>
      <c r="B33" s="13"/>
      <c r="C33" s="12"/>
      <c r="D33" s="12"/>
      <c r="E33" s="12"/>
      <c r="F33" s="12"/>
      <c r="G33" s="12"/>
      <c r="H33" s="12"/>
      <c r="I33" s="12"/>
      <c r="J33" s="12"/>
      <c r="K33" s="12"/>
      <c r="L33" s="13"/>
      <c r="M33" s="12"/>
      <c r="N33" s="12"/>
      <c r="O33" s="13"/>
      <c r="P33" s="12"/>
      <c r="Q33" s="12"/>
    </row>
    <row r="34" ht="15.75" customHeight="1">
      <c r="A34" s="12"/>
      <c r="B34" s="13"/>
      <c r="C34" s="12"/>
      <c r="D34" s="12"/>
      <c r="E34" s="12"/>
      <c r="F34" s="12"/>
      <c r="G34" s="12"/>
      <c r="H34" s="12"/>
      <c r="I34" s="12"/>
      <c r="J34" s="12"/>
      <c r="K34" s="12"/>
      <c r="L34" s="13"/>
      <c r="M34" s="12"/>
      <c r="N34" s="12"/>
      <c r="O34" s="13"/>
      <c r="P34" s="12"/>
      <c r="Q34" s="12"/>
    </row>
    <row r="35" ht="15.75" customHeight="1">
      <c r="A35" s="12"/>
      <c r="B35" s="13"/>
      <c r="C35" s="12"/>
      <c r="D35" s="12"/>
      <c r="E35" s="12"/>
      <c r="F35" s="12"/>
      <c r="G35" s="12"/>
      <c r="H35" s="12"/>
      <c r="I35" s="12"/>
      <c r="J35" s="12"/>
      <c r="K35" s="12"/>
      <c r="L35" s="13"/>
      <c r="M35" s="12"/>
      <c r="N35" s="12"/>
      <c r="O35" s="13"/>
      <c r="P35" s="12"/>
      <c r="Q35" s="12"/>
    </row>
    <row r="36" ht="15.75" customHeight="1">
      <c r="A36" s="12"/>
      <c r="B36" s="13"/>
      <c r="C36" s="12"/>
      <c r="D36" s="12"/>
      <c r="E36" s="12"/>
      <c r="F36" s="12"/>
      <c r="G36" s="12"/>
      <c r="H36" s="12"/>
      <c r="I36" s="12"/>
      <c r="J36" s="12"/>
      <c r="K36" s="12"/>
      <c r="L36" s="13"/>
      <c r="M36" s="12"/>
      <c r="N36" s="12"/>
      <c r="O36" s="13"/>
      <c r="P36" s="12"/>
      <c r="Q36" s="12"/>
    </row>
    <row r="37" ht="15.75" customHeight="1">
      <c r="A37" s="12"/>
      <c r="B37" s="13"/>
      <c r="C37" s="12"/>
      <c r="D37" s="12"/>
      <c r="E37" s="12"/>
      <c r="F37" s="12"/>
      <c r="G37" s="12"/>
      <c r="H37" s="12"/>
      <c r="I37" s="12"/>
      <c r="J37" s="12"/>
      <c r="K37" s="12"/>
      <c r="L37" s="13"/>
      <c r="M37" s="12"/>
      <c r="N37" s="12"/>
      <c r="O37" s="13"/>
      <c r="P37" s="12"/>
      <c r="Q37" s="12"/>
    </row>
    <row r="38" ht="15.75" customHeight="1">
      <c r="A38" s="12"/>
      <c r="B38" s="13"/>
      <c r="C38" s="12"/>
      <c r="D38" s="12"/>
      <c r="E38" s="12"/>
      <c r="F38" s="12"/>
      <c r="G38" s="12"/>
      <c r="H38" s="12"/>
      <c r="I38" s="12"/>
      <c r="J38" s="12"/>
      <c r="K38" s="12"/>
      <c r="L38" s="13"/>
      <c r="M38" s="12"/>
      <c r="N38" s="12"/>
      <c r="O38" s="13"/>
      <c r="P38" s="12"/>
      <c r="Q38" s="12"/>
    </row>
    <row r="39" ht="15.75" customHeight="1">
      <c r="A39" s="12"/>
      <c r="B39" s="13"/>
      <c r="C39" s="12"/>
      <c r="D39" s="12"/>
      <c r="E39" s="12"/>
      <c r="F39" s="12"/>
      <c r="G39" s="12"/>
      <c r="H39" s="12"/>
      <c r="I39" s="12"/>
      <c r="J39" s="12"/>
      <c r="K39" s="12"/>
      <c r="L39" s="13"/>
      <c r="M39" s="12"/>
      <c r="N39" s="12"/>
      <c r="O39" s="13"/>
      <c r="P39" s="12"/>
      <c r="Q39" s="12"/>
    </row>
    <row r="40" ht="15.75" customHeight="1">
      <c r="A40" s="12"/>
      <c r="B40" s="13"/>
      <c r="C40" s="12"/>
      <c r="D40" s="12"/>
      <c r="E40" s="12"/>
      <c r="F40" s="12"/>
      <c r="G40" s="12"/>
      <c r="H40" s="12"/>
      <c r="I40" s="12"/>
      <c r="J40" s="12"/>
      <c r="K40" s="12"/>
      <c r="L40" s="13"/>
      <c r="M40" s="12"/>
      <c r="N40" s="12"/>
      <c r="O40" s="13"/>
      <c r="P40" s="12"/>
      <c r="Q40" s="12"/>
    </row>
    <row r="41" ht="15.75" customHeight="1">
      <c r="A41" s="12"/>
      <c r="B41" s="13"/>
      <c r="C41" s="12"/>
      <c r="D41" s="12"/>
      <c r="E41" s="12"/>
      <c r="F41" s="12"/>
      <c r="G41" s="12"/>
      <c r="H41" s="12"/>
      <c r="I41" s="12"/>
      <c r="J41" s="12"/>
      <c r="K41" s="12"/>
      <c r="L41" s="13"/>
      <c r="M41" s="12"/>
      <c r="N41" s="12"/>
      <c r="O41" s="13"/>
      <c r="P41" s="12"/>
      <c r="Q41" s="12"/>
    </row>
    <row r="42" ht="15.75" customHeight="1">
      <c r="A42" s="12"/>
      <c r="B42" s="13"/>
      <c r="C42" s="12"/>
      <c r="D42" s="12"/>
      <c r="E42" s="12"/>
      <c r="F42" s="12"/>
      <c r="G42" s="12"/>
      <c r="H42" s="12"/>
      <c r="I42" s="12"/>
      <c r="J42" s="12"/>
      <c r="K42" s="12"/>
      <c r="L42" s="13"/>
      <c r="M42" s="12"/>
      <c r="N42" s="12"/>
      <c r="O42" s="13"/>
      <c r="P42" s="12"/>
      <c r="Q42" s="12"/>
    </row>
    <row r="43" ht="15.75" customHeight="1">
      <c r="A43" s="12"/>
      <c r="B43" s="13"/>
      <c r="C43" s="12"/>
      <c r="D43" s="12"/>
      <c r="E43" s="12"/>
      <c r="F43" s="12"/>
      <c r="G43" s="12"/>
      <c r="H43" s="12"/>
      <c r="I43" s="12"/>
      <c r="J43" s="12"/>
      <c r="K43" s="12"/>
      <c r="L43" s="13"/>
      <c r="M43" s="12"/>
      <c r="N43" s="12"/>
      <c r="O43" s="13"/>
      <c r="P43" s="12"/>
      <c r="Q43" s="12"/>
    </row>
    <row r="44" ht="15.75" customHeight="1">
      <c r="A44" s="12"/>
      <c r="B44" s="13"/>
      <c r="C44" s="12"/>
      <c r="D44" s="12"/>
      <c r="E44" s="12"/>
      <c r="F44" s="12"/>
      <c r="G44" s="12"/>
      <c r="H44" s="12"/>
      <c r="I44" s="12"/>
      <c r="J44" s="12"/>
      <c r="K44" s="12"/>
      <c r="L44" s="13"/>
      <c r="M44" s="12"/>
      <c r="N44" s="12"/>
      <c r="O44" s="13"/>
      <c r="P44" s="12"/>
      <c r="Q44" s="12"/>
    </row>
    <row r="45" ht="15.75" customHeight="1">
      <c r="A45" s="12"/>
      <c r="B45" s="13"/>
      <c r="C45" s="12"/>
      <c r="D45" s="12"/>
      <c r="E45" s="12"/>
      <c r="F45" s="12"/>
      <c r="G45" s="12"/>
      <c r="H45" s="12"/>
      <c r="I45" s="12"/>
      <c r="J45" s="12"/>
      <c r="K45" s="12"/>
      <c r="L45" s="13"/>
      <c r="M45" s="12"/>
      <c r="N45" s="12"/>
      <c r="O45" s="13"/>
      <c r="P45" s="12"/>
      <c r="Q45" s="12"/>
    </row>
    <row r="46" ht="15.75" customHeight="1">
      <c r="A46" s="12"/>
      <c r="B46" s="13"/>
      <c r="C46" s="12"/>
      <c r="D46" s="12"/>
      <c r="E46" s="12"/>
      <c r="F46" s="12"/>
      <c r="G46" s="12"/>
      <c r="H46" s="12"/>
      <c r="I46" s="12"/>
      <c r="J46" s="12"/>
      <c r="K46" s="12"/>
      <c r="L46" s="13"/>
      <c r="M46" s="12"/>
      <c r="N46" s="12"/>
      <c r="O46" s="13"/>
      <c r="P46" s="12"/>
      <c r="Q46" s="12"/>
    </row>
    <row r="47" ht="15.75" customHeight="1">
      <c r="A47" s="12"/>
      <c r="B47" s="13"/>
      <c r="C47" s="12"/>
      <c r="D47" s="12"/>
      <c r="E47" s="12"/>
      <c r="F47" s="12"/>
      <c r="G47" s="12"/>
      <c r="H47" s="12"/>
      <c r="I47" s="12"/>
      <c r="J47" s="12"/>
      <c r="K47" s="12"/>
      <c r="L47" s="13"/>
      <c r="M47" s="12"/>
      <c r="N47" s="12"/>
      <c r="O47" s="13"/>
      <c r="P47" s="12"/>
      <c r="Q47" s="12"/>
    </row>
    <row r="48" ht="15.75" customHeight="1">
      <c r="A48" s="12"/>
      <c r="B48" s="13"/>
      <c r="C48" s="12"/>
      <c r="D48" s="12"/>
      <c r="E48" s="12"/>
      <c r="F48" s="12"/>
      <c r="G48" s="12"/>
      <c r="H48" s="12"/>
      <c r="I48" s="12"/>
      <c r="J48" s="12"/>
      <c r="K48" s="12"/>
      <c r="L48" s="13"/>
      <c r="M48" s="12"/>
      <c r="N48" s="12"/>
      <c r="O48" s="13"/>
      <c r="P48" s="12"/>
      <c r="Q48" s="12"/>
    </row>
    <row r="49" ht="15.75" customHeight="1">
      <c r="A49" s="12"/>
      <c r="B49" s="13"/>
      <c r="C49" s="12"/>
      <c r="D49" s="12"/>
      <c r="E49" s="12"/>
      <c r="F49" s="12"/>
      <c r="G49" s="12"/>
      <c r="H49" s="12"/>
      <c r="I49" s="12"/>
      <c r="J49" s="12"/>
      <c r="K49" s="12"/>
      <c r="L49" s="13"/>
      <c r="M49" s="12"/>
      <c r="N49" s="12"/>
      <c r="O49" s="13"/>
      <c r="P49" s="12"/>
      <c r="Q49" s="12"/>
    </row>
    <row r="50" ht="15.75" customHeight="1">
      <c r="A50" s="12"/>
      <c r="B50" s="13"/>
      <c r="C50" s="12"/>
      <c r="D50" s="12"/>
      <c r="E50" s="12"/>
      <c r="F50" s="12"/>
      <c r="G50" s="12"/>
      <c r="H50" s="12"/>
      <c r="I50" s="12"/>
      <c r="J50" s="12"/>
      <c r="K50" s="12"/>
      <c r="L50" s="13"/>
      <c r="M50" s="12"/>
      <c r="N50" s="12"/>
      <c r="O50" s="13"/>
      <c r="P50" s="12"/>
      <c r="Q50" s="12"/>
    </row>
    <row r="51" ht="15.75" customHeight="1">
      <c r="A51" s="12"/>
      <c r="B51" s="13"/>
      <c r="C51" s="12"/>
      <c r="D51" s="12"/>
      <c r="E51" s="12"/>
      <c r="F51" s="12"/>
      <c r="G51" s="12"/>
      <c r="H51" s="12"/>
      <c r="I51" s="12"/>
      <c r="J51" s="12"/>
      <c r="K51" s="12"/>
      <c r="L51" s="13"/>
      <c r="M51" s="12"/>
      <c r="N51" s="12"/>
      <c r="O51" s="13"/>
      <c r="P51" s="12"/>
      <c r="Q51" s="12"/>
    </row>
    <row r="52" ht="15.75" customHeight="1">
      <c r="A52" s="12"/>
      <c r="B52" s="13"/>
      <c r="C52" s="12"/>
      <c r="D52" s="12"/>
      <c r="E52" s="12"/>
      <c r="F52" s="12"/>
      <c r="G52" s="12"/>
      <c r="H52" s="12"/>
      <c r="I52" s="12"/>
      <c r="J52" s="12"/>
      <c r="K52" s="12"/>
      <c r="L52" s="13"/>
      <c r="M52" s="12"/>
      <c r="N52" s="12"/>
      <c r="O52" s="13"/>
      <c r="P52" s="12"/>
      <c r="Q52" s="12"/>
    </row>
    <row r="53" ht="15.75" customHeight="1">
      <c r="A53" s="12"/>
      <c r="B53" s="13"/>
      <c r="C53" s="12"/>
      <c r="D53" s="12"/>
      <c r="E53" s="12"/>
      <c r="F53" s="12"/>
      <c r="G53" s="12"/>
      <c r="H53" s="12"/>
      <c r="I53" s="12"/>
      <c r="J53" s="12"/>
      <c r="K53" s="12"/>
      <c r="L53" s="13"/>
      <c r="M53" s="12"/>
      <c r="N53" s="12"/>
      <c r="O53" s="13"/>
      <c r="P53" s="12"/>
      <c r="Q53" s="12"/>
    </row>
    <row r="54" ht="15.75" customHeight="1">
      <c r="A54" s="12"/>
      <c r="B54" s="13"/>
      <c r="C54" s="12"/>
      <c r="D54" s="12"/>
      <c r="E54" s="12"/>
      <c r="F54" s="12"/>
      <c r="G54" s="12"/>
      <c r="H54" s="12"/>
      <c r="I54" s="12"/>
      <c r="J54" s="12"/>
      <c r="K54" s="12"/>
      <c r="L54" s="13"/>
      <c r="M54" s="12"/>
      <c r="N54" s="12"/>
      <c r="O54" s="13"/>
      <c r="P54" s="12"/>
      <c r="Q54" s="12"/>
    </row>
    <row r="55" ht="15.75" customHeight="1">
      <c r="A55" s="12"/>
      <c r="B55" s="13"/>
      <c r="C55" s="12"/>
      <c r="D55" s="12"/>
      <c r="E55" s="12"/>
      <c r="F55" s="12"/>
      <c r="G55" s="12"/>
      <c r="H55" s="12"/>
      <c r="I55" s="12"/>
      <c r="J55" s="12"/>
      <c r="K55" s="12"/>
      <c r="L55" s="13"/>
      <c r="M55" s="12"/>
      <c r="N55" s="12"/>
      <c r="O55" s="13"/>
      <c r="P55" s="12"/>
      <c r="Q55" s="12"/>
    </row>
    <row r="56" ht="15.75" customHeight="1">
      <c r="A56" s="12"/>
      <c r="B56" s="13"/>
      <c r="C56" s="12"/>
      <c r="D56" s="12"/>
      <c r="E56" s="12"/>
      <c r="F56" s="12"/>
      <c r="G56" s="12"/>
      <c r="H56" s="12"/>
      <c r="I56" s="12"/>
      <c r="J56" s="12"/>
      <c r="K56" s="12"/>
      <c r="L56" s="13"/>
      <c r="M56" s="12"/>
      <c r="N56" s="12"/>
      <c r="O56" s="13"/>
      <c r="P56" s="12"/>
      <c r="Q56" s="12"/>
    </row>
    <row r="57" ht="15.75" customHeight="1">
      <c r="A57" s="12"/>
      <c r="B57" s="13"/>
      <c r="C57" s="12"/>
      <c r="D57" s="12"/>
      <c r="E57" s="12"/>
      <c r="F57" s="12"/>
      <c r="G57" s="12"/>
      <c r="H57" s="12"/>
      <c r="I57" s="12"/>
      <c r="J57" s="12"/>
      <c r="K57" s="12"/>
      <c r="L57" s="13"/>
      <c r="M57" s="12"/>
      <c r="N57" s="12"/>
      <c r="O57" s="13"/>
      <c r="P57" s="12"/>
      <c r="Q57" s="12"/>
    </row>
    <row r="58" ht="15.75" customHeight="1">
      <c r="A58" s="12"/>
      <c r="B58" s="13"/>
      <c r="C58" s="12"/>
      <c r="D58" s="12"/>
      <c r="E58" s="12"/>
      <c r="F58" s="12"/>
      <c r="G58" s="12"/>
      <c r="H58" s="12"/>
      <c r="I58" s="12"/>
      <c r="J58" s="12"/>
      <c r="K58" s="12"/>
      <c r="L58" s="13"/>
      <c r="M58" s="12"/>
      <c r="N58" s="12"/>
      <c r="O58" s="13"/>
      <c r="P58" s="12"/>
      <c r="Q58" s="12"/>
    </row>
    <row r="59" ht="15.75" customHeight="1">
      <c r="A59" s="12"/>
      <c r="B59" s="13"/>
      <c r="C59" s="12"/>
      <c r="D59" s="12"/>
      <c r="E59" s="12"/>
      <c r="F59" s="12"/>
      <c r="G59" s="12"/>
      <c r="H59" s="12"/>
      <c r="I59" s="12"/>
      <c r="J59" s="12"/>
      <c r="K59" s="12"/>
      <c r="L59" s="13"/>
      <c r="M59" s="12"/>
      <c r="N59" s="12"/>
      <c r="O59" s="13"/>
      <c r="P59" s="12"/>
      <c r="Q59" s="12"/>
    </row>
    <row r="60" ht="15.75" customHeight="1">
      <c r="A60" s="12"/>
      <c r="B60" s="13"/>
      <c r="C60" s="12"/>
      <c r="D60" s="12"/>
      <c r="E60" s="12"/>
      <c r="F60" s="12"/>
      <c r="G60" s="12"/>
      <c r="H60" s="12"/>
      <c r="I60" s="12"/>
      <c r="J60" s="12"/>
      <c r="K60" s="12"/>
      <c r="L60" s="13"/>
      <c r="M60" s="12"/>
      <c r="N60" s="12"/>
      <c r="O60" s="13"/>
      <c r="P60" s="12"/>
      <c r="Q60" s="12"/>
    </row>
    <row r="61" ht="15.75" customHeight="1">
      <c r="A61" s="12"/>
      <c r="B61" s="13"/>
      <c r="C61" s="12"/>
      <c r="D61" s="12"/>
      <c r="E61" s="12"/>
      <c r="F61" s="12"/>
      <c r="G61" s="12"/>
      <c r="H61" s="12"/>
      <c r="I61" s="12"/>
      <c r="J61" s="12"/>
      <c r="K61" s="12"/>
      <c r="L61" s="13"/>
      <c r="M61" s="12"/>
      <c r="N61" s="12"/>
      <c r="O61" s="13"/>
      <c r="P61" s="12"/>
      <c r="Q61" s="12"/>
    </row>
    <row r="62" ht="15.75" customHeight="1">
      <c r="A62" s="12"/>
      <c r="B62" s="13"/>
      <c r="C62" s="12"/>
      <c r="D62" s="12"/>
      <c r="E62" s="12"/>
      <c r="F62" s="12"/>
      <c r="G62" s="12"/>
      <c r="H62" s="12"/>
      <c r="I62" s="12"/>
      <c r="J62" s="12"/>
      <c r="K62" s="12"/>
      <c r="L62" s="13"/>
      <c r="M62" s="12"/>
      <c r="N62" s="12"/>
      <c r="O62" s="13"/>
      <c r="P62" s="12"/>
      <c r="Q62" s="12"/>
    </row>
    <row r="63" ht="15.75" customHeight="1">
      <c r="A63" s="12"/>
      <c r="B63" s="13"/>
      <c r="C63" s="12"/>
      <c r="D63" s="12"/>
      <c r="E63" s="12"/>
      <c r="F63" s="12"/>
      <c r="G63" s="12"/>
      <c r="H63" s="12"/>
      <c r="I63" s="12"/>
      <c r="J63" s="12"/>
      <c r="K63" s="12"/>
      <c r="L63" s="13"/>
      <c r="M63" s="12"/>
      <c r="N63" s="12"/>
      <c r="O63" s="13"/>
      <c r="P63" s="12"/>
      <c r="Q63" s="12"/>
    </row>
    <row r="64" ht="15.75" customHeight="1">
      <c r="A64" s="12"/>
      <c r="B64" s="13"/>
      <c r="C64" s="12"/>
      <c r="D64" s="12"/>
      <c r="E64" s="12"/>
      <c r="F64" s="12"/>
      <c r="G64" s="12"/>
      <c r="H64" s="12"/>
      <c r="I64" s="12"/>
      <c r="J64" s="12"/>
      <c r="K64" s="12"/>
      <c r="L64" s="13"/>
      <c r="M64" s="12"/>
      <c r="N64" s="12"/>
      <c r="O64" s="13"/>
      <c r="P64" s="12"/>
      <c r="Q64" s="12"/>
    </row>
    <row r="65" ht="15.75" customHeight="1">
      <c r="A65" s="12"/>
      <c r="B65" s="13"/>
      <c r="C65" s="12"/>
      <c r="D65" s="12"/>
      <c r="E65" s="12"/>
      <c r="F65" s="12"/>
      <c r="G65" s="12"/>
      <c r="H65" s="12"/>
      <c r="I65" s="12"/>
      <c r="J65" s="12"/>
      <c r="K65" s="12"/>
      <c r="L65" s="13"/>
      <c r="M65" s="12"/>
      <c r="N65" s="12"/>
      <c r="O65" s="13"/>
      <c r="P65" s="12"/>
      <c r="Q65" s="12"/>
    </row>
    <row r="66" ht="15.75" customHeight="1">
      <c r="A66" s="12"/>
      <c r="B66" s="13"/>
      <c r="C66" s="12"/>
      <c r="D66" s="12"/>
      <c r="E66" s="12"/>
      <c r="F66" s="12"/>
      <c r="G66" s="12"/>
      <c r="H66" s="12"/>
      <c r="I66" s="12"/>
      <c r="J66" s="12"/>
      <c r="K66" s="12"/>
      <c r="L66" s="13"/>
      <c r="M66" s="12"/>
      <c r="N66" s="12"/>
      <c r="O66" s="13"/>
      <c r="P66" s="12"/>
      <c r="Q66" s="12"/>
    </row>
    <row r="67" ht="15.75" customHeight="1">
      <c r="A67" s="12"/>
      <c r="B67" s="13"/>
      <c r="C67" s="12"/>
      <c r="D67" s="12"/>
      <c r="E67" s="12"/>
      <c r="F67" s="12"/>
      <c r="G67" s="12"/>
      <c r="H67" s="12"/>
      <c r="I67" s="12"/>
      <c r="J67" s="12"/>
      <c r="K67" s="12"/>
      <c r="L67" s="13"/>
      <c r="M67" s="12"/>
      <c r="N67" s="12"/>
      <c r="O67" s="13"/>
      <c r="P67" s="12"/>
      <c r="Q67" s="12"/>
    </row>
    <row r="68" ht="15.75" customHeight="1">
      <c r="A68" s="12"/>
      <c r="B68" s="13"/>
      <c r="C68" s="12"/>
      <c r="D68" s="12"/>
      <c r="E68" s="12"/>
      <c r="F68" s="12"/>
      <c r="G68" s="12"/>
      <c r="H68" s="12"/>
      <c r="I68" s="12"/>
      <c r="J68" s="12"/>
      <c r="K68" s="12"/>
      <c r="L68" s="13"/>
      <c r="M68" s="12"/>
      <c r="N68" s="12"/>
      <c r="O68" s="13"/>
      <c r="P68" s="12"/>
      <c r="Q68" s="12"/>
    </row>
    <row r="69" ht="15.75" customHeight="1">
      <c r="A69" s="12"/>
      <c r="B69" s="13"/>
      <c r="C69" s="12"/>
      <c r="D69" s="12"/>
      <c r="E69" s="12"/>
      <c r="F69" s="12"/>
      <c r="G69" s="12"/>
      <c r="H69" s="12"/>
      <c r="I69" s="12"/>
      <c r="J69" s="12"/>
      <c r="K69" s="12"/>
      <c r="L69" s="13"/>
      <c r="M69" s="12"/>
      <c r="N69" s="12"/>
      <c r="O69" s="13"/>
      <c r="P69" s="12"/>
      <c r="Q69" s="12"/>
    </row>
    <row r="70" ht="15.75" customHeight="1">
      <c r="A70" s="12"/>
      <c r="B70" s="13"/>
      <c r="C70" s="12"/>
      <c r="D70" s="12"/>
      <c r="E70" s="12"/>
      <c r="F70" s="12"/>
      <c r="G70" s="12"/>
      <c r="H70" s="12"/>
      <c r="I70" s="12"/>
      <c r="J70" s="12"/>
      <c r="K70" s="12"/>
      <c r="L70" s="13"/>
      <c r="M70" s="12"/>
      <c r="N70" s="12"/>
      <c r="O70" s="13"/>
      <c r="P70" s="12"/>
      <c r="Q70" s="12"/>
    </row>
    <row r="71" ht="15.75" customHeight="1">
      <c r="A71" s="12"/>
      <c r="B71" s="13"/>
      <c r="C71" s="12"/>
      <c r="D71" s="12"/>
      <c r="E71" s="12"/>
      <c r="F71" s="12"/>
      <c r="G71" s="12"/>
      <c r="H71" s="12"/>
      <c r="I71" s="12"/>
      <c r="J71" s="12"/>
      <c r="K71" s="12"/>
      <c r="L71" s="13"/>
      <c r="M71" s="12"/>
      <c r="N71" s="12"/>
      <c r="O71" s="13"/>
      <c r="P71" s="12"/>
      <c r="Q71" s="12"/>
    </row>
    <row r="72" ht="15.75" customHeight="1">
      <c r="A72" s="12"/>
      <c r="B72" s="13"/>
      <c r="C72" s="12"/>
      <c r="D72" s="12"/>
      <c r="E72" s="12"/>
      <c r="F72" s="12"/>
      <c r="G72" s="12"/>
      <c r="H72" s="12"/>
      <c r="I72" s="12"/>
      <c r="J72" s="12"/>
      <c r="K72" s="12"/>
      <c r="L72" s="13"/>
      <c r="M72" s="12"/>
      <c r="N72" s="12"/>
      <c r="O72" s="13"/>
      <c r="P72" s="12"/>
      <c r="Q72" s="12"/>
    </row>
    <row r="73" ht="15.75" customHeight="1">
      <c r="A73" s="12"/>
      <c r="B73" s="13"/>
      <c r="C73" s="12"/>
      <c r="D73" s="12"/>
      <c r="E73" s="12"/>
      <c r="F73" s="12"/>
      <c r="G73" s="12"/>
      <c r="H73" s="12"/>
      <c r="I73" s="12"/>
      <c r="J73" s="12"/>
      <c r="K73" s="12"/>
      <c r="L73" s="13"/>
      <c r="M73" s="12"/>
      <c r="N73" s="12"/>
      <c r="O73" s="13"/>
      <c r="P73" s="12"/>
      <c r="Q73" s="12"/>
    </row>
    <row r="74" ht="15.75" customHeight="1">
      <c r="A74" s="12"/>
      <c r="B74" s="13"/>
      <c r="C74" s="12"/>
      <c r="D74" s="12"/>
      <c r="E74" s="12"/>
      <c r="F74" s="12"/>
      <c r="G74" s="12"/>
      <c r="H74" s="12"/>
      <c r="I74" s="12"/>
      <c r="J74" s="12"/>
      <c r="K74" s="12"/>
      <c r="L74" s="13"/>
      <c r="M74" s="12"/>
      <c r="N74" s="12"/>
      <c r="O74" s="13"/>
      <c r="P74" s="12"/>
      <c r="Q74" s="12"/>
    </row>
    <row r="75" ht="15.75" customHeight="1">
      <c r="A75" s="12"/>
      <c r="B75" s="13"/>
      <c r="C75" s="12"/>
      <c r="D75" s="12"/>
      <c r="E75" s="12"/>
      <c r="F75" s="12"/>
      <c r="G75" s="12"/>
      <c r="H75" s="12"/>
      <c r="I75" s="12"/>
      <c r="J75" s="12"/>
      <c r="K75" s="12"/>
      <c r="L75" s="13"/>
      <c r="M75" s="12"/>
      <c r="N75" s="12"/>
      <c r="O75" s="13"/>
      <c r="P75" s="12"/>
      <c r="Q75" s="12"/>
    </row>
    <row r="76" ht="15.75" customHeight="1">
      <c r="A76" s="12"/>
      <c r="B76" s="13"/>
      <c r="C76" s="12"/>
      <c r="D76" s="12"/>
      <c r="E76" s="12"/>
      <c r="F76" s="12"/>
      <c r="G76" s="12"/>
      <c r="H76" s="12"/>
      <c r="I76" s="12"/>
      <c r="J76" s="12"/>
      <c r="K76" s="12"/>
      <c r="L76" s="13"/>
      <c r="M76" s="12"/>
      <c r="N76" s="12"/>
      <c r="O76" s="13"/>
      <c r="P76" s="12"/>
      <c r="Q76" s="12"/>
    </row>
    <row r="77" ht="15.75" customHeight="1">
      <c r="A77" s="12"/>
      <c r="B77" s="13"/>
      <c r="C77" s="12"/>
      <c r="D77" s="12"/>
      <c r="E77" s="12"/>
      <c r="F77" s="12"/>
      <c r="G77" s="12"/>
      <c r="H77" s="12"/>
      <c r="I77" s="12"/>
      <c r="J77" s="12"/>
      <c r="K77" s="12"/>
      <c r="L77" s="13"/>
      <c r="M77" s="12"/>
      <c r="N77" s="12"/>
      <c r="O77" s="13"/>
      <c r="P77" s="12"/>
      <c r="Q77" s="12"/>
    </row>
    <row r="78" ht="15.75" customHeight="1">
      <c r="A78" s="12"/>
      <c r="B78" s="13"/>
      <c r="C78" s="12"/>
      <c r="D78" s="12"/>
      <c r="E78" s="12"/>
      <c r="F78" s="12"/>
      <c r="G78" s="12"/>
      <c r="H78" s="12"/>
      <c r="I78" s="12"/>
      <c r="J78" s="12"/>
      <c r="K78" s="12"/>
      <c r="L78" s="13"/>
      <c r="M78" s="12"/>
      <c r="N78" s="12"/>
      <c r="O78" s="13"/>
      <c r="P78" s="12"/>
      <c r="Q78" s="12"/>
    </row>
    <row r="79" ht="15.75" customHeight="1">
      <c r="A79" s="12"/>
      <c r="B79" s="13"/>
      <c r="C79" s="12"/>
      <c r="D79" s="12"/>
      <c r="E79" s="12"/>
      <c r="F79" s="12"/>
      <c r="G79" s="12"/>
      <c r="H79" s="12"/>
      <c r="I79" s="12"/>
      <c r="J79" s="12"/>
      <c r="K79" s="12"/>
      <c r="L79" s="13"/>
      <c r="M79" s="12"/>
      <c r="N79" s="12"/>
      <c r="O79" s="13"/>
      <c r="P79" s="12"/>
      <c r="Q79" s="12"/>
    </row>
    <row r="80" ht="15.75" customHeight="1">
      <c r="A80" s="12"/>
      <c r="B80" s="13"/>
      <c r="C80" s="12"/>
      <c r="D80" s="12"/>
      <c r="E80" s="12"/>
      <c r="F80" s="12"/>
      <c r="G80" s="12"/>
      <c r="H80" s="12"/>
      <c r="I80" s="12"/>
      <c r="J80" s="12"/>
      <c r="K80" s="12"/>
      <c r="L80" s="13"/>
      <c r="M80" s="12"/>
      <c r="N80" s="12"/>
      <c r="O80" s="13"/>
      <c r="P80" s="12"/>
      <c r="Q80" s="12"/>
    </row>
    <row r="81" ht="15.75" customHeight="1">
      <c r="A81" s="12"/>
      <c r="B81" s="13"/>
      <c r="C81" s="12"/>
      <c r="D81" s="12"/>
      <c r="E81" s="12"/>
      <c r="F81" s="12"/>
      <c r="G81" s="12"/>
      <c r="H81" s="12"/>
      <c r="I81" s="12"/>
      <c r="J81" s="12"/>
      <c r="K81" s="12"/>
      <c r="L81" s="13"/>
      <c r="M81" s="12"/>
      <c r="N81" s="12"/>
      <c r="O81" s="13"/>
      <c r="P81" s="12"/>
      <c r="Q81" s="12"/>
    </row>
    <row r="82" ht="15.75" customHeight="1">
      <c r="A82" s="12"/>
      <c r="B82" s="13"/>
      <c r="C82" s="12"/>
      <c r="D82" s="12"/>
      <c r="E82" s="12"/>
      <c r="F82" s="12"/>
      <c r="G82" s="12"/>
      <c r="H82" s="12"/>
      <c r="I82" s="12"/>
      <c r="J82" s="12"/>
      <c r="K82" s="12"/>
      <c r="L82" s="13"/>
      <c r="M82" s="12"/>
      <c r="N82" s="12"/>
      <c r="O82" s="13"/>
      <c r="P82" s="12"/>
      <c r="Q82" s="12"/>
    </row>
    <row r="83" ht="15.75" customHeight="1">
      <c r="A83" s="12"/>
      <c r="B83" s="13"/>
      <c r="C83" s="12"/>
      <c r="D83" s="12"/>
      <c r="E83" s="12"/>
      <c r="F83" s="12"/>
      <c r="G83" s="12"/>
      <c r="H83" s="12"/>
      <c r="I83" s="12"/>
      <c r="J83" s="12"/>
      <c r="K83" s="12"/>
      <c r="L83" s="13"/>
      <c r="M83" s="12"/>
      <c r="N83" s="12"/>
      <c r="O83" s="13"/>
      <c r="P83" s="12"/>
      <c r="Q83" s="12"/>
    </row>
    <row r="84" ht="15.75" customHeight="1">
      <c r="A84" s="12"/>
      <c r="B84" s="13"/>
      <c r="C84" s="12"/>
      <c r="D84" s="12"/>
      <c r="E84" s="12"/>
      <c r="F84" s="12"/>
      <c r="G84" s="12"/>
      <c r="H84" s="12"/>
      <c r="I84" s="12"/>
      <c r="J84" s="12"/>
      <c r="K84" s="12"/>
      <c r="L84" s="13"/>
      <c r="M84" s="12"/>
      <c r="N84" s="12"/>
      <c r="O84" s="13"/>
      <c r="P84" s="12"/>
      <c r="Q84" s="12"/>
    </row>
    <row r="85" ht="15.75" customHeight="1">
      <c r="A85" s="12"/>
      <c r="B85" s="13"/>
      <c r="C85" s="12"/>
      <c r="D85" s="12"/>
      <c r="E85" s="12"/>
      <c r="F85" s="12"/>
      <c r="G85" s="12"/>
      <c r="H85" s="12"/>
      <c r="I85" s="12"/>
      <c r="J85" s="12"/>
      <c r="K85" s="12"/>
      <c r="L85" s="13"/>
      <c r="M85" s="12"/>
      <c r="N85" s="12"/>
      <c r="O85" s="13"/>
      <c r="P85" s="12"/>
      <c r="Q85" s="12"/>
    </row>
    <row r="86" ht="15.75" customHeight="1">
      <c r="A86" s="12"/>
      <c r="B86" s="13"/>
      <c r="C86" s="12"/>
      <c r="D86" s="12"/>
      <c r="E86" s="12"/>
      <c r="F86" s="12"/>
      <c r="G86" s="12"/>
      <c r="H86" s="12"/>
      <c r="I86" s="12"/>
      <c r="J86" s="12"/>
      <c r="K86" s="12"/>
      <c r="L86" s="13"/>
      <c r="M86" s="12"/>
      <c r="N86" s="12"/>
      <c r="O86" s="13"/>
      <c r="P86" s="12"/>
      <c r="Q86" s="12"/>
    </row>
    <row r="87" ht="15.75" customHeight="1">
      <c r="A87" s="12"/>
      <c r="B87" s="13"/>
      <c r="C87" s="12"/>
      <c r="D87" s="12"/>
      <c r="E87" s="12"/>
      <c r="F87" s="12"/>
      <c r="G87" s="12"/>
      <c r="H87" s="12"/>
      <c r="I87" s="12"/>
      <c r="J87" s="12"/>
      <c r="K87" s="12"/>
      <c r="L87" s="13"/>
      <c r="M87" s="12"/>
      <c r="N87" s="12"/>
      <c r="O87" s="13"/>
      <c r="P87" s="12"/>
      <c r="Q87" s="12"/>
    </row>
    <row r="88" ht="15.75" customHeight="1">
      <c r="A88" s="12"/>
      <c r="B88" s="13"/>
      <c r="C88" s="12"/>
      <c r="D88" s="12"/>
      <c r="E88" s="12"/>
      <c r="F88" s="12"/>
      <c r="G88" s="12"/>
      <c r="H88" s="12"/>
      <c r="I88" s="12"/>
      <c r="J88" s="12"/>
      <c r="K88" s="12"/>
      <c r="L88" s="13"/>
      <c r="M88" s="12"/>
      <c r="N88" s="12"/>
      <c r="O88" s="13"/>
      <c r="P88" s="12"/>
      <c r="Q88" s="12"/>
    </row>
    <row r="89" ht="15.75" customHeight="1">
      <c r="A89" s="12"/>
      <c r="B89" s="13"/>
      <c r="C89" s="12"/>
      <c r="D89" s="12"/>
      <c r="E89" s="12"/>
      <c r="F89" s="12"/>
      <c r="G89" s="12"/>
      <c r="H89" s="12"/>
      <c r="I89" s="12"/>
      <c r="J89" s="12"/>
      <c r="K89" s="12"/>
      <c r="L89" s="13"/>
      <c r="M89" s="12"/>
      <c r="N89" s="12"/>
      <c r="O89" s="13"/>
      <c r="P89" s="12"/>
      <c r="Q89" s="12"/>
    </row>
    <row r="90" ht="15.75" customHeight="1">
      <c r="A90" s="12"/>
      <c r="B90" s="13"/>
      <c r="C90" s="12"/>
      <c r="D90" s="12"/>
      <c r="E90" s="12"/>
      <c r="F90" s="12"/>
      <c r="G90" s="12"/>
      <c r="H90" s="12"/>
      <c r="I90" s="12"/>
      <c r="J90" s="12"/>
      <c r="K90" s="12"/>
      <c r="L90" s="13"/>
      <c r="M90" s="12"/>
      <c r="N90" s="12"/>
      <c r="O90" s="13"/>
      <c r="P90" s="12"/>
      <c r="Q90" s="12"/>
    </row>
    <row r="91" ht="15.75" customHeight="1">
      <c r="A91" s="12"/>
      <c r="B91" s="13"/>
      <c r="C91" s="12"/>
      <c r="D91" s="12"/>
      <c r="E91" s="12"/>
      <c r="F91" s="12"/>
      <c r="G91" s="12"/>
      <c r="H91" s="12"/>
      <c r="I91" s="12"/>
      <c r="J91" s="12"/>
      <c r="K91" s="12"/>
      <c r="L91" s="13"/>
      <c r="M91" s="12"/>
      <c r="N91" s="12"/>
      <c r="O91" s="13"/>
      <c r="P91" s="12"/>
      <c r="Q91" s="12"/>
    </row>
    <row r="92" ht="15.75" customHeight="1">
      <c r="A92" s="12"/>
      <c r="B92" s="13"/>
      <c r="C92" s="12"/>
      <c r="D92" s="12"/>
      <c r="E92" s="12"/>
      <c r="F92" s="12"/>
      <c r="G92" s="12"/>
      <c r="H92" s="12"/>
      <c r="I92" s="12"/>
      <c r="J92" s="12"/>
      <c r="K92" s="12"/>
      <c r="L92" s="13"/>
      <c r="M92" s="12"/>
      <c r="N92" s="12"/>
      <c r="O92" s="13"/>
      <c r="P92" s="12"/>
      <c r="Q92" s="12"/>
    </row>
    <row r="93" ht="15.75" customHeight="1">
      <c r="A93" s="12"/>
      <c r="B93" s="13"/>
      <c r="C93" s="12"/>
      <c r="D93" s="12"/>
      <c r="E93" s="12"/>
      <c r="F93" s="12"/>
      <c r="G93" s="12"/>
      <c r="H93" s="12"/>
      <c r="I93" s="12"/>
      <c r="J93" s="12"/>
      <c r="K93" s="12"/>
      <c r="L93" s="13"/>
      <c r="M93" s="12"/>
      <c r="N93" s="12"/>
      <c r="O93" s="13"/>
      <c r="P93" s="12"/>
      <c r="Q93" s="12"/>
    </row>
    <row r="94" ht="15.75" customHeight="1">
      <c r="A94" s="12"/>
      <c r="B94" s="13"/>
      <c r="C94" s="12"/>
      <c r="D94" s="12"/>
      <c r="E94" s="12"/>
      <c r="F94" s="12"/>
      <c r="G94" s="12"/>
      <c r="H94" s="12"/>
      <c r="I94" s="12"/>
      <c r="J94" s="12"/>
      <c r="K94" s="12"/>
      <c r="L94" s="13"/>
      <c r="M94" s="12"/>
      <c r="N94" s="12"/>
      <c r="O94" s="13"/>
      <c r="P94" s="12"/>
      <c r="Q94" s="12"/>
    </row>
    <row r="95" ht="15.75" customHeight="1">
      <c r="A95" s="12"/>
      <c r="B95" s="13"/>
      <c r="C95" s="12"/>
      <c r="D95" s="12"/>
      <c r="E95" s="12"/>
      <c r="F95" s="12"/>
      <c r="G95" s="12"/>
      <c r="H95" s="12"/>
      <c r="I95" s="12"/>
      <c r="J95" s="12"/>
      <c r="K95" s="12"/>
      <c r="L95" s="13"/>
      <c r="M95" s="12"/>
      <c r="N95" s="12"/>
      <c r="O95" s="13"/>
      <c r="P95" s="12"/>
      <c r="Q95" s="12"/>
    </row>
    <row r="96" ht="15.75" customHeight="1">
      <c r="A96" s="12"/>
      <c r="B96" s="13"/>
      <c r="C96" s="12"/>
      <c r="D96" s="12"/>
      <c r="E96" s="12"/>
      <c r="F96" s="12"/>
      <c r="G96" s="12"/>
      <c r="H96" s="12"/>
      <c r="I96" s="12"/>
      <c r="J96" s="12"/>
      <c r="K96" s="12"/>
      <c r="L96" s="13"/>
      <c r="M96" s="12"/>
      <c r="N96" s="12"/>
      <c r="O96" s="13"/>
      <c r="P96" s="12"/>
      <c r="Q96" s="12"/>
    </row>
    <row r="97" ht="15.75" customHeight="1">
      <c r="A97" s="12"/>
      <c r="B97" s="13"/>
      <c r="C97" s="12"/>
      <c r="D97" s="12"/>
      <c r="E97" s="12"/>
      <c r="F97" s="12"/>
      <c r="G97" s="12"/>
      <c r="H97" s="12"/>
      <c r="I97" s="12"/>
      <c r="J97" s="12"/>
      <c r="K97" s="12"/>
      <c r="L97" s="13"/>
      <c r="M97" s="12"/>
      <c r="N97" s="12"/>
      <c r="O97" s="13"/>
      <c r="P97" s="12"/>
      <c r="Q97" s="12"/>
    </row>
    <row r="98" ht="15.75" customHeight="1">
      <c r="A98" s="12"/>
      <c r="B98" s="13"/>
      <c r="C98" s="12"/>
      <c r="D98" s="12"/>
      <c r="E98" s="12"/>
      <c r="F98" s="12"/>
      <c r="G98" s="12"/>
      <c r="H98" s="12"/>
      <c r="I98" s="12"/>
      <c r="J98" s="12"/>
      <c r="K98" s="12"/>
      <c r="L98" s="13"/>
      <c r="M98" s="12"/>
      <c r="N98" s="12"/>
      <c r="O98" s="13"/>
      <c r="P98" s="12"/>
      <c r="Q98" s="12"/>
    </row>
    <row r="99" ht="15.75" customHeight="1">
      <c r="A99" s="12"/>
      <c r="B99" s="13"/>
      <c r="C99" s="12"/>
      <c r="D99" s="12"/>
      <c r="E99" s="12"/>
      <c r="F99" s="12"/>
      <c r="G99" s="12"/>
      <c r="H99" s="12"/>
      <c r="I99" s="12"/>
      <c r="J99" s="12"/>
      <c r="K99" s="12"/>
      <c r="L99" s="13"/>
      <c r="M99" s="12"/>
      <c r="N99" s="12"/>
      <c r="O99" s="13"/>
      <c r="P99" s="12"/>
      <c r="Q99" s="12"/>
    </row>
    <row r="100" ht="15.75" customHeight="1">
      <c r="A100" s="12"/>
      <c r="B100" s="13"/>
      <c r="C100" s="12"/>
      <c r="D100" s="12"/>
      <c r="E100" s="12"/>
      <c r="F100" s="12"/>
      <c r="G100" s="12"/>
      <c r="H100" s="12"/>
      <c r="I100" s="12"/>
      <c r="J100" s="12"/>
      <c r="K100" s="12"/>
      <c r="L100" s="13"/>
      <c r="M100" s="12"/>
      <c r="N100" s="12"/>
      <c r="O100" s="13"/>
      <c r="P100" s="12"/>
      <c r="Q100" s="12"/>
    </row>
    <row r="101" ht="15.75" customHeight="1">
      <c r="A101" s="12"/>
      <c r="B101" s="13"/>
      <c r="C101" s="12"/>
      <c r="D101" s="12"/>
      <c r="E101" s="12"/>
      <c r="F101" s="12"/>
      <c r="G101" s="12"/>
      <c r="H101" s="12"/>
      <c r="I101" s="12"/>
      <c r="J101" s="12"/>
      <c r="K101" s="12"/>
      <c r="L101" s="13"/>
      <c r="M101" s="12"/>
      <c r="N101" s="12"/>
      <c r="O101" s="13"/>
      <c r="P101" s="12"/>
      <c r="Q101" s="12"/>
    </row>
    <row r="102" ht="15.75" customHeight="1">
      <c r="A102" s="12"/>
      <c r="B102" s="13"/>
      <c r="C102" s="12"/>
      <c r="D102" s="12"/>
      <c r="E102" s="12"/>
      <c r="F102" s="12"/>
      <c r="G102" s="12"/>
      <c r="H102" s="12"/>
      <c r="I102" s="12"/>
      <c r="J102" s="12"/>
      <c r="K102" s="12"/>
      <c r="L102" s="13"/>
      <c r="M102" s="12"/>
      <c r="N102" s="12"/>
      <c r="O102" s="13"/>
      <c r="P102" s="12"/>
      <c r="Q102" s="12"/>
    </row>
    <row r="103" ht="15.75" customHeight="1">
      <c r="A103" s="12"/>
      <c r="B103" s="13"/>
      <c r="C103" s="12"/>
      <c r="D103" s="12"/>
      <c r="E103" s="12"/>
      <c r="F103" s="12"/>
      <c r="G103" s="12"/>
      <c r="H103" s="12"/>
      <c r="I103" s="12"/>
      <c r="J103" s="12"/>
      <c r="K103" s="12"/>
      <c r="L103" s="13"/>
      <c r="M103" s="12"/>
      <c r="N103" s="12"/>
      <c r="O103" s="13"/>
      <c r="P103" s="12"/>
      <c r="Q103" s="12"/>
    </row>
    <row r="104" ht="15.75" customHeight="1">
      <c r="A104" s="12"/>
      <c r="B104" s="13"/>
      <c r="C104" s="12"/>
      <c r="D104" s="12"/>
      <c r="E104" s="12"/>
      <c r="F104" s="12"/>
      <c r="G104" s="12"/>
      <c r="H104" s="12"/>
      <c r="I104" s="12"/>
      <c r="J104" s="12"/>
      <c r="K104" s="12"/>
      <c r="L104" s="13"/>
      <c r="M104" s="12"/>
      <c r="N104" s="12"/>
      <c r="O104" s="13"/>
      <c r="P104" s="12"/>
      <c r="Q104" s="12"/>
    </row>
    <row r="105" ht="15.75" customHeight="1">
      <c r="A105" s="12"/>
      <c r="B105" s="13"/>
      <c r="C105" s="12"/>
      <c r="D105" s="12"/>
      <c r="E105" s="12"/>
      <c r="F105" s="12"/>
      <c r="G105" s="12"/>
      <c r="H105" s="12"/>
      <c r="I105" s="12"/>
      <c r="J105" s="12"/>
      <c r="K105" s="12"/>
      <c r="L105" s="13"/>
      <c r="M105" s="12"/>
      <c r="N105" s="12"/>
      <c r="O105" s="13"/>
      <c r="P105" s="12"/>
      <c r="Q105" s="12"/>
    </row>
    <row r="106" ht="15.75" customHeight="1">
      <c r="A106" s="12"/>
      <c r="B106" s="13"/>
      <c r="C106" s="12"/>
      <c r="D106" s="12"/>
      <c r="E106" s="12"/>
      <c r="F106" s="12"/>
      <c r="G106" s="12"/>
      <c r="H106" s="12"/>
      <c r="I106" s="12"/>
      <c r="J106" s="12"/>
      <c r="K106" s="12"/>
      <c r="L106" s="13"/>
      <c r="M106" s="12"/>
      <c r="N106" s="12"/>
      <c r="O106" s="13"/>
      <c r="P106" s="12"/>
      <c r="Q106" s="12"/>
    </row>
    <row r="107" ht="15.75" customHeight="1">
      <c r="A107" s="12"/>
      <c r="B107" s="13"/>
      <c r="C107" s="12"/>
      <c r="D107" s="12"/>
      <c r="E107" s="12"/>
      <c r="F107" s="12"/>
      <c r="G107" s="12"/>
      <c r="H107" s="12"/>
      <c r="I107" s="12"/>
      <c r="J107" s="12"/>
      <c r="K107" s="12"/>
      <c r="L107" s="13"/>
      <c r="M107" s="12"/>
      <c r="N107" s="12"/>
      <c r="O107" s="13"/>
      <c r="P107" s="12"/>
      <c r="Q107" s="12"/>
    </row>
    <row r="108" ht="15.75" customHeight="1">
      <c r="A108" s="12"/>
      <c r="B108" s="13"/>
      <c r="C108" s="12"/>
      <c r="D108" s="12"/>
      <c r="E108" s="12"/>
      <c r="F108" s="12"/>
      <c r="G108" s="12"/>
      <c r="H108" s="12"/>
      <c r="I108" s="12"/>
      <c r="J108" s="12"/>
      <c r="K108" s="12"/>
      <c r="L108" s="13"/>
      <c r="M108" s="12"/>
      <c r="N108" s="12"/>
      <c r="O108" s="13"/>
      <c r="P108" s="12"/>
      <c r="Q108" s="12"/>
    </row>
    <row r="109" ht="15.75" customHeight="1">
      <c r="A109" s="12"/>
      <c r="B109" s="13"/>
      <c r="C109" s="12"/>
      <c r="D109" s="12"/>
      <c r="E109" s="12"/>
      <c r="F109" s="12"/>
      <c r="G109" s="12"/>
      <c r="H109" s="12"/>
      <c r="I109" s="12"/>
      <c r="J109" s="12"/>
      <c r="K109" s="12"/>
      <c r="L109" s="13"/>
      <c r="M109" s="12"/>
      <c r="N109" s="12"/>
      <c r="O109" s="13"/>
      <c r="P109" s="12"/>
      <c r="Q109" s="12"/>
    </row>
    <row r="110" ht="15.75" customHeight="1">
      <c r="A110" s="12"/>
      <c r="B110" s="13"/>
      <c r="C110" s="12"/>
      <c r="D110" s="12"/>
      <c r="E110" s="12"/>
      <c r="F110" s="12"/>
      <c r="G110" s="12"/>
      <c r="H110" s="12"/>
      <c r="I110" s="12"/>
      <c r="J110" s="12"/>
      <c r="K110" s="12"/>
      <c r="L110" s="13"/>
      <c r="M110" s="12"/>
      <c r="N110" s="12"/>
      <c r="O110" s="13"/>
      <c r="P110" s="12"/>
      <c r="Q110" s="12"/>
    </row>
    <row r="111" ht="15.75" customHeight="1">
      <c r="A111" s="12"/>
      <c r="B111" s="13"/>
      <c r="C111" s="12"/>
      <c r="D111" s="12"/>
      <c r="E111" s="12"/>
      <c r="F111" s="12"/>
      <c r="G111" s="12"/>
      <c r="H111" s="12"/>
      <c r="I111" s="12"/>
      <c r="J111" s="12"/>
      <c r="K111" s="12"/>
      <c r="L111" s="13"/>
      <c r="M111" s="12"/>
      <c r="N111" s="12"/>
      <c r="O111" s="13"/>
      <c r="P111" s="12"/>
      <c r="Q111" s="12"/>
    </row>
    <row r="112" ht="15.75" customHeight="1">
      <c r="A112" s="12"/>
      <c r="B112" s="13"/>
      <c r="C112" s="12"/>
      <c r="D112" s="12"/>
      <c r="E112" s="12"/>
      <c r="F112" s="12"/>
      <c r="G112" s="12"/>
      <c r="H112" s="12"/>
      <c r="I112" s="12"/>
      <c r="J112" s="12"/>
      <c r="K112" s="12"/>
      <c r="L112" s="13"/>
      <c r="M112" s="12"/>
      <c r="N112" s="12"/>
      <c r="O112" s="13"/>
      <c r="P112" s="12"/>
      <c r="Q112" s="12"/>
    </row>
    <row r="113" ht="15.75" customHeight="1">
      <c r="A113" s="12"/>
      <c r="B113" s="13"/>
      <c r="C113" s="12"/>
      <c r="D113" s="12"/>
      <c r="E113" s="12"/>
      <c r="F113" s="12"/>
      <c r="G113" s="12"/>
      <c r="H113" s="12"/>
      <c r="I113" s="12"/>
      <c r="J113" s="12"/>
      <c r="K113" s="12"/>
      <c r="L113" s="13"/>
      <c r="M113" s="12"/>
      <c r="N113" s="12"/>
      <c r="O113" s="13"/>
      <c r="P113" s="12"/>
      <c r="Q113" s="12"/>
    </row>
    <row r="114" ht="15.75" customHeight="1">
      <c r="A114" s="12"/>
      <c r="B114" s="13"/>
      <c r="C114" s="12"/>
      <c r="D114" s="12"/>
      <c r="E114" s="12"/>
      <c r="F114" s="12"/>
      <c r="G114" s="12"/>
      <c r="H114" s="12"/>
      <c r="I114" s="12"/>
      <c r="J114" s="12"/>
      <c r="K114" s="12"/>
      <c r="L114" s="13"/>
      <c r="M114" s="12"/>
      <c r="N114" s="12"/>
      <c r="O114" s="13"/>
      <c r="P114" s="12"/>
      <c r="Q114" s="12"/>
    </row>
    <row r="115" ht="15.75" customHeight="1">
      <c r="A115" s="12"/>
      <c r="B115" s="13"/>
      <c r="C115" s="12"/>
      <c r="D115" s="12"/>
      <c r="E115" s="12"/>
      <c r="F115" s="12"/>
      <c r="G115" s="12"/>
      <c r="H115" s="12"/>
      <c r="I115" s="12"/>
      <c r="J115" s="12"/>
      <c r="K115" s="12"/>
      <c r="L115" s="13"/>
      <c r="M115" s="12"/>
      <c r="N115" s="12"/>
      <c r="O115" s="13"/>
      <c r="P115" s="12"/>
      <c r="Q115" s="12"/>
    </row>
    <row r="116" ht="15.75" customHeight="1">
      <c r="A116" s="12"/>
      <c r="B116" s="13"/>
      <c r="C116" s="12"/>
      <c r="D116" s="12"/>
      <c r="E116" s="12"/>
      <c r="F116" s="12"/>
      <c r="G116" s="12"/>
      <c r="H116" s="12"/>
      <c r="I116" s="12"/>
      <c r="J116" s="12"/>
      <c r="K116" s="12"/>
      <c r="L116" s="13"/>
      <c r="M116" s="12"/>
      <c r="N116" s="12"/>
      <c r="O116" s="13"/>
      <c r="P116" s="12"/>
      <c r="Q116" s="12"/>
    </row>
    <row r="117" ht="15.75" customHeight="1">
      <c r="A117" s="12"/>
      <c r="B117" s="13"/>
      <c r="C117" s="12"/>
      <c r="D117" s="12"/>
      <c r="E117" s="12"/>
      <c r="F117" s="12"/>
      <c r="G117" s="12"/>
      <c r="H117" s="12"/>
      <c r="I117" s="12"/>
      <c r="J117" s="12"/>
      <c r="K117" s="12"/>
      <c r="L117" s="13"/>
      <c r="M117" s="12"/>
      <c r="N117" s="12"/>
      <c r="O117" s="13"/>
      <c r="P117" s="12"/>
      <c r="Q117" s="12"/>
    </row>
    <row r="118" ht="15.75" customHeight="1">
      <c r="A118" s="12"/>
      <c r="B118" s="13"/>
      <c r="C118" s="12"/>
      <c r="D118" s="12"/>
      <c r="E118" s="12"/>
      <c r="F118" s="12"/>
      <c r="G118" s="12"/>
      <c r="H118" s="12"/>
      <c r="I118" s="12"/>
      <c r="J118" s="12"/>
      <c r="K118" s="12"/>
      <c r="L118" s="13"/>
      <c r="M118" s="12"/>
      <c r="N118" s="12"/>
      <c r="O118" s="13"/>
      <c r="P118" s="12"/>
      <c r="Q118" s="12"/>
    </row>
    <row r="119" ht="15.75" customHeight="1">
      <c r="A119" s="12"/>
      <c r="B119" s="13"/>
      <c r="C119" s="12"/>
      <c r="D119" s="12"/>
      <c r="E119" s="12"/>
      <c r="F119" s="12"/>
      <c r="G119" s="12"/>
      <c r="H119" s="12"/>
      <c r="I119" s="12"/>
      <c r="J119" s="12"/>
      <c r="K119" s="12"/>
      <c r="L119" s="13"/>
      <c r="M119" s="12"/>
      <c r="N119" s="12"/>
      <c r="O119" s="13"/>
      <c r="P119" s="12"/>
      <c r="Q119" s="12"/>
    </row>
    <row r="120" ht="15.75" customHeight="1">
      <c r="A120" s="12"/>
      <c r="B120" s="13"/>
      <c r="C120" s="12"/>
      <c r="D120" s="12"/>
      <c r="E120" s="12"/>
      <c r="F120" s="12"/>
      <c r="G120" s="12"/>
      <c r="H120" s="12"/>
      <c r="I120" s="12"/>
      <c r="J120" s="12"/>
      <c r="K120" s="12"/>
      <c r="L120" s="13"/>
      <c r="M120" s="12"/>
      <c r="N120" s="12"/>
      <c r="O120" s="13"/>
      <c r="P120" s="12"/>
      <c r="Q120" s="12"/>
    </row>
    <row r="121" ht="15.75" customHeight="1">
      <c r="A121" s="12"/>
      <c r="B121" s="13"/>
      <c r="C121" s="12"/>
      <c r="D121" s="12"/>
      <c r="E121" s="12"/>
      <c r="F121" s="12"/>
      <c r="G121" s="12"/>
      <c r="H121" s="12"/>
      <c r="I121" s="12"/>
      <c r="J121" s="12"/>
      <c r="K121" s="12"/>
      <c r="L121" s="13"/>
      <c r="M121" s="12"/>
      <c r="N121" s="12"/>
      <c r="O121" s="13"/>
      <c r="P121" s="12"/>
      <c r="Q121" s="12"/>
    </row>
    <row r="122" ht="15.75" customHeight="1">
      <c r="A122" s="12"/>
      <c r="B122" s="13"/>
      <c r="C122" s="12"/>
      <c r="D122" s="12"/>
      <c r="E122" s="12"/>
      <c r="F122" s="12"/>
      <c r="G122" s="12"/>
      <c r="H122" s="12"/>
      <c r="I122" s="12"/>
      <c r="J122" s="12"/>
      <c r="K122" s="12"/>
      <c r="L122" s="13"/>
      <c r="M122" s="12"/>
      <c r="N122" s="12"/>
      <c r="O122" s="13"/>
      <c r="P122" s="12"/>
      <c r="Q122" s="12"/>
    </row>
    <row r="123" ht="15.75" customHeight="1">
      <c r="A123" s="12"/>
      <c r="B123" s="13"/>
      <c r="C123" s="12"/>
      <c r="D123" s="12"/>
      <c r="E123" s="12"/>
      <c r="F123" s="12"/>
      <c r="G123" s="12"/>
      <c r="H123" s="12"/>
      <c r="I123" s="12"/>
      <c r="J123" s="12"/>
      <c r="K123" s="12"/>
      <c r="L123" s="13"/>
      <c r="M123" s="12"/>
      <c r="N123" s="12"/>
      <c r="O123" s="13"/>
      <c r="P123" s="12"/>
      <c r="Q123" s="12"/>
    </row>
    <row r="124" ht="15.75" customHeight="1">
      <c r="A124" s="12"/>
      <c r="B124" s="13"/>
      <c r="C124" s="12"/>
      <c r="D124" s="12"/>
      <c r="E124" s="12"/>
      <c r="F124" s="12"/>
      <c r="G124" s="12"/>
      <c r="H124" s="12"/>
      <c r="I124" s="12"/>
      <c r="J124" s="12"/>
      <c r="K124" s="12"/>
      <c r="L124" s="13"/>
      <c r="M124" s="12"/>
      <c r="N124" s="12"/>
      <c r="O124" s="13"/>
      <c r="P124" s="12"/>
      <c r="Q124" s="12"/>
    </row>
    <row r="125" ht="15.75" customHeight="1">
      <c r="A125" s="12"/>
      <c r="B125" s="13"/>
      <c r="C125" s="12"/>
      <c r="D125" s="12"/>
      <c r="E125" s="12"/>
      <c r="F125" s="12"/>
      <c r="G125" s="12"/>
      <c r="H125" s="12"/>
      <c r="I125" s="12"/>
      <c r="J125" s="12"/>
      <c r="K125" s="12"/>
      <c r="L125" s="13"/>
      <c r="M125" s="12"/>
      <c r="N125" s="12"/>
      <c r="O125" s="13"/>
      <c r="P125" s="12"/>
      <c r="Q125" s="12"/>
    </row>
    <row r="126" ht="15.75" customHeight="1">
      <c r="A126" s="12"/>
      <c r="B126" s="13"/>
      <c r="C126" s="12"/>
      <c r="D126" s="12"/>
      <c r="E126" s="12"/>
      <c r="F126" s="12"/>
      <c r="G126" s="12"/>
      <c r="H126" s="12"/>
      <c r="I126" s="12"/>
      <c r="J126" s="12"/>
      <c r="K126" s="12"/>
      <c r="L126" s="13"/>
      <c r="M126" s="12"/>
      <c r="N126" s="12"/>
      <c r="O126" s="13"/>
      <c r="P126" s="12"/>
      <c r="Q126" s="12"/>
    </row>
    <row r="127" ht="15.75" customHeight="1">
      <c r="A127" s="12"/>
      <c r="B127" s="13"/>
      <c r="C127" s="12"/>
      <c r="D127" s="12"/>
      <c r="E127" s="12"/>
      <c r="F127" s="12"/>
      <c r="G127" s="12"/>
      <c r="H127" s="12"/>
      <c r="I127" s="12"/>
      <c r="J127" s="12"/>
      <c r="K127" s="12"/>
      <c r="L127" s="13"/>
      <c r="M127" s="12"/>
      <c r="N127" s="12"/>
      <c r="O127" s="13"/>
      <c r="P127" s="12"/>
      <c r="Q127" s="12"/>
    </row>
    <row r="128" ht="15.75" customHeight="1">
      <c r="A128" s="12"/>
      <c r="B128" s="13"/>
      <c r="C128" s="12"/>
      <c r="D128" s="12"/>
      <c r="E128" s="12"/>
      <c r="F128" s="12"/>
      <c r="G128" s="12"/>
      <c r="H128" s="12"/>
      <c r="I128" s="12"/>
      <c r="J128" s="12"/>
      <c r="K128" s="12"/>
      <c r="L128" s="13"/>
      <c r="M128" s="12"/>
      <c r="N128" s="12"/>
      <c r="O128" s="13"/>
      <c r="P128" s="12"/>
      <c r="Q128" s="12"/>
    </row>
    <row r="129" ht="15.75" customHeight="1">
      <c r="A129" s="12"/>
      <c r="B129" s="13"/>
      <c r="C129" s="12"/>
      <c r="D129" s="12"/>
      <c r="E129" s="12"/>
      <c r="F129" s="12"/>
      <c r="G129" s="12"/>
      <c r="H129" s="12"/>
      <c r="I129" s="12"/>
      <c r="J129" s="12"/>
      <c r="K129" s="12"/>
      <c r="L129" s="13"/>
      <c r="M129" s="12"/>
      <c r="N129" s="12"/>
      <c r="O129" s="13"/>
      <c r="P129" s="12"/>
      <c r="Q129" s="12"/>
    </row>
    <row r="130" ht="15.75" customHeight="1">
      <c r="A130" s="12"/>
      <c r="B130" s="13"/>
      <c r="C130" s="12"/>
      <c r="D130" s="12"/>
      <c r="E130" s="12"/>
      <c r="F130" s="12"/>
      <c r="G130" s="12"/>
      <c r="H130" s="12"/>
      <c r="I130" s="12"/>
      <c r="J130" s="12"/>
      <c r="K130" s="12"/>
      <c r="L130" s="13"/>
      <c r="M130" s="12"/>
      <c r="N130" s="12"/>
      <c r="O130" s="13"/>
      <c r="P130" s="12"/>
      <c r="Q130" s="12"/>
    </row>
    <row r="131" ht="15.75" customHeight="1">
      <c r="A131" s="12"/>
      <c r="B131" s="13"/>
      <c r="C131" s="12"/>
      <c r="D131" s="12"/>
      <c r="E131" s="12"/>
      <c r="F131" s="12"/>
      <c r="G131" s="12"/>
      <c r="H131" s="12"/>
      <c r="I131" s="12"/>
      <c r="J131" s="12"/>
      <c r="K131" s="12"/>
      <c r="L131" s="13"/>
      <c r="M131" s="12"/>
      <c r="N131" s="12"/>
      <c r="O131" s="13"/>
      <c r="P131" s="12"/>
      <c r="Q131" s="12"/>
    </row>
    <row r="132" ht="15.75" customHeight="1">
      <c r="A132" s="12"/>
      <c r="B132" s="13"/>
      <c r="C132" s="12"/>
      <c r="D132" s="12"/>
      <c r="E132" s="12"/>
      <c r="F132" s="12"/>
      <c r="G132" s="12"/>
      <c r="H132" s="12"/>
      <c r="I132" s="12"/>
      <c r="J132" s="12"/>
      <c r="K132" s="12"/>
      <c r="L132" s="13"/>
      <c r="M132" s="12"/>
      <c r="N132" s="12"/>
      <c r="O132" s="13"/>
      <c r="P132" s="12"/>
      <c r="Q132" s="12"/>
    </row>
    <row r="133" ht="15.75" customHeight="1">
      <c r="A133" s="12"/>
      <c r="B133" s="13"/>
      <c r="C133" s="12"/>
      <c r="D133" s="12"/>
      <c r="E133" s="12"/>
      <c r="F133" s="12"/>
      <c r="G133" s="12"/>
      <c r="H133" s="12"/>
      <c r="I133" s="12"/>
      <c r="J133" s="12"/>
      <c r="K133" s="12"/>
      <c r="L133" s="13"/>
      <c r="M133" s="12"/>
      <c r="N133" s="12"/>
      <c r="O133" s="13"/>
      <c r="P133" s="12"/>
      <c r="Q133" s="12"/>
    </row>
    <row r="134" ht="15.75" customHeight="1">
      <c r="A134" s="12"/>
      <c r="B134" s="13"/>
      <c r="C134" s="12"/>
      <c r="D134" s="12"/>
      <c r="E134" s="12"/>
      <c r="F134" s="12"/>
      <c r="G134" s="12"/>
      <c r="H134" s="12"/>
      <c r="I134" s="12"/>
      <c r="J134" s="12"/>
      <c r="K134" s="12"/>
      <c r="L134" s="13"/>
      <c r="M134" s="12"/>
      <c r="N134" s="12"/>
      <c r="O134" s="13"/>
      <c r="P134" s="12"/>
      <c r="Q134" s="12"/>
    </row>
    <row r="135" ht="15.75" customHeight="1">
      <c r="A135" s="12"/>
      <c r="B135" s="13"/>
      <c r="C135" s="12"/>
      <c r="D135" s="12"/>
      <c r="E135" s="12"/>
      <c r="F135" s="12"/>
      <c r="G135" s="12"/>
      <c r="H135" s="12"/>
      <c r="I135" s="12"/>
      <c r="J135" s="12"/>
      <c r="K135" s="12"/>
      <c r="L135" s="13"/>
      <c r="M135" s="12"/>
      <c r="N135" s="12"/>
      <c r="O135" s="13"/>
      <c r="P135" s="12"/>
      <c r="Q135" s="12"/>
    </row>
    <row r="136" ht="15.75" customHeight="1">
      <c r="A136" s="12"/>
      <c r="B136" s="13"/>
      <c r="C136" s="12"/>
      <c r="D136" s="12"/>
      <c r="E136" s="12"/>
      <c r="F136" s="12"/>
      <c r="G136" s="12"/>
      <c r="H136" s="12"/>
      <c r="I136" s="12"/>
      <c r="J136" s="12"/>
      <c r="K136" s="12"/>
      <c r="L136" s="13"/>
      <c r="M136" s="12"/>
      <c r="N136" s="12"/>
      <c r="O136" s="13"/>
      <c r="P136" s="12"/>
      <c r="Q136" s="12"/>
    </row>
    <row r="137" ht="15.75" customHeight="1">
      <c r="A137" s="12"/>
      <c r="B137" s="13"/>
      <c r="C137" s="12"/>
      <c r="D137" s="12"/>
      <c r="E137" s="12"/>
      <c r="F137" s="12"/>
      <c r="G137" s="12"/>
      <c r="H137" s="12"/>
      <c r="I137" s="12"/>
      <c r="J137" s="12"/>
      <c r="K137" s="12"/>
      <c r="L137" s="13"/>
      <c r="M137" s="12"/>
      <c r="N137" s="12"/>
      <c r="O137" s="13"/>
      <c r="P137" s="12"/>
      <c r="Q137" s="12"/>
    </row>
    <row r="138" ht="15.75" customHeight="1">
      <c r="A138" s="12"/>
      <c r="B138" s="13"/>
      <c r="C138" s="12"/>
      <c r="D138" s="12"/>
      <c r="E138" s="12"/>
      <c r="F138" s="12"/>
      <c r="G138" s="12"/>
      <c r="H138" s="12"/>
      <c r="I138" s="12"/>
      <c r="J138" s="12"/>
      <c r="K138" s="12"/>
      <c r="L138" s="13"/>
      <c r="M138" s="12"/>
      <c r="N138" s="12"/>
      <c r="O138" s="13"/>
      <c r="P138" s="12"/>
      <c r="Q138" s="12"/>
    </row>
    <row r="139" ht="15.75" customHeight="1">
      <c r="A139" s="12"/>
      <c r="B139" s="13"/>
      <c r="C139" s="12"/>
      <c r="D139" s="12"/>
      <c r="E139" s="12"/>
      <c r="F139" s="12"/>
      <c r="G139" s="12"/>
      <c r="H139" s="12"/>
      <c r="I139" s="12"/>
      <c r="J139" s="12"/>
      <c r="K139" s="12"/>
      <c r="L139" s="13"/>
      <c r="M139" s="12"/>
      <c r="N139" s="12"/>
      <c r="O139" s="13"/>
      <c r="P139" s="12"/>
      <c r="Q139" s="12"/>
    </row>
    <row r="140" ht="15.75" customHeight="1">
      <c r="A140" s="12"/>
      <c r="B140" s="13"/>
      <c r="C140" s="12"/>
      <c r="D140" s="12"/>
      <c r="E140" s="12"/>
      <c r="F140" s="12"/>
      <c r="G140" s="12"/>
      <c r="H140" s="12"/>
      <c r="I140" s="12"/>
      <c r="J140" s="12"/>
      <c r="K140" s="12"/>
      <c r="L140" s="13"/>
      <c r="M140" s="12"/>
      <c r="N140" s="12"/>
      <c r="O140" s="13"/>
      <c r="P140" s="12"/>
      <c r="Q140" s="12"/>
    </row>
    <row r="141" ht="15.75" customHeight="1">
      <c r="A141" s="12"/>
      <c r="B141" s="13"/>
      <c r="C141" s="12"/>
      <c r="D141" s="12"/>
      <c r="E141" s="12"/>
      <c r="F141" s="12"/>
      <c r="G141" s="12"/>
      <c r="H141" s="12"/>
      <c r="I141" s="12"/>
      <c r="J141" s="12"/>
      <c r="K141" s="12"/>
      <c r="L141" s="13"/>
      <c r="M141" s="12"/>
      <c r="N141" s="12"/>
      <c r="O141" s="13"/>
      <c r="P141" s="12"/>
      <c r="Q141" s="12"/>
    </row>
    <row r="142" ht="15.75" customHeight="1">
      <c r="A142" s="12"/>
      <c r="B142" s="13"/>
      <c r="C142" s="12"/>
      <c r="D142" s="12"/>
      <c r="E142" s="12"/>
      <c r="F142" s="12"/>
      <c r="G142" s="12"/>
      <c r="H142" s="12"/>
      <c r="I142" s="12"/>
      <c r="J142" s="12"/>
      <c r="K142" s="12"/>
      <c r="L142" s="13"/>
      <c r="M142" s="12"/>
      <c r="N142" s="12"/>
      <c r="O142" s="13"/>
      <c r="P142" s="12"/>
      <c r="Q142" s="12"/>
    </row>
    <row r="143" ht="15.75" customHeight="1">
      <c r="A143" s="12"/>
      <c r="B143" s="13"/>
      <c r="C143" s="12"/>
      <c r="D143" s="12"/>
      <c r="E143" s="12"/>
      <c r="F143" s="12"/>
      <c r="G143" s="12"/>
      <c r="H143" s="12"/>
      <c r="I143" s="12"/>
      <c r="J143" s="12"/>
      <c r="K143" s="12"/>
      <c r="L143" s="13"/>
      <c r="M143" s="12"/>
      <c r="N143" s="12"/>
      <c r="O143" s="13"/>
      <c r="P143" s="12"/>
      <c r="Q143" s="12"/>
    </row>
    <row r="144" ht="15.75" customHeight="1">
      <c r="A144" s="12"/>
      <c r="B144" s="13"/>
      <c r="C144" s="12"/>
      <c r="D144" s="12"/>
      <c r="E144" s="12"/>
      <c r="F144" s="12"/>
      <c r="G144" s="12"/>
      <c r="H144" s="12"/>
      <c r="I144" s="12"/>
      <c r="J144" s="12"/>
      <c r="K144" s="12"/>
      <c r="L144" s="13"/>
      <c r="M144" s="12"/>
      <c r="N144" s="12"/>
      <c r="O144" s="13"/>
      <c r="P144" s="12"/>
      <c r="Q144" s="12"/>
    </row>
    <row r="145" ht="15.75" customHeight="1">
      <c r="A145" s="12"/>
      <c r="B145" s="13"/>
      <c r="C145" s="12"/>
      <c r="D145" s="12"/>
      <c r="E145" s="12"/>
      <c r="F145" s="12"/>
      <c r="G145" s="12"/>
      <c r="H145" s="12"/>
      <c r="I145" s="12"/>
      <c r="J145" s="12"/>
      <c r="K145" s="12"/>
      <c r="L145" s="13"/>
      <c r="M145" s="12"/>
      <c r="N145" s="12"/>
      <c r="O145" s="13"/>
      <c r="P145" s="12"/>
      <c r="Q145" s="12"/>
    </row>
    <row r="146" ht="15.75" customHeight="1">
      <c r="A146" s="12"/>
      <c r="B146" s="13"/>
      <c r="C146" s="12"/>
      <c r="D146" s="12"/>
      <c r="E146" s="12"/>
      <c r="F146" s="12"/>
      <c r="G146" s="12"/>
      <c r="H146" s="12"/>
      <c r="I146" s="12"/>
      <c r="J146" s="12"/>
      <c r="K146" s="12"/>
      <c r="L146" s="13"/>
      <c r="M146" s="12"/>
      <c r="N146" s="12"/>
      <c r="O146" s="13"/>
      <c r="P146" s="12"/>
      <c r="Q146" s="12"/>
    </row>
    <row r="147" ht="15.75" customHeight="1">
      <c r="A147" s="12"/>
      <c r="B147" s="13"/>
      <c r="C147" s="12"/>
      <c r="D147" s="12"/>
      <c r="E147" s="12"/>
      <c r="F147" s="12"/>
      <c r="G147" s="12"/>
      <c r="H147" s="12"/>
      <c r="I147" s="12"/>
      <c r="J147" s="12"/>
      <c r="K147" s="12"/>
      <c r="L147" s="13"/>
      <c r="M147" s="12"/>
      <c r="N147" s="12"/>
      <c r="O147" s="13"/>
      <c r="P147" s="12"/>
      <c r="Q147" s="12"/>
    </row>
    <row r="148" ht="15.75" customHeight="1">
      <c r="A148" s="12"/>
      <c r="B148" s="13"/>
      <c r="C148" s="12"/>
      <c r="D148" s="12"/>
      <c r="E148" s="12"/>
      <c r="F148" s="12"/>
      <c r="G148" s="12"/>
      <c r="H148" s="12"/>
      <c r="I148" s="12"/>
      <c r="J148" s="12"/>
      <c r="K148" s="12"/>
      <c r="L148" s="13"/>
      <c r="M148" s="12"/>
      <c r="N148" s="12"/>
      <c r="O148" s="13"/>
      <c r="P148" s="12"/>
      <c r="Q148" s="12"/>
    </row>
    <row r="149" ht="15.75" customHeight="1">
      <c r="A149" s="12"/>
      <c r="B149" s="13"/>
      <c r="C149" s="12"/>
      <c r="D149" s="12"/>
      <c r="E149" s="12"/>
      <c r="F149" s="12"/>
      <c r="G149" s="12"/>
      <c r="H149" s="12"/>
      <c r="I149" s="12"/>
      <c r="J149" s="12"/>
      <c r="K149" s="12"/>
      <c r="L149" s="13"/>
      <c r="M149" s="12"/>
      <c r="N149" s="12"/>
      <c r="O149" s="13"/>
      <c r="P149" s="12"/>
      <c r="Q149" s="12"/>
    </row>
    <row r="150" ht="15.75" customHeight="1">
      <c r="A150" s="12"/>
      <c r="B150" s="13"/>
      <c r="C150" s="12"/>
      <c r="D150" s="12"/>
      <c r="E150" s="12"/>
      <c r="F150" s="12"/>
      <c r="G150" s="12"/>
      <c r="H150" s="12"/>
      <c r="I150" s="12"/>
      <c r="J150" s="12"/>
      <c r="K150" s="12"/>
      <c r="L150" s="13"/>
      <c r="M150" s="12"/>
      <c r="N150" s="12"/>
      <c r="O150" s="13"/>
      <c r="P150" s="12"/>
      <c r="Q150" s="12"/>
    </row>
    <row r="151" ht="15.75" customHeight="1">
      <c r="A151" s="12"/>
      <c r="B151" s="13"/>
      <c r="C151" s="12"/>
      <c r="D151" s="12"/>
      <c r="E151" s="12"/>
      <c r="F151" s="12"/>
      <c r="G151" s="12"/>
      <c r="H151" s="12"/>
      <c r="I151" s="12"/>
      <c r="J151" s="12"/>
      <c r="K151" s="12"/>
      <c r="L151" s="13"/>
      <c r="M151" s="12"/>
      <c r="N151" s="12"/>
      <c r="O151" s="13"/>
      <c r="P151" s="12"/>
      <c r="Q151" s="12"/>
    </row>
    <row r="152" ht="15.75" customHeight="1">
      <c r="A152" s="12"/>
      <c r="B152" s="13"/>
      <c r="C152" s="12"/>
      <c r="D152" s="12"/>
      <c r="E152" s="12"/>
      <c r="F152" s="12"/>
      <c r="G152" s="12"/>
      <c r="H152" s="12"/>
      <c r="I152" s="12"/>
      <c r="J152" s="12"/>
      <c r="K152" s="12"/>
      <c r="L152" s="13"/>
      <c r="M152" s="12"/>
      <c r="N152" s="12"/>
      <c r="O152" s="13"/>
      <c r="P152" s="12"/>
      <c r="Q152" s="12"/>
    </row>
    <row r="153" ht="15.75" customHeight="1">
      <c r="A153" s="12"/>
      <c r="B153" s="13"/>
      <c r="C153" s="12"/>
      <c r="D153" s="12"/>
      <c r="E153" s="12"/>
      <c r="F153" s="12"/>
      <c r="G153" s="12"/>
      <c r="H153" s="12"/>
      <c r="I153" s="12"/>
      <c r="J153" s="12"/>
      <c r="K153" s="12"/>
      <c r="L153" s="13"/>
      <c r="M153" s="12"/>
      <c r="N153" s="12"/>
      <c r="O153" s="13"/>
      <c r="P153" s="12"/>
      <c r="Q153" s="12"/>
    </row>
    <row r="154" ht="15.75" customHeight="1">
      <c r="A154" s="12"/>
      <c r="B154" s="13"/>
      <c r="C154" s="12"/>
      <c r="D154" s="12"/>
      <c r="E154" s="12"/>
      <c r="F154" s="12"/>
      <c r="G154" s="12"/>
      <c r="H154" s="12"/>
      <c r="I154" s="12"/>
      <c r="J154" s="12"/>
      <c r="K154" s="12"/>
      <c r="L154" s="13"/>
      <c r="M154" s="12"/>
      <c r="N154" s="12"/>
      <c r="O154" s="13"/>
      <c r="P154" s="12"/>
      <c r="Q154" s="12"/>
    </row>
    <row r="155" ht="15.75" customHeight="1">
      <c r="A155" s="12"/>
      <c r="B155" s="13"/>
      <c r="C155" s="12"/>
      <c r="D155" s="12"/>
      <c r="E155" s="12"/>
      <c r="F155" s="12"/>
      <c r="G155" s="12"/>
      <c r="H155" s="12"/>
      <c r="I155" s="12"/>
      <c r="J155" s="12"/>
      <c r="K155" s="12"/>
      <c r="L155" s="13"/>
      <c r="M155" s="12"/>
      <c r="N155" s="12"/>
      <c r="O155" s="13"/>
      <c r="P155" s="12"/>
      <c r="Q155" s="12"/>
    </row>
    <row r="156" ht="15.75" customHeight="1">
      <c r="A156" s="12"/>
      <c r="B156" s="13"/>
      <c r="C156" s="12"/>
      <c r="D156" s="12"/>
      <c r="E156" s="12"/>
      <c r="F156" s="12"/>
      <c r="G156" s="12"/>
      <c r="H156" s="12"/>
      <c r="I156" s="12"/>
      <c r="J156" s="12"/>
      <c r="K156" s="12"/>
      <c r="L156" s="13"/>
      <c r="M156" s="12"/>
      <c r="N156" s="12"/>
      <c r="O156" s="13"/>
      <c r="P156" s="12"/>
      <c r="Q156" s="12"/>
    </row>
    <row r="157" ht="15.75" customHeight="1">
      <c r="A157" s="12"/>
      <c r="B157" s="13"/>
      <c r="C157" s="12"/>
      <c r="D157" s="12"/>
      <c r="E157" s="12"/>
      <c r="F157" s="12"/>
      <c r="G157" s="12"/>
      <c r="H157" s="12"/>
      <c r="I157" s="12"/>
      <c r="J157" s="12"/>
      <c r="K157" s="12"/>
      <c r="L157" s="13"/>
      <c r="M157" s="12"/>
      <c r="N157" s="12"/>
      <c r="O157" s="13"/>
      <c r="P157" s="12"/>
      <c r="Q157" s="12"/>
    </row>
    <row r="158" ht="15.75" customHeight="1">
      <c r="A158" s="12"/>
      <c r="B158" s="13"/>
      <c r="C158" s="12"/>
      <c r="D158" s="12"/>
      <c r="E158" s="12"/>
      <c r="F158" s="12"/>
      <c r="G158" s="12"/>
      <c r="H158" s="12"/>
      <c r="I158" s="12"/>
      <c r="J158" s="12"/>
      <c r="K158" s="12"/>
      <c r="L158" s="13"/>
      <c r="M158" s="12"/>
      <c r="N158" s="12"/>
      <c r="O158" s="13"/>
      <c r="P158" s="12"/>
      <c r="Q158" s="12"/>
    </row>
    <row r="159" ht="15.75" customHeight="1">
      <c r="A159" s="12"/>
      <c r="B159" s="13"/>
      <c r="C159" s="12"/>
      <c r="D159" s="12"/>
      <c r="E159" s="12"/>
      <c r="F159" s="12"/>
      <c r="G159" s="12"/>
      <c r="H159" s="12"/>
      <c r="I159" s="12"/>
      <c r="J159" s="12"/>
      <c r="K159" s="12"/>
      <c r="L159" s="13"/>
      <c r="M159" s="12"/>
      <c r="N159" s="12"/>
      <c r="O159" s="13"/>
      <c r="P159" s="12"/>
      <c r="Q159" s="12"/>
    </row>
    <row r="160" ht="15.75" customHeight="1">
      <c r="A160" s="12"/>
      <c r="B160" s="13"/>
      <c r="C160" s="12"/>
      <c r="D160" s="12"/>
      <c r="E160" s="12"/>
      <c r="F160" s="12"/>
      <c r="G160" s="12"/>
      <c r="H160" s="12"/>
      <c r="I160" s="12"/>
      <c r="J160" s="12"/>
      <c r="K160" s="12"/>
      <c r="L160" s="13"/>
      <c r="M160" s="12"/>
      <c r="N160" s="12"/>
      <c r="O160" s="13"/>
      <c r="P160" s="12"/>
      <c r="Q160" s="12"/>
    </row>
    <row r="161" ht="15.75" customHeight="1">
      <c r="A161" s="12"/>
      <c r="B161" s="13"/>
      <c r="C161" s="12"/>
      <c r="D161" s="12"/>
      <c r="E161" s="12"/>
      <c r="F161" s="12"/>
      <c r="G161" s="12"/>
      <c r="H161" s="12"/>
      <c r="I161" s="12"/>
      <c r="J161" s="12"/>
      <c r="K161" s="12"/>
      <c r="L161" s="13"/>
      <c r="M161" s="12"/>
      <c r="N161" s="12"/>
      <c r="O161" s="13"/>
      <c r="P161" s="12"/>
      <c r="Q161" s="12"/>
    </row>
    <row r="162" ht="15.75" customHeight="1">
      <c r="A162" s="12"/>
      <c r="B162" s="13"/>
      <c r="C162" s="12"/>
      <c r="D162" s="12"/>
      <c r="E162" s="12"/>
      <c r="F162" s="12"/>
      <c r="G162" s="12"/>
      <c r="H162" s="12"/>
      <c r="I162" s="12"/>
      <c r="J162" s="12"/>
      <c r="K162" s="12"/>
      <c r="L162" s="13"/>
      <c r="M162" s="12"/>
      <c r="N162" s="12"/>
      <c r="O162" s="13"/>
      <c r="P162" s="12"/>
      <c r="Q162" s="12"/>
    </row>
    <row r="163" ht="15.75" customHeight="1">
      <c r="A163" s="12"/>
      <c r="B163" s="13"/>
      <c r="C163" s="12"/>
      <c r="D163" s="12"/>
      <c r="E163" s="12"/>
      <c r="F163" s="12"/>
      <c r="G163" s="12"/>
      <c r="H163" s="12"/>
      <c r="I163" s="12"/>
      <c r="J163" s="12"/>
      <c r="K163" s="12"/>
      <c r="L163" s="13"/>
      <c r="M163" s="12"/>
      <c r="N163" s="12"/>
      <c r="O163" s="13"/>
      <c r="P163" s="12"/>
      <c r="Q163" s="12"/>
    </row>
    <row r="164" ht="15.75" customHeight="1">
      <c r="A164" s="12"/>
      <c r="B164" s="13"/>
      <c r="C164" s="12"/>
      <c r="D164" s="12"/>
      <c r="E164" s="12"/>
      <c r="F164" s="12"/>
      <c r="G164" s="12"/>
      <c r="H164" s="12"/>
      <c r="I164" s="12"/>
      <c r="J164" s="12"/>
      <c r="K164" s="12"/>
      <c r="L164" s="13"/>
      <c r="M164" s="12"/>
      <c r="N164" s="12"/>
      <c r="O164" s="13"/>
      <c r="P164" s="12"/>
      <c r="Q164" s="12"/>
    </row>
    <row r="165" ht="15.75" customHeight="1">
      <c r="A165" s="12"/>
      <c r="B165" s="13"/>
      <c r="C165" s="12"/>
      <c r="D165" s="12"/>
      <c r="E165" s="12"/>
      <c r="F165" s="12"/>
      <c r="G165" s="12"/>
      <c r="H165" s="12"/>
      <c r="I165" s="12"/>
      <c r="J165" s="12"/>
      <c r="K165" s="12"/>
      <c r="L165" s="13"/>
      <c r="M165" s="12"/>
      <c r="N165" s="12"/>
      <c r="O165" s="13"/>
      <c r="P165" s="12"/>
      <c r="Q165" s="12"/>
    </row>
    <row r="166" ht="15.75" customHeight="1">
      <c r="A166" s="12"/>
      <c r="B166" s="13"/>
      <c r="C166" s="12"/>
      <c r="D166" s="12"/>
      <c r="E166" s="12"/>
      <c r="F166" s="12"/>
      <c r="G166" s="12"/>
      <c r="H166" s="12"/>
      <c r="I166" s="12"/>
      <c r="J166" s="12"/>
      <c r="K166" s="12"/>
      <c r="L166" s="13"/>
      <c r="M166" s="12"/>
      <c r="N166" s="12"/>
      <c r="O166" s="13"/>
      <c r="P166" s="12"/>
      <c r="Q166" s="12"/>
    </row>
    <row r="167" ht="15.75" customHeight="1">
      <c r="A167" s="12"/>
      <c r="B167" s="13"/>
      <c r="C167" s="12"/>
      <c r="D167" s="12"/>
      <c r="E167" s="12"/>
      <c r="F167" s="12"/>
      <c r="G167" s="12"/>
      <c r="H167" s="12"/>
      <c r="I167" s="12"/>
      <c r="J167" s="12"/>
      <c r="K167" s="12"/>
      <c r="L167" s="13"/>
      <c r="M167" s="12"/>
      <c r="N167" s="12"/>
      <c r="O167" s="13"/>
      <c r="P167" s="12"/>
      <c r="Q167" s="12"/>
    </row>
    <row r="168" ht="15.75" customHeight="1">
      <c r="A168" s="12"/>
      <c r="B168" s="13"/>
      <c r="C168" s="12"/>
      <c r="D168" s="12"/>
      <c r="E168" s="12"/>
      <c r="F168" s="12"/>
      <c r="G168" s="12"/>
      <c r="H168" s="12"/>
      <c r="I168" s="12"/>
      <c r="J168" s="12"/>
      <c r="K168" s="12"/>
      <c r="L168" s="13"/>
      <c r="M168" s="12"/>
      <c r="N168" s="12"/>
      <c r="O168" s="13"/>
      <c r="P168" s="12"/>
      <c r="Q168" s="12"/>
    </row>
    <row r="169" ht="15.75" customHeight="1">
      <c r="A169" s="12"/>
      <c r="B169" s="13"/>
      <c r="C169" s="12"/>
      <c r="D169" s="12"/>
      <c r="E169" s="12"/>
      <c r="F169" s="12"/>
      <c r="G169" s="12"/>
      <c r="H169" s="12"/>
      <c r="I169" s="12"/>
      <c r="J169" s="12"/>
      <c r="K169" s="12"/>
      <c r="L169" s="13"/>
      <c r="M169" s="12"/>
      <c r="N169" s="12"/>
      <c r="O169" s="13"/>
      <c r="P169" s="12"/>
      <c r="Q169" s="12"/>
    </row>
    <row r="170" ht="15.75" customHeight="1">
      <c r="A170" s="12"/>
      <c r="B170" s="13"/>
      <c r="C170" s="12"/>
      <c r="D170" s="12"/>
      <c r="E170" s="12"/>
      <c r="F170" s="12"/>
      <c r="G170" s="12"/>
      <c r="H170" s="12"/>
      <c r="I170" s="12"/>
      <c r="J170" s="12"/>
      <c r="K170" s="12"/>
      <c r="L170" s="13"/>
      <c r="M170" s="12"/>
      <c r="N170" s="12"/>
      <c r="O170" s="13"/>
      <c r="P170" s="12"/>
      <c r="Q170" s="12"/>
    </row>
    <row r="171" ht="15.75" customHeight="1">
      <c r="A171" s="12"/>
      <c r="B171" s="13"/>
      <c r="C171" s="12"/>
      <c r="D171" s="12"/>
      <c r="E171" s="12"/>
      <c r="F171" s="12"/>
      <c r="G171" s="12"/>
      <c r="H171" s="12"/>
      <c r="I171" s="12"/>
      <c r="J171" s="12"/>
      <c r="K171" s="12"/>
      <c r="L171" s="13"/>
      <c r="M171" s="12"/>
      <c r="N171" s="12"/>
      <c r="O171" s="13"/>
      <c r="P171" s="12"/>
      <c r="Q171" s="12"/>
    </row>
    <row r="172" ht="15.75" customHeight="1">
      <c r="A172" s="12"/>
      <c r="B172" s="13"/>
      <c r="C172" s="12"/>
      <c r="D172" s="12"/>
      <c r="E172" s="12"/>
      <c r="F172" s="12"/>
      <c r="G172" s="12"/>
      <c r="H172" s="12"/>
      <c r="I172" s="12"/>
      <c r="J172" s="12"/>
      <c r="K172" s="12"/>
      <c r="L172" s="13"/>
      <c r="M172" s="12"/>
      <c r="N172" s="12"/>
      <c r="O172" s="13"/>
      <c r="P172" s="12"/>
      <c r="Q172" s="12"/>
    </row>
    <row r="173" ht="15.75" customHeight="1">
      <c r="A173" s="12"/>
      <c r="B173" s="13"/>
      <c r="C173" s="12"/>
      <c r="D173" s="12"/>
      <c r="E173" s="12"/>
      <c r="F173" s="12"/>
      <c r="G173" s="12"/>
      <c r="H173" s="12"/>
      <c r="I173" s="12"/>
      <c r="J173" s="12"/>
      <c r="K173" s="12"/>
      <c r="L173" s="13"/>
      <c r="M173" s="12"/>
      <c r="N173" s="12"/>
      <c r="O173" s="13"/>
      <c r="P173" s="12"/>
      <c r="Q173" s="12"/>
    </row>
    <row r="174" ht="15.75" customHeight="1">
      <c r="A174" s="12"/>
      <c r="B174" s="13"/>
      <c r="C174" s="12"/>
      <c r="D174" s="12"/>
      <c r="E174" s="12"/>
      <c r="F174" s="12"/>
      <c r="G174" s="12"/>
      <c r="H174" s="12"/>
      <c r="I174" s="12"/>
      <c r="J174" s="12"/>
      <c r="K174" s="12"/>
      <c r="L174" s="13"/>
      <c r="M174" s="12"/>
      <c r="N174" s="12"/>
      <c r="O174" s="13"/>
      <c r="P174" s="12"/>
      <c r="Q174" s="12"/>
    </row>
    <row r="175" ht="15.75" customHeight="1">
      <c r="A175" s="12"/>
      <c r="B175" s="13"/>
      <c r="C175" s="12"/>
      <c r="D175" s="12"/>
      <c r="E175" s="12"/>
      <c r="F175" s="12"/>
      <c r="G175" s="12"/>
      <c r="H175" s="12"/>
      <c r="I175" s="12"/>
      <c r="J175" s="12"/>
      <c r="K175" s="12"/>
      <c r="L175" s="13"/>
      <c r="M175" s="12"/>
      <c r="N175" s="12"/>
      <c r="O175" s="13"/>
      <c r="P175" s="12"/>
      <c r="Q175" s="12"/>
    </row>
    <row r="176" ht="15.75" customHeight="1">
      <c r="A176" s="12"/>
      <c r="B176" s="13"/>
      <c r="C176" s="12"/>
      <c r="D176" s="12"/>
      <c r="E176" s="12"/>
      <c r="F176" s="12"/>
      <c r="G176" s="12"/>
      <c r="H176" s="12"/>
      <c r="I176" s="12"/>
      <c r="J176" s="12"/>
      <c r="K176" s="12"/>
      <c r="L176" s="13"/>
      <c r="M176" s="12"/>
      <c r="N176" s="12"/>
      <c r="O176" s="13"/>
      <c r="P176" s="12"/>
      <c r="Q176" s="12"/>
    </row>
    <row r="177" ht="15.75" customHeight="1">
      <c r="A177" s="12"/>
      <c r="B177" s="13"/>
      <c r="C177" s="12"/>
      <c r="D177" s="12"/>
      <c r="E177" s="12"/>
      <c r="F177" s="12"/>
      <c r="G177" s="12"/>
      <c r="H177" s="12"/>
      <c r="I177" s="12"/>
      <c r="J177" s="12"/>
      <c r="K177" s="12"/>
      <c r="L177" s="13"/>
      <c r="M177" s="12"/>
      <c r="N177" s="12"/>
      <c r="O177" s="13"/>
      <c r="P177" s="12"/>
      <c r="Q177" s="12"/>
    </row>
    <row r="178" ht="15.75" customHeight="1">
      <c r="A178" s="12"/>
      <c r="B178" s="13"/>
      <c r="C178" s="12"/>
      <c r="D178" s="12"/>
      <c r="E178" s="12"/>
      <c r="F178" s="12"/>
      <c r="G178" s="12"/>
      <c r="H178" s="12"/>
      <c r="I178" s="12"/>
      <c r="J178" s="12"/>
      <c r="K178" s="12"/>
      <c r="L178" s="13"/>
      <c r="M178" s="12"/>
      <c r="N178" s="12"/>
      <c r="O178" s="13"/>
      <c r="P178" s="12"/>
      <c r="Q178" s="12"/>
    </row>
    <row r="179" ht="15.75" customHeight="1">
      <c r="A179" s="12"/>
      <c r="B179" s="13"/>
      <c r="C179" s="12"/>
      <c r="D179" s="12"/>
      <c r="E179" s="12"/>
      <c r="F179" s="12"/>
      <c r="G179" s="12"/>
      <c r="H179" s="12"/>
      <c r="I179" s="12"/>
      <c r="J179" s="12"/>
      <c r="K179" s="12"/>
      <c r="L179" s="13"/>
      <c r="M179" s="12"/>
      <c r="N179" s="12"/>
      <c r="O179" s="13"/>
      <c r="P179" s="12"/>
      <c r="Q179" s="12"/>
    </row>
    <row r="180" ht="15.75" customHeight="1">
      <c r="A180" s="12"/>
      <c r="B180" s="13"/>
      <c r="C180" s="12"/>
      <c r="D180" s="12"/>
      <c r="E180" s="12"/>
      <c r="F180" s="12"/>
      <c r="G180" s="12"/>
      <c r="H180" s="12"/>
      <c r="I180" s="12"/>
      <c r="J180" s="12"/>
      <c r="K180" s="12"/>
      <c r="L180" s="13"/>
      <c r="M180" s="12"/>
      <c r="N180" s="12"/>
      <c r="O180" s="13"/>
      <c r="P180" s="12"/>
      <c r="Q180" s="12"/>
    </row>
    <row r="181" ht="15.75" customHeight="1">
      <c r="A181" s="12"/>
      <c r="B181" s="13"/>
      <c r="C181" s="12"/>
      <c r="D181" s="12"/>
      <c r="E181" s="12"/>
      <c r="F181" s="12"/>
      <c r="G181" s="12"/>
      <c r="H181" s="12"/>
      <c r="I181" s="12"/>
      <c r="J181" s="12"/>
      <c r="K181" s="12"/>
      <c r="L181" s="13"/>
      <c r="M181" s="12"/>
      <c r="N181" s="12"/>
      <c r="O181" s="13"/>
      <c r="P181" s="12"/>
      <c r="Q181" s="12"/>
    </row>
    <row r="182" ht="15.75" customHeight="1">
      <c r="A182" s="12"/>
      <c r="B182" s="13"/>
      <c r="C182" s="12"/>
      <c r="D182" s="12"/>
      <c r="E182" s="12"/>
      <c r="F182" s="12"/>
      <c r="G182" s="12"/>
      <c r="H182" s="12"/>
      <c r="I182" s="12"/>
      <c r="J182" s="12"/>
      <c r="K182" s="12"/>
      <c r="L182" s="13"/>
      <c r="M182" s="12"/>
      <c r="N182" s="12"/>
      <c r="O182" s="13"/>
      <c r="P182" s="12"/>
      <c r="Q182" s="12"/>
    </row>
    <row r="183" ht="15.75" customHeight="1">
      <c r="A183" s="12"/>
      <c r="B183" s="13"/>
      <c r="C183" s="12"/>
      <c r="D183" s="12"/>
      <c r="E183" s="12"/>
      <c r="F183" s="12"/>
      <c r="G183" s="12"/>
      <c r="H183" s="12"/>
      <c r="I183" s="12"/>
      <c r="J183" s="12"/>
      <c r="K183" s="12"/>
      <c r="L183" s="13"/>
      <c r="M183" s="12"/>
      <c r="N183" s="12"/>
      <c r="O183" s="13"/>
      <c r="P183" s="12"/>
      <c r="Q183" s="12"/>
    </row>
    <row r="184" ht="15.75" customHeight="1">
      <c r="A184" s="12"/>
      <c r="B184" s="13"/>
      <c r="C184" s="12"/>
      <c r="D184" s="12"/>
      <c r="E184" s="12"/>
      <c r="F184" s="12"/>
      <c r="G184" s="12"/>
      <c r="H184" s="12"/>
      <c r="I184" s="12"/>
      <c r="J184" s="12"/>
      <c r="K184" s="12"/>
      <c r="L184" s="13"/>
      <c r="M184" s="12"/>
      <c r="N184" s="12"/>
      <c r="O184" s="13"/>
      <c r="P184" s="12"/>
      <c r="Q184" s="12"/>
    </row>
    <row r="185" ht="15.75" customHeight="1">
      <c r="A185" s="12"/>
      <c r="B185" s="13"/>
      <c r="C185" s="12"/>
      <c r="D185" s="12"/>
      <c r="E185" s="12"/>
      <c r="F185" s="12"/>
      <c r="G185" s="12"/>
      <c r="H185" s="12"/>
      <c r="I185" s="12"/>
      <c r="J185" s="12"/>
      <c r="K185" s="12"/>
      <c r="L185" s="13"/>
      <c r="M185" s="12"/>
      <c r="N185" s="12"/>
      <c r="O185" s="13"/>
      <c r="P185" s="12"/>
      <c r="Q185" s="12"/>
    </row>
    <row r="186" ht="15.75" customHeight="1">
      <c r="A186" s="12"/>
      <c r="B186" s="13"/>
      <c r="C186" s="12"/>
      <c r="D186" s="12"/>
      <c r="E186" s="12"/>
      <c r="F186" s="12"/>
      <c r="G186" s="12"/>
      <c r="H186" s="12"/>
      <c r="I186" s="12"/>
      <c r="J186" s="12"/>
      <c r="K186" s="12"/>
      <c r="L186" s="13"/>
      <c r="M186" s="12"/>
      <c r="N186" s="12"/>
      <c r="O186" s="13"/>
      <c r="P186" s="12"/>
      <c r="Q186" s="12"/>
    </row>
    <row r="187" ht="15.75" customHeight="1">
      <c r="A187" s="12"/>
      <c r="B187" s="13"/>
      <c r="C187" s="12"/>
      <c r="D187" s="12"/>
      <c r="E187" s="12"/>
      <c r="F187" s="12"/>
      <c r="G187" s="12"/>
      <c r="H187" s="12"/>
      <c r="I187" s="12"/>
      <c r="J187" s="12"/>
      <c r="K187" s="12"/>
      <c r="L187" s="13"/>
      <c r="M187" s="12"/>
      <c r="N187" s="12"/>
      <c r="O187" s="13"/>
      <c r="P187" s="12"/>
      <c r="Q187" s="12"/>
    </row>
    <row r="188" ht="15.75" customHeight="1">
      <c r="A188" s="12"/>
      <c r="B188" s="13"/>
      <c r="C188" s="12"/>
      <c r="D188" s="12"/>
      <c r="E188" s="12"/>
      <c r="F188" s="12"/>
      <c r="G188" s="12"/>
      <c r="H188" s="12"/>
      <c r="I188" s="12"/>
      <c r="J188" s="12"/>
      <c r="K188" s="12"/>
      <c r="L188" s="13"/>
      <c r="M188" s="12"/>
      <c r="N188" s="12"/>
      <c r="O188" s="13"/>
      <c r="P188" s="12"/>
      <c r="Q188" s="12"/>
    </row>
    <row r="189" ht="15.75" customHeight="1">
      <c r="A189" s="12"/>
      <c r="B189" s="13"/>
      <c r="C189" s="12"/>
      <c r="D189" s="12"/>
      <c r="E189" s="12"/>
      <c r="F189" s="12"/>
      <c r="G189" s="12"/>
      <c r="H189" s="12"/>
      <c r="I189" s="12"/>
      <c r="J189" s="12"/>
      <c r="K189" s="12"/>
      <c r="L189" s="13"/>
      <c r="M189" s="12"/>
      <c r="N189" s="12"/>
      <c r="O189" s="13"/>
      <c r="P189" s="12"/>
      <c r="Q189" s="12"/>
    </row>
    <row r="190" ht="15.75" customHeight="1">
      <c r="A190" s="12"/>
      <c r="B190" s="13"/>
      <c r="C190" s="12"/>
      <c r="D190" s="12"/>
      <c r="E190" s="12"/>
      <c r="F190" s="12"/>
      <c r="G190" s="12"/>
      <c r="H190" s="12"/>
      <c r="I190" s="12"/>
      <c r="J190" s="12"/>
      <c r="K190" s="12"/>
      <c r="L190" s="13"/>
      <c r="M190" s="12"/>
      <c r="N190" s="12"/>
      <c r="O190" s="13"/>
      <c r="P190" s="12"/>
      <c r="Q190" s="12"/>
    </row>
    <row r="191" ht="15.75" customHeight="1">
      <c r="A191" s="12"/>
      <c r="B191" s="13"/>
      <c r="C191" s="12"/>
      <c r="D191" s="12"/>
      <c r="E191" s="12"/>
      <c r="F191" s="12"/>
      <c r="G191" s="12"/>
      <c r="H191" s="12"/>
      <c r="I191" s="12"/>
      <c r="J191" s="12"/>
      <c r="K191" s="12"/>
      <c r="L191" s="13"/>
      <c r="M191" s="12"/>
      <c r="N191" s="12"/>
      <c r="O191" s="13"/>
      <c r="P191" s="12"/>
      <c r="Q191" s="12"/>
    </row>
    <row r="192" ht="15.75" customHeight="1">
      <c r="A192" s="12"/>
      <c r="B192" s="13"/>
      <c r="C192" s="12"/>
      <c r="D192" s="12"/>
      <c r="E192" s="12"/>
      <c r="F192" s="12"/>
      <c r="G192" s="12"/>
      <c r="H192" s="12"/>
      <c r="I192" s="12"/>
      <c r="J192" s="12"/>
      <c r="K192" s="12"/>
      <c r="L192" s="13"/>
      <c r="M192" s="12"/>
      <c r="N192" s="12"/>
      <c r="O192" s="13"/>
      <c r="P192" s="12"/>
      <c r="Q192" s="12"/>
    </row>
    <row r="193" ht="15.75" customHeight="1">
      <c r="A193" s="12"/>
      <c r="B193" s="13"/>
      <c r="C193" s="12"/>
      <c r="D193" s="12"/>
      <c r="E193" s="12"/>
      <c r="F193" s="12"/>
      <c r="G193" s="12"/>
      <c r="H193" s="12"/>
      <c r="I193" s="12"/>
      <c r="J193" s="12"/>
      <c r="K193" s="12"/>
      <c r="L193" s="13"/>
      <c r="M193" s="12"/>
      <c r="N193" s="12"/>
      <c r="O193" s="13"/>
      <c r="P193" s="12"/>
      <c r="Q193" s="12"/>
    </row>
    <row r="194" ht="15.75" customHeight="1">
      <c r="A194" s="12"/>
      <c r="B194" s="13"/>
      <c r="C194" s="12"/>
      <c r="D194" s="12"/>
      <c r="E194" s="12"/>
      <c r="F194" s="12"/>
      <c r="G194" s="12"/>
      <c r="H194" s="12"/>
      <c r="I194" s="12"/>
      <c r="J194" s="12"/>
      <c r="K194" s="12"/>
      <c r="L194" s="13"/>
      <c r="M194" s="12"/>
      <c r="N194" s="12"/>
      <c r="O194" s="13"/>
      <c r="P194" s="12"/>
      <c r="Q194" s="12"/>
    </row>
    <row r="195" ht="15.75" customHeight="1">
      <c r="A195" s="12"/>
      <c r="B195" s="13"/>
      <c r="C195" s="12"/>
      <c r="D195" s="12"/>
      <c r="E195" s="12"/>
      <c r="F195" s="12"/>
      <c r="G195" s="12"/>
      <c r="H195" s="12"/>
      <c r="I195" s="12"/>
      <c r="J195" s="12"/>
      <c r="K195" s="12"/>
      <c r="L195" s="13"/>
      <c r="M195" s="12"/>
      <c r="N195" s="12"/>
      <c r="O195" s="13"/>
      <c r="P195" s="12"/>
      <c r="Q195" s="12"/>
    </row>
    <row r="196" ht="15.75" customHeight="1">
      <c r="A196" s="12"/>
      <c r="B196" s="13"/>
      <c r="C196" s="12"/>
      <c r="D196" s="12"/>
      <c r="E196" s="12"/>
      <c r="F196" s="12"/>
      <c r="G196" s="12"/>
      <c r="H196" s="12"/>
      <c r="I196" s="12"/>
      <c r="J196" s="12"/>
      <c r="K196" s="12"/>
      <c r="L196" s="13"/>
      <c r="M196" s="12"/>
      <c r="N196" s="12"/>
      <c r="O196" s="13"/>
      <c r="P196" s="12"/>
      <c r="Q196" s="12"/>
    </row>
    <row r="197" ht="15.75" customHeight="1">
      <c r="A197" s="12"/>
      <c r="B197" s="13"/>
      <c r="C197" s="12"/>
      <c r="D197" s="12"/>
      <c r="E197" s="12"/>
      <c r="F197" s="12"/>
      <c r="G197" s="12"/>
      <c r="H197" s="12"/>
      <c r="I197" s="12"/>
      <c r="J197" s="12"/>
      <c r="K197" s="12"/>
      <c r="L197" s="13"/>
      <c r="M197" s="12"/>
      <c r="N197" s="12"/>
      <c r="O197" s="13"/>
      <c r="P197" s="12"/>
      <c r="Q197" s="12"/>
    </row>
    <row r="198" ht="15.75" customHeight="1">
      <c r="A198" s="12"/>
      <c r="B198" s="13"/>
      <c r="C198" s="12"/>
      <c r="D198" s="12"/>
      <c r="E198" s="12"/>
      <c r="F198" s="12"/>
      <c r="G198" s="12"/>
      <c r="H198" s="12"/>
      <c r="I198" s="12"/>
      <c r="J198" s="12"/>
      <c r="K198" s="12"/>
      <c r="L198" s="13"/>
      <c r="M198" s="12"/>
      <c r="N198" s="12"/>
      <c r="O198" s="13"/>
      <c r="P198" s="12"/>
      <c r="Q198" s="12"/>
    </row>
    <row r="199" ht="15.75" customHeight="1">
      <c r="A199" s="12"/>
      <c r="B199" s="13"/>
      <c r="C199" s="12"/>
      <c r="D199" s="12"/>
      <c r="E199" s="12"/>
      <c r="F199" s="12"/>
      <c r="G199" s="12"/>
      <c r="H199" s="12"/>
      <c r="I199" s="12"/>
      <c r="J199" s="12"/>
      <c r="K199" s="12"/>
      <c r="L199" s="13"/>
      <c r="M199" s="12"/>
      <c r="N199" s="12"/>
      <c r="O199" s="13"/>
      <c r="P199" s="12"/>
      <c r="Q199" s="12"/>
    </row>
    <row r="200" ht="15.75" customHeight="1">
      <c r="A200" s="12"/>
      <c r="B200" s="13"/>
      <c r="C200" s="12"/>
      <c r="D200" s="12"/>
      <c r="E200" s="12"/>
      <c r="F200" s="12"/>
      <c r="G200" s="12"/>
      <c r="H200" s="12"/>
      <c r="I200" s="12"/>
      <c r="J200" s="12"/>
      <c r="K200" s="12"/>
      <c r="L200" s="13"/>
      <c r="M200" s="12"/>
      <c r="N200" s="12"/>
      <c r="O200" s="13"/>
      <c r="P200" s="12"/>
      <c r="Q200" s="12"/>
    </row>
    <row r="201" ht="15.75" customHeight="1">
      <c r="A201" s="12"/>
      <c r="B201" s="13"/>
      <c r="C201" s="12"/>
      <c r="D201" s="12"/>
      <c r="E201" s="12"/>
      <c r="F201" s="12"/>
      <c r="G201" s="12"/>
      <c r="H201" s="12"/>
      <c r="I201" s="12"/>
      <c r="J201" s="12"/>
      <c r="K201" s="12"/>
      <c r="L201" s="13"/>
      <c r="M201" s="12"/>
      <c r="N201" s="12"/>
      <c r="O201" s="13"/>
      <c r="P201" s="12"/>
      <c r="Q201" s="12"/>
    </row>
    <row r="202" ht="15.75" customHeight="1">
      <c r="A202" s="12"/>
      <c r="B202" s="13"/>
      <c r="C202" s="12"/>
      <c r="D202" s="12"/>
      <c r="E202" s="12"/>
      <c r="F202" s="12"/>
      <c r="G202" s="12"/>
      <c r="H202" s="12"/>
      <c r="I202" s="12"/>
      <c r="J202" s="12"/>
      <c r="K202" s="12"/>
      <c r="L202" s="13"/>
      <c r="M202" s="12"/>
      <c r="N202" s="12"/>
      <c r="O202" s="13"/>
      <c r="P202" s="12"/>
      <c r="Q202" s="12"/>
    </row>
    <row r="203" ht="15.75" customHeight="1">
      <c r="A203" s="12"/>
      <c r="B203" s="13"/>
      <c r="C203" s="12"/>
      <c r="D203" s="12"/>
      <c r="E203" s="12"/>
      <c r="F203" s="12"/>
      <c r="G203" s="12"/>
      <c r="H203" s="12"/>
      <c r="I203" s="12"/>
      <c r="J203" s="12"/>
      <c r="K203" s="12"/>
      <c r="L203" s="13"/>
      <c r="M203" s="12"/>
      <c r="N203" s="12"/>
      <c r="O203" s="13"/>
      <c r="P203" s="12"/>
      <c r="Q203" s="12"/>
    </row>
    <row r="204" ht="15.75" customHeight="1">
      <c r="A204" s="12"/>
      <c r="B204" s="13"/>
      <c r="C204" s="12"/>
      <c r="D204" s="12"/>
      <c r="E204" s="12"/>
      <c r="F204" s="12"/>
      <c r="G204" s="12"/>
      <c r="H204" s="12"/>
      <c r="I204" s="12"/>
      <c r="J204" s="12"/>
      <c r="K204" s="12"/>
      <c r="L204" s="13"/>
      <c r="M204" s="12"/>
      <c r="N204" s="12"/>
      <c r="O204" s="13"/>
      <c r="P204" s="12"/>
      <c r="Q204" s="12"/>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Q1"/>
    <mergeCell ref="A2:Q2"/>
  </mergeCells>
  <conditionalFormatting sqref="K5:K204">
    <cfRule type="expression" dxfId="4" priority="1">
      <formula>K5="Done"</formula>
    </cfRule>
  </conditionalFormatting>
  <conditionalFormatting sqref="K5:K204">
    <cfRule type="expression" dxfId="5" priority="2">
      <formula>K5="In Progress"</formula>
    </cfRule>
  </conditionalFormatting>
  <conditionalFormatting sqref="K5:K204">
    <cfRule type="expression" dxfId="6" priority="3">
      <formula>K5="Blocked"</formula>
    </cfRule>
  </conditionalFormatting>
  <conditionalFormatting sqref="K5:K204">
    <cfRule type="expression" dxfId="7" priority="4">
      <formula>K5="Needs Review"</formula>
    </cfRule>
  </conditionalFormatting>
  <conditionalFormatting sqref="K5:K204">
    <cfRule type="expression" dxfId="7" priority="5">
      <formula>K5="Needs Revalidation"</formula>
    </cfRule>
  </conditionalFormatting>
  <conditionalFormatting sqref="D5:D204">
    <cfRule type="expression" dxfId="6" priority="6">
      <formula>D5="Critical"</formula>
    </cfRule>
  </conditionalFormatting>
  <conditionalFormatting sqref="D5:D204">
    <cfRule type="expression" dxfId="7" priority="7">
      <formula>D5="High"</formula>
    </cfRule>
  </conditionalFormatting>
  <dataValidations>
    <dataValidation type="list" allowBlank="1" sqref="K5:K204">
      <formula1>"Open,In Progress,Needs Review,Needs Revalidation,Blocked,Resolved,Won't Fix"</formula1>
    </dataValidation>
    <dataValidation type="list" allowBlank="1" sqref="E5:E204">
      <formula1>"Canonical / Redirects,Broken Links,Indexing,Crawlability,Robots / Noindex,Sitemap,Structured Data,Core Web Vitals,On-page / Conversion,Trust / On-page,Analytics,Backlinks,Content Governance,Security"</formula1>
    </dataValidation>
    <dataValidation type="list" allowBlank="1" sqref="P5:P204">
      <formula1>"One-time,Daily,Weekly,Monthly,Quarterly,On deploy,On publish,On update"</formula1>
    </dataValidation>
    <dataValidation type="list" allowBlank="1" sqref="J5:J204">
      <formula1>"Unassigned,SEO Manager,Content Lead,Developer,Outreach,QA"</formula1>
    </dataValidation>
    <dataValidation type="list" allowBlank="1" sqref="D5:D204">
      <formula1>"Critical,High,Medium,Low"</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6.0"/>
    <col customWidth="1" min="3" max="3" width="17.14"/>
    <col customWidth="1" min="4" max="4" width="12.57"/>
    <col customWidth="1" min="5" max="5" width="18.29"/>
    <col customWidth="1" min="6" max="6" width="13.71"/>
    <col customWidth="1" min="7" max="8" width="12.57"/>
    <col customWidth="1" min="9" max="9" width="14.86"/>
    <col customWidth="1" min="10" max="12" width="13.71"/>
    <col customWidth="1" min="13" max="13" width="16.0"/>
    <col customWidth="1" min="14" max="14" width="12.57"/>
    <col customWidth="1" min="15" max="15" width="16.0"/>
    <col customWidth="1" min="16" max="16" width="18.29"/>
    <col customWidth="1" min="17" max="17" width="14.86"/>
    <col customWidth="1" min="18" max="18" width="16.0"/>
    <col customWidth="1" min="19" max="19" width="11.43"/>
    <col customWidth="1" min="20" max="20" width="12.57"/>
    <col customWidth="1" min="21" max="21" width="10.29"/>
    <col customWidth="1" min="22" max="22" width="38.86"/>
    <col customWidth="1" min="23" max="26" width="9.86"/>
  </cols>
  <sheetData>
    <row r="1" ht="33.75" customHeight="1">
      <c r="A1" s="1" t="s">
        <v>837</v>
      </c>
    </row>
    <row r="2" ht="27.75" customHeight="1">
      <c r="A2" s="2" t="s">
        <v>838</v>
      </c>
    </row>
    <row r="4" ht="30.0" customHeight="1">
      <c r="A4" s="6" t="s">
        <v>841</v>
      </c>
      <c r="B4" s="7" t="s">
        <v>842</v>
      </c>
      <c r="C4" s="7" t="s">
        <v>843</v>
      </c>
      <c r="D4" s="7" t="s">
        <v>844</v>
      </c>
      <c r="E4" s="7" t="s">
        <v>845</v>
      </c>
      <c r="F4" s="7" t="s">
        <v>254</v>
      </c>
      <c r="G4" s="7" t="s">
        <v>846</v>
      </c>
      <c r="H4" s="7" t="s">
        <v>847</v>
      </c>
      <c r="I4" s="7" t="s">
        <v>237</v>
      </c>
      <c r="J4" s="7" t="s">
        <v>848</v>
      </c>
      <c r="K4" s="7" t="s">
        <v>849</v>
      </c>
      <c r="L4" s="7" t="s">
        <v>851</v>
      </c>
      <c r="M4" s="7" t="s">
        <v>853</v>
      </c>
      <c r="N4" s="7" t="s">
        <v>854</v>
      </c>
      <c r="O4" s="7" t="s">
        <v>855</v>
      </c>
      <c r="P4" s="7" t="s">
        <v>856</v>
      </c>
      <c r="Q4" s="7" t="s">
        <v>857</v>
      </c>
      <c r="R4" s="7" t="s">
        <v>858</v>
      </c>
      <c r="S4" s="7" t="s">
        <v>859</v>
      </c>
      <c r="T4" s="7" t="s">
        <v>860</v>
      </c>
      <c r="U4" s="7" t="s">
        <v>861</v>
      </c>
      <c r="V4" s="11" t="s">
        <v>76</v>
      </c>
    </row>
    <row r="5">
      <c r="A5" s="13">
        <v>46149.0</v>
      </c>
      <c r="B5" s="14">
        <v>3900.0</v>
      </c>
      <c r="C5" s="14">
        <v>201.0</v>
      </c>
      <c r="D5" s="14">
        <v>8.0</v>
      </c>
      <c r="E5" s="14">
        <v>107.0</v>
      </c>
      <c r="F5" s="14">
        <v>246.0</v>
      </c>
      <c r="G5" s="14">
        <v>205.0</v>
      </c>
      <c r="H5" s="14">
        <v>41.0</v>
      </c>
      <c r="I5" s="14">
        <v>14.0</v>
      </c>
      <c r="J5" s="14">
        <v>2.0</v>
      </c>
      <c r="K5" s="14">
        <v>51.0</v>
      </c>
      <c r="L5" s="14"/>
      <c r="M5" s="14"/>
      <c r="N5" s="25"/>
      <c r="O5" s="18"/>
      <c r="P5" s="12"/>
      <c r="Q5" s="12"/>
      <c r="R5" s="25" t="str">
        <f t="shared" ref="R5:R104" si="1">IF(OR(P5="",Q5=""),"",Q5/P5)</f>
        <v/>
      </c>
      <c r="S5" s="26"/>
      <c r="T5" s="15"/>
      <c r="U5" s="27"/>
      <c r="V5" s="12" t="s">
        <v>864</v>
      </c>
    </row>
    <row r="6">
      <c r="A6" s="13">
        <v>46167.0</v>
      </c>
      <c r="B6" s="14">
        <v>2400.0</v>
      </c>
      <c r="C6" s="14">
        <v>223.0</v>
      </c>
      <c r="D6" s="14">
        <v>11.0</v>
      </c>
      <c r="E6" s="14">
        <v>112.0</v>
      </c>
      <c r="F6" s="14">
        <v>256.0</v>
      </c>
      <c r="G6" s="14">
        <v>210.0</v>
      </c>
      <c r="H6" s="14">
        <v>46.0</v>
      </c>
      <c r="I6" s="14">
        <v>14.0</v>
      </c>
      <c r="J6" s="14">
        <v>2.0</v>
      </c>
      <c r="K6" s="14">
        <v>52.0</v>
      </c>
      <c r="L6" s="14"/>
      <c r="M6" s="14"/>
      <c r="N6" s="25"/>
      <c r="O6" s="18"/>
      <c r="P6" s="12"/>
      <c r="Q6" s="12"/>
      <c r="R6" s="25" t="str">
        <f t="shared" si="1"/>
        <v/>
      </c>
      <c r="S6" s="26"/>
      <c r="T6" s="15"/>
      <c r="U6" s="27"/>
      <c r="V6" s="12" t="s">
        <v>864</v>
      </c>
    </row>
    <row r="7">
      <c r="A7" s="13">
        <v>46174.0</v>
      </c>
      <c r="B7" s="14">
        <v>4400.0</v>
      </c>
      <c r="C7" s="14">
        <v>245.0</v>
      </c>
      <c r="D7" s="14">
        <v>11.0</v>
      </c>
      <c r="E7" s="14">
        <v>113.0</v>
      </c>
      <c r="F7" s="14">
        <v>244.0</v>
      </c>
      <c r="G7" s="14">
        <v>198.0</v>
      </c>
      <c r="H7" s="14">
        <v>46.0</v>
      </c>
      <c r="I7" s="14">
        <v>14.0</v>
      </c>
      <c r="J7" s="14">
        <v>1.0</v>
      </c>
      <c r="K7" s="14">
        <v>53.0</v>
      </c>
      <c r="L7" s="14"/>
      <c r="M7" s="14"/>
      <c r="N7" s="25"/>
      <c r="O7" s="18"/>
      <c r="P7" s="12"/>
      <c r="Q7" s="12"/>
      <c r="R7" s="25" t="str">
        <f t="shared" si="1"/>
        <v/>
      </c>
      <c r="S7" s="26"/>
      <c r="T7" s="15"/>
      <c r="U7" s="27"/>
      <c r="V7" s="12" t="s">
        <v>864</v>
      </c>
    </row>
    <row r="8">
      <c r="A8" s="13"/>
      <c r="B8" s="14"/>
      <c r="C8" s="14"/>
      <c r="D8" s="14"/>
      <c r="E8" s="14"/>
      <c r="F8" s="14"/>
      <c r="G8" s="14"/>
      <c r="H8" s="14"/>
      <c r="I8" s="14"/>
      <c r="J8" s="14"/>
      <c r="K8" s="14"/>
      <c r="L8" s="14"/>
      <c r="M8" s="14"/>
      <c r="N8" s="25"/>
      <c r="O8" s="18"/>
      <c r="P8" s="12"/>
      <c r="Q8" s="12"/>
      <c r="R8" s="25" t="str">
        <f t="shared" si="1"/>
        <v/>
      </c>
      <c r="S8" s="26"/>
      <c r="T8" s="15"/>
      <c r="U8" s="27"/>
      <c r="V8" s="12"/>
    </row>
    <row r="9">
      <c r="A9" s="13"/>
      <c r="B9" s="14"/>
      <c r="C9" s="14"/>
      <c r="D9" s="14"/>
      <c r="E9" s="14"/>
      <c r="F9" s="14"/>
      <c r="G9" s="14"/>
      <c r="H9" s="14"/>
      <c r="I9" s="14"/>
      <c r="J9" s="14"/>
      <c r="K9" s="14"/>
      <c r="L9" s="14"/>
      <c r="M9" s="14"/>
      <c r="N9" s="25"/>
      <c r="O9" s="18"/>
      <c r="P9" s="12"/>
      <c r="Q9" s="12"/>
      <c r="R9" s="25" t="str">
        <f t="shared" si="1"/>
        <v/>
      </c>
      <c r="S9" s="26"/>
      <c r="T9" s="15"/>
      <c r="U9" s="27"/>
      <c r="V9" s="12"/>
    </row>
    <row r="10">
      <c r="A10" s="13"/>
      <c r="B10" s="14"/>
      <c r="C10" s="14"/>
      <c r="D10" s="14"/>
      <c r="E10" s="14"/>
      <c r="F10" s="14"/>
      <c r="G10" s="14"/>
      <c r="H10" s="14"/>
      <c r="I10" s="14"/>
      <c r="J10" s="14"/>
      <c r="K10" s="14"/>
      <c r="L10" s="14"/>
      <c r="M10" s="14"/>
      <c r="N10" s="25"/>
      <c r="O10" s="18"/>
      <c r="P10" s="12"/>
      <c r="Q10" s="12"/>
      <c r="R10" s="25" t="str">
        <f t="shared" si="1"/>
        <v/>
      </c>
      <c r="S10" s="26"/>
      <c r="T10" s="15"/>
      <c r="U10" s="27"/>
      <c r="V10" s="12"/>
    </row>
    <row r="11">
      <c r="A11" s="13"/>
      <c r="B11" s="14"/>
      <c r="C11" s="14"/>
      <c r="D11" s="14"/>
      <c r="E11" s="14"/>
      <c r="F11" s="14"/>
      <c r="G11" s="14"/>
      <c r="H11" s="14"/>
      <c r="I11" s="14"/>
      <c r="J11" s="14"/>
      <c r="K11" s="14"/>
      <c r="L11" s="14"/>
      <c r="M11" s="14"/>
      <c r="N11" s="25"/>
      <c r="O11" s="18"/>
      <c r="P11" s="12"/>
      <c r="Q11" s="12"/>
      <c r="R11" s="25" t="str">
        <f t="shared" si="1"/>
        <v/>
      </c>
      <c r="S11" s="26"/>
      <c r="T11" s="15"/>
      <c r="U11" s="27"/>
      <c r="V11" s="12"/>
    </row>
    <row r="12">
      <c r="A12" s="13"/>
      <c r="B12" s="14"/>
      <c r="C12" s="14"/>
      <c r="D12" s="14"/>
      <c r="E12" s="14"/>
      <c r="F12" s="14"/>
      <c r="G12" s="14"/>
      <c r="H12" s="14"/>
      <c r="I12" s="14"/>
      <c r="J12" s="14"/>
      <c r="K12" s="14"/>
      <c r="L12" s="14"/>
      <c r="M12" s="14"/>
      <c r="N12" s="25"/>
      <c r="O12" s="18"/>
      <c r="P12" s="12"/>
      <c r="Q12" s="12"/>
      <c r="R12" s="25" t="str">
        <f t="shared" si="1"/>
        <v/>
      </c>
      <c r="S12" s="26"/>
      <c r="T12" s="15"/>
      <c r="U12" s="27"/>
      <c r="V12" s="12"/>
    </row>
    <row r="13">
      <c r="A13" s="13"/>
      <c r="B13" s="14"/>
      <c r="C13" s="14"/>
      <c r="D13" s="14"/>
      <c r="E13" s="14"/>
      <c r="F13" s="14"/>
      <c r="G13" s="14"/>
      <c r="H13" s="14"/>
      <c r="I13" s="14"/>
      <c r="J13" s="14"/>
      <c r="K13" s="14"/>
      <c r="L13" s="14"/>
      <c r="M13" s="14"/>
      <c r="N13" s="25"/>
      <c r="O13" s="18"/>
      <c r="P13" s="12"/>
      <c r="Q13" s="12"/>
      <c r="R13" s="25" t="str">
        <f t="shared" si="1"/>
        <v/>
      </c>
      <c r="S13" s="26"/>
      <c r="T13" s="15"/>
      <c r="U13" s="27"/>
      <c r="V13" s="12"/>
    </row>
    <row r="14">
      <c r="A14" s="13"/>
      <c r="B14" s="14"/>
      <c r="C14" s="14"/>
      <c r="D14" s="14"/>
      <c r="E14" s="14"/>
      <c r="F14" s="14"/>
      <c r="G14" s="14"/>
      <c r="H14" s="14"/>
      <c r="I14" s="14"/>
      <c r="J14" s="14"/>
      <c r="K14" s="14"/>
      <c r="L14" s="14"/>
      <c r="M14" s="14"/>
      <c r="N14" s="25"/>
      <c r="O14" s="18"/>
      <c r="P14" s="12"/>
      <c r="Q14" s="12"/>
      <c r="R14" s="25" t="str">
        <f t="shared" si="1"/>
        <v/>
      </c>
      <c r="S14" s="26"/>
      <c r="T14" s="15"/>
      <c r="U14" s="27"/>
      <c r="V14" s="12"/>
    </row>
    <row r="15">
      <c r="A15" s="13"/>
      <c r="B15" s="14"/>
      <c r="C15" s="14"/>
      <c r="D15" s="14"/>
      <c r="E15" s="14"/>
      <c r="F15" s="14"/>
      <c r="G15" s="14"/>
      <c r="H15" s="14"/>
      <c r="I15" s="14"/>
      <c r="J15" s="14"/>
      <c r="K15" s="14"/>
      <c r="L15" s="14"/>
      <c r="M15" s="14"/>
      <c r="N15" s="25"/>
      <c r="O15" s="18"/>
      <c r="P15" s="12"/>
      <c r="Q15" s="12"/>
      <c r="R15" s="25" t="str">
        <f t="shared" si="1"/>
        <v/>
      </c>
      <c r="S15" s="26"/>
      <c r="T15" s="15"/>
      <c r="U15" s="27"/>
      <c r="V15" s="12"/>
    </row>
    <row r="16">
      <c r="A16" s="13"/>
      <c r="B16" s="14"/>
      <c r="C16" s="14"/>
      <c r="D16" s="14"/>
      <c r="E16" s="14"/>
      <c r="F16" s="14"/>
      <c r="G16" s="14"/>
      <c r="H16" s="14"/>
      <c r="I16" s="14"/>
      <c r="J16" s="14"/>
      <c r="K16" s="14"/>
      <c r="L16" s="14"/>
      <c r="M16" s="14"/>
      <c r="N16" s="25"/>
      <c r="O16" s="18"/>
      <c r="P16" s="12"/>
      <c r="Q16" s="12"/>
      <c r="R16" s="25" t="str">
        <f t="shared" si="1"/>
        <v/>
      </c>
      <c r="S16" s="26"/>
      <c r="T16" s="15"/>
      <c r="U16" s="27"/>
      <c r="V16" s="12"/>
    </row>
    <row r="17">
      <c r="A17" s="13"/>
      <c r="B17" s="14"/>
      <c r="C17" s="14"/>
      <c r="D17" s="14"/>
      <c r="E17" s="14"/>
      <c r="F17" s="14"/>
      <c r="G17" s="14"/>
      <c r="H17" s="14"/>
      <c r="I17" s="14"/>
      <c r="J17" s="14"/>
      <c r="K17" s="14"/>
      <c r="L17" s="14"/>
      <c r="M17" s="14"/>
      <c r="N17" s="25"/>
      <c r="O17" s="18"/>
      <c r="P17" s="12"/>
      <c r="Q17" s="12"/>
      <c r="R17" s="25" t="str">
        <f t="shared" si="1"/>
        <v/>
      </c>
      <c r="S17" s="26"/>
      <c r="T17" s="15"/>
      <c r="U17" s="27"/>
      <c r="V17" s="12"/>
    </row>
    <row r="18">
      <c r="A18" s="13"/>
      <c r="B18" s="14"/>
      <c r="C18" s="14"/>
      <c r="D18" s="14"/>
      <c r="E18" s="14"/>
      <c r="F18" s="14"/>
      <c r="G18" s="14"/>
      <c r="H18" s="14"/>
      <c r="I18" s="14"/>
      <c r="J18" s="14"/>
      <c r="K18" s="14"/>
      <c r="L18" s="14"/>
      <c r="M18" s="14"/>
      <c r="N18" s="25"/>
      <c r="O18" s="18"/>
      <c r="P18" s="12"/>
      <c r="Q18" s="12"/>
      <c r="R18" s="25" t="str">
        <f t="shared" si="1"/>
        <v/>
      </c>
      <c r="S18" s="26"/>
      <c r="T18" s="15"/>
      <c r="U18" s="27"/>
      <c r="V18" s="12"/>
    </row>
    <row r="19">
      <c r="A19" s="13"/>
      <c r="B19" s="14"/>
      <c r="C19" s="14"/>
      <c r="D19" s="14"/>
      <c r="E19" s="14"/>
      <c r="F19" s="14"/>
      <c r="G19" s="14"/>
      <c r="H19" s="14"/>
      <c r="I19" s="14"/>
      <c r="J19" s="14"/>
      <c r="K19" s="14"/>
      <c r="L19" s="14"/>
      <c r="M19" s="14"/>
      <c r="N19" s="25"/>
      <c r="O19" s="18"/>
      <c r="P19" s="12"/>
      <c r="Q19" s="12"/>
      <c r="R19" s="25" t="str">
        <f t="shared" si="1"/>
        <v/>
      </c>
      <c r="S19" s="26"/>
      <c r="T19" s="15"/>
      <c r="U19" s="27"/>
      <c r="V19" s="12"/>
    </row>
    <row r="20">
      <c r="A20" s="13"/>
      <c r="B20" s="14"/>
      <c r="C20" s="14"/>
      <c r="D20" s="14"/>
      <c r="E20" s="14"/>
      <c r="F20" s="14"/>
      <c r="G20" s="14"/>
      <c r="H20" s="14"/>
      <c r="I20" s="14"/>
      <c r="J20" s="14"/>
      <c r="K20" s="14"/>
      <c r="L20" s="14"/>
      <c r="M20" s="14"/>
      <c r="N20" s="25"/>
      <c r="O20" s="18"/>
      <c r="P20" s="12"/>
      <c r="Q20" s="12"/>
      <c r="R20" s="25" t="str">
        <f t="shared" si="1"/>
        <v/>
      </c>
      <c r="S20" s="26"/>
      <c r="T20" s="15"/>
      <c r="U20" s="27"/>
      <c r="V20" s="12"/>
    </row>
    <row r="21" ht="15.75" customHeight="1">
      <c r="A21" s="13"/>
      <c r="B21" s="14"/>
      <c r="C21" s="14"/>
      <c r="D21" s="14"/>
      <c r="E21" s="14"/>
      <c r="F21" s="14"/>
      <c r="G21" s="14"/>
      <c r="H21" s="14"/>
      <c r="I21" s="14"/>
      <c r="J21" s="14"/>
      <c r="K21" s="14"/>
      <c r="L21" s="14"/>
      <c r="M21" s="14"/>
      <c r="N21" s="25"/>
      <c r="O21" s="18"/>
      <c r="P21" s="12"/>
      <c r="Q21" s="12"/>
      <c r="R21" s="25" t="str">
        <f t="shared" si="1"/>
        <v/>
      </c>
      <c r="S21" s="26"/>
      <c r="T21" s="15"/>
      <c r="U21" s="27"/>
      <c r="V21" s="12"/>
    </row>
    <row r="22" ht="15.75" customHeight="1">
      <c r="A22" s="13"/>
      <c r="B22" s="14"/>
      <c r="C22" s="14"/>
      <c r="D22" s="14"/>
      <c r="E22" s="14"/>
      <c r="F22" s="14"/>
      <c r="G22" s="14"/>
      <c r="H22" s="14"/>
      <c r="I22" s="14"/>
      <c r="J22" s="14"/>
      <c r="K22" s="14"/>
      <c r="L22" s="14"/>
      <c r="M22" s="14"/>
      <c r="N22" s="25"/>
      <c r="O22" s="18"/>
      <c r="P22" s="12"/>
      <c r="Q22" s="12"/>
      <c r="R22" s="25" t="str">
        <f t="shared" si="1"/>
        <v/>
      </c>
      <c r="S22" s="26"/>
      <c r="T22" s="15"/>
      <c r="U22" s="27"/>
      <c r="V22" s="12"/>
    </row>
    <row r="23" ht="15.75" customHeight="1">
      <c r="A23" s="13"/>
      <c r="B23" s="14"/>
      <c r="C23" s="14"/>
      <c r="D23" s="14"/>
      <c r="E23" s="14"/>
      <c r="F23" s="14"/>
      <c r="G23" s="14"/>
      <c r="H23" s="14"/>
      <c r="I23" s="14"/>
      <c r="J23" s="14"/>
      <c r="K23" s="14"/>
      <c r="L23" s="14"/>
      <c r="M23" s="14"/>
      <c r="N23" s="25"/>
      <c r="O23" s="18"/>
      <c r="P23" s="12"/>
      <c r="Q23" s="12"/>
      <c r="R23" s="25" t="str">
        <f t="shared" si="1"/>
        <v/>
      </c>
      <c r="S23" s="26"/>
      <c r="T23" s="15"/>
      <c r="U23" s="27"/>
      <c r="V23" s="12"/>
    </row>
    <row r="24" ht="15.75" customHeight="1">
      <c r="A24" s="13"/>
      <c r="B24" s="14"/>
      <c r="C24" s="14"/>
      <c r="D24" s="14"/>
      <c r="E24" s="14"/>
      <c r="F24" s="14"/>
      <c r="G24" s="14"/>
      <c r="H24" s="14"/>
      <c r="I24" s="14"/>
      <c r="J24" s="14"/>
      <c r="K24" s="14"/>
      <c r="L24" s="14"/>
      <c r="M24" s="14"/>
      <c r="N24" s="25"/>
      <c r="O24" s="18"/>
      <c r="P24" s="12"/>
      <c r="Q24" s="12"/>
      <c r="R24" s="25" t="str">
        <f t="shared" si="1"/>
        <v/>
      </c>
      <c r="S24" s="26"/>
      <c r="T24" s="15"/>
      <c r="U24" s="27"/>
      <c r="V24" s="12"/>
    </row>
    <row r="25" ht="15.75" customHeight="1">
      <c r="A25" s="13"/>
      <c r="B25" s="14"/>
      <c r="C25" s="14"/>
      <c r="D25" s="14"/>
      <c r="E25" s="14"/>
      <c r="F25" s="14"/>
      <c r="G25" s="14"/>
      <c r="H25" s="14"/>
      <c r="I25" s="14"/>
      <c r="J25" s="14"/>
      <c r="K25" s="14"/>
      <c r="L25" s="14"/>
      <c r="M25" s="14"/>
      <c r="N25" s="25"/>
      <c r="O25" s="18"/>
      <c r="P25" s="12"/>
      <c r="Q25" s="12"/>
      <c r="R25" s="25" t="str">
        <f t="shared" si="1"/>
        <v/>
      </c>
      <c r="S25" s="26"/>
      <c r="T25" s="15"/>
      <c r="U25" s="27"/>
      <c r="V25" s="12"/>
    </row>
    <row r="26" ht="15.75" customHeight="1">
      <c r="A26" s="13"/>
      <c r="B26" s="14"/>
      <c r="C26" s="14"/>
      <c r="D26" s="14"/>
      <c r="E26" s="14"/>
      <c r="F26" s="14"/>
      <c r="G26" s="14"/>
      <c r="H26" s="14"/>
      <c r="I26" s="14"/>
      <c r="J26" s="14"/>
      <c r="K26" s="14"/>
      <c r="L26" s="14"/>
      <c r="M26" s="14"/>
      <c r="N26" s="25"/>
      <c r="O26" s="18"/>
      <c r="P26" s="12"/>
      <c r="Q26" s="12"/>
      <c r="R26" s="25" t="str">
        <f t="shared" si="1"/>
        <v/>
      </c>
      <c r="S26" s="26"/>
      <c r="T26" s="15"/>
      <c r="U26" s="27"/>
      <c r="V26" s="12"/>
    </row>
    <row r="27" ht="15.75" customHeight="1">
      <c r="A27" s="13"/>
      <c r="B27" s="14"/>
      <c r="C27" s="14"/>
      <c r="D27" s="14"/>
      <c r="E27" s="14"/>
      <c r="F27" s="14"/>
      <c r="G27" s="14"/>
      <c r="H27" s="14"/>
      <c r="I27" s="14"/>
      <c r="J27" s="14"/>
      <c r="K27" s="14"/>
      <c r="L27" s="14"/>
      <c r="M27" s="14"/>
      <c r="N27" s="25"/>
      <c r="O27" s="18"/>
      <c r="P27" s="12"/>
      <c r="Q27" s="12"/>
      <c r="R27" s="25" t="str">
        <f t="shared" si="1"/>
        <v/>
      </c>
      <c r="S27" s="26"/>
      <c r="T27" s="15"/>
      <c r="U27" s="27"/>
      <c r="V27" s="12"/>
    </row>
    <row r="28" ht="15.75" customHeight="1">
      <c r="A28" s="13"/>
      <c r="B28" s="14"/>
      <c r="C28" s="14"/>
      <c r="D28" s="14"/>
      <c r="E28" s="14"/>
      <c r="F28" s="14"/>
      <c r="G28" s="14"/>
      <c r="H28" s="14"/>
      <c r="I28" s="14"/>
      <c r="J28" s="14"/>
      <c r="K28" s="14"/>
      <c r="L28" s="14"/>
      <c r="M28" s="14"/>
      <c r="N28" s="25"/>
      <c r="O28" s="18"/>
      <c r="P28" s="12"/>
      <c r="Q28" s="12"/>
      <c r="R28" s="25" t="str">
        <f t="shared" si="1"/>
        <v/>
      </c>
      <c r="S28" s="26"/>
      <c r="T28" s="15"/>
      <c r="U28" s="27"/>
      <c r="V28" s="12"/>
    </row>
    <row r="29" ht="15.75" customHeight="1">
      <c r="A29" s="13"/>
      <c r="B29" s="14"/>
      <c r="C29" s="14"/>
      <c r="D29" s="14"/>
      <c r="E29" s="14"/>
      <c r="F29" s="14"/>
      <c r="G29" s="14"/>
      <c r="H29" s="14"/>
      <c r="I29" s="14"/>
      <c r="J29" s="14"/>
      <c r="K29" s="14"/>
      <c r="L29" s="14"/>
      <c r="M29" s="14"/>
      <c r="N29" s="25"/>
      <c r="O29" s="18"/>
      <c r="P29" s="12"/>
      <c r="Q29" s="12"/>
      <c r="R29" s="25" t="str">
        <f t="shared" si="1"/>
        <v/>
      </c>
      <c r="S29" s="26"/>
      <c r="T29" s="15"/>
      <c r="U29" s="27"/>
      <c r="V29" s="12"/>
    </row>
    <row r="30" ht="15.75" customHeight="1">
      <c r="A30" s="13"/>
      <c r="B30" s="14"/>
      <c r="C30" s="14"/>
      <c r="D30" s="14"/>
      <c r="E30" s="14"/>
      <c r="F30" s="14"/>
      <c r="G30" s="14"/>
      <c r="H30" s="14"/>
      <c r="I30" s="14"/>
      <c r="J30" s="14"/>
      <c r="K30" s="14"/>
      <c r="L30" s="14"/>
      <c r="M30" s="14"/>
      <c r="N30" s="25"/>
      <c r="O30" s="18"/>
      <c r="P30" s="12"/>
      <c r="Q30" s="12"/>
      <c r="R30" s="25" t="str">
        <f t="shared" si="1"/>
        <v/>
      </c>
      <c r="S30" s="26"/>
      <c r="T30" s="15"/>
      <c r="U30" s="27"/>
      <c r="V30" s="12"/>
    </row>
    <row r="31" ht="15.75" customHeight="1">
      <c r="A31" s="13"/>
      <c r="B31" s="14"/>
      <c r="C31" s="14"/>
      <c r="D31" s="14"/>
      <c r="E31" s="14"/>
      <c r="F31" s="14"/>
      <c r="G31" s="14"/>
      <c r="H31" s="14"/>
      <c r="I31" s="14"/>
      <c r="J31" s="14"/>
      <c r="K31" s="14"/>
      <c r="L31" s="14"/>
      <c r="M31" s="14"/>
      <c r="N31" s="25"/>
      <c r="O31" s="18"/>
      <c r="P31" s="12"/>
      <c r="Q31" s="12"/>
      <c r="R31" s="25" t="str">
        <f t="shared" si="1"/>
        <v/>
      </c>
      <c r="S31" s="26"/>
      <c r="T31" s="15"/>
      <c r="U31" s="27"/>
      <c r="V31" s="12"/>
    </row>
    <row r="32" ht="15.75" customHeight="1">
      <c r="A32" s="13"/>
      <c r="B32" s="14"/>
      <c r="C32" s="14"/>
      <c r="D32" s="14"/>
      <c r="E32" s="14"/>
      <c r="F32" s="14"/>
      <c r="G32" s="14"/>
      <c r="H32" s="14"/>
      <c r="I32" s="14"/>
      <c r="J32" s="14"/>
      <c r="K32" s="14"/>
      <c r="L32" s="14"/>
      <c r="M32" s="14"/>
      <c r="N32" s="25"/>
      <c r="O32" s="18"/>
      <c r="P32" s="12"/>
      <c r="Q32" s="12"/>
      <c r="R32" s="25" t="str">
        <f t="shared" si="1"/>
        <v/>
      </c>
      <c r="S32" s="26"/>
      <c r="T32" s="15"/>
      <c r="U32" s="27"/>
      <c r="V32" s="12"/>
    </row>
    <row r="33" ht="15.75" customHeight="1">
      <c r="A33" s="13"/>
      <c r="B33" s="14"/>
      <c r="C33" s="14"/>
      <c r="D33" s="14"/>
      <c r="E33" s="14"/>
      <c r="F33" s="14"/>
      <c r="G33" s="14"/>
      <c r="H33" s="14"/>
      <c r="I33" s="14"/>
      <c r="J33" s="14"/>
      <c r="K33" s="14"/>
      <c r="L33" s="14"/>
      <c r="M33" s="14"/>
      <c r="N33" s="25"/>
      <c r="O33" s="18"/>
      <c r="P33" s="12"/>
      <c r="Q33" s="12"/>
      <c r="R33" s="25" t="str">
        <f t="shared" si="1"/>
        <v/>
      </c>
      <c r="S33" s="26"/>
      <c r="T33" s="15"/>
      <c r="U33" s="27"/>
      <c r="V33" s="12"/>
    </row>
    <row r="34" ht="15.75" customHeight="1">
      <c r="A34" s="13"/>
      <c r="B34" s="14"/>
      <c r="C34" s="14"/>
      <c r="D34" s="14"/>
      <c r="E34" s="14"/>
      <c r="F34" s="14"/>
      <c r="G34" s="14"/>
      <c r="H34" s="14"/>
      <c r="I34" s="14"/>
      <c r="J34" s="14"/>
      <c r="K34" s="14"/>
      <c r="L34" s="14"/>
      <c r="M34" s="14"/>
      <c r="N34" s="25"/>
      <c r="O34" s="18"/>
      <c r="P34" s="12"/>
      <c r="Q34" s="12"/>
      <c r="R34" s="25" t="str">
        <f t="shared" si="1"/>
        <v/>
      </c>
      <c r="S34" s="26"/>
      <c r="T34" s="15"/>
      <c r="U34" s="27"/>
      <c r="V34" s="12"/>
    </row>
    <row r="35" ht="15.75" customHeight="1">
      <c r="A35" s="13"/>
      <c r="B35" s="14"/>
      <c r="C35" s="14"/>
      <c r="D35" s="14"/>
      <c r="E35" s="14"/>
      <c r="F35" s="14"/>
      <c r="G35" s="14"/>
      <c r="H35" s="14"/>
      <c r="I35" s="14"/>
      <c r="J35" s="14"/>
      <c r="K35" s="14"/>
      <c r="L35" s="14"/>
      <c r="M35" s="14"/>
      <c r="N35" s="25"/>
      <c r="O35" s="18"/>
      <c r="P35" s="12"/>
      <c r="Q35" s="12"/>
      <c r="R35" s="25" t="str">
        <f t="shared" si="1"/>
        <v/>
      </c>
      <c r="S35" s="26"/>
      <c r="T35" s="15"/>
      <c r="U35" s="27"/>
      <c r="V35" s="12"/>
    </row>
    <row r="36" ht="15.75" customHeight="1">
      <c r="A36" s="13"/>
      <c r="B36" s="14"/>
      <c r="C36" s="14"/>
      <c r="D36" s="14"/>
      <c r="E36" s="14"/>
      <c r="F36" s="14"/>
      <c r="G36" s="14"/>
      <c r="H36" s="14"/>
      <c r="I36" s="14"/>
      <c r="J36" s="14"/>
      <c r="K36" s="14"/>
      <c r="L36" s="14"/>
      <c r="M36" s="14"/>
      <c r="N36" s="25"/>
      <c r="O36" s="18"/>
      <c r="P36" s="12"/>
      <c r="Q36" s="12"/>
      <c r="R36" s="25" t="str">
        <f t="shared" si="1"/>
        <v/>
      </c>
      <c r="S36" s="26"/>
      <c r="T36" s="15"/>
      <c r="U36" s="27"/>
      <c r="V36" s="12"/>
    </row>
    <row r="37" ht="15.75" customHeight="1">
      <c r="A37" s="13"/>
      <c r="B37" s="14"/>
      <c r="C37" s="14"/>
      <c r="D37" s="14"/>
      <c r="E37" s="14"/>
      <c r="F37" s="14"/>
      <c r="G37" s="14"/>
      <c r="H37" s="14"/>
      <c r="I37" s="14"/>
      <c r="J37" s="14"/>
      <c r="K37" s="14"/>
      <c r="L37" s="14"/>
      <c r="M37" s="14"/>
      <c r="N37" s="25"/>
      <c r="O37" s="18"/>
      <c r="P37" s="12"/>
      <c r="Q37" s="12"/>
      <c r="R37" s="25" t="str">
        <f t="shared" si="1"/>
        <v/>
      </c>
      <c r="S37" s="26"/>
      <c r="T37" s="15"/>
      <c r="U37" s="27"/>
      <c r="V37" s="12"/>
    </row>
    <row r="38" ht="15.75" customHeight="1">
      <c r="A38" s="13"/>
      <c r="B38" s="14"/>
      <c r="C38" s="14"/>
      <c r="D38" s="14"/>
      <c r="E38" s="14"/>
      <c r="F38" s="14"/>
      <c r="G38" s="14"/>
      <c r="H38" s="14"/>
      <c r="I38" s="14"/>
      <c r="J38" s="14"/>
      <c r="K38" s="14"/>
      <c r="L38" s="14"/>
      <c r="M38" s="14"/>
      <c r="N38" s="25"/>
      <c r="O38" s="18"/>
      <c r="P38" s="12"/>
      <c r="Q38" s="12"/>
      <c r="R38" s="25" t="str">
        <f t="shared" si="1"/>
        <v/>
      </c>
      <c r="S38" s="26"/>
      <c r="T38" s="15"/>
      <c r="U38" s="27"/>
      <c r="V38" s="12"/>
    </row>
    <row r="39" ht="15.75" customHeight="1">
      <c r="A39" s="13"/>
      <c r="B39" s="14"/>
      <c r="C39" s="14"/>
      <c r="D39" s="14"/>
      <c r="E39" s="14"/>
      <c r="F39" s="14"/>
      <c r="G39" s="14"/>
      <c r="H39" s="14"/>
      <c r="I39" s="14"/>
      <c r="J39" s="14"/>
      <c r="K39" s="14"/>
      <c r="L39" s="14"/>
      <c r="M39" s="14"/>
      <c r="N39" s="25"/>
      <c r="O39" s="18"/>
      <c r="P39" s="12"/>
      <c r="Q39" s="12"/>
      <c r="R39" s="25" t="str">
        <f t="shared" si="1"/>
        <v/>
      </c>
      <c r="S39" s="26"/>
      <c r="T39" s="15"/>
      <c r="U39" s="27"/>
      <c r="V39" s="12"/>
    </row>
    <row r="40" ht="15.75" customHeight="1">
      <c r="A40" s="13"/>
      <c r="B40" s="14"/>
      <c r="C40" s="14"/>
      <c r="D40" s="14"/>
      <c r="E40" s="14"/>
      <c r="F40" s="14"/>
      <c r="G40" s="14"/>
      <c r="H40" s="14"/>
      <c r="I40" s="14"/>
      <c r="J40" s="14"/>
      <c r="K40" s="14"/>
      <c r="L40" s="14"/>
      <c r="M40" s="14"/>
      <c r="N40" s="25"/>
      <c r="O40" s="18"/>
      <c r="P40" s="12"/>
      <c r="Q40" s="12"/>
      <c r="R40" s="25" t="str">
        <f t="shared" si="1"/>
        <v/>
      </c>
      <c r="S40" s="26"/>
      <c r="T40" s="15"/>
      <c r="U40" s="27"/>
      <c r="V40" s="12"/>
    </row>
    <row r="41" ht="15.75" customHeight="1">
      <c r="A41" s="13"/>
      <c r="B41" s="14"/>
      <c r="C41" s="14"/>
      <c r="D41" s="14"/>
      <c r="E41" s="14"/>
      <c r="F41" s="14"/>
      <c r="G41" s="14"/>
      <c r="H41" s="14"/>
      <c r="I41" s="14"/>
      <c r="J41" s="14"/>
      <c r="K41" s="14"/>
      <c r="L41" s="14"/>
      <c r="M41" s="14"/>
      <c r="N41" s="25"/>
      <c r="O41" s="18"/>
      <c r="P41" s="12"/>
      <c r="Q41" s="12"/>
      <c r="R41" s="25" t="str">
        <f t="shared" si="1"/>
        <v/>
      </c>
      <c r="S41" s="26"/>
      <c r="T41" s="15"/>
      <c r="U41" s="27"/>
      <c r="V41" s="12"/>
    </row>
    <row r="42" ht="15.75" customHeight="1">
      <c r="A42" s="13"/>
      <c r="B42" s="14"/>
      <c r="C42" s="14"/>
      <c r="D42" s="14"/>
      <c r="E42" s="14"/>
      <c r="F42" s="14"/>
      <c r="G42" s="14"/>
      <c r="H42" s="14"/>
      <c r="I42" s="14"/>
      <c r="J42" s="14"/>
      <c r="K42" s="14"/>
      <c r="L42" s="14"/>
      <c r="M42" s="14"/>
      <c r="N42" s="25"/>
      <c r="O42" s="18"/>
      <c r="P42" s="12"/>
      <c r="Q42" s="12"/>
      <c r="R42" s="25" t="str">
        <f t="shared" si="1"/>
        <v/>
      </c>
      <c r="S42" s="26"/>
      <c r="T42" s="15"/>
      <c r="U42" s="27"/>
      <c r="V42" s="12"/>
    </row>
    <row r="43" ht="15.75" customHeight="1">
      <c r="A43" s="13"/>
      <c r="B43" s="14"/>
      <c r="C43" s="14"/>
      <c r="D43" s="14"/>
      <c r="E43" s="14"/>
      <c r="F43" s="14"/>
      <c r="G43" s="14"/>
      <c r="H43" s="14"/>
      <c r="I43" s="14"/>
      <c r="J43" s="14"/>
      <c r="K43" s="14"/>
      <c r="L43" s="14"/>
      <c r="M43" s="14"/>
      <c r="N43" s="25"/>
      <c r="O43" s="18"/>
      <c r="P43" s="12"/>
      <c r="Q43" s="12"/>
      <c r="R43" s="25" t="str">
        <f t="shared" si="1"/>
        <v/>
      </c>
      <c r="S43" s="26"/>
      <c r="T43" s="15"/>
      <c r="U43" s="27"/>
      <c r="V43" s="12"/>
    </row>
    <row r="44" ht="15.75" customHeight="1">
      <c r="A44" s="13"/>
      <c r="B44" s="14"/>
      <c r="C44" s="14"/>
      <c r="D44" s="14"/>
      <c r="E44" s="14"/>
      <c r="F44" s="14"/>
      <c r="G44" s="14"/>
      <c r="H44" s="14"/>
      <c r="I44" s="14"/>
      <c r="J44" s="14"/>
      <c r="K44" s="14"/>
      <c r="L44" s="14"/>
      <c r="M44" s="14"/>
      <c r="N44" s="25"/>
      <c r="O44" s="18"/>
      <c r="P44" s="12"/>
      <c r="Q44" s="12"/>
      <c r="R44" s="25" t="str">
        <f t="shared" si="1"/>
        <v/>
      </c>
      <c r="S44" s="26"/>
      <c r="T44" s="15"/>
      <c r="U44" s="27"/>
      <c r="V44" s="12"/>
    </row>
    <row r="45" ht="15.75" customHeight="1">
      <c r="A45" s="13"/>
      <c r="B45" s="14"/>
      <c r="C45" s="14"/>
      <c r="D45" s="14"/>
      <c r="E45" s="14"/>
      <c r="F45" s="14"/>
      <c r="G45" s="14"/>
      <c r="H45" s="14"/>
      <c r="I45" s="14"/>
      <c r="J45" s="14"/>
      <c r="K45" s="14"/>
      <c r="L45" s="14"/>
      <c r="M45" s="14"/>
      <c r="N45" s="25"/>
      <c r="O45" s="18"/>
      <c r="P45" s="12"/>
      <c r="Q45" s="12"/>
      <c r="R45" s="25" t="str">
        <f t="shared" si="1"/>
        <v/>
      </c>
      <c r="S45" s="26"/>
      <c r="T45" s="15"/>
      <c r="U45" s="27"/>
      <c r="V45" s="12"/>
    </row>
    <row r="46" ht="15.75" customHeight="1">
      <c r="A46" s="13"/>
      <c r="B46" s="14"/>
      <c r="C46" s="14"/>
      <c r="D46" s="14"/>
      <c r="E46" s="14"/>
      <c r="F46" s="14"/>
      <c r="G46" s="14"/>
      <c r="H46" s="14"/>
      <c r="I46" s="14"/>
      <c r="J46" s="14"/>
      <c r="K46" s="14"/>
      <c r="L46" s="14"/>
      <c r="M46" s="14"/>
      <c r="N46" s="25"/>
      <c r="O46" s="18"/>
      <c r="P46" s="12"/>
      <c r="Q46" s="12"/>
      <c r="R46" s="25" t="str">
        <f t="shared" si="1"/>
        <v/>
      </c>
      <c r="S46" s="26"/>
      <c r="T46" s="15"/>
      <c r="U46" s="27"/>
      <c r="V46" s="12"/>
    </row>
    <row r="47" ht="15.75" customHeight="1">
      <c r="A47" s="13"/>
      <c r="B47" s="14"/>
      <c r="C47" s="14"/>
      <c r="D47" s="14"/>
      <c r="E47" s="14"/>
      <c r="F47" s="14"/>
      <c r="G47" s="14"/>
      <c r="H47" s="14"/>
      <c r="I47" s="14"/>
      <c r="J47" s="14"/>
      <c r="K47" s="14"/>
      <c r="L47" s="14"/>
      <c r="M47" s="14"/>
      <c r="N47" s="25"/>
      <c r="O47" s="18"/>
      <c r="P47" s="12"/>
      <c r="Q47" s="12"/>
      <c r="R47" s="25" t="str">
        <f t="shared" si="1"/>
        <v/>
      </c>
      <c r="S47" s="26"/>
      <c r="T47" s="15"/>
      <c r="U47" s="27"/>
      <c r="V47" s="12"/>
    </row>
    <row r="48" ht="15.75" customHeight="1">
      <c r="A48" s="13"/>
      <c r="B48" s="14"/>
      <c r="C48" s="14"/>
      <c r="D48" s="14"/>
      <c r="E48" s="14"/>
      <c r="F48" s="14"/>
      <c r="G48" s="14"/>
      <c r="H48" s="14"/>
      <c r="I48" s="14"/>
      <c r="J48" s="14"/>
      <c r="K48" s="14"/>
      <c r="L48" s="14"/>
      <c r="M48" s="14"/>
      <c r="N48" s="25"/>
      <c r="O48" s="18"/>
      <c r="P48" s="12"/>
      <c r="Q48" s="12"/>
      <c r="R48" s="25" t="str">
        <f t="shared" si="1"/>
        <v/>
      </c>
      <c r="S48" s="26"/>
      <c r="T48" s="15"/>
      <c r="U48" s="27"/>
      <c r="V48" s="12"/>
    </row>
    <row r="49" ht="15.75" customHeight="1">
      <c r="A49" s="13"/>
      <c r="B49" s="14"/>
      <c r="C49" s="14"/>
      <c r="D49" s="14"/>
      <c r="E49" s="14"/>
      <c r="F49" s="14"/>
      <c r="G49" s="14"/>
      <c r="H49" s="14"/>
      <c r="I49" s="14"/>
      <c r="J49" s="14"/>
      <c r="K49" s="14"/>
      <c r="L49" s="14"/>
      <c r="M49" s="14"/>
      <c r="N49" s="25"/>
      <c r="O49" s="18"/>
      <c r="P49" s="12"/>
      <c r="Q49" s="12"/>
      <c r="R49" s="25" t="str">
        <f t="shared" si="1"/>
        <v/>
      </c>
      <c r="S49" s="26"/>
      <c r="T49" s="15"/>
      <c r="U49" s="27"/>
      <c r="V49" s="12"/>
    </row>
    <row r="50" ht="15.75" customHeight="1">
      <c r="A50" s="13"/>
      <c r="B50" s="14"/>
      <c r="C50" s="14"/>
      <c r="D50" s="14"/>
      <c r="E50" s="14"/>
      <c r="F50" s="14"/>
      <c r="G50" s="14"/>
      <c r="H50" s="14"/>
      <c r="I50" s="14"/>
      <c r="J50" s="14"/>
      <c r="K50" s="14"/>
      <c r="L50" s="14"/>
      <c r="M50" s="14"/>
      <c r="N50" s="25"/>
      <c r="O50" s="18"/>
      <c r="P50" s="12"/>
      <c r="Q50" s="12"/>
      <c r="R50" s="25" t="str">
        <f t="shared" si="1"/>
        <v/>
      </c>
      <c r="S50" s="26"/>
      <c r="T50" s="15"/>
      <c r="U50" s="27"/>
      <c r="V50" s="12"/>
    </row>
    <row r="51" ht="15.75" customHeight="1">
      <c r="A51" s="13"/>
      <c r="B51" s="14"/>
      <c r="C51" s="14"/>
      <c r="D51" s="14"/>
      <c r="E51" s="14"/>
      <c r="F51" s="14"/>
      <c r="G51" s="14"/>
      <c r="H51" s="14"/>
      <c r="I51" s="14"/>
      <c r="J51" s="14"/>
      <c r="K51" s="14"/>
      <c r="L51" s="14"/>
      <c r="M51" s="14"/>
      <c r="N51" s="25"/>
      <c r="O51" s="18"/>
      <c r="P51" s="12"/>
      <c r="Q51" s="12"/>
      <c r="R51" s="25" t="str">
        <f t="shared" si="1"/>
        <v/>
      </c>
      <c r="S51" s="26"/>
      <c r="T51" s="15"/>
      <c r="U51" s="27"/>
      <c r="V51" s="12"/>
    </row>
    <row r="52" ht="15.75" customHeight="1">
      <c r="A52" s="13"/>
      <c r="B52" s="14"/>
      <c r="C52" s="14"/>
      <c r="D52" s="14"/>
      <c r="E52" s="14"/>
      <c r="F52" s="14"/>
      <c r="G52" s="14"/>
      <c r="H52" s="14"/>
      <c r="I52" s="14"/>
      <c r="J52" s="14"/>
      <c r="K52" s="14"/>
      <c r="L52" s="14"/>
      <c r="M52" s="14"/>
      <c r="N52" s="25"/>
      <c r="O52" s="18"/>
      <c r="P52" s="12"/>
      <c r="Q52" s="12"/>
      <c r="R52" s="25" t="str">
        <f t="shared" si="1"/>
        <v/>
      </c>
      <c r="S52" s="26"/>
      <c r="T52" s="15"/>
      <c r="U52" s="27"/>
      <c r="V52" s="12"/>
    </row>
    <row r="53" ht="15.75" customHeight="1">
      <c r="A53" s="13"/>
      <c r="B53" s="14"/>
      <c r="C53" s="14"/>
      <c r="D53" s="14"/>
      <c r="E53" s="14"/>
      <c r="F53" s="14"/>
      <c r="G53" s="14"/>
      <c r="H53" s="14"/>
      <c r="I53" s="14"/>
      <c r="J53" s="14"/>
      <c r="K53" s="14"/>
      <c r="L53" s="14"/>
      <c r="M53" s="14"/>
      <c r="N53" s="25"/>
      <c r="O53" s="18"/>
      <c r="P53" s="12"/>
      <c r="Q53" s="12"/>
      <c r="R53" s="25" t="str">
        <f t="shared" si="1"/>
        <v/>
      </c>
      <c r="S53" s="26"/>
      <c r="T53" s="15"/>
      <c r="U53" s="27"/>
      <c r="V53" s="12"/>
    </row>
    <row r="54" ht="15.75" customHeight="1">
      <c r="A54" s="13"/>
      <c r="B54" s="14"/>
      <c r="C54" s="14"/>
      <c r="D54" s="14"/>
      <c r="E54" s="14"/>
      <c r="F54" s="14"/>
      <c r="G54" s="14"/>
      <c r="H54" s="14"/>
      <c r="I54" s="14"/>
      <c r="J54" s="14"/>
      <c r="K54" s="14"/>
      <c r="L54" s="14"/>
      <c r="M54" s="14"/>
      <c r="N54" s="25"/>
      <c r="O54" s="18"/>
      <c r="P54" s="12"/>
      <c r="Q54" s="12"/>
      <c r="R54" s="25" t="str">
        <f t="shared" si="1"/>
        <v/>
      </c>
      <c r="S54" s="26"/>
      <c r="T54" s="15"/>
      <c r="U54" s="27"/>
      <c r="V54" s="12"/>
    </row>
    <row r="55" ht="15.75" customHeight="1">
      <c r="A55" s="13"/>
      <c r="B55" s="14"/>
      <c r="C55" s="14"/>
      <c r="D55" s="14"/>
      <c r="E55" s="14"/>
      <c r="F55" s="14"/>
      <c r="G55" s="14"/>
      <c r="H55" s="14"/>
      <c r="I55" s="14"/>
      <c r="J55" s="14"/>
      <c r="K55" s="14"/>
      <c r="L55" s="14"/>
      <c r="M55" s="14"/>
      <c r="N55" s="25"/>
      <c r="O55" s="18"/>
      <c r="P55" s="12"/>
      <c r="Q55" s="12"/>
      <c r="R55" s="25" t="str">
        <f t="shared" si="1"/>
        <v/>
      </c>
      <c r="S55" s="26"/>
      <c r="T55" s="15"/>
      <c r="U55" s="27"/>
      <c r="V55" s="12"/>
    </row>
    <row r="56" ht="15.75" customHeight="1">
      <c r="A56" s="13"/>
      <c r="B56" s="14"/>
      <c r="C56" s="14"/>
      <c r="D56" s="14"/>
      <c r="E56" s="14"/>
      <c r="F56" s="14"/>
      <c r="G56" s="14"/>
      <c r="H56" s="14"/>
      <c r="I56" s="14"/>
      <c r="J56" s="14"/>
      <c r="K56" s="14"/>
      <c r="L56" s="14"/>
      <c r="M56" s="14"/>
      <c r="N56" s="25"/>
      <c r="O56" s="18"/>
      <c r="P56" s="12"/>
      <c r="Q56" s="12"/>
      <c r="R56" s="25" t="str">
        <f t="shared" si="1"/>
        <v/>
      </c>
      <c r="S56" s="26"/>
      <c r="T56" s="15"/>
      <c r="U56" s="27"/>
      <c r="V56" s="12"/>
    </row>
    <row r="57" ht="15.75" customHeight="1">
      <c r="A57" s="13"/>
      <c r="B57" s="14"/>
      <c r="C57" s="14"/>
      <c r="D57" s="14"/>
      <c r="E57" s="14"/>
      <c r="F57" s="14"/>
      <c r="G57" s="14"/>
      <c r="H57" s="14"/>
      <c r="I57" s="14"/>
      <c r="J57" s="14"/>
      <c r="K57" s="14"/>
      <c r="L57" s="14"/>
      <c r="M57" s="14"/>
      <c r="N57" s="25"/>
      <c r="O57" s="18"/>
      <c r="P57" s="12"/>
      <c r="Q57" s="12"/>
      <c r="R57" s="25" t="str">
        <f t="shared" si="1"/>
        <v/>
      </c>
      <c r="S57" s="26"/>
      <c r="T57" s="15"/>
      <c r="U57" s="27"/>
      <c r="V57" s="12"/>
    </row>
    <row r="58" ht="15.75" customHeight="1">
      <c r="A58" s="13"/>
      <c r="B58" s="14"/>
      <c r="C58" s="14"/>
      <c r="D58" s="14"/>
      <c r="E58" s="14"/>
      <c r="F58" s="14"/>
      <c r="G58" s="14"/>
      <c r="H58" s="14"/>
      <c r="I58" s="14"/>
      <c r="J58" s="14"/>
      <c r="K58" s="14"/>
      <c r="L58" s="14"/>
      <c r="M58" s="14"/>
      <c r="N58" s="25"/>
      <c r="O58" s="18"/>
      <c r="P58" s="12"/>
      <c r="Q58" s="12"/>
      <c r="R58" s="25" t="str">
        <f t="shared" si="1"/>
        <v/>
      </c>
      <c r="S58" s="26"/>
      <c r="T58" s="15"/>
      <c r="U58" s="27"/>
      <c r="V58" s="12"/>
    </row>
    <row r="59" ht="15.75" customHeight="1">
      <c r="A59" s="13"/>
      <c r="B59" s="14"/>
      <c r="C59" s="14"/>
      <c r="D59" s="14"/>
      <c r="E59" s="14"/>
      <c r="F59" s="14"/>
      <c r="G59" s="14"/>
      <c r="H59" s="14"/>
      <c r="I59" s="14"/>
      <c r="J59" s="14"/>
      <c r="K59" s="14"/>
      <c r="L59" s="14"/>
      <c r="M59" s="14"/>
      <c r="N59" s="25"/>
      <c r="O59" s="18"/>
      <c r="P59" s="12"/>
      <c r="Q59" s="12"/>
      <c r="R59" s="25" t="str">
        <f t="shared" si="1"/>
        <v/>
      </c>
      <c r="S59" s="26"/>
      <c r="T59" s="15"/>
      <c r="U59" s="27"/>
      <c r="V59" s="12"/>
    </row>
    <row r="60" ht="15.75" customHeight="1">
      <c r="A60" s="13"/>
      <c r="B60" s="14"/>
      <c r="C60" s="14"/>
      <c r="D60" s="14"/>
      <c r="E60" s="14"/>
      <c r="F60" s="14"/>
      <c r="G60" s="14"/>
      <c r="H60" s="14"/>
      <c r="I60" s="14"/>
      <c r="J60" s="14"/>
      <c r="K60" s="14"/>
      <c r="L60" s="14"/>
      <c r="M60" s="14"/>
      <c r="N60" s="25"/>
      <c r="O60" s="18"/>
      <c r="P60" s="12"/>
      <c r="Q60" s="12"/>
      <c r="R60" s="25" t="str">
        <f t="shared" si="1"/>
        <v/>
      </c>
      <c r="S60" s="26"/>
      <c r="T60" s="15"/>
      <c r="U60" s="27"/>
      <c r="V60" s="12"/>
    </row>
    <row r="61" ht="15.75" customHeight="1">
      <c r="A61" s="13"/>
      <c r="B61" s="14"/>
      <c r="C61" s="14"/>
      <c r="D61" s="14"/>
      <c r="E61" s="14"/>
      <c r="F61" s="14"/>
      <c r="G61" s="14"/>
      <c r="H61" s="14"/>
      <c r="I61" s="14"/>
      <c r="J61" s="14"/>
      <c r="K61" s="14"/>
      <c r="L61" s="14"/>
      <c r="M61" s="14"/>
      <c r="N61" s="25"/>
      <c r="O61" s="18"/>
      <c r="P61" s="12"/>
      <c r="Q61" s="12"/>
      <c r="R61" s="25" t="str">
        <f t="shared" si="1"/>
        <v/>
      </c>
      <c r="S61" s="26"/>
      <c r="T61" s="15"/>
      <c r="U61" s="27"/>
      <c r="V61" s="12"/>
    </row>
    <row r="62" ht="15.75" customHeight="1">
      <c r="A62" s="13"/>
      <c r="B62" s="14"/>
      <c r="C62" s="14"/>
      <c r="D62" s="14"/>
      <c r="E62" s="14"/>
      <c r="F62" s="14"/>
      <c r="G62" s="14"/>
      <c r="H62" s="14"/>
      <c r="I62" s="14"/>
      <c r="J62" s="14"/>
      <c r="K62" s="14"/>
      <c r="L62" s="14"/>
      <c r="M62" s="14"/>
      <c r="N62" s="25"/>
      <c r="O62" s="18"/>
      <c r="P62" s="12"/>
      <c r="Q62" s="12"/>
      <c r="R62" s="25" t="str">
        <f t="shared" si="1"/>
        <v/>
      </c>
      <c r="S62" s="26"/>
      <c r="T62" s="15"/>
      <c r="U62" s="27"/>
      <c r="V62" s="12"/>
    </row>
    <row r="63" ht="15.75" customHeight="1">
      <c r="A63" s="13"/>
      <c r="B63" s="14"/>
      <c r="C63" s="14"/>
      <c r="D63" s="14"/>
      <c r="E63" s="14"/>
      <c r="F63" s="14"/>
      <c r="G63" s="14"/>
      <c r="H63" s="14"/>
      <c r="I63" s="14"/>
      <c r="J63" s="14"/>
      <c r="K63" s="14"/>
      <c r="L63" s="14"/>
      <c r="M63" s="14"/>
      <c r="N63" s="25"/>
      <c r="O63" s="18"/>
      <c r="P63" s="12"/>
      <c r="Q63" s="12"/>
      <c r="R63" s="25" t="str">
        <f t="shared" si="1"/>
        <v/>
      </c>
      <c r="S63" s="26"/>
      <c r="T63" s="15"/>
      <c r="U63" s="27"/>
      <c r="V63" s="12"/>
    </row>
    <row r="64" ht="15.75" customHeight="1">
      <c r="A64" s="13"/>
      <c r="B64" s="14"/>
      <c r="C64" s="14"/>
      <c r="D64" s="14"/>
      <c r="E64" s="14"/>
      <c r="F64" s="14"/>
      <c r="G64" s="14"/>
      <c r="H64" s="14"/>
      <c r="I64" s="14"/>
      <c r="J64" s="14"/>
      <c r="K64" s="14"/>
      <c r="L64" s="14"/>
      <c r="M64" s="14"/>
      <c r="N64" s="25"/>
      <c r="O64" s="18"/>
      <c r="P64" s="12"/>
      <c r="Q64" s="12"/>
      <c r="R64" s="25" t="str">
        <f t="shared" si="1"/>
        <v/>
      </c>
      <c r="S64" s="26"/>
      <c r="T64" s="15"/>
      <c r="U64" s="27"/>
      <c r="V64" s="12"/>
    </row>
    <row r="65" ht="15.75" customHeight="1">
      <c r="A65" s="13"/>
      <c r="B65" s="14"/>
      <c r="C65" s="14"/>
      <c r="D65" s="14"/>
      <c r="E65" s="14"/>
      <c r="F65" s="14"/>
      <c r="G65" s="14"/>
      <c r="H65" s="14"/>
      <c r="I65" s="14"/>
      <c r="J65" s="14"/>
      <c r="K65" s="14"/>
      <c r="L65" s="14"/>
      <c r="M65" s="14"/>
      <c r="N65" s="25"/>
      <c r="O65" s="18"/>
      <c r="P65" s="12"/>
      <c r="Q65" s="12"/>
      <c r="R65" s="25" t="str">
        <f t="shared" si="1"/>
        <v/>
      </c>
      <c r="S65" s="26"/>
      <c r="T65" s="15"/>
      <c r="U65" s="27"/>
      <c r="V65" s="12"/>
    </row>
    <row r="66" ht="15.75" customHeight="1">
      <c r="A66" s="13"/>
      <c r="B66" s="14"/>
      <c r="C66" s="14"/>
      <c r="D66" s="14"/>
      <c r="E66" s="14"/>
      <c r="F66" s="14"/>
      <c r="G66" s="14"/>
      <c r="H66" s="14"/>
      <c r="I66" s="14"/>
      <c r="J66" s="14"/>
      <c r="K66" s="14"/>
      <c r="L66" s="14"/>
      <c r="M66" s="14"/>
      <c r="N66" s="25"/>
      <c r="O66" s="18"/>
      <c r="P66" s="12"/>
      <c r="Q66" s="12"/>
      <c r="R66" s="25" t="str">
        <f t="shared" si="1"/>
        <v/>
      </c>
      <c r="S66" s="26"/>
      <c r="T66" s="15"/>
      <c r="U66" s="27"/>
      <c r="V66" s="12"/>
    </row>
    <row r="67" ht="15.75" customHeight="1">
      <c r="A67" s="13"/>
      <c r="B67" s="14"/>
      <c r="C67" s="14"/>
      <c r="D67" s="14"/>
      <c r="E67" s="14"/>
      <c r="F67" s="14"/>
      <c r="G67" s="14"/>
      <c r="H67" s="14"/>
      <c r="I67" s="14"/>
      <c r="J67" s="14"/>
      <c r="K67" s="14"/>
      <c r="L67" s="14"/>
      <c r="M67" s="14"/>
      <c r="N67" s="25"/>
      <c r="O67" s="18"/>
      <c r="P67" s="12"/>
      <c r="Q67" s="12"/>
      <c r="R67" s="25" t="str">
        <f t="shared" si="1"/>
        <v/>
      </c>
      <c r="S67" s="26"/>
      <c r="T67" s="15"/>
      <c r="U67" s="27"/>
      <c r="V67" s="12"/>
    </row>
    <row r="68" ht="15.75" customHeight="1">
      <c r="A68" s="13"/>
      <c r="B68" s="14"/>
      <c r="C68" s="14"/>
      <c r="D68" s="14"/>
      <c r="E68" s="14"/>
      <c r="F68" s="14"/>
      <c r="G68" s="14"/>
      <c r="H68" s="14"/>
      <c r="I68" s="14"/>
      <c r="J68" s="14"/>
      <c r="K68" s="14"/>
      <c r="L68" s="14"/>
      <c r="M68" s="14"/>
      <c r="N68" s="25"/>
      <c r="O68" s="18"/>
      <c r="P68" s="12"/>
      <c r="Q68" s="12"/>
      <c r="R68" s="25" t="str">
        <f t="shared" si="1"/>
        <v/>
      </c>
      <c r="S68" s="26"/>
      <c r="T68" s="15"/>
      <c r="U68" s="27"/>
      <c r="V68" s="12"/>
    </row>
    <row r="69" ht="15.75" customHeight="1">
      <c r="A69" s="13"/>
      <c r="B69" s="14"/>
      <c r="C69" s="14"/>
      <c r="D69" s="14"/>
      <c r="E69" s="14"/>
      <c r="F69" s="14"/>
      <c r="G69" s="14"/>
      <c r="H69" s="14"/>
      <c r="I69" s="14"/>
      <c r="J69" s="14"/>
      <c r="K69" s="14"/>
      <c r="L69" s="14"/>
      <c r="M69" s="14"/>
      <c r="N69" s="25"/>
      <c r="O69" s="18"/>
      <c r="P69" s="12"/>
      <c r="Q69" s="12"/>
      <c r="R69" s="25" t="str">
        <f t="shared" si="1"/>
        <v/>
      </c>
      <c r="S69" s="26"/>
      <c r="T69" s="15"/>
      <c r="U69" s="27"/>
      <c r="V69" s="12"/>
    </row>
    <row r="70" ht="15.75" customHeight="1">
      <c r="A70" s="13"/>
      <c r="B70" s="14"/>
      <c r="C70" s="14"/>
      <c r="D70" s="14"/>
      <c r="E70" s="14"/>
      <c r="F70" s="14"/>
      <c r="G70" s="14"/>
      <c r="H70" s="14"/>
      <c r="I70" s="14"/>
      <c r="J70" s="14"/>
      <c r="K70" s="14"/>
      <c r="L70" s="14"/>
      <c r="M70" s="14"/>
      <c r="N70" s="25"/>
      <c r="O70" s="18"/>
      <c r="P70" s="12"/>
      <c r="Q70" s="12"/>
      <c r="R70" s="25" t="str">
        <f t="shared" si="1"/>
        <v/>
      </c>
      <c r="S70" s="26"/>
      <c r="T70" s="15"/>
      <c r="U70" s="27"/>
      <c r="V70" s="12"/>
    </row>
    <row r="71" ht="15.75" customHeight="1">
      <c r="A71" s="13"/>
      <c r="B71" s="14"/>
      <c r="C71" s="14"/>
      <c r="D71" s="14"/>
      <c r="E71" s="14"/>
      <c r="F71" s="14"/>
      <c r="G71" s="14"/>
      <c r="H71" s="14"/>
      <c r="I71" s="14"/>
      <c r="J71" s="14"/>
      <c r="K71" s="14"/>
      <c r="L71" s="14"/>
      <c r="M71" s="14"/>
      <c r="N71" s="25"/>
      <c r="O71" s="18"/>
      <c r="P71" s="12"/>
      <c r="Q71" s="12"/>
      <c r="R71" s="25" t="str">
        <f t="shared" si="1"/>
        <v/>
      </c>
      <c r="S71" s="26"/>
      <c r="T71" s="15"/>
      <c r="U71" s="27"/>
      <c r="V71" s="12"/>
    </row>
    <row r="72" ht="15.75" customHeight="1">
      <c r="A72" s="13"/>
      <c r="B72" s="14"/>
      <c r="C72" s="14"/>
      <c r="D72" s="14"/>
      <c r="E72" s="14"/>
      <c r="F72" s="14"/>
      <c r="G72" s="14"/>
      <c r="H72" s="14"/>
      <c r="I72" s="14"/>
      <c r="J72" s="14"/>
      <c r="K72" s="14"/>
      <c r="L72" s="14"/>
      <c r="M72" s="14"/>
      <c r="N72" s="25"/>
      <c r="O72" s="18"/>
      <c r="P72" s="12"/>
      <c r="Q72" s="12"/>
      <c r="R72" s="25" t="str">
        <f t="shared" si="1"/>
        <v/>
      </c>
      <c r="S72" s="26"/>
      <c r="T72" s="15"/>
      <c r="U72" s="27"/>
      <c r="V72" s="12"/>
    </row>
    <row r="73" ht="15.75" customHeight="1">
      <c r="A73" s="13"/>
      <c r="B73" s="14"/>
      <c r="C73" s="14"/>
      <c r="D73" s="14"/>
      <c r="E73" s="14"/>
      <c r="F73" s="14"/>
      <c r="G73" s="14"/>
      <c r="H73" s="14"/>
      <c r="I73" s="14"/>
      <c r="J73" s="14"/>
      <c r="K73" s="14"/>
      <c r="L73" s="14"/>
      <c r="M73" s="14"/>
      <c r="N73" s="25"/>
      <c r="O73" s="18"/>
      <c r="P73" s="12"/>
      <c r="Q73" s="12"/>
      <c r="R73" s="25" t="str">
        <f t="shared" si="1"/>
        <v/>
      </c>
      <c r="S73" s="26"/>
      <c r="T73" s="15"/>
      <c r="U73" s="27"/>
      <c r="V73" s="12"/>
    </row>
    <row r="74" ht="15.75" customHeight="1">
      <c r="A74" s="13"/>
      <c r="B74" s="14"/>
      <c r="C74" s="14"/>
      <c r="D74" s="14"/>
      <c r="E74" s="14"/>
      <c r="F74" s="14"/>
      <c r="G74" s="14"/>
      <c r="H74" s="14"/>
      <c r="I74" s="14"/>
      <c r="J74" s="14"/>
      <c r="K74" s="14"/>
      <c r="L74" s="14"/>
      <c r="M74" s="14"/>
      <c r="N74" s="25"/>
      <c r="O74" s="18"/>
      <c r="P74" s="12"/>
      <c r="Q74" s="12"/>
      <c r="R74" s="25" t="str">
        <f t="shared" si="1"/>
        <v/>
      </c>
      <c r="S74" s="26"/>
      <c r="T74" s="15"/>
      <c r="U74" s="27"/>
      <c r="V74" s="12"/>
    </row>
    <row r="75" ht="15.75" customHeight="1">
      <c r="A75" s="13"/>
      <c r="B75" s="14"/>
      <c r="C75" s="14"/>
      <c r="D75" s="14"/>
      <c r="E75" s="14"/>
      <c r="F75" s="14"/>
      <c r="G75" s="14"/>
      <c r="H75" s="14"/>
      <c r="I75" s="14"/>
      <c r="J75" s="14"/>
      <c r="K75" s="14"/>
      <c r="L75" s="14"/>
      <c r="M75" s="14"/>
      <c r="N75" s="25"/>
      <c r="O75" s="18"/>
      <c r="P75" s="12"/>
      <c r="Q75" s="12"/>
      <c r="R75" s="25" t="str">
        <f t="shared" si="1"/>
        <v/>
      </c>
      <c r="S75" s="26"/>
      <c r="T75" s="15"/>
      <c r="U75" s="27"/>
      <c r="V75" s="12"/>
    </row>
    <row r="76" ht="15.75" customHeight="1">
      <c r="A76" s="13"/>
      <c r="B76" s="14"/>
      <c r="C76" s="14"/>
      <c r="D76" s="14"/>
      <c r="E76" s="14"/>
      <c r="F76" s="14"/>
      <c r="G76" s="14"/>
      <c r="H76" s="14"/>
      <c r="I76" s="14"/>
      <c r="J76" s="14"/>
      <c r="K76" s="14"/>
      <c r="L76" s="14"/>
      <c r="M76" s="14"/>
      <c r="N76" s="25"/>
      <c r="O76" s="18"/>
      <c r="P76" s="12"/>
      <c r="Q76" s="12"/>
      <c r="R76" s="25" t="str">
        <f t="shared" si="1"/>
        <v/>
      </c>
      <c r="S76" s="26"/>
      <c r="T76" s="15"/>
      <c r="U76" s="27"/>
      <c r="V76" s="12"/>
    </row>
    <row r="77" ht="15.75" customHeight="1">
      <c r="A77" s="13"/>
      <c r="B77" s="14"/>
      <c r="C77" s="14"/>
      <c r="D77" s="14"/>
      <c r="E77" s="14"/>
      <c r="F77" s="14"/>
      <c r="G77" s="14"/>
      <c r="H77" s="14"/>
      <c r="I77" s="14"/>
      <c r="J77" s="14"/>
      <c r="K77" s="14"/>
      <c r="L77" s="14"/>
      <c r="M77" s="14"/>
      <c r="N77" s="25"/>
      <c r="O77" s="18"/>
      <c r="P77" s="12"/>
      <c r="Q77" s="12"/>
      <c r="R77" s="25" t="str">
        <f t="shared" si="1"/>
        <v/>
      </c>
      <c r="S77" s="26"/>
      <c r="T77" s="15"/>
      <c r="U77" s="27"/>
      <c r="V77" s="12"/>
    </row>
    <row r="78" ht="15.75" customHeight="1">
      <c r="A78" s="13"/>
      <c r="B78" s="14"/>
      <c r="C78" s="14"/>
      <c r="D78" s="14"/>
      <c r="E78" s="14"/>
      <c r="F78" s="14"/>
      <c r="G78" s="14"/>
      <c r="H78" s="14"/>
      <c r="I78" s="14"/>
      <c r="J78" s="14"/>
      <c r="K78" s="14"/>
      <c r="L78" s="14"/>
      <c r="M78" s="14"/>
      <c r="N78" s="25"/>
      <c r="O78" s="18"/>
      <c r="P78" s="12"/>
      <c r="Q78" s="12"/>
      <c r="R78" s="25" t="str">
        <f t="shared" si="1"/>
        <v/>
      </c>
      <c r="S78" s="26"/>
      <c r="T78" s="15"/>
      <c r="U78" s="27"/>
      <c r="V78" s="12"/>
    </row>
    <row r="79" ht="15.75" customHeight="1">
      <c r="A79" s="13"/>
      <c r="B79" s="14"/>
      <c r="C79" s="14"/>
      <c r="D79" s="14"/>
      <c r="E79" s="14"/>
      <c r="F79" s="14"/>
      <c r="G79" s="14"/>
      <c r="H79" s="14"/>
      <c r="I79" s="14"/>
      <c r="J79" s="14"/>
      <c r="K79" s="14"/>
      <c r="L79" s="14"/>
      <c r="M79" s="14"/>
      <c r="N79" s="25"/>
      <c r="O79" s="18"/>
      <c r="P79" s="12"/>
      <c r="Q79" s="12"/>
      <c r="R79" s="25" t="str">
        <f t="shared" si="1"/>
        <v/>
      </c>
      <c r="S79" s="26"/>
      <c r="T79" s="15"/>
      <c r="U79" s="27"/>
      <c r="V79" s="12"/>
    </row>
    <row r="80" ht="15.75" customHeight="1">
      <c r="A80" s="13"/>
      <c r="B80" s="14"/>
      <c r="C80" s="14"/>
      <c r="D80" s="14"/>
      <c r="E80" s="14"/>
      <c r="F80" s="14"/>
      <c r="G80" s="14"/>
      <c r="H80" s="14"/>
      <c r="I80" s="14"/>
      <c r="J80" s="14"/>
      <c r="K80" s="14"/>
      <c r="L80" s="14"/>
      <c r="M80" s="14"/>
      <c r="N80" s="25"/>
      <c r="O80" s="18"/>
      <c r="P80" s="12"/>
      <c r="Q80" s="12"/>
      <c r="R80" s="25" t="str">
        <f t="shared" si="1"/>
        <v/>
      </c>
      <c r="S80" s="26"/>
      <c r="T80" s="15"/>
      <c r="U80" s="27"/>
      <c r="V80" s="12"/>
    </row>
    <row r="81" ht="15.75" customHeight="1">
      <c r="A81" s="13"/>
      <c r="B81" s="14"/>
      <c r="C81" s="14"/>
      <c r="D81" s="14"/>
      <c r="E81" s="14"/>
      <c r="F81" s="14"/>
      <c r="G81" s="14"/>
      <c r="H81" s="14"/>
      <c r="I81" s="14"/>
      <c r="J81" s="14"/>
      <c r="K81" s="14"/>
      <c r="L81" s="14"/>
      <c r="M81" s="14"/>
      <c r="N81" s="25"/>
      <c r="O81" s="18"/>
      <c r="P81" s="12"/>
      <c r="Q81" s="12"/>
      <c r="R81" s="25" t="str">
        <f t="shared" si="1"/>
        <v/>
      </c>
      <c r="S81" s="26"/>
      <c r="T81" s="15"/>
      <c r="U81" s="27"/>
      <c r="V81" s="12"/>
    </row>
    <row r="82" ht="15.75" customHeight="1">
      <c r="A82" s="13"/>
      <c r="B82" s="14"/>
      <c r="C82" s="14"/>
      <c r="D82" s="14"/>
      <c r="E82" s="14"/>
      <c r="F82" s="14"/>
      <c r="G82" s="14"/>
      <c r="H82" s="14"/>
      <c r="I82" s="14"/>
      <c r="J82" s="14"/>
      <c r="K82" s="14"/>
      <c r="L82" s="14"/>
      <c r="M82" s="14"/>
      <c r="N82" s="25"/>
      <c r="O82" s="18"/>
      <c r="P82" s="12"/>
      <c r="Q82" s="12"/>
      <c r="R82" s="25" t="str">
        <f t="shared" si="1"/>
        <v/>
      </c>
      <c r="S82" s="26"/>
      <c r="T82" s="15"/>
      <c r="U82" s="27"/>
      <c r="V82" s="12"/>
    </row>
    <row r="83" ht="15.75" customHeight="1">
      <c r="A83" s="13"/>
      <c r="B83" s="14"/>
      <c r="C83" s="14"/>
      <c r="D83" s="14"/>
      <c r="E83" s="14"/>
      <c r="F83" s="14"/>
      <c r="G83" s="14"/>
      <c r="H83" s="14"/>
      <c r="I83" s="14"/>
      <c r="J83" s="14"/>
      <c r="K83" s="14"/>
      <c r="L83" s="14"/>
      <c r="M83" s="14"/>
      <c r="N83" s="25"/>
      <c r="O83" s="18"/>
      <c r="P83" s="12"/>
      <c r="Q83" s="12"/>
      <c r="R83" s="25" t="str">
        <f t="shared" si="1"/>
        <v/>
      </c>
      <c r="S83" s="26"/>
      <c r="T83" s="15"/>
      <c r="U83" s="27"/>
      <c r="V83" s="12"/>
    </row>
    <row r="84" ht="15.75" customHeight="1">
      <c r="A84" s="13"/>
      <c r="B84" s="14"/>
      <c r="C84" s="14"/>
      <c r="D84" s="14"/>
      <c r="E84" s="14"/>
      <c r="F84" s="14"/>
      <c r="G84" s="14"/>
      <c r="H84" s="14"/>
      <c r="I84" s="14"/>
      <c r="J84" s="14"/>
      <c r="K84" s="14"/>
      <c r="L84" s="14"/>
      <c r="M84" s="14"/>
      <c r="N84" s="25"/>
      <c r="O84" s="18"/>
      <c r="P84" s="12"/>
      <c r="Q84" s="12"/>
      <c r="R84" s="25" t="str">
        <f t="shared" si="1"/>
        <v/>
      </c>
      <c r="S84" s="26"/>
      <c r="T84" s="15"/>
      <c r="U84" s="27"/>
      <c r="V84" s="12"/>
    </row>
    <row r="85" ht="15.75" customHeight="1">
      <c r="A85" s="13"/>
      <c r="B85" s="14"/>
      <c r="C85" s="14"/>
      <c r="D85" s="14"/>
      <c r="E85" s="14"/>
      <c r="F85" s="14"/>
      <c r="G85" s="14"/>
      <c r="H85" s="14"/>
      <c r="I85" s="14"/>
      <c r="J85" s="14"/>
      <c r="K85" s="14"/>
      <c r="L85" s="14"/>
      <c r="M85" s="14"/>
      <c r="N85" s="25"/>
      <c r="O85" s="18"/>
      <c r="P85" s="12"/>
      <c r="Q85" s="12"/>
      <c r="R85" s="25" t="str">
        <f t="shared" si="1"/>
        <v/>
      </c>
      <c r="S85" s="26"/>
      <c r="T85" s="15"/>
      <c r="U85" s="27"/>
      <c r="V85" s="12"/>
    </row>
    <row r="86" ht="15.75" customHeight="1">
      <c r="A86" s="13"/>
      <c r="B86" s="14"/>
      <c r="C86" s="14"/>
      <c r="D86" s="14"/>
      <c r="E86" s="14"/>
      <c r="F86" s="14"/>
      <c r="G86" s="14"/>
      <c r="H86" s="14"/>
      <c r="I86" s="14"/>
      <c r="J86" s="14"/>
      <c r="K86" s="14"/>
      <c r="L86" s="14"/>
      <c r="M86" s="14"/>
      <c r="N86" s="25"/>
      <c r="O86" s="18"/>
      <c r="P86" s="12"/>
      <c r="Q86" s="12"/>
      <c r="R86" s="25" t="str">
        <f t="shared" si="1"/>
        <v/>
      </c>
      <c r="S86" s="26"/>
      <c r="T86" s="15"/>
      <c r="U86" s="27"/>
      <c r="V86" s="12"/>
    </row>
    <row r="87" ht="15.75" customHeight="1">
      <c r="A87" s="13"/>
      <c r="B87" s="14"/>
      <c r="C87" s="14"/>
      <c r="D87" s="14"/>
      <c r="E87" s="14"/>
      <c r="F87" s="14"/>
      <c r="G87" s="14"/>
      <c r="H87" s="14"/>
      <c r="I87" s="14"/>
      <c r="J87" s="14"/>
      <c r="K87" s="14"/>
      <c r="L87" s="14"/>
      <c r="M87" s="14"/>
      <c r="N87" s="25"/>
      <c r="O87" s="18"/>
      <c r="P87" s="12"/>
      <c r="Q87" s="12"/>
      <c r="R87" s="25" t="str">
        <f t="shared" si="1"/>
        <v/>
      </c>
      <c r="S87" s="26"/>
      <c r="T87" s="15"/>
      <c r="U87" s="27"/>
      <c r="V87" s="12"/>
    </row>
    <row r="88" ht="15.75" customHeight="1">
      <c r="A88" s="13"/>
      <c r="B88" s="14"/>
      <c r="C88" s="14"/>
      <c r="D88" s="14"/>
      <c r="E88" s="14"/>
      <c r="F88" s="14"/>
      <c r="G88" s="14"/>
      <c r="H88" s="14"/>
      <c r="I88" s="14"/>
      <c r="J88" s="14"/>
      <c r="K88" s="14"/>
      <c r="L88" s="14"/>
      <c r="M88" s="14"/>
      <c r="N88" s="25"/>
      <c r="O88" s="18"/>
      <c r="P88" s="12"/>
      <c r="Q88" s="12"/>
      <c r="R88" s="25" t="str">
        <f t="shared" si="1"/>
        <v/>
      </c>
      <c r="S88" s="26"/>
      <c r="T88" s="15"/>
      <c r="U88" s="27"/>
      <c r="V88" s="12"/>
    </row>
    <row r="89" ht="15.75" customHeight="1">
      <c r="A89" s="13"/>
      <c r="B89" s="14"/>
      <c r="C89" s="14"/>
      <c r="D89" s="14"/>
      <c r="E89" s="14"/>
      <c r="F89" s="14"/>
      <c r="G89" s="14"/>
      <c r="H89" s="14"/>
      <c r="I89" s="14"/>
      <c r="J89" s="14"/>
      <c r="K89" s="14"/>
      <c r="L89" s="14"/>
      <c r="M89" s="14"/>
      <c r="N89" s="25"/>
      <c r="O89" s="18"/>
      <c r="P89" s="12"/>
      <c r="Q89" s="12"/>
      <c r="R89" s="25" t="str">
        <f t="shared" si="1"/>
        <v/>
      </c>
      <c r="S89" s="26"/>
      <c r="T89" s="15"/>
      <c r="U89" s="27"/>
      <c r="V89" s="12"/>
    </row>
    <row r="90" ht="15.75" customHeight="1">
      <c r="A90" s="13"/>
      <c r="B90" s="14"/>
      <c r="C90" s="14"/>
      <c r="D90" s="14"/>
      <c r="E90" s="14"/>
      <c r="F90" s="14"/>
      <c r="G90" s="14"/>
      <c r="H90" s="14"/>
      <c r="I90" s="14"/>
      <c r="J90" s="14"/>
      <c r="K90" s="14"/>
      <c r="L90" s="14"/>
      <c r="M90" s="14"/>
      <c r="N90" s="25"/>
      <c r="O90" s="18"/>
      <c r="P90" s="12"/>
      <c r="Q90" s="12"/>
      <c r="R90" s="25" t="str">
        <f t="shared" si="1"/>
        <v/>
      </c>
      <c r="S90" s="26"/>
      <c r="T90" s="15"/>
      <c r="U90" s="27"/>
      <c r="V90" s="12"/>
    </row>
    <row r="91" ht="15.75" customHeight="1">
      <c r="A91" s="13"/>
      <c r="B91" s="14"/>
      <c r="C91" s="14"/>
      <c r="D91" s="14"/>
      <c r="E91" s="14"/>
      <c r="F91" s="14"/>
      <c r="G91" s="14"/>
      <c r="H91" s="14"/>
      <c r="I91" s="14"/>
      <c r="J91" s="14"/>
      <c r="K91" s="14"/>
      <c r="L91" s="14"/>
      <c r="M91" s="14"/>
      <c r="N91" s="25"/>
      <c r="O91" s="18"/>
      <c r="P91" s="12"/>
      <c r="Q91" s="12"/>
      <c r="R91" s="25" t="str">
        <f t="shared" si="1"/>
        <v/>
      </c>
      <c r="S91" s="26"/>
      <c r="T91" s="15"/>
      <c r="U91" s="27"/>
      <c r="V91" s="12"/>
    </row>
    <row r="92" ht="15.75" customHeight="1">
      <c r="A92" s="13"/>
      <c r="B92" s="14"/>
      <c r="C92" s="14"/>
      <c r="D92" s="14"/>
      <c r="E92" s="14"/>
      <c r="F92" s="14"/>
      <c r="G92" s="14"/>
      <c r="H92" s="14"/>
      <c r="I92" s="14"/>
      <c r="J92" s="14"/>
      <c r="K92" s="14"/>
      <c r="L92" s="14"/>
      <c r="M92" s="14"/>
      <c r="N92" s="25"/>
      <c r="O92" s="18"/>
      <c r="P92" s="12"/>
      <c r="Q92" s="12"/>
      <c r="R92" s="25" t="str">
        <f t="shared" si="1"/>
        <v/>
      </c>
      <c r="S92" s="26"/>
      <c r="T92" s="15"/>
      <c r="U92" s="27"/>
      <c r="V92" s="12"/>
    </row>
    <row r="93" ht="15.75" customHeight="1">
      <c r="A93" s="13"/>
      <c r="B93" s="14"/>
      <c r="C93" s="14"/>
      <c r="D93" s="14"/>
      <c r="E93" s="14"/>
      <c r="F93" s="14"/>
      <c r="G93" s="14"/>
      <c r="H93" s="14"/>
      <c r="I93" s="14"/>
      <c r="J93" s="14"/>
      <c r="K93" s="14"/>
      <c r="L93" s="14"/>
      <c r="M93" s="14"/>
      <c r="N93" s="25"/>
      <c r="O93" s="18"/>
      <c r="P93" s="12"/>
      <c r="Q93" s="12"/>
      <c r="R93" s="25" t="str">
        <f t="shared" si="1"/>
        <v/>
      </c>
      <c r="S93" s="26"/>
      <c r="T93" s="15"/>
      <c r="U93" s="27"/>
      <c r="V93" s="12"/>
    </row>
    <row r="94" ht="15.75" customHeight="1">
      <c r="A94" s="13"/>
      <c r="B94" s="14"/>
      <c r="C94" s="14"/>
      <c r="D94" s="14"/>
      <c r="E94" s="14"/>
      <c r="F94" s="14"/>
      <c r="G94" s="14"/>
      <c r="H94" s="14"/>
      <c r="I94" s="14"/>
      <c r="J94" s="14"/>
      <c r="K94" s="14"/>
      <c r="L94" s="14"/>
      <c r="M94" s="14"/>
      <c r="N94" s="25"/>
      <c r="O94" s="18"/>
      <c r="P94" s="12"/>
      <c r="Q94" s="12"/>
      <c r="R94" s="25" t="str">
        <f t="shared" si="1"/>
        <v/>
      </c>
      <c r="S94" s="26"/>
      <c r="T94" s="15"/>
      <c r="U94" s="27"/>
      <c r="V94" s="12"/>
    </row>
    <row r="95" ht="15.75" customHeight="1">
      <c r="A95" s="13"/>
      <c r="B95" s="14"/>
      <c r="C95" s="14"/>
      <c r="D95" s="14"/>
      <c r="E95" s="14"/>
      <c r="F95" s="14"/>
      <c r="G95" s="14"/>
      <c r="H95" s="14"/>
      <c r="I95" s="14"/>
      <c r="J95" s="14"/>
      <c r="K95" s="14"/>
      <c r="L95" s="14"/>
      <c r="M95" s="14"/>
      <c r="N95" s="25"/>
      <c r="O95" s="18"/>
      <c r="P95" s="12"/>
      <c r="Q95" s="12"/>
      <c r="R95" s="25" t="str">
        <f t="shared" si="1"/>
        <v/>
      </c>
      <c r="S95" s="26"/>
      <c r="T95" s="15"/>
      <c r="U95" s="27"/>
      <c r="V95" s="12"/>
    </row>
    <row r="96" ht="15.75" customHeight="1">
      <c r="A96" s="13"/>
      <c r="B96" s="14"/>
      <c r="C96" s="14"/>
      <c r="D96" s="14"/>
      <c r="E96" s="14"/>
      <c r="F96" s="14"/>
      <c r="G96" s="14"/>
      <c r="H96" s="14"/>
      <c r="I96" s="14"/>
      <c r="J96" s="14"/>
      <c r="K96" s="14"/>
      <c r="L96" s="14"/>
      <c r="M96" s="14"/>
      <c r="N96" s="25"/>
      <c r="O96" s="18"/>
      <c r="P96" s="12"/>
      <c r="Q96" s="12"/>
      <c r="R96" s="25" t="str">
        <f t="shared" si="1"/>
        <v/>
      </c>
      <c r="S96" s="26"/>
      <c r="T96" s="15"/>
      <c r="U96" s="27"/>
      <c r="V96" s="12"/>
    </row>
    <row r="97" ht="15.75" customHeight="1">
      <c r="A97" s="13"/>
      <c r="B97" s="14"/>
      <c r="C97" s="14"/>
      <c r="D97" s="14"/>
      <c r="E97" s="14"/>
      <c r="F97" s="14"/>
      <c r="G97" s="14"/>
      <c r="H97" s="14"/>
      <c r="I97" s="14"/>
      <c r="J97" s="14"/>
      <c r="K97" s="14"/>
      <c r="L97" s="14"/>
      <c r="M97" s="14"/>
      <c r="N97" s="25"/>
      <c r="O97" s="18"/>
      <c r="P97" s="12"/>
      <c r="Q97" s="12"/>
      <c r="R97" s="25" t="str">
        <f t="shared" si="1"/>
        <v/>
      </c>
      <c r="S97" s="26"/>
      <c r="T97" s="15"/>
      <c r="U97" s="27"/>
      <c r="V97" s="12"/>
    </row>
    <row r="98" ht="15.75" customHeight="1">
      <c r="A98" s="13"/>
      <c r="B98" s="14"/>
      <c r="C98" s="14"/>
      <c r="D98" s="14"/>
      <c r="E98" s="14"/>
      <c r="F98" s="14"/>
      <c r="G98" s="14"/>
      <c r="H98" s="14"/>
      <c r="I98" s="14"/>
      <c r="J98" s="14"/>
      <c r="K98" s="14"/>
      <c r="L98" s="14"/>
      <c r="M98" s="14"/>
      <c r="N98" s="25"/>
      <c r="O98" s="18"/>
      <c r="P98" s="12"/>
      <c r="Q98" s="12"/>
      <c r="R98" s="25" t="str">
        <f t="shared" si="1"/>
        <v/>
      </c>
      <c r="S98" s="26"/>
      <c r="T98" s="15"/>
      <c r="U98" s="27"/>
      <c r="V98" s="12"/>
    </row>
    <row r="99" ht="15.75" customHeight="1">
      <c r="A99" s="13"/>
      <c r="B99" s="14"/>
      <c r="C99" s="14"/>
      <c r="D99" s="14"/>
      <c r="E99" s="14"/>
      <c r="F99" s="14"/>
      <c r="G99" s="14"/>
      <c r="H99" s="14"/>
      <c r="I99" s="14"/>
      <c r="J99" s="14"/>
      <c r="K99" s="14"/>
      <c r="L99" s="14"/>
      <c r="M99" s="14"/>
      <c r="N99" s="25"/>
      <c r="O99" s="18"/>
      <c r="P99" s="12"/>
      <c r="Q99" s="12"/>
      <c r="R99" s="25" t="str">
        <f t="shared" si="1"/>
        <v/>
      </c>
      <c r="S99" s="26"/>
      <c r="T99" s="15"/>
      <c r="U99" s="27"/>
      <c r="V99" s="12"/>
    </row>
    <row r="100" ht="15.75" customHeight="1">
      <c r="A100" s="13"/>
      <c r="B100" s="14"/>
      <c r="C100" s="14"/>
      <c r="D100" s="14"/>
      <c r="E100" s="14"/>
      <c r="F100" s="14"/>
      <c r="G100" s="14"/>
      <c r="H100" s="14"/>
      <c r="I100" s="14"/>
      <c r="J100" s="14"/>
      <c r="K100" s="14"/>
      <c r="L100" s="14"/>
      <c r="M100" s="14"/>
      <c r="N100" s="25"/>
      <c r="O100" s="18"/>
      <c r="P100" s="12"/>
      <c r="Q100" s="12"/>
      <c r="R100" s="25" t="str">
        <f t="shared" si="1"/>
        <v/>
      </c>
      <c r="S100" s="26"/>
      <c r="T100" s="15"/>
      <c r="U100" s="27"/>
      <c r="V100" s="12"/>
    </row>
    <row r="101" ht="15.75" customHeight="1">
      <c r="A101" s="13"/>
      <c r="B101" s="14"/>
      <c r="C101" s="14"/>
      <c r="D101" s="14"/>
      <c r="E101" s="14"/>
      <c r="F101" s="14"/>
      <c r="G101" s="14"/>
      <c r="H101" s="14"/>
      <c r="I101" s="14"/>
      <c r="J101" s="14"/>
      <c r="K101" s="14"/>
      <c r="L101" s="14"/>
      <c r="M101" s="14"/>
      <c r="N101" s="25"/>
      <c r="O101" s="18"/>
      <c r="P101" s="12"/>
      <c r="Q101" s="12"/>
      <c r="R101" s="25" t="str">
        <f t="shared" si="1"/>
        <v/>
      </c>
      <c r="S101" s="26"/>
      <c r="T101" s="15"/>
      <c r="U101" s="27"/>
      <c r="V101" s="12"/>
    </row>
    <row r="102" ht="15.75" customHeight="1">
      <c r="A102" s="13"/>
      <c r="B102" s="14"/>
      <c r="C102" s="14"/>
      <c r="D102" s="14"/>
      <c r="E102" s="14"/>
      <c r="F102" s="14"/>
      <c r="G102" s="14"/>
      <c r="H102" s="14"/>
      <c r="I102" s="14"/>
      <c r="J102" s="14"/>
      <c r="K102" s="14"/>
      <c r="L102" s="14"/>
      <c r="M102" s="14"/>
      <c r="N102" s="25"/>
      <c r="O102" s="18"/>
      <c r="P102" s="12"/>
      <c r="Q102" s="12"/>
      <c r="R102" s="25" t="str">
        <f t="shared" si="1"/>
        <v/>
      </c>
      <c r="S102" s="26"/>
      <c r="T102" s="15"/>
      <c r="U102" s="27"/>
      <c r="V102" s="12"/>
    </row>
    <row r="103" ht="15.75" customHeight="1">
      <c r="A103" s="13"/>
      <c r="B103" s="14"/>
      <c r="C103" s="14"/>
      <c r="D103" s="14"/>
      <c r="E103" s="14"/>
      <c r="F103" s="14"/>
      <c r="G103" s="14"/>
      <c r="H103" s="14"/>
      <c r="I103" s="14"/>
      <c r="J103" s="14"/>
      <c r="K103" s="14"/>
      <c r="L103" s="14"/>
      <c r="M103" s="14"/>
      <c r="N103" s="25"/>
      <c r="O103" s="18"/>
      <c r="P103" s="12"/>
      <c r="Q103" s="12"/>
      <c r="R103" s="25" t="str">
        <f t="shared" si="1"/>
        <v/>
      </c>
      <c r="S103" s="26"/>
      <c r="T103" s="15"/>
      <c r="U103" s="27"/>
      <c r="V103" s="12"/>
    </row>
    <row r="104" ht="15.75" customHeight="1">
      <c r="A104" s="13"/>
      <c r="B104" s="14"/>
      <c r="C104" s="14"/>
      <c r="D104" s="14"/>
      <c r="E104" s="14"/>
      <c r="F104" s="14"/>
      <c r="G104" s="14"/>
      <c r="H104" s="14"/>
      <c r="I104" s="14"/>
      <c r="J104" s="14"/>
      <c r="K104" s="14"/>
      <c r="L104" s="14"/>
      <c r="M104" s="14"/>
      <c r="N104" s="25"/>
      <c r="O104" s="18"/>
      <c r="P104" s="12"/>
      <c r="Q104" s="12"/>
      <c r="R104" s="25" t="str">
        <f t="shared" si="1"/>
        <v/>
      </c>
      <c r="S104" s="26"/>
      <c r="T104" s="15"/>
      <c r="U104" s="27"/>
      <c r="V104" s="12"/>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V1"/>
    <mergeCell ref="A2:V2"/>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41.14"/>
    <col customWidth="1" min="3" max="3" width="16.0"/>
    <col customWidth="1" min="4" max="4" width="17.14"/>
    <col customWidth="1" min="5" max="5" width="12.57"/>
    <col customWidth="1" min="6" max="6" width="13.71"/>
    <col customWidth="1" min="7" max="7" width="14.86"/>
    <col customWidth="1" min="8" max="8" width="13.71"/>
    <col customWidth="1" min="9" max="9" width="14.86"/>
    <col customWidth="1" min="10" max="10" width="18.29"/>
    <col customWidth="1" min="11" max="11" width="34.29"/>
    <col customWidth="1" min="12" max="12" width="43.43"/>
    <col customWidth="1" min="13" max="13" width="38.86"/>
    <col customWidth="1" min="14" max="14" width="11.43"/>
    <col customWidth="1" min="15" max="15" width="16.0"/>
    <col customWidth="1" min="16" max="16" width="14.86"/>
    <col customWidth="1" min="17" max="17" width="43.43"/>
    <col customWidth="1" min="18" max="18" width="32.0"/>
    <col customWidth="1" min="19" max="26" width="9.86"/>
  </cols>
  <sheetData>
    <row r="1" ht="33.75" customHeight="1">
      <c r="A1" s="1" t="s">
        <v>865</v>
      </c>
    </row>
    <row r="2" ht="27.75" customHeight="1">
      <c r="A2" s="2" t="s">
        <v>866</v>
      </c>
    </row>
    <row r="4" ht="30.0" customHeight="1">
      <c r="A4" s="6" t="s">
        <v>867</v>
      </c>
      <c r="B4" s="7" t="s">
        <v>868</v>
      </c>
      <c r="C4" s="7" t="s">
        <v>842</v>
      </c>
      <c r="D4" s="7" t="s">
        <v>843</v>
      </c>
      <c r="E4" s="7" t="s">
        <v>844</v>
      </c>
      <c r="F4" s="7" t="s">
        <v>254</v>
      </c>
      <c r="G4" s="7" t="s">
        <v>237</v>
      </c>
      <c r="H4" s="7" t="s">
        <v>848</v>
      </c>
      <c r="I4" s="7" t="s">
        <v>869</v>
      </c>
      <c r="J4" s="7" t="s">
        <v>870</v>
      </c>
      <c r="K4" s="7" t="s">
        <v>871</v>
      </c>
      <c r="L4" s="7" t="s">
        <v>872</v>
      </c>
      <c r="M4" s="7" t="s">
        <v>873</v>
      </c>
      <c r="N4" s="7" t="s">
        <v>20</v>
      </c>
      <c r="O4" s="7" t="s">
        <v>21</v>
      </c>
      <c r="P4" s="7" t="s">
        <v>874</v>
      </c>
      <c r="Q4" s="7" t="s">
        <v>71</v>
      </c>
      <c r="R4" s="11" t="s">
        <v>76</v>
      </c>
    </row>
    <row r="5">
      <c r="A5" s="12" t="s">
        <v>875</v>
      </c>
      <c r="B5" s="12" t="s">
        <v>876</v>
      </c>
      <c r="C5" s="14">
        <v>325.0</v>
      </c>
      <c r="D5" s="14">
        <v>930.0</v>
      </c>
      <c r="E5" s="14">
        <v>43.0</v>
      </c>
      <c r="F5" s="14">
        <v>374.0</v>
      </c>
      <c r="G5" s="14">
        <v>19.0</v>
      </c>
      <c r="H5" s="14">
        <v>515.0</v>
      </c>
      <c r="I5" s="13">
        <v>46141.0</v>
      </c>
      <c r="J5" s="12" t="s">
        <v>877</v>
      </c>
      <c r="K5" s="12"/>
      <c r="L5" s="12"/>
      <c r="M5" s="12"/>
      <c r="N5" s="12" t="s">
        <v>210</v>
      </c>
      <c r="O5" s="12" t="s">
        <v>72</v>
      </c>
      <c r="P5" s="13"/>
      <c r="Q5" s="12" t="s">
        <v>878</v>
      </c>
      <c r="R5" s="12"/>
    </row>
    <row r="6">
      <c r="A6" s="12" t="s">
        <v>879</v>
      </c>
      <c r="B6" s="12" t="s">
        <v>880</v>
      </c>
      <c r="C6" s="14">
        <v>763.0</v>
      </c>
      <c r="D6" s="14">
        <v>907.0</v>
      </c>
      <c r="E6" s="14">
        <v>22.0</v>
      </c>
      <c r="F6" s="14">
        <v>42500.0</v>
      </c>
      <c r="G6" s="14">
        <v>22.0</v>
      </c>
      <c r="H6" s="14">
        <v>32.0</v>
      </c>
      <c r="I6" s="13">
        <v>46141.0</v>
      </c>
      <c r="J6" s="12" t="s">
        <v>877</v>
      </c>
      <c r="K6" s="12"/>
      <c r="L6" s="12"/>
      <c r="M6" s="12"/>
      <c r="N6" s="12" t="s">
        <v>210</v>
      </c>
      <c r="O6" s="12" t="s">
        <v>72</v>
      </c>
      <c r="P6" s="13"/>
      <c r="Q6" s="12" t="s">
        <v>878</v>
      </c>
      <c r="R6" s="12"/>
    </row>
    <row r="7">
      <c r="A7" s="12" t="s">
        <v>881</v>
      </c>
      <c r="B7" s="12" t="s">
        <v>882</v>
      </c>
      <c r="C7" s="14">
        <v>1400.0</v>
      </c>
      <c r="D7" s="14">
        <v>2500.0</v>
      </c>
      <c r="E7" s="14">
        <v>29.0</v>
      </c>
      <c r="F7" s="14">
        <v>21400.0</v>
      </c>
      <c r="G7" s="14">
        <v>21.0</v>
      </c>
      <c r="H7" s="14">
        <v>40.0</v>
      </c>
      <c r="I7" s="13">
        <v>46141.0</v>
      </c>
      <c r="J7" s="12" t="s">
        <v>877</v>
      </c>
      <c r="K7" s="12"/>
      <c r="L7" s="12"/>
      <c r="M7" s="12"/>
      <c r="N7" s="12" t="s">
        <v>210</v>
      </c>
      <c r="O7" s="12" t="s">
        <v>72</v>
      </c>
      <c r="P7" s="13"/>
      <c r="Q7" s="12" t="s">
        <v>878</v>
      </c>
      <c r="R7" s="12"/>
    </row>
    <row r="8">
      <c r="A8" s="12" t="s">
        <v>883</v>
      </c>
      <c r="B8" s="12" t="s">
        <v>884</v>
      </c>
      <c r="C8" s="14">
        <v>906.0</v>
      </c>
      <c r="D8" s="14">
        <v>2000.0</v>
      </c>
      <c r="E8" s="14">
        <v>28.0</v>
      </c>
      <c r="F8" s="14">
        <v>4000.0</v>
      </c>
      <c r="G8" s="14">
        <v>15.0</v>
      </c>
      <c r="H8" s="14">
        <v>47.0</v>
      </c>
      <c r="I8" s="13">
        <v>46141.0</v>
      </c>
      <c r="J8" s="12" t="s">
        <v>877</v>
      </c>
      <c r="K8" s="12"/>
      <c r="L8" s="12"/>
      <c r="M8" s="12"/>
      <c r="N8" s="12" t="s">
        <v>210</v>
      </c>
      <c r="O8" s="12" t="s">
        <v>72</v>
      </c>
      <c r="P8" s="13"/>
      <c r="Q8" s="12" t="s">
        <v>878</v>
      </c>
      <c r="R8" s="12"/>
    </row>
    <row r="9">
      <c r="A9" s="12" t="s">
        <v>885</v>
      </c>
      <c r="B9" s="12" t="s">
        <v>886</v>
      </c>
      <c r="C9" s="14">
        <v>575.0</v>
      </c>
      <c r="D9" s="14">
        <v>446.0</v>
      </c>
      <c r="E9" s="14">
        <v>25.0</v>
      </c>
      <c r="F9" s="14">
        <v>1800.0</v>
      </c>
      <c r="G9" s="14">
        <v>14.0</v>
      </c>
      <c r="H9" s="14">
        <v>3.0</v>
      </c>
      <c r="I9" s="13">
        <v>46141.0</v>
      </c>
      <c r="J9" s="12" t="s">
        <v>877</v>
      </c>
      <c r="K9" s="12"/>
      <c r="L9" s="12"/>
      <c r="M9" s="12"/>
      <c r="N9" s="12" t="s">
        <v>210</v>
      </c>
      <c r="O9" s="12" t="s">
        <v>72</v>
      </c>
      <c r="P9" s="13"/>
      <c r="Q9" s="12" t="s">
        <v>878</v>
      </c>
      <c r="R9" s="12"/>
    </row>
    <row r="10">
      <c r="A10" s="12" t="s">
        <v>887</v>
      </c>
      <c r="B10" s="12" t="s">
        <v>888</v>
      </c>
      <c r="C10" s="14">
        <v>4700.0</v>
      </c>
      <c r="D10" s="14">
        <v>6000.0</v>
      </c>
      <c r="E10" s="14">
        <v>31.0</v>
      </c>
      <c r="F10" s="14">
        <v>91100.0</v>
      </c>
      <c r="G10" s="14">
        <v>25.0</v>
      </c>
      <c r="H10" s="14">
        <v>34.0</v>
      </c>
      <c r="I10" s="13">
        <v>46141.0</v>
      </c>
      <c r="J10" s="12" t="s">
        <v>877</v>
      </c>
      <c r="K10" s="12"/>
      <c r="L10" s="12"/>
      <c r="M10" s="12"/>
      <c r="N10" s="12" t="s">
        <v>210</v>
      </c>
      <c r="O10" s="12" t="s">
        <v>72</v>
      </c>
      <c r="P10" s="13"/>
      <c r="Q10" s="12" t="s">
        <v>878</v>
      </c>
      <c r="R10" s="12"/>
    </row>
    <row r="11">
      <c r="A11" s="12" t="s">
        <v>889</v>
      </c>
      <c r="B11" s="12" t="s">
        <v>890</v>
      </c>
      <c r="C11" s="14">
        <v>4.0</v>
      </c>
      <c r="D11" s="14">
        <v>39.0</v>
      </c>
      <c r="E11" s="14">
        <v>6.0</v>
      </c>
      <c r="F11" s="14">
        <v>257.0</v>
      </c>
      <c r="G11" s="14">
        <v>0.0</v>
      </c>
      <c r="H11" s="14">
        <v>0.0</v>
      </c>
      <c r="I11" s="13">
        <v>46141.0</v>
      </c>
      <c r="J11" s="12" t="s">
        <v>877</v>
      </c>
      <c r="K11" s="12"/>
      <c r="L11" s="12"/>
      <c r="M11" s="12"/>
      <c r="N11" s="12" t="s">
        <v>210</v>
      </c>
      <c r="O11" s="12" t="s">
        <v>72</v>
      </c>
      <c r="P11" s="13"/>
      <c r="Q11" s="12" t="s">
        <v>878</v>
      </c>
      <c r="R11" s="12"/>
    </row>
    <row r="12">
      <c r="A12" s="12" t="s">
        <v>891</v>
      </c>
      <c r="B12" s="12" t="s">
        <v>892</v>
      </c>
      <c r="C12" s="14">
        <v>210.0</v>
      </c>
      <c r="D12" s="14">
        <v>225.0</v>
      </c>
      <c r="E12" s="14">
        <v>20.0</v>
      </c>
      <c r="F12" s="14">
        <v>848.0</v>
      </c>
      <c r="G12" s="14">
        <v>14.0</v>
      </c>
      <c r="H12" s="14">
        <v>0.0</v>
      </c>
      <c r="I12" s="13">
        <v>46141.0</v>
      </c>
      <c r="J12" s="12" t="s">
        <v>877</v>
      </c>
      <c r="K12" s="12"/>
      <c r="L12" s="12"/>
      <c r="M12" s="12"/>
      <c r="N12" s="12" t="s">
        <v>210</v>
      </c>
      <c r="O12" s="12" t="s">
        <v>72</v>
      </c>
      <c r="P12" s="13"/>
      <c r="Q12" s="12" t="s">
        <v>878</v>
      </c>
      <c r="R12" s="12"/>
    </row>
    <row r="13">
      <c r="A13" s="12" t="s">
        <v>893</v>
      </c>
      <c r="B13" s="12" t="s">
        <v>894</v>
      </c>
      <c r="C13" s="14">
        <v>905.0</v>
      </c>
      <c r="D13" s="14">
        <v>1200.0</v>
      </c>
      <c r="E13" s="14">
        <v>22.0</v>
      </c>
      <c r="F13" s="14">
        <v>2600.0</v>
      </c>
      <c r="G13" s="14">
        <v>14.0</v>
      </c>
      <c r="H13" s="14">
        <v>2.0</v>
      </c>
      <c r="I13" s="13">
        <v>46141.0</v>
      </c>
      <c r="J13" s="12" t="s">
        <v>877</v>
      </c>
      <c r="K13" s="12"/>
      <c r="L13" s="12"/>
      <c r="M13" s="12"/>
      <c r="N13" s="12" t="s">
        <v>210</v>
      </c>
      <c r="O13" s="12" t="s">
        <v>72</v>
      </c>
      <c r="P13" s="13"/>
      <c r="Q13" s="12" t="s">
        <v>878</v>
      </c>
      <c r="R13" s="12"/>
    </row>
    <row r="14">
      <c r="A14" s="12" t="s">
        <v>895</v>
      </c>
      <c r="B14" s="12" t="s">
        <v>896</v>
      </c>
      <c r="C14" s="14">
        <v>6800.0</v>
      </c>
      <c r="D14" s="14">
        <v>9500.0</v>
      </c>
      <c r="E14" s="14">
        <v>31.0</v>
      </c>
      <c r="F14" s="14">
        <v>42100.0</v>
      </c>
      <c r="G14" s="14">
        <v>16.0</v>
      </c>
      <c r="H14" s="14">
        <v>19.0</v>
      </c>
      <c r="I14" s="13">
        <v>46141.0</v>
      </c>
      <c r="J14" s="12" t="s">
        <v>877</v>
      </c>
      <c r="K14" s="12"/>
      <c r="L14" s="12"/>
      <c r="M14" s="12"/>
      <c r="N14" s="12" t="s">
        <v>210</v>
      </c>
      <c r="O14" s="12" t="s">
        <v>72</v>
      </c>
      <c r="P14" s="13"/>
      <c r="Q14" s="12" t="s">
        <v>878</v>
      </c>
      <c r="R14" s="12"/>
    </row>
    <row r="15">
      <c r="A15" s="12" t="s">
        <v>897</v>
      </c>
      <c r="B15" s="12" t="s">
        <v>898</v>
      </c>
      <c r="C15" s="14">
        <v>1100.0</v>
      </c>
      <c r="D15" s="14">
        <v>2400.0</v>
      </c>
      <c r="E15" s="14">
        <v>27.0</v>
      </c>
      <c r="F15" s="14">
        <v>2400.0</v>
      </c>
      <c r="G15" s="14">
        <v>14.0</v>
      </c>
      <c r="H15" s="14">
        <v>21.0</v>
      </c>
      <c r="I15" s="13">
        <v>46141.0</v>
      </c>
      <c r="J15" s="12" t="s">
        <v>877</v>
      </c>
      <c r="K15" s="12"/>
      <c r="L15" s="12"/>
      <c r="M15" s="12"/>
      <c r="N15" s="12" t="s">
        <v>210</v>
      </c>
      <c r="O15" s="12" t="s">
        <v>72</v>
      </c>
      <c r="P15" s="13"/>
      <c r="Q15" s="12" t="s">
        <v>878</v>
      </c>
      <c r="R15" s="12"/>
    </row>
    <row r="16">
      <c r="A16" s="12" t="s">
        <v>899</v>
      </c>
      <c r="B16" s="12" t="s">
        <v>900</v>
      </c>
      <c r="C16" s="14">
        <v>892.0</v>
      </c>
      <c r="D16" s="14">
        <v>4300.0</v>
      </c>
      <c r="E16" s="14">
        <v>28.0</v>
      </c>
      <c r="F16" s="14">
        <v>41000.0</v>
      </c>
      <c r="G16" s="14">
        <v>18.0</v>
      </c>
      <c r="H16" s="14">
        <v>37.0</v>
      </c>
      <c r="I16" s="13">
        <v>46141.0</v>
      </c>
      <c r="J16" s="12" t="s">
        <v>877</v>
      </c>
      <c r="K16" s="12"/>
      <c r="L16" s="12"/>
      <c r="M16" s="12"/>
      <c r="N16" s="12" t="s">
        <v>210</v>
      </c>
      <c r="O16" s="12" t="s">
        <v>72</v>
      </c>
      <c r="P16" s="13"/>
      <c r="Q16" s="12" t="s">
        <v>878</v>
      </c>
      <c r="R16" s="12"/>
    </row>
    <row r="17">
      <c r="A17" s="12" t="s">
        <v>901</v>
      </c>
      <c r="B17" s="12" t="s">
        <v>902</v>
      </c>
      <c r="C17" s="14">
        <v>4500.0</v>
      </c>
      <c r="D17" s="14">
        <v>3600.0</v>
      </c>
      <c r="E17" s="14">
        <v>31.0</v>
      </c>
      <c r="F17" s="14">
        <v>16600.0</v>
      </c>
      <c r="G17" s="14">
        <v>21.0</v>
      </c>
      <c r="H17" s="14">
        <v>189.0</v>
      </c>
      <c r="I17" s="13">
        <v>46141.0</v>
      </c>
      <c r="J17" s="12" t="s">
        <v>877</v>
      </c>
      <c r="K17" s="12"/>
      <c r="L17" s="12"/>
      <c r="M17" s="12"/>
      <c r="N17" s="12" t="s">
        <v>210</v>
      </c>
      <c r="O17" s="12" t="s">
        <v>72</v>
      </c>
      <c r="P17" s="13"/>
      <c r="Q17" s="12" t="s">
        <v>878</v>
      </c>
      <c r="R17" s="12"/>
    </row>
    <row r="18">
      <c r="A18" s="12" t="s">
        <v>903</v>
      </c>
      <c r="B18" s="12" t="s">
        <v>904</v>
      </c>
      <c r="C18" s="14">
        <v>12300.0</v>
      </c>
      <c r="D18" s="14">
        <v>6400.0</v>
      </c>
      <c r="E18" s="14">
        <v>37.0</v>
      </c>
      <c r="F18" s="14">
        <v>41800.0</v>
      </c>
      <c r="G18" s="14">
        <v>18.0</v>
      </c>
      <c r="H18" s="14">
        <v>280.0</v>
      </c>
      <c r="I18" s="13">
        <v>46141.0</v>
      </c>
      <c r="J18" s="12" t="s">
        <v>877</v>
      </c>
      <c r="K18" s="12"/>
      <c r="L18" s="12"/>
      <c r="M18" s="12"/>
      <c r="N18" s="12" t="s">
        <v>210</v>
      </c>
      <c r="O18" s="12" t="s">
        <v>72</v>
      </c>
      <c r="P18" s="13"/>
      <c r="Q18" s="12" t="s">
        <v>878</v>
      </c>
      <c r="R18" s="12"/>
    </row>
    <row r="19">
      <c r="A19" s="12" t="s">
        <v>905</v>
      </c>
      <c r="B19" s="12" t="s">
        <v>906</v>
      </c>
      <c r="C19" s="14">
        <v>1000.0</v>
      </c>
      <c r="D19" s="14">
        <v>4300.0</v>
      </c>
      <c r="E19" s="14">
        <v>27.0</v>
      </c>
      <c r="F19" s="14">
        <v>68300.0</v>
      </c>
      <c r="G19" s="14">
        <v>14.0</v>
      </c>
      <c r="H19" s="14">
        <v>22.0</v>
      </c>
      <c r="I19" s="13">
        <v>46141.0</v>
      </c>
      <c r="J19" s="12" t="s">
        <v>877</v>
      </c>
      <c r="K19" s="12"/>
      <c r="L19" s="12"/>
      <c r="M19" s="12"/>
      <c r="N19" s="12" t="s">
        <v>210</v>
      </c>
      <c r="O19" s="12" t="s">
        <v>72</v>
      </c>
      <c r="P19" s="13"/>
      <c r="Q19" s="12" t="s">
        <v>878</v>
      </c>
      <c r="R19" s="12"/>
    </row>
    <row r="20">
      <c r="A20" s="12" t="s">
        <v>907</v>
      </c>
      <c r="B20" s="12" t="s">
        <v>908</v>
      </c>
      <c r="C20" s="14">
        <v>241.0</v>
      </c>
      <c r="D20" s="14">
        <v>28.0</v>
      </c>
      <c r="E20" s="14">
        <v>8.0</v>
      </c>
      <c r="F20" s="14">
        <v>503.0</v>
      </c>
      <c r="G20" s="14">
        <v>0.0</v>
      </c>
      <c r="H20" s="14">
        <v>0.0</v>
      </c>
      <c r="I20" s="13">
        <v>46141.0</v>
      </c>
      <c r="J20" s="12" t="s">
        <v>877</v>
      </c>
      <c r="K20" s="12"/>
      <c r="L20" s="12"/>
      <c r="M20" s="12"/>
      <c r="N20" s="12" t="s">
        <v>210</v>
      </c>
      <c r="O20" s="12" t="s">
        <v>72</v>
      </c>
      <c r="P20" s="13"/>
      <c r="Q20" s="12" t="s">
        <v>878</v>
      </c>
      <c r="R20" s="12"/>
    </row>
    <row r="21" ht="15.75" customHeight="1">
      <c r="A21" s="12" t="s">
        <v>909</v>
      </c>
      <c r="B21" s="12" t="s">
        <v>910</v>
      </c>
      <c r="C21" s="14">
        <v>2.0</v>
      </c>
      <c r="D21" s="14">
        <v>4.0</v>
      </c>
      <c r="E21" s="14">
        <v>5.0</v>
      </c>
      <c r="F21" s="14">
        <v>1300.0</v>
      </c>
      <c r="G21" s="14">
        <v>0.0</v>
      </c>
      <c r="H21" s="14">
        <v>0.0</v>
      </c>
      <c r="I21" s="13">
        <v>46141.0</v>
      </c>
      <c r="J21" s="12" t="s">
        <v>877</v>
      </c>
      <c r="K21" s="12"/>
      <c r="L21" s="12"/>
      <c r="M21" s="12"/>
      <c r="N21" s="12" t="s">
        <v>210</v>
      </c>
      <c r="O21" s="12" t="s">
        <v>72</v>
      </c>
      <c r="P21" s="13"/>
      <c r="Q21" s="12" t="s">
        <v>878</v>
      </c>
      <c r="R21" s="12"/>
    </row>
    <row r="22" ht="15.75" customHeight="1">
      <c r="A22" s="12" t="s">
        <v>911</v>
      </c>
      <c r="B22" s="12" t="s">
        <v>912</v>
      </c>
      <c r="C22" s="14">
        <v>0.0</v>
      </c>
      <c r="D22" s="14">
        <v>7.0</v>
      </c>
      <c r="E22" s="14">
        <v>2.0</v>
      </c>
      <c r="F22" s="14">
        <v>378.0</v>
      </c>
      <c r="G22" s="14">
        <v>14.0</v>
      </c>
      <c r="H22" s="14">
        <v>1.0</v>
      </c>
      <c r="I22" s="13">
        <v>46141.0</v>
      </c>
      <c r="J22" s="12" t="s">
        <v>877</v>
      </c>
      <c r="K22" s="12"/>
      <c r="L22" s="12"/>
      <c r="M22" s="12"/>
      <c r="N22" s="12" t="s">
        <v>210</v>
      </c>
      <c r="O22" s="12" t="s">
        <v>72</v>
      </c>
      <c r="P22" s="13"/>
      <c r="Q22" s="12" t="s">
        <v>878</v>
      </c>
      <c r="R22" s="12"/>
    </row>
    <row r="23" ht="15.75" customHeight="1">
      <c r="A23" s="12" t="s">
        <v>913</v>
      </c>
      <c r="B23" s="12" t="s">
        <v>914</v>
      </c>
      <c r="C23" s="14">
        <v>51.0</v>
      </c>
      <c r="D23" s="14">
        <v>19.0</v>
      </c>
      <c r="E23" s="14">
        <v>7.0</v>
      </c>
      <c r="F23" s="14">
        <v>206.0</v>
      </c>
      <c r="G23" s="14">
        <v>0.0</v>
      </c>
      <c r="H23" s="14">
        <v>0.0</v>
      </c>
      <c r="I23" s="13">
        <v>46141.0</v>
      </c>
      <c r="J23" s="12" t="s">
        <v>877</v>
      </c>
      <c r="K23" s="12"/>
      <c r="L23" s="12"/>
      <c r="M23" s="12"/>
      <c r="N23" s="12" t="s">
        <v>210</v>
      </c>
      <c r="O23" s="12" t="s">
        <v>72</v>
      </c>
      <c r="P23" s="13"/>
      <c r="Q23" s="12" t="s">
        <v>878</v>
      </c>
      <c r="R23" s="12"/>
    </row>
    <row r="24" ht="15.75" customHeight="1">
      <c r="A24" s="12" t="s">
        <v>915</v>
      </c>
      <c r="B24" s="12" t="s">
        <v>916</v>
      </c>
      <c r="C24" s="14">
        <v>0.0</v>
      </c>
      <c r="D24" s="14">
        <v>1.0</v>
      </c>
      <c r="E24" s="14">
        <v>2.0</v>
      </c>
      <c r="F24" s="14">
        <v>170.0</v>
      </c>
      <c r="G24" s="14">
        <v>0.0</v>
      </c>
      <c r="H24" s="14">
        <v>0.0</v>
      </c>
      <c r="I24" s="13">
        <v>46141.0</v>
      </c>
      <c r="J24" s="12" t="s">
        <v>877</v>
      </c>
      <c r="K24" s="12"/>
      <c r="L24" s="12"/>
      <c r="M24" s="12"/>
      <c r="N24" s="12" t="s">
        <v>210</v>
      </c>
      <c r="O24" s="12" t="s">
        <v>72</v>
      </c>
      <c r="P24" s="13"/>
      <c r="Q24" s="12" t="s">
        <v>878</v>
      </c>
      <c r="R24" s="12"/>
    </row>
    <row r="25" ht="15.75" customHeight="1">
      <c r="A25" s="12" t="s">
        <v>917</v>
      </c>
      <c r="B25" s="12" t="s">
        <v>918</v>
      </c>
      <c r="C25" s="14">
        <v>613.0</v>
      </c>
      <c r="D25" s="14">
        <v>14.0</v>
      </c>
      <c r="E25" s="14">
        <v>10.0</v>
      </c>
      <c r="F25" s="14">
        <v>570.0</v>
      </c>
      <c r="G25" s="14">
        <v>14.0</v>
      </c>
      <c r="H25" s="14">
        <v>1.0</v>
      </c>
      <c r="I25" s="13">
        <v>46141.0</v>
      </c>
      <c r="J25" s="12" t="s">
        <v>877</v>
      </c>
      <c r="K25" s="12"/>
      <c r="L25" s="12"/>
      <c r="M25" s="12"/>
      <c r="N25" s="12" t="s">
        <v>210</v>
      </c>
      <c r="O25" s="12" t="s">
        <v>72</v>
      </c>
      <c r="P25" s="13"/>
      <c r="Q25" s="12" t="s">
        <v>878</v>
      </c>
      <c r="R25" s="12"/>
    </row>
    <row r="26" ht="15.75" customHeight="1">
      <c r="A26" s="12" t="s">
        <v>919</v>
      </c>
      <c r="B26" s="12" t="s">
        <v>920</v>
      </c>
      <c r="C26" s="14">
        <v>0.0</v>
      </c>
      <c r="D26" s="14">
        <v>1.0</v>
      </c>
      <c r="E26" s="14">
        <v>2.0</v>
      </c>
      <c r="F26" s="14">
        <v>138.0</v>
      </c>
      <c r="G26" s="14">
        <v>0.0</v>
      </c>
      <c r="H26" s="14">
        <v>0.0</v>
      </c>
      <c r="I26" s="13">
        <v>46141.0</v>
      </c>
      <c r="J26" s="12" t="s">
        <v>877</v>
      </c>
      <c r="K26" s="12"/>
      <c r="L26" s="12"/>
      <c r="M26" s="12"/>
      <c r="N26" s="12" t="s">
        <v>210</v>
      </c>
      <c r="O26" s="12" t="s">
        <v>72</v>
      </c>
      <c r="P26" s="13"/>
      <c r="Q26" s="12" t="s">
        <v>878</v>
      </c>
      <c r="R26" s="12"/>
    </row>
    <row r="27" ht="15.75" customHeight="1">
      <c r="A27" s="12" t="s">
        <v>921</v>
      </c>
      <c r="B27" s="12" t="s">
        <v>922</v>
      </c>
      <c r="C27" s="14">
        <v>313.0</v>
      </c>
      <c r="D27" s="14">
        <v>14.0</v>
      </c>
      <c r="E27" s="14">
        <v>9.0</v>
      </c>
      <c r="F27" s="14">
        <v>4300.0</v>
      </c>
      <c r="G27" s="14">
        <v>14.0</v>
      </c>
      <c r="H27" s="14">
        <v>0.0</v>
      </c>
      <c r="I27" s="13">
        <v>46141.0</v>
      </c>
      <c r="J27" s="12" t="s">
        <v>877</v>
      </c>
      <c r="K27" s="12"/>
      <c r="L27" s="12"/>
      <c r="M27" s="12"/>
      <c r="N27" s="12" t="s">
        <v>210</v>
      </c>
      <c r="O27" s="12" t="s">
        <v>72</v>
      </c>
      <c r="P27" s="13"/>
      <c r="Q27" s="12" t="s">
        <v>878</v>
      </c>
      <c r="R27" s="12"/>
    </row>
    <row r="28" ht="15.75" customHeight="1">
      <c r="A28" s="12" t="s">
        <v>923</v>
      </c>
      <c r="B28" s="12" t="s">
        <v>924</v>
      </c>
      <c r="C28" s="14">
        <v>0.0</v>
      </c>
      <c r="D28" s="14">
        <v>0.0</v>
      </c>
      <c r="E28" s="14">
        <v>2.0</v>
      </c>
      <c r="F28" s="14">
        <v>14.0</v>
      </c>
      <c r="G28" s="14">
        <v>14.0</v>
      </c>
      <c r="H28" s="14">
        <v>0.0</v>
      </c>
      <c r="I28" s="13">
        <v>46141.0</v>
      </c>
      <c r="J28" s="12" t="s">
        <v>877</v>
      </c>
      <c r="K28" s="12"/>
      <c r="L28" s="12"/>
      <c r="M28" s="12"/>
      <c r="N28" s="12" t="s">
        <v>210</v>
      </c>
      <c r="O28" s="12" t="s">
        <v>72</v>
      </c>
      <c r="P28" s="13"/>
      <c r="Q28" s="12" t="s">
        <v>878</v>
      </c>
      <c r="R28" s="12"/>
    </row>
    <row r="29" ht="15.75" customHeight="1">
      <c r="A29" s="12" t="s">
        <v>925</v>
      </c>
      <c r="B29" s="12" t="s">
        <v>926</v>
      </c>
      <c r="C29" s="14">
        <v>0.0</v>
      </c>
      <c r="D29" s="14">
        <v>1.0</v>
      </c>
      <c r="E29" s="14">
        <v>2.0</v>
      </c>
      <c r="F29" s="14">
        <v>343.0</v>
      </c>
      <c r="G29" s="14">
        <v>0.0</v>
      </c>
      <c r="H29" s="14">
        <v>0.0</v>
      </c>
      <c r="I29" s="13">
        <v>46141.0</v>
      </c>
      <c r="J29" s="12" t="s">
        <v>877</v>
      </c>
      <c r="K29" s="12"/>
      <c r="L29" s="12"/>
      <c r="M29" s="12"/>
      <c r="N29" s="12" t="s">
        <v>210</v>
      </c>
      <c r="O29" s="12" t="s">
        <v>72</v>
      </c>
      <c r="P29" s="13"/>
      <c r="Q29" s="12" t="s">
        <v>878</v>
      </c>
      <c r="R29" s="12"/>
    </row>
    <row r="30" ht="15.75" customHeight="1">
      <c r="A30" s="12" t="s">
        <v>927</v>
      </c>
      <c r="B30" s="12" t="s">
        <v>928</v>
      </c>
      <c r="C30" s="14">
        <v>51.0</v>
      </c>
      <c r="D30" s="14">
        <v>1.0</v>
      </c>
      <c r="E30" s="14">
        <v>7.0</v>
      </c>
      <c r="F30" s="14">
        <v>327.0</v>
      </c>
      <c r="G30" s="14">
        <v>0.0</v>
      </c>
      <c r="H30" s="14">
        <v>0.0</v>
      </c>
      <c r="I30" s="13">
        <v>46141.0</v>
      </c>
      <c r="J30" s="12" t="s">
        <v>877</v>
      </c>
      <c r="K30" s="12"/>
      <c r="L30" s="12"/>
      <c r="M30" s="12"/>
      <c r="N30" s="12" t="s">
        <v>210</v>
      </c>
      <c r="O30" s="12" t="s">
        <v>72</v>
      </c>
      <c r="P30" s="13"/>
      <c r="Q30" s="12" t="s">
        <v>878</v>
      </c>
      <c r="R30" s="12"/>
    </row>
    <row r="31" ht="15.75" customHeight="1">
      <c r="A31" s="12" t="s">
        <v>929</v>
      </c>
      <c r="B31" s="12" t="s">
        <v>930</v>
      </c>
      <c r="C31" s="14">
        <v>80.0</v>
      </c>
      <c r="D31" s="14">
        <v>20.0</v>
      </c>
      <c r="E31" s="14">
        <v>8.0</v>
      </c>
      <c r="F31" s="14">
        <v>268.0</v>
      </c>
      <c r="G31" s="14">
        <v>14.0</v>
      </c>
      <c r="H31" s="14">
        <v>0.0</v>
      </c>
      <c r="I31" s="13">
        <v>46141.0</v>
      </c>
      <c r="J31" s="12" t="s">
        <v>877</v>
      </c>
      <c r="K31" s="12"/>
      <c r="L31" s="12"/>
      <c r="M31" s="12"/>
      <c r="N31" s="12" t="s">
        <v>210</v>
      </c>
      <c r="O31" s="12" t="s">
        <v>72</v>
      </c>
      <c r="P31" s="13"/>
      <c r="Q31" s="12" t="s">
        <v>878</v>
      </c>
      <c r="R31" s="12"/>
    </row>
    <row r="32" ht="15.75" customHeight="1">
      <c r="A32" s="12" t="s">
        <v>931</v>
      </c>
      <c r="B32" s="12" t="s">
        <v>932</v>
      </c>
      <c r="C32" s="14">
        <v>473.0</v>
      </c>
      <c r="D32" s="14">
        <v>64.0</v>
      </c>
      <c r="E32" s="14">
        <v>10.0</v>
      </c>
      <c r="F32" s="14">
        <v>2400.0</v>
      </c>
      <c r="G32" s="14">
        <v>0.0</v>
      </c>
      <c r="H32" s="14">
        <v>0.0</v>
      </c>
      <c r="I32" s="13">
        <v>46141.0</v>
      </c>
      <c r="J32" s="12" t="s">
        <v>877</v>
      </c>
      <c r="K32" s="12"/>
      <c r="L32" s="12"/>
      <c r="M32" s="12"/>
      <c r="N32" s="12" t="s">
        <v>210</v>
      </c>
      <c r="O32" s="12" t="s">
        <v>72</v>
      </c>
      <c r="P32" s="13"/>
      <c r="Q32" s="12" t="s">
        <v>878</v>
      </c>
      <c r="R32" s="12"/>
    </row>
    <row r="33" ht="15.75" customHeight="1">
      <c r="A33" s="12" t="s">
        <v>933</v>
      </c>
      <c r="B33" s="12" t="s">
        <v>934</v>
      </c>
      <c r="C33" s="14">
        <v>49200.0</v>
      </c>
      <c r="D33" s="14">
        <v>35000.0</v>
      </c>
      <c r="E33" s="14">
        <v>44.0</v>
      </c>
      <c r="F33" s="14">
        <v>528000.0</v>
      </c>
      <c r="G33" s="14">
        <v>26.0</v>
      </c>
      <c r="H33" s="14">
        <v>1600.0</v>
      </c>
      <c r="I33" s="13">
        <v>46141.0</v>
      </c>
      <c r="J33" s="12" t="s">
        <v>877</v>
      </c>
      <c r="K33" s="12"/>
      <c r="L33" s="12"/>
      <c r="M33" s="12"/>
      <c r="N33" s="12" t="s">
        <v>210</v>
      </c>
      <c r="O33" s="12" t="s">
        <v>72</v>
      </c>
      <c r="P33" s="13"/>
      <c r="Q33" s="12" t="s">
        <v>878</v>
      </c>
      <c r="R33" s="12"/>
    </row>
    <row r="34" ht="15.75" customHeight="1">
      <c r="A34" s="12" t="s">
        <v>935</v>
      </c>
      <c r="B34" s="12" t="s">
        <v>936</v>
      </c>
      <c r="C34" s="14">
        <v>0.0</v>
      </c>
      <c r="D34" s="14">
        <v>2.0</v>
      </c>
      <c r="E34" s="14">
        <v>2.0</v>
      </c>
      <c r="F34" s="14">
        <v>166.0</v>
      </c>
      <c r="G34" s="14">
        <v>0.0</v>
      </c>
      <c r="H34" s="14">
        <v>0.0</v>
      </c>
      <c r="I34" s="13">
        <v>46141.0</v>
      </c>
      <c r="J34" s="12" t="s">
        <v>877</v>
      </c>
      <c r="K34" s="12"/>
      <c r="L34" s="12"/>
      <c r="M34" s="12"/>
      <c r="N34" s="12" t="s">
        <v>210</v>
      </c>
      <c r="O34" s="12" t="s">
        <v>72</v>
      </c>
      <c r="P34" s="13"/>
      <c r="Q34" s="12" t="s">
        <v>878</v>
      </c>
      <c r="R34" s="12"/>
    </row>
    <row r="35" ht="15.75" customHeight="1">
      <c r="A35" s="12" t="s">
        <v>937</v>
      </c>
      <c r="B35" s="12" t="s">
        <v>938</v>
      </c>
      <c r="C35" s="14">
        <v>6.0</v>
      </c>
      <c r="D35" s="14">
        <v>3.0</v>
      </c>
      <c r="E35" s="14">
        <v>5.0</v>
      </c>
      <c r="F35" s="14">
        <v>36.0</v>
      </c>
      <c r="G35" s="14">
        <v>0.0</v>
      </c>
      <c r="H35" s="14">
        <v>0.0</v>
      </c>
      <c r="I35" s="13">
        <v>46141.0</v>
      </c>
      <c r="J35" s="12" t="s">
        <v>877</v>
      </c>
      <c r="K35" s="12"/>
      <c r="L35" s="12"/>
      <c r="M35" s="12"/>
      <c r="N35" s="12" t="s">
        <v>210</v>
      </c>
      <c r="O35" s="12" t="s">
        <v>72</v>
      </c>
      <c r="P35" s="13"/>
      <c r="Q35" s="12" t="s">
        <v>878</v>
      </c>
      <c r="R35" s="12"/>
    </row>
    <row r="36" ht="15.75" customHeight="1">
      <c r="A36" s="12" t="s">
        <v>939</v>
      </c>
      <c r="B36" s="12" t="s">
        <v>940</v>
      </c>
      <c r="C36" s="14">
        <v>3.0</v>
      </c>
      <c r="D36" s="14">
        <v>33.0</v>
      </c>
      <c r="E36" s="14">
        <v>5.0</v>
      </c>
      <c r="F36" s="14">
        <v>191.0</v>
      </c>
      <c r="G36" s="14">
        <v>14.0</v>
      </c>
      <c r="H36" s="14">
        <v>2.0</v>
      </c>
      <c r="I36" s="13">
        <v>46141.0</v>
      </c>
      <c r="J36" s="12" t="s">
        <v>877</v>
      </c>
      <c r="K36" s="12"/>
      <c r="L36" s="12"/>
      <c r="M36" s="12"/>
      <c r="N36" s="12" t="s">
        <v>210</v>
      </c>
      <c r="O36" s="12" t="s">
        <v>72</v>
      </c>
      <c r="P36" s="13"/>
      <c r="Q36" s="12" t="s">
        <v>878</v>
      </c>
      <c r="R36" s="12"/>
    </row>
    <row r="37" ht="15.75" customHeight="1">
      <c r="A37" s="12" t="s">
        <v>941</v>
      </c>
      <c r="B37" s="12" t="s">
        <v>942</v>
      </c>
      <c r="C37" s="14">
        <v>0.0</v>
      </c>
      <c r="D37" s="14">
        <v>75.0</v>
      </c>
      <c r="E37" s="14">
        <v>11.0</v>
      </c>
      <c r="F37" s="14">
        <v>5000.0</v>
      </c>
      <c r="G37" s="14">
        <v>14.0</v>
      </c>
      <c r="H37" s="14">
        <v>2.0</v>
      </c>
      <c r="I37" s="13">
        <v>46141.0</v>
      </c>
      <c r="J37" s="12" t="s">
        <v>877</v>
      </c>
      <c r="K37" s="12"/>
      <c r="L37" s="12"/>
      <c r="M37" s="12"/>
      <c r="N37" s="12" t="s">
        <v>210</v>
      </c>
      <c r="O37" s="12" t="s">
        <v>72</v>
      </c>
      <c r="P37" s="13"/>
      <c r="Q37" s="12" t="s">
        <v>878</v>
      </c>
      <c r="R37" s="12"/>
    </row>
    <row r="38" ht="15.75" customHeight="1">
      <c r="A38" s="12" t="s">
        <v>943</v>
      </c>
      <c r="B38" s="12" t="s">
        <v>944</v>
      </c>
      <c r="C38" s="14">
        <v>789800.0</v>
      </c>
      <c r="D38" s="14">
        <v>6000.0</v>
      </c>
      <c r="E38" s="14">
        <v>51.0</v>
      </c>
      <c r="F38" s="14">
        <v>66900.0</v>
      </c>
      <c r="G38" s="14">
        <v>32.0</v>
      </c>
      <c r="H38" s="14">
        <v>120.0</v>
      </c>
      <c r="I38" s="13">
        <v>46141.0</v>
      </c>
      <c r="J38" s="12" t="s">
        <v>877</v>
      </c>
      <c r="K38" s="12"/>
      <c r="L38" s="12"/>
      <c r="M38" s="12"/>
      <c r="N38" s="12" t="s">
        <v>210</v>
      </c>
      <c r="O38" s="12" t="s">
        <v>72</v>
      </c>
      <c r="P38" s="13"/>
      <c r="Q38" s="12" t="s">
        <v>878</v>
      </c>
      <c r="R38" s="12"/>
    </row>
    <row r="39" ht="15.75" customHeight="1">
      <c r="A39" s="12"/>
      <c r="B39" s="12"/>
      <c r="C39" s="14"/>
      <c r="D39" s="14"/>
      <c r="E39" s="14"/>
      <c r="F39" s="14"/>
      <c r="G39" s="14"/>
      <c r="H39" s="14"/>
      <c r="I39" s="13"/>
      <c r="J39" s="12"/>
      <c r="K39" s="12"/>
      <c r="L39" s="12"/>
      <c r="M39" s="12"/>
      <c r="N39" s="12"/>
      <c r="O39" s="12"/>
      <c r="P39" s="13"/>
      <c r="Q39" s="12"/>
      <c r="R39" s="12"/>
    </row>
    <row r="40" ht="15.75" customHeight="1">
      <c r="A40" s="12"/>
      <c r="B40" s="12"/>
      <c r="C40" s="14"/>
      <c r="D40" s="14"/>
      <c r="E40" s="14"/>
      <c r="F40" s="14"/>
      <c r="G40" s="14"/>
      <c r="H40" s="14"/>
      <c r="I40" s="13"/>
      <c r="J40" s="12"/>
      <c r="K40" s="12"/>
      <c r="L40" s="12"/>
      <c r="M40" s="12"/>
      <c r="N40" s="12"/>
      <c r="O40" s="12"/>
      <c r="P40" s="13"/>
      <c r="Q40" s="12"/>
      <c r="R40" s="12"/>
    </row>
    <row r="41" ht="15.75" customHeight="1">
      <c r="A41" s="12"/>
      <c r="B41" s="12"/>
      <c r="C41" s="14"/>
      <c r="D41" s="14"/>
      <c r="E41" s="14"/>
      <c r="F41" s="14"/>
      <c r="G41" s="14"/>
      <c r="H41" s="14"/>
      <c r="I41" s="13"/>
      <c r="J41" s="12"/>
      <c r="K41" s="12"/>
      <c r="L41" s="12"/>
      <c r="M41" s="12"/>
      <c r="N41" s="12"/>
      <c r="O41" s="12"/>
      <c r="P41" s="13"/>
      <c r="Q41" s="12"/>
      <c r="R41" s="12"/>
    </row>
    <row r="42" ht="15.75" customHeight="1">
      <c r="A42" s="12"/>
      <c r="B42" s="12"/>
      <c r="C42" s="14"/>
      <c r="D42" s="14"/>
      <c r="E42" s="14"/>
      <c r="F42" s="14"/>
      <c r="G42" s="14"/>
      <c r="H42" s="14"/>
      <c r="I42" s="13"/>
      <c r="J42" s="12"/>
      <c r="K42" s="12"/>
      <c r="L42" s="12"/>
      <c r="M42" s="12"/>
      <c r="N42" s="12"/>
      <c r="O42" s="12"/>
      <c r="P42" s="13"/>
      <c r="Q42" s="12"/>
      <c r="R42" s="12"/>
    </row>
    <row r="43" ht="15.75" customHeight="1">
      <c r="A43" s="12"/>
      <c r="B43" s="12"/>
      <c r="C43" s="14"/>
      <c r="D43" s="14"/>
      <c r="E43" s="14"/>
      <c r="F43" s="14"/>
      <c r="G43" s="14"/>
      <c r="H43" s="14"/>
      <c r="I43" s="13"/>
      <c r="J43" s="12"/>
      <c r="K43" s="12"/>
      <c r="L43" s="12"/>
      <c r="M43" s="12"/>
      <c r="N43" s="12"/>
      <c r="O43" s="12"/>
      <c r="P43" s="13"/>
      <c r="Q43" s="12"/>
      <c r="R43" s="12"/>
    </row>
    <row r="44" ht="15.75" customHeight="1">
      <c r="A44" s="12"/>
      <c r="B44" s="12"/>
      <c r="C44" s="14"/>
      <c r="D44" s="14"/>
      <c r="E44" s="14"/>
      <c r="F44" s="14"/>
      <c r="G44" s="14"/>
      <c r="H44" s="14"/>
      <c r="I44" s="13"/>
      <c r="J44" s="12"/>
      <c r="K44" s="12"/>
      <c r="L44" s="12"/>
      <c r="M44" s="12"/>
      <c r="N44" s="12"/>
      <c r="O44" s="12"/>
      <c r="P44" s="13"/>
      <c r="Q44" s="12"/>
      <c r="R44" s="12"/>
    </row>
    <row r="45" ht="15.75" customHeight="1">
      <c r="A45" s="12"/>
      <c r="B45" s="12"/>
      <c r="C45" s="14"/>
      <c r="D45" s="14"/>
      <c r="E45" s="14"/>
      <c r="F45" s="14"/>
      <c r="G45" s="14"/>
      <c r="H45" s="14"/>
      <c r="I45" s="13"/>
      <c r="J45" s="12"/>
      <c r="K45" s="12"/>
      <c r="L45" s="12"/>
      <c r="M45" s="12"/>
      <c r="N45" s="12"/>
      <c r="O45" s="12"/>
      <c r="P45" s="13"/>
      <c r="Q45" s="12"/>
      <c r="R45" s="12"/>
    </row>
    <row r="46" ht="15.75" customHeight="1">
      <c r="A46" s="12"/>
      <c r="B46" s="12"/>
      <c r="C46" s="14"/>
      <c r="D46" s="14"/>
      <c r="E46" s="14"/>
      <c r="F46" s="14"/>
      <c r="G46" s="14"/>
      <c r="H46" s="14"/>
      <c r="I46" s="13"/>
      <c r="J46" s="12"/>
      <c r="K46" s="12"/>
      <c r="L46" s="12"/>
      <c r="M46" s="12"/>
      <c r="N46" s="12"/>
      <c r="O46" s="12"/>
      <c r="P46" s="13"/>
      <c r="Q46" s="12"/>
      <c r="R46" s="12"/>
    </row>
    <row r="47" ht="15.75" customHeight="1">
      <c r="A47" s="12"/>
      <c r="B47" s="12"/>
      <c r="C47" s="14"/>
      <c r="D47" s="14"/>
      <c r="E47" s="14"/>
      <c r="F47" s="14"/>
      <c r="G47" s="14"/>
      <c r="H47" s="14"/>
      <c r="I47" s="13"/>
      <c r="J47" s="12"/>
      <c r="K47" s="12"/>
      <c r="L47" s="12"/>
      <c r="M47" s="12"/>
      <c r="N47" s="12"/>
      <c r="O47" s="12"/>
      <c r="P47" s="13"/>
      <c r="Q47" s="12"/>
      <c r="R47" s="12"/>
    </row>
    <row r="48" ht="15.75" customHeight="1">
      <c r="A48" s="12"/>
      <c r="B48" s="12"/>
      <c r="C48" s="14"/>
      <c r="D48" s="14"/>
      <c r="E48" s="14"/>
      <c r="F48" s="14"/>
      <c r="G48" s="14"/>
      <c r="H48" s="14"/>
      <c r="I48" s="13"/>
      <c r="J48" s="12"/>
      <c r="K48" s="12"/>
      <c r="L48" s="12"/>
      <c r="M48" s="12"/>
      <c r="N48" s="12"/>
      <c r="O48" s="12"/>
      <c r="P48" s="13"/>
      <c r="Q48" s="12"/>
      <c r="R48" s="12"/>
    </row>
    <row r="49" ht="15.75" customHeight="1">
      <c r="A49" s="12"/>
      <c r="B49" s="12"/>
      <c r="C49" s="14"/>
      <c r="D49" s="14"/>
      <c r="E49" s="14"/>
      <c r="F49" s="14"/>
      <c r="G49" s="14"/>
      <c r="H49" s="14"/>
      <c r="I49" s="13"/>
      <c r="J49" s="12"/>
      <c r="K49" s="12"/>
      <c r="L49" s="12"/>
      <c r="M49" s="12"/>
      <c r="N49" s="12"/>
      <c r="O49" s="12"/>
      <c r="P49" s="13"/>
      <c r="Q49" s="12"/>
      <c r="R49" s="12"/>
    </row>
    <row r="50" ht="15.75" customHeight="1">
      <c r="A50" s="12"/>
      <c r="B50" s="12"/>
      <c r="C50" s="14"/>
      <c r="D50" s="14"/>
      <c r="E50" s="14"/>
      <c r="F50" s="14"/>
      <c r="G50" s="14"/>
      <c r="H50" s="14"/>
      <c r="I50" s="13"/>
      <c r="J50" s="12"/>
      <c r="K50" s="12"/>
      <c r="L50" s="12"/>
      <c r="M50" s="12"/>
      <c r="N50" s="12"/>
      <c r="O50" s="12"/>
      <c r="P50" s="13"/>
      <c r="Q50" s="12"/>
      <c r="R50" s="12"/>
    </row>
    <row r="51" ht="15.75" customHeight="1">
      <c r="A51" s="12"/>
      <c r="B51" s="12"/>
      <c r="C51" s="14"/>
      <c r="D51" s="14"/>
      <c r="E51" s="14"/>
      <c r="F51" s="14"/>
      <c r="G51" s="14"/>
      <c r="H51" s="14"/>
      <c r="I51" s="13"/>
      <c r="J51" s="12"/>
      <c r="K51" s="12"/>
      <c r="L51" s="12"/>
      <c r="M51" s="12"/>
      <c r="N51" s="12"/>
      <c r="O51" s="12"/>
      <c r="P51" s="13"/>
      <c r="Q51" s="12"/>
      <c r="R51" s="12"/>
    </row>
    <row r="52" ht="15.75" customHeight="1">
      <c r="A52" s="12"/>
      <c r="B52" s="12"/>
      <c r="C52" s="14"/>
      <c r="D52" s="14"/>
      <c r="E52" s="14"/>
      <c r="F52" s="14"/>
      <c r="G52" s="14"/>
      <c r="H52" s="14"/>
      <c r="I52" s="13"/>
      <c r="J52" s="12"/>
      <c r="K52" s="12"/>
      <c r="L52" s="12"/>
      <c r="M52" s="12"/>
      <c r="N52" s="12"/>
      <c r="O52" s="12"/>
      <c r="P52" s="13"/>
      <c r="Q52" s="12"/>
      <c r="R52" s="12"/>
    </row>
    <row r="53" ht="15.75" customHeight="1">
      <c r="A53" s="12"/>
      <c r="B53" s="12"/>
      <c r="C53" s="14"/>
      <c r="D53" s="14"/>
      <c r="E53" s="14"/>
      <c r="F53" s="14"/>
      <c r="G53" s="14"/>
      <c r="H53" s="14"/>
      <c r="I53" s="13"/>
      <c r="J53" s="12"/>
      <c r="K53" s="12"/>
      <c r="L53" s="12"/>
      <c r="M53" s="12"/>
      <c r="N53" s="12"/>
      <c r="O53" s="12"/>
      <c r="P53" s="13"/>
      <c r="Q53" s="12"/>
      <c r="R53" s="12"/>
    </row>
    <row r="54" ht="15.75" customHeight="1">
      <c r="A54" s="12"/>
      <c r="B54" s="12"/>
      <c r="C54" s="14"/>
      <c r="D54" s="14"/>
      <c r="E54" s="14"/>
      <c r="F54" s="14"/>
      <c r="G54" s="14"/>
      <c r="H54" s="14"/>
      <c r="I54" s="13"/>
      <c r="J54" s="12"/>
      <c r="K54" s="12"/>
      <c r="L54" s="12"/>
      <c r="M54" s="12"/>
      <c r="N54" s="12"/>
      <c r="O54" s="12"/>
      <c r="P54" s="13"/>
      <c r="Q54" s="12"/>
      <c r="R54" s="12"/>
    </row>
    <row r="55" ht="15.75" customHeight="1">
      <c r="A55" s="12"/>
      <c r="B55" s="12"/>
      <c r="C55" s="14"/>
      <c r="D55" s="14"/>
      <c r="E55" s="14"/>
      <c r="F55" s="14"/>
      <c r="G55" s="14"/>
      <c r="H55" s="14"/>
      <c r="I55" s="13"/>
      <c r="J55" s="12"/>
      <c r="K55" s="12"/>
      <c r="L55" s="12"/>
      <c r="M55" s="12"/>
      <c r="N55" s="12"/>
      <c r="O55" s="12"/>
      <c r="P55" s="13"/>
      <c r="Q55" s="12"/>
      <c r="R55" s="12"/>
    </row>
    <row r="56" ht="15.75" customHeight="1">
      <c r="A56" s="12"/>
      <c r="B56" s="12"/>
      <c r="C56" s="14"/>
      <c r="D56" s="14"/>
      <c r="E56" s="14"/>
      <c r="F56" s="14"/>
      <c r="G56" s="14"/>
      <c r="H56" s="14"/>
      <c r="I56" s="13"/>
      <c r="J56" s="12"/>
      <c r="K56" s="12"/>
      <c r="L56" s="12"/>
      <c r="M56" s="12"/>
      <c r="N56" s="12"/>
      <c r="O56" s="12"/>
      <c r="P56" s="13"/>
      <c r="Q56" s="12"/>
      <c r="R56" s="12"/>
    </row>
    <row r="57" ht="15.75" customHeight="1">
      <c r="A57" s="12"/>
      <c r="B57" s="12"/>
      <c r="C57" s="14"/>
      <c r="D57" s="14"/>
      <c r="E57" s="14"/>
      <c r="F57" s="14"/>
      <c r="G57" s="14"/>
      <c r="H57" s="14"/>
      <c r="I57" s="13"/>
      <c r="J57" s="12"/>
      <c r="K57" s="12"/>
      <c r="L57" s="12"/>
      <c r="M57" s="12"/>
      <c r="N57" s="12"/>
      <c r="O57" s="12"/>
      <c r="P57" s="13"/>
      <c r="Q57" s="12"/>
      <c r="R57" s="12"/>
    </row>
    <row r="58" ht="15.75" customHeight="1">
      <c r="A58" s="12"/>
      <c r="B58" s="12"/>
      <c r="C58" s="14"/>
      <c r="D58" s="14"/>
      <c r="E58" s="14"/>
      <c r="F58" s="14"/>
      <c r="G58" s="14"/>
      <c r="H58" s="14"/>
      <c r="I58" s="13"/>
      <c r="J58" s="12"/>
      <c r="K58" s="12"/>
      <c r="L58" s="12"/>
      <c r="M58" s="12"/>
      <c r="N58" s="12"/>
      <c r="O58" s="12"/>
      <c r="P58" s="13"/>
      <c r="Q58" s="12"/>
      <c r="R58" s="12"/>
    </row>
    <row r="59" ht="15.75" customHeight="1">
      <c r="A59" s="12"/>
      <c r="B59" s="12"/>
      <c r="C59" s="14"/>
      <c r="D59" s="14"/>
      <c r="E59" s="14"/>
      <c r="F59" s="14"/>
      <c r="G59" s="14"/>
      <c r="H59" s="14"/>
      <c r="I59" s="13"/>
      <c r="J59" s="12"/>
      <c r="K59" s="12"/>
      <c r="L59" s="12"/>
      <c r="M59" s="12"/>
      <c r="N59" s="12"/>
      <c r="O59" s="12"/>
      <c r="P59" s="13"/>
      <c r="Q59" s="12"/>
      <c r="R59" s="12"/>
    </row>
    <row r="60" ht="15.75" customHeight="1">
      <c r="A60" s="12"/>
      <c r="B60" s="12"/>
      <c r="C60" s="14"/>
      <c r="D60" s="14"/>
      <c r="E60" s="14"/>
      <c r="F60" s="14"/>
      <c r="G60" s="14"/>
      <c r="H60" s="14"/>
      <c r="I60" s="13"/>
      <c r="J60" s="12"/>
      <c r="K60" s="12"/>
      <c r="L60" s="12"/>
      <c r="M60" s="12"/>
      <c r="N60" s="12"/>
      <c r="O60" s="12"/>
      <c r="P60" s="13"/>
      <c r="Q60" s="12"/>
      <c r="R60" s="12"/>
    </row>
    <row r="61" ht="15.75" customHeight="1">
      <c r="A61" s="12"/>
      <c r="B61" s="12"/>
      <c r="C61" s="14"/>
      <c r="D61" s="14"/>
      <c r="E61" s="14"/>
      <c r="F61" s="14"/>
      <c r="G61" s="14"/>
      <c r="H61" s="14"/>
      <c r="I61" s="13"/>
      <c r="J61" s="12"/>
      <c r="K61" s="12"/>
      <c r="L61" s="12"/>
      <c r="M61" s="12"/>
      <c r="N61" s="12"/>
      <c r="O61" s="12"/>
      <c r="P61" s="13"/>
      <c r="Q61" s="12"/>
      <c r="R61" s="12"/>
    </row>
    <row r="62" ht="15.75" customHeight="1">
      <c r="A62" s="12"/>
      <c r="B62" s="12"/>
      <c r="C62" s="14"/>
      <c r="D62" s="14"/>
      <c r="E62" s="14"/>
      <c r="F62" s="14"/>
      <c r="G62" s="14"/>
      <c r="H62" s="14"/>
      <c r="I62" s="13"/>
      <c r="J62" s="12"/>
      <c r="K62" s="12"/>
      <c r="L62" s="12"/>
      <c r="M62" s="12"/>
      <c r="N62" s="12"/>
      <c r="O62" s="12"/>
      <c r="P62" s="13"/>
      <c r="Q62" s="12"/>
      <c r="R62" s="12"/>
    </row>
    <row r="63" ht="15.75" customHeight="1">
      <c r="A63" s="12"/>
      <c r="B63" s="12"/>
      <c r="C63" s="14"/>
      <c r="D63" s="14"/>
      <c r="E63" s="14"/>
      <c r="F63" s="14"/>
      <c r="G63" s="14"/>
      <c r="H63" s="14"/>
      <c r="I63" s="13"/>
      <c r="J63" s="12"/>
      <c r="K63" s="12"/>
      <c r="L63" s="12"/>
      <c r="M63" s="12"/>
      <c r="N63" s="12"/>
      <c r="O63" s="12"/>
      <c r="P63" s="13"/>
      <c r="Q63" s="12"/>
      <c r="R63" s="12"/>
    </row>
    <row r="64" ht="15.75" customHeight="1">
      <c r="A64" s="12"/>
      <c r="B64" s="12"/>
      <c r="C64" s="14"/>
      <c r="D64" s="14"/>
      <c r="E64" s="14"/>
      <c r="F64" s="14"/>
      <c r="G64" s="14"/>
      <c r="H64" s="14"/>
      <c r="I64" s="13"/>
      <c r="J64" s="12"/>
      <c r="K64" s="12"/>
      <c r="L64" s="12"/>
      <c r="M64" s="12"/>
      <c r="N64" s="12"/>
      <c r="O64" s="12"/>
      <c r="P64" s="13"/>
      <c r="Q64" s="12"/>
      <c r="R64" s="12"/>
    </row>
    <row r="65" ht="15.75" customHeight="1">
      <c r="A65" s="12"/>
      <c r="B65" s="12"/>
      <c r="C65" s="14"/>
      <c r="D65" s="14"/>
      <c r="E65" s="14"/>
      <c r="F65" s="14"/>
      <c r="G65" s="14"/>
      <c r="H65" s="14"/>
      <c r="I65" s="13"/>
      <c r="J65" s="12"/>
      <c r="K65" s="12"/>
      <c r="L65" s="12"/>
      <c r="M65" s="12"/>
      <c r="N65" s="12"/>
      <c r="O65" s="12"/>
      <c r="P65" s="13"/>
      <c r="Q65" s="12"/>
      <c r="R65" s="12"/>
    </row>
    <row r="66" ht="15.75" customHeight="1">
      <c r="A66" s="12"/>
      <c r="B66" s="12"/>
      <c r="C66" s="14"/>
      <c r="D66" s="14"/>
      <c r="E66" s="14"/>
      <c r="F66" s="14"/>
      <c r="G66" s="14"/>
      <c r="H66" s="14"/>
      <c r="I66" s="13"/>
      <c r="J66" s="12"/>
      <c r="K66" s="12"/>
      <c r="L66" s="12"/>
      <c r="M66" s="12"/>
      <c r="N66" s="12"/>
      <c r="O66" s="12"/>
      <c r="P66" s="13"/>
      <c r="Q66" s="12"/>
      <c r="R66" s="12"/>
    </row>
    <row r="67" ht="15.75" customHeight="1">
      <c r="A67" s="12"/>
      <c r="B67" s="12"/>
      <c r="C67" s="14"/>
      <c r="D67" s="14"/>
      <c r="E67" s="14"/>
      <c r="F67" s="14"/>
      <c r="G67" s="14"/>
      <c r="H67" s="14"/>
      <c r="I67" s="13"/>
      <c r="J67" s="12"/>
      <c r="K67" s="12"/>
      <c r="L67" s="12"/>
      <c r="M67" s="12"/>
      <c r="N67" s="12"/>
      <c r="O67" s="12"/>
      <c r="P67" s="13"/>
      <c r="Q67" s="12"/>
      <c r="R67" s="12"/>
    </row>
    <row r="68" ht="15.75" customHeight="1">
      <c r="A68" s="12"/>
      <c r="B68" s="12"/>
      <c r="C68" s="14"/>
      <c r="D68" s="14"/>
      <c r="E68" s="14"/>
      <c r="F68" s="14"/>
      <c r="G68" s="14"/>
      <c r="H68" s="14"/>
      <c r="I68" s="13"/>
      <c r="J68" s="12"/>
      <c r="K68" s="12"/>
      <c r="L68" s="12"/>
      <c r="M68" s="12"/>
      <c r="N68" s="12"/>
      <c r="O68" s="12"/>
      <c r="P68" s="13"/>
      <c r="Q68" s="12"/>
      <c r="R68" s="12"/>
    </row>
    <row r="69" ht="15.75" customHeight="1">
      <c r="A69" s="12"/>
      <c r="B69" s="12"/>
      <c r="C69" s="14"/>
      <c r="D69" s="14"/>
      <c r="E69" s="14"/>
      <c r="F69" s="14"/>
      <c r="G69" s="14"/>
      <c r="H69" s="14"/>
      <c r="I69" s="13"/>
      <c r="J69" s="12"/>
      <c r="K69" s="12"/>
      <c r="L69" s="12"/>
      <c r="M69" s="12"/>
      <c r="N69" s="12"/>
      <c r="O69" s="12"/>
      <c r="P69" s="13"/>
      <c r="Q69" s="12"/>
      <c r="R69" s="12"/>
    </row>
    <row r="70" ht="15.75" customHeight="1">
      <c r="A70" s="12"/>
      <c r="B70" s="12"/>
      <c r="C70" s="14"/>
      <c r="D70" s="14"/>
      <c r="E70" s="14"/>
      <c r="F70" s="14"/>
      <c r="G70" s="14"/>
      <c r="H70" s="14"/>
      <c r="I70" s="13"/>
      <c r="J70" s="12"/>
      <c r="K70" s="12"/>
      <c r="L70" s="12"/>
      <c r="M70" s="12"/>
      <c r="N70" s="12"/>
      <c r="O70" s="12"/>
      <c r="P70" s="13"/>
      <c r="Q70" s="12"/>
      <c r="R70" s="12"/>
    </row>
    <row r="71" ht="15.75" customHeight="1">
      <c r="A71" s="12"/>
      <c r="B71" s="12"/>
      <c r="C71" s="14"/>
      <c r="D71" s="14"/>
      <c r="E71" s="14"/>
      <c r="F71" s="14"/>
      <c r="G71" s="14"/>
      <c r="H71" s="14"/>
      <c r="I71" s="13"/>
      <c r="J71" s="12"/>
      <c r="K71" s="12"/>
      <c r="L71" s="12"/>
      <c r="M71" s="12"/>
      <c r="N71" s="12"/>
      <c r="O71" s="12"/>
      <c r="P71" s="13"/>
      <c r="Q71" s="12"/>
      <c r="R71" s="12"/>
    </row>
    <row r="72" ht="15.75" customHeight="1">
      <c r="A72" s="12"/>
      <c r="B72" s="12"/>
      <c r="C72" s="14"/>
      <c r="D72" s="14"/>
      <c r="E72" s="14"/>
      <c r="F72" s="14"/>
      <c r="G72" s="14"/>
      <c r="H72" s="14"/>
      <c r="I72" s="13"/>
      <c r="J72" s="12"/>
      <c r="K72" s="12"/>
      <c r="L72" s="12"/>
      <c r="M72" s="12"/>
      <c r="N72" s="12"/>
      <c r="O72" s="12"/>
      <c r="P72" s="13"/>
      <c r="Q72" s="12"/>
      <c r="R72" s="12"/>
    </row>
    <row r="73" ht="15.75" customHeight="1">
      <c r="A73" s="12"/>
      <c r="B73" s="12"/>
      <c r="C73" s="14"/>
      <c r="D73" s="14"/>
      <c r="E73" s="14"/>
      <c r="F73" s="14"/>
      <c r="G73" s="14"/>
      <c r="H73" s="14"/>
      <c r="I73" s="13"/>
      <c r="J73" s="12"/>
      <c r="K73" s="12"/>
      <c r="L73" s="12"/>
      <c r="M73" s="12"/>
      <c r="N73" s="12"/>
      <c r="O73" s="12"/>
      <c r="P73" s="13"/>
      <c r="Q73" s="12"/>
      <c r="R73" s="12"/>
    </row>
    <row r="74" ht="15.75" customHeight="1">
      <c r="A74" s="12"/>
      <c r="B74" s="12"/>
      <c r="C74" s="14"/>
      <c r="D74" s="14"/>
      <c r="E74" s="14"/>
      <c r="F74" s="14"/>
      <c r="G74" s="14"/>
      <c r="H74" s="14"/>
      <c r="I74" s="13"/>
      <c r="J74" s="12"/>
      <c r="K74" s="12"/>
      <c r="L74" s="12"/>
      <c r="M74" s="12"/>
      <c r="N74" s="12"/>
      <c r="O74" s="12"/>
      <c r="P74" s="13"/>
      <c r="Q74" s="12"/>
      <c r="R74" s="12"/>
    </row>
    <row r="75" ht="15.75" customHeight="1">
      <c r="A75" s="12"/>
      <c r="B75" s="12"/>
      <c r="C75" s="14"/>
      <c r="D75" s="14"/>
      <c r="E75" s="14"/>
      <c r="F75" s="14"/>
      <c r="G75" s="14"/>
      <c r="H75" s="14"/>
      <c r="I75" s="13"/>
      <c r="J75" s="12"/>
      <c r="K75" s="12"/>
      <c r="L75" s="12"/>
      <c r="M75" s="12"/>
      <c r="N75" s="12"/>
      <c r="O75" s="12"/>
      <c r="P75" s="13"/>
      <c r="Q75" s="12"/>
      <c r="R75" s="12"/>
    </row>
    <row r="76" ht="15.75" customHeight="1">
      <c r="A76" s="12"/>
      <c r="B76" s="12"/>
      <c r="C76" s="14"/>
      <c r="D76" s="14"/>
      <c r="E76" s="14"/>
      <c r="F76" s="14"/>
      <c r="G76" s="14"/>
      <c r="H76" s="14"/>
      <c r="I76" s="13"/>
      <c r="J76" s="12"/>
      <c r="K76" s="12"/>
      <c r="L76" s="12"/>
      <c r="M76" s="12"/>
      <c r="N76" s="12"/>
      <c r="O76" s="12"/>
      <c r="P76" s="13"/>
      <c r="Q76" s="12"/>
      <c r="R76" s="12"/>
    </row>
    <row r="77" ht="15.75" customHeight="1">
      <c r="A77" s="12"/>
      <c r="B77" s="12"/>
      <c r="C77" s="14"/>
      <c r="D77" s="14"/>
      <c r="E77" s="14"/>
      <c r="F77" s="14"/>
      <c r="G77" s="14"/>
      <c r="H77" s="14"/>
      <c r="I77" s="13"/>
      <c r="J77" s="12"/>
      <c r="K77" s="12"/>
      <c r="L77" s="12"/>
      <c r="M77" s="12"/>
      <c r="N77" s="12"/>
      <c r="O77" s="12"/>
      <c r="P77" s="13"/>
      <c r="Q77" s="12"/>
      <c r="R77" s="12"/>
    </row>
    <row r="78" ht="15.75" customHeight="1">
      <c r="A78" s="12"/>
      <c r="B78" s="12"/>
      <c r="C78" s="14"/>
      <c r="D78" s="14"/>
      <c r="E78" s="14"/>
      <c r="F78" s="14"/>
      <c r="G78" s="14"/>
      <c r="H78" s="14"/>
      <c r="I78" s="13"/>
      <c r="J78" s="12"/>
      <c r="K78" s="12"/>
      <c r="L78" s="12"/>
      <c r="M78" s="12"/>
      <c r="N78" s="12"/>
      <c r="O78" s="12"/>
      <c r="P78" s="13"/>
      <c r="Q78" s="12"/>
      <c r="R78" s="12"/>
    </row>
    <row r="79" ht="15.75" customHeight="1">
      <c r="A79" s="12"/>
      <c r="B79" s="12"/>
      <c r="C79" s="14"/>
      <c r="D79" s="14"/>
      <c r="E79" s="14"/>
      <c r="F79" s="14"/>
      <c r="G79" s="14"/>
      <c r="H79" s="14"/>
      <c r="I79" s="13"/>
      <c r="J79" s="12"/>
      <c r="K79" s="12"/>
      <c r="L79" s="12"/>
      <c r="M79" s="12"/>
      <c r="N79" s="12"/>
      <c r="O79" s="12"/>
      <c r="P79" s="13"/>
      <c r="Q79" s="12"/>
      <c r="R79" s="12"/>
    </row>
    <row r="80" ht="15.75" customHeight="1">
      <c r="A80" s="12"/>
      <c r="B80" s="12"/>
      <c r="C80" s="14"/>
      <c r="D80" s="14"/>
      <c r="E80" s="14"/>
      <c r="F80" s="14"/>
      <c r="G80" s="14"/>
      <c r="H80" s="14"/>
      <c r="I80" s="13"/>
      <c r="J80" s="12"/>
      <c r="K80" s="12"/>
      <c r="L80" s="12"/>
      <c r="M80" s="12"/>
      <c r="N80" s="12"/>
      <c r="O80" s="12"/>
      <c r="P80" s="13"/>
      <c r="Q80" s="12"/>
      <c r="R80" s="12"/>
    </row>
    <row r="81" ht="15.75" customHeight="1">
      <c r="A81" s="12"/>
      <c r="B81" s="12"/>
      <c r="C81" s="14"/>
      <c r="D81" s="14"/>
      <c r="E81" s="14"/>
      <c r="F81" s="14"/>
      <c r="G81" s="14"/>
      <c r="H81" s="14"/>
      <c r="I81" s="13"/>
      <c r="J81" s="12"/>
      <c r="K81" s="12"/>
      <c r="L81" s="12"/>
      <c r="M81" s="12"/>
      <c r="N81" s="12"/>
      <c r="O81" s="12"/>
      <c r="P81" s="13"/>
      <c r="Q81" s="12"/>
      <c r="R81" s="12"/>
    </row>
    <row r="82" ht="15.75" customHeight="1">
      <c r="A82" s="12"/>
      <c r="B82" s="12"/>
      <c r="C82" s="14"/>
      <c r="D82" s="14"/>
      <c r="E82" s="14"/>
      <c r="F82" s="14"/>
      <c r="G82" s="14"/>
      <c r="H82" s="14"/>
      <c r="I82" s="13"/>
      <c r="J82" s="12"/>
      <c r="K82" s="12"/>
      <c r="L82" s="12"/>
      <c r="M82" s="12"/>
      <c r="N82" s="12"/>
      <c r="O82" s="12"/>
      <c r="P82" s="13"/>
      <c r="Q82" s="12"/>
      <c r="R82" s="12"/>
    </row>
    <row r="83" ht="15.75" customHeight="1">
      <c r="A83" s="12"/>
      <c r="B83" s="12"/>
      <c r="C83" s="14"/>
      <c r="D83" s="14"/>
      <c r="E83" s="14"/>
      <c r="F83" s="14"/>
      <c r="G83" s="14"/>
      <c r="H83" s="14"/>
      <c r="I83" s="13"/>
      <c r="J83" s="12"/>
      <c r="K83" s="12"/>
      <c r="L83" s="12"/>
      <c r="M83" s="12"/>
      <c r="N83" s="12"/>
      <c r="O83" s="12"/>
      <c r="P83" s="13"/>
      <c r="Q83" s="12"/>
      <c r="R83" s="12"/>
    </row>
    <row r="84" ht="15.75" customHeight="1">
      <c r="A84" s="12"/>
      <c r="B84" s="12"/>
      <c r="C84" s="14"/>
      <c r="D84" s="14"/>
      <c r="E84" s="14"/>
      <c r="F84" s="14"/>
      <c r="G84" s="14"/>
      <c r="H84" s="14"/>
      <c r="I84" s="13"/>
      <c r="J84" s="12"/>
      <c r="K84" s="12"/>
      <c r="L84" s="12"/>
      <c r="M84" s="12"/>
      <c r="N84" s="12"/>
      <c r="O84" s="12"/>
      <c r="P84" s="13"/>
      <c r="Q84" s="12"/>
      <c r="R84" s="12"/>
    </row>
    <row r="85" ht="15.75" customHeight="1">
      <c r="A85" s="12"/>
      <c r="B85" s="12"/>
      <c r="C85" s="14"/>
      <c r="D85" s="14"/>
      <c r="E85" s="14"/>
      <c r="F85" s="14"/>
      <c r="G85" s="14"/>
      <c r="H85" s="14"/>
      <c r="I85" s="13"/>
      <c r="J85" s="12"/>
      <c r="K85" s="12"/>
      <c r="L85" s="12"/>
      <c r="M85" s="12"/>
      <c r="N85" s="12"/>
      <c r="O85" s="12"/>
      <c r="P85" s="13"/>
      <c r="Q85" s="12"/>
      <c r="R85" s="12"/>
    </row>
    <row r="86" ht="15.75" customHeight="1">
      <c r="A86" s="12"/>
      <c r="B86" s="12"/>
      <c r="C86" s="14"/>
      <c r="D86" s="14"/>
      <c r="E86" s="14"/>
      <c r="F86" s="14"/>
      <c r="G86" s="14"/>
      <c r="H86" s="14"/>
      <c r="I86" s="13"/>
      <c r="J86" s="12"/>
      <c r="K86" s="12"/>
      <c r="L86" s="12"/>
      <c r="M86" s="12"/>
      <c r="N86" s="12"/>
      <c r="O86" s="12"/>
      <c r="P86" s="13"/>
      <c r="Q86" s="12"/>
      <c r="R86" s="12"/>
    </row>
    <row r="87" ht="15.75" customHeight="1">
      <c r="A87" s="12"/>
      <c r="B87" s="12"/>
      <c r="C87" s="14"/>
      <c r="D87" s="14"/>
      <c r="E87" s="14"/>
      <c r="F87" s="14"/>
      <c r="G87" s="14"/>
      <c r="H87" s="14"/>
      <c r="I87" s="13"/>
      <c r="J87" s="12"/>
      <c r="K87" s="12"/>
      <c r="L87" s="12"/>
      <c r="M87" s="12"/>
      <c r="N87" s="12"/>
      <c r="O87" s="12"/>
      <c r="P87" s="13"/>
      <c r="Q87" s="12"/>
      <c r="R87" s="12"/>
    </row>
    <row r="88" ht="15.75" customHeight="1">
      <c r="A88" s="12"/>
      <c r="B88" s="12"/>
      <c r="C88" s="14"/>
      <c r="D88" s="14"/>
      <c r="E88" s="14"/>
      <c r="F88" s="14"/>
      <c r="G88" s="14"/>
      <c r="H88" s="14"/>
      <c r="I88" s="13"/>
      <c r="J88" s="12"/>
      <c r="K88" s="12"/>
      <c r="L88" s="12"/>
      <c r="M88" s="12"/>
      <c r="N88" s="12"/>
      <c r="O88" s="12"/>
      <c r="P88" s="13"/>
      <c r="Q88" s="12"/>
      <c r="R88" s="12"/>
    </row>
    <row r="89" ht="15.75" customHeight="1">
      <c r="A89" s="12"/>
      <c r="B89" s="12"/>
      <c r="C89" s="14"/>
      <c r="D89" s="14"/>
      <c r="E89" s="14"/>
      <c r="F89" s="14"/>
      <c r="G89" s="14"/>
      <c r="H89" s="14"/>
      <c r="I89" s="13"/>
      <c r="J89" s="12"/>
      <c r="K89" s="12"/>
      <c r="L89" s="12"/>
      <c r="M89" s="12"/>
      <c r="N89" s="12"/>
      <c r="O89" s="12"/>
      <c r="P89" s="13"/>
      <c r="Q89" s="12"/>
      <c r="R89" s="12"/>
    </row>
    <row r="90" ht="15.75" customHeight="1">
      <c r="A90" s="12"/>
      <c r="B90" s="12"/>
      <c r="C90" s="14"/>
      <c r="D90" s="14"/>
      <c r="E90" s="14"/>
      <c r="F90" s="14"/>
      <c r="G90" s="14"/>
      <c r="H90" s="14"/>
      <c r="I90" s="13"/>
      <c r="J90" s="12"/>
      <c r="K90" s="12"/>
      <c r="L90" s="12"/>
      <c r="M90" s="12"/>
      <c r="N90" s="12"/>
      <c r="O90" s="12"/>
      <c r="P90" s="13"/>
      <c r="Q90" s="12"/>
      <c r="R90" s="12"/>
    </row>
    <row r="91" ht="15.75" customHeight="1">
      <c r="A91" s="12"/>
      <c r="B91" s="12"/>
      <c r="C91" s="14"/>
      <c r="D91" s="14"/>
      <c r="E91" s="14"/>
      <c r="F91" s="14"/>
      <c r="G91" s="14"/>
      <c r="H91" s="14"/>
      <c r="I91" s="13"/>
      <c r="J91" s="12"/>
      <c r="K91" s="12"/>
      <c r="L91" s="12"/>
      <c r="M91" s="12"/>
      <c r="N91" s="12"/>
      <c r="O91" s="12"/>
      <c r="P91" s="13"/>
      <c r="Q91" s="12"/>
      <c r="R91" s="12"/>
    </row>
    <row r="92" ht="15.75" customHeight="1">
      <c r="A92" s="12"/>
      <c r="B92" s="12"/>
      <c r="C92" s="14"/>
      <c r="D92" s="14"/>
      <c r="E92" s="14"/>
      <c r="F92" s="14"/>
      <c r="G92" s="14"/>
      <c r="H92" s="14"/>
      <c r="I92" s="13"/>
      <c r="J92" s="12"/>
      <c r="K92" s="12"/>
      <c r="L92" s="12"/>
      <c r="M92" s="12"/>
      <c r="N92" s="12"/>
      <c r="O92" s="12"/>
      <c r="P92" s="13"/>
      <c r="Q92" s="12"/>
      <c r="R92" s="12"/>
    </row>
    <row r="93" ht="15.75" customHeight="1">
      <c r="A93" s="12"/>
      <c r="B93" s="12"/>
      <c r="C93" s="14"/>
      <c r="D93" s="14"/>
      <c r="E93" s="14"/>
      <c r="F93" s="14"/>
      <c r="G93" s="14"/>
      <c r="H93" s="14"/>
      <c r="I93" s="13"/>
      <c r="J93" s="12"/>
      <c r="K93" s="12"/>
      <c r="L93" s="12"/>
      <c r="M93" s="12"/>
      <c r="N93" s="12"/>
      <c r="O93" s="12"/>
      <c r="P93" s="13"/>
      <c r="Q93" s="12"/>
      <c r="R93" s="12"/>
    </row>
    <row r="94" ht="15.75" customHeight="1">
      <c r="A94" s="12"/>
      <c r="B94" s="12"/>
      <c r="C94" s="14"/>
      <c r="D94" s="14"/>
      <c r="E94" s="14"/>
      <c r="F94" s="14"/>
      <c r="G94" s="14"/>
      <c r="H94" s="14"/>
      <c r="I94" s="13"/>
      <c r="J94" s="12"/>
      <c r="K94" s="12"/>
      <c r="L94" s="12"/>
      <c r="M94" s="12"/>
      <c r="N94" s="12"/>
      <c r="O94" s="12"/>
      <c r="P94" s="13"/>
      <c r="Q94" s="12"/>
      <c r="R94" s="12"/>
    </row>
    <row r="95" ht="15.75" customHeight="1">
      <c r="A95" s="12"/>
      <c r="B95" s="12"/>
      <c r="C95" s="14"/>
      <c r="D95" s="14"/>
      <c r="E95" s="14"/>
      <c r="F95" s="14"/>
      <c r="G95" s="14"/>
      <c r="H95" s="14"/>
      <c r="I95" s="13"/>
      <c r="J95" s="12"/>
      <c r="K95" s="12"/>
      <c r="L95" s="12"/>
      <c r="M95" s="12"/>
      <c r="N95" s="12"/>
      <c r="O95" s="12"/>
      <c r="P95" s="13"/>
      <c r="Q95" s="12"/>
      <c r="R95" s="12"/>
    </row>
    <row r="96" ht="15.75" customHeight="1">
      <c r="A96" s="12"/>
      <c r="B96" s="12"/>
      <c r="C96" s="14"/>
      <c r="D96" s="14"/>
      <c r="E96" s="14"/>
      <c r="F96" s="14"/>
      <c r="G96" s="14"/>
      <c r="H96" s="14"/>
      <c r="I96" s="13"/>
      <c r="J96" s="12"/>
      <c r="K96" s="12"/>
      <c r="L96" s="12"/>
      <c r="M96" s="12"/>
      <c r="N96" s="12"/>
      <c r="O96" s="12"/>
      <c r="P96" s="13"/>
      <c r="Q96" s="12"/>
      <c r="R96" s="12"/>
    </row>
    <row r="97" ht="15.75" customHeight="1">
      <c r="A97" s="12"/>
      <c r="B97" s="12"/>
      <c r="C97" s="14"/>
      <c r="D97" s="14"/>
      <c r="E97" s="14"/>
      <c r="F97" s="14"/>
      <c r="G97" s="14"/>
      <c r="H97" s="14"/>
      <c r="I97" s="13"/>
      <c r="J97" s="12"/>
      <c r="K97" s="12"/>
      <c r="L97" s="12"/>
      <c r="M97" s="12"/>
      <c r="N97" s="12"/>
      <c r="O97" s="12"/>
      <c r="P97" s="13"/>
      <c r="Q97" s="12"/>
      <c r="R97" s="12"/>
    </row>
    <row r="98" ht="15.75" customHeight="1">
      <c r="A98" s="12"/>
      <c r="B98" s="12"/>
      <c r="C98" s="14"/>
      <c r="D98" s="14"/>
      <c r="E98" s="14"/>
      <c r="F98" s="14"/>
      <c r="G98" s="14"/>
      <c r="H98" s="14"/>
      <c r="I98" s="13"/>
      <c r="J98" s="12"/>
      <c r="K98" s="12"/>
      <c r="L98" s="12"/>
      <c r="M98" s="12"/>
      <c r="N98" s="12"/>
      <c r="O98" s="12"/>
      <c r="P98" s="13"/>
      <c r="Q98" s="12"/>
      <c r="R98" s="12"/>
    </row>
    <row r="99" ht="15.75" customHeight="1">
      <c r="A99" s="12"/>
      <c r="B99" s="12"/>
      <c r="C99" s="14"/>
      <c r="D99" s="14"/>
      <c r="E99" s="14"/>
      <c r="F99" s="14"/>
      <c r="G99" s="14"/>
      <c r="H99" s="14"/>
      <c r="I99" s="13"/>
      <c r="J99" s="12"/>
      <c r="K99" s="12"/>
      <c r="L99" s="12"/>
      <c r="M99" s="12"/>
      <c r="N99" s="12"/>
      <c r="O99" s="12"/>
      <c r="P99" s="13"/>
      <c r="Q99" s="12"/>
      <c r="R99" s="12"/>
    </row>
    <row r="100" ht="15.75" customHeight="1">
      <c r="A100" s="12"/>
      <c r="B100" s="12"/>
      <c r="C100" s="14"/>
      <c r="D100" s="14"/>
      <c r="E100" s="14"/>
      <c r="F100" s="14"/>
      <c r="G100" s="14"/>
      <c r="H100" s="14"/>
      <c r="I100" s="13"/>
      <c r="J100" s="12"/>
      <c r="K100" s="12"/>
      <c r="L100" s="12"/>
      <c r="M100" s="12"/>
      <c r="N100" s="12"/>
      <c r="O100" s="12"/>
      <c r="P100" s="13"/>
      <c r="Q100" s="12"/>
      <c r="R100" s="12"/>
    </row>
    <row r="101" ht="15.75" customHeight="1">
      <c r="A101" s="12"/>
      <c r="B101" s="12"/>
      <c r="C101" s="14"/>
      <c r="D101" s="14"/>
      <c r="E101" s="14"/>
      <c r="F101" s="14"/>
      <c r="G101" s="14"/>
      <c r="H101" s="14"/>
      <c r="I101" s="13"/>
      <c r="J101" s="12"/>
      <c r="K101" s="12"/>
      <c r="L101" s="12"/>
      <c r="M101" s="12"/>
      <c r="N101" s="12"/>
      <c r="O101" s="12"/>
      <c r="P101" s="13"/>
      <c r="Q101" s="12"/>
      <c r="R101" s="12"/>
    </row>
    <row r="102" ht="15.75" customHeight="1">
      <c r="A102" s="12"/>
      <c r="B102" s="12"/>
      <c r="C102" s="14"/>
      <c r="D102" s="14"/>
      <c r="E102" s="14"/>
      <c r="F102" s="14"/>
      <c r="G102" s="14"/>
      <c r="H102" s="14"/>
      <c r="I102" s="13"/>
      <c r="J102" s="12"/>
      <c r="K102" s="12"/>
      <c r="L102" s="12"/>
      <c r="M102" s="12"/>
      <c r="N102" s="12"/>
      <c r="O102" s="12"/>
      <c r="P102" s="13"/>
      <c r="Q102" s="12"/>
      <c r="R102" s="12"/>
    </row>
    <row r="103" ht="15.75" customHeight="1">
      <c r="A103" s="12"/>
      <c r="B103" s="12"/>
      <c r="C103" s="14"/>
      <c r="D103" s="14"/>
      <c r="E103" s="14"/>
      <c r="F103" s="14"/>
      <c r="G103" s="14"/>
      <c r="H103" s="14"/>
      <c r="I103" s="13"/>
      <c r="J103" s="12"/>
      <c r="K103" s="12"/>
      <c r="L103" s="12"/>
      <c r="M103" s="12"/>
      <c r="N103" s="12"/>
      <c r="O103" s="12"/>
      <c r="P103" s="13"/>
      <c r="Q103" s="12"/>
      <c r="R103" s="12"/>
    </row>
    <row r="104" ht="15.75" customHeight="1">
      <c r="A104" s="12"/>
      <c r="B104" s="12"/>
      <c r="C104" s="14"/>
      <c r="D104" s="14"/>
      <c r="E104" s="14"/>
      <c r="F104" s="14"/>
      <c r="G104" s="14"/>
      <c r="H104" s="14"/>
      <c r="I104" s="13"/>
      <c r="J104" s="12"/>
      <c r="K104" s="12"/>
      <c r="L104" s="12"/>
      <c r="M104" s="12"/>
      <c r="N104" s="12"/>
      <c r="O104" s="12"/>
      <c r="P104" s="13"/>
      <c r="Q104" s="12"/>
      <c r="R104" s="12"/>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conditionalFormatting sqref="J5:J104">
    <cfRule type="expression" dxfId="4" priority="1">
      <formula>J5="Done"</formula>
    </cfRule>
  </conditionalFormatting>
  <conditionalFormatting sqref="J5:J104">
    <cfRule type="expression" dxfId="5" priority="2">
      <formula>J5="In Progress"</formula>
    </cfRule>
  </conditionalFormatting>
  <conditionalFormatting sqref="J5:J104">
    <cfRule type="expression" dxfId="6" priority="3">
      <formula>J5="Blocked"</formula>
    </cfRule>
  </conditionalFormatting>
  <conditionalFormatting sqref="J5:J104">
    <cfRule type="expression" dxfId="7" priority="4">
      <formula>J5="Needs Review"</formula>
    </cfRule>
  </conditionalFormatting>
  <conditionalFormatting sqref="J5:J104">
    <cfRule type="expression" dxfId="7" priority="5">
      <formula>J5="Needs Revalidation"</formula>
    </cfRule>
  </conditionalFormatting>
  <dataValidations>
    <dataValidation type="list" allowBlank="1" sqref="J5:J104">
      <formula1>"Refresh Needed,Current,Monitor,Archived"</formula1>
    </dataValidation>
    <dataValidation type="list" allowBlank="1" sqref="N5:N104">
      <formula1>"Critical,High,Medium,Low"</formula1>
    </dataValidation>
    <dataValidation type="list" allowBlank="1" sqref="O5:O104">
      <formula1>"Unassigned,SEO Manager,Content Lead,Outreach"</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9.71"/>
    <col customWidth="1" min="3" max="3" width="43.43"/>
    <col customWidth="1" min="4" max="4" width="12.57"/>
    <col customWidth="1" min="5" max="5" width="16.0"/>
    <col customWidth="1" min="6" max="6" width="38.86"/>
    <col customWidth="1" min="7" max="7" width="29.71"/>
    <col customWidth="1" min="8" max="8" width="38.86"/>
    <col customWidth="1" min="9" max="9" width="36.57"/>
    <col customWidth="1" min="10" max="10" width="25.14"/>
    <col customWidth="1" min="11" max="11" width="18.29"/>
    <col customWidth="1" min="12" max="12" width="16.0"/>
    <col customWidth="1" min="13" max="13" width="14.86"/>
    <col customWidth="1" min="14" max="14" width="41.14"/>
    <col customWidth="1" min="15" max="15" width="32.0"/>
    <col customWidth="1" min="16" max="26" width="9.86"/>
  </cols>
  <sheetData>
    <row r="1" ht="33.75" customHeight="1">
      <c r="A1" s="1" t="s">
        <v>945</v>
      </c>
    </row>
    <row r="2" ht="27.75" customHeight="1">
      <c r="A2" s="2" t="s">
        <v>946</v>
      </c>
    </row>
    <row r="4" ht="30.0" customHeight="1">
      <c r="A4" s="6" t="s">
        <v>947</v>
      </c>
      <c r="B4" s="7" t="s">
        <v>948</v>
      </c>
      <c r="C4" s="7" t="s">
        <v>949</v>
      </c>
      <c r="D4" s="7" t="s">
        <v>844</v>
      </c>
      <c r="E4" s="7" t="s">
        <v>950</v>
      </c>
      <c r="F4" s="7" t="s">
        <v>951</v>
      </c>
      <c r="G4" s="7" t="s">
        <v>952</v>
      </c>
      <c r="H4" s="7" t="s">
        <v>49</v>
      </c>
      <c r="I4" s="7" t="s">
        <v>953</v>
      </c>
      <c r="J4" s="7" t="s">
        <v>954</v>
      </c>
      <c r="K4" s="7" t="s">
        <v>22</v>
      </c>
      <c r="L4" s="7" t="s">
        <v>21</v>
      </c>
      <c r="M4" s="7" t="s">
        <v>874</v>
      </c>
      <c r="N4" s="7" t="s">
        <v>955</v>
      </c>
      <c r="O4" s="11" t="s">
        <v>76</v>
      </c>
    </row>
    <row r="5">
      <c r="A5" s="12" t="s">
        <v>956</v>
      </c>
      <c r="B5" s="12" t="s">
        <v>957</v>
      </c>
      <c r="C5" s="12" t="s">
        <v>958</v>
      </c>
      <c r="D5" s="14">
        <v>97.0</v>
      </c>
      <c r="E5" s="14">
        <v>1.16E8</v>
      </c>
      <c r="F5" s="12" t="s">
        <v>959</v>
      </c>
      <c r="G5" s="12" t="s">
        <v>960</v>
      </c>
      <c r="H5" s="12"/>
      <c r="I5" s="12"/>
      <c r="J5" s="12" t="s">
        <v>961</v>
      </c>
      <c r="K5" s="12" t="s">
        <v>962</v>
      </c>
      <c r="L5" s="12" t="s">
        <v>262</v>
      </c>
      <c r="M5" s="13"/>
      <c r="N5" s="12" t="s">
        <v>963</v>
      </c>
      <c r="O5" s="12" t="s">
        <v>964</v>
      </c>
    </row>
    <row r="6">
      <c r="A6" s="12" t="s">
        <v>965</v>
      </c>
      <c r="B6" s="12" t="s">
        <v>966</v>
      </c>
      <c r="C6" s="12" t="s">
        <v>967</v>
      </c>
      <c r="D6" s="14">
        <v>91.0</v>
      </c>
      <c r="E6" s="14">
        <v>7.73E7</v>
      </c>
      <c r="F6" s="12" t="s">
        <v>959</v>
      </c>
      <c r="G6" s="12" t="s">
        <v>960</v>
      </c>
      <c r="H6" s="12"/>
      <c r="I6" s="12"/>
      <c r="J6" s="12" t="s">
        <v>961</v>
      </c>
      <c r="K6" s="12" t="s">
        <v>962</v>
      </c>
      <c r="L6" s="12" t="s">
        <v>262</v>
      </c>
      <c r="M6" s="13"/>
      <c r="N6" s="12" t="s">
        <v>963</v>
      </c>
      <c r="O6" s="12" t="s">
        <v>964</v>
      </c>
    </row>
    <row r="7">
      <c r="A7" s="12" t="s">
        <v>968</v>
      </c>
      <c r="B7" s="12" t="s">
        <v>969</v>
      </c>
      <c r="C7" s="12" t="s">
        <v>970</v>
      </c>
      <c r="D7" s="14">
        <v>84.0</v>
      </c>
      <c r="E7" s="14">
        <v>6900000.0</v>
      </c>
      <c r="F7" s="12" t="s">
        <v>959</v>
      </c>
      <c r="G7" s="12" t="s">
        <v>960</v>
      </c>
      <c r="H7" s="12"/>
      <c r="I7" s="12"/>
      <c r="J7" s="12" t="s">
        <v>961</v>
      </c>
      <c r="K7" s="12" t="s">
        <v>962</v>
      </c>
      <c r="L7" s="12" t="s">
        <v>262</v>
      </c>
      <c r="M7" s="13"/>
      <c r="N7" s="12" t="s">
        <v>963</v>
      </c>
      <c r="O7" s="12" t="s">
        <v>964</v>
      </c>
    </row>
    <row r="8">
      <c r="A8" s="12" t="s">
        <v>971</v>
      </c>
      <c r="B8" s="12" t="s">
        <v>972</v>
      </c>
      <c r="C8" s="12"/>
      <c r="D8" s="14">
        <v>68.0</v>
      </c>
      <c r="E8" s="14">
        <v>2700000.0</v>
      </c>
      <c r="F8" s="12" t="s">
        <v>959</v>
      </c>
      <c r="G8" s="12" t="s">
        <v>960</v>
      </c>
      <c r="H8" s="12"/>
      <c r="I8" s="12"/>
      <c r="J8" s="12" t="s">
        <v>961</v>
      </c>
      <c r="K8" s="12" t="s">
        <v>962</v>
      </c>
      <c r="L8" s="12" t="s">
        <v>262</v>
      </c>
      <c r="M8" s="13"/>
      <c r="N8" s="12" t="s">
        <v>963</v>
      </c>
      <c r="O8" s="12" t="s">
        <v>964</v>
      </c>
    </row>
    <row r="9">
      <c r="A9" s="12" t="s">
        <v>973</v>
      </c>
      <c r="B9" s="12" t="s">
        <v>974</v>
      </c>
      <c r="C9" s="12"/>
      <c r="D9" s="14">
        <v>63.0</v>
      </c>
      <c r="E9" s="14">
        <v>959000.0</v>
      </c>
      <c r="F9" s="12" t="s">
        <v>959</v>
      </c>
      <c r="G9" s="12" t="s">
        <v>960</v>
      </c>
      <c r="H9" s="12"/>
      <c r="I9" s="12"/>
      <c r="J9" s="12" t="s">
        <v>961</v>
      </c>
      <c r="K9" s="12" t="s">
        <v>962</v>
      </c>
      <c r="L9" s="12" t="s">
        <v>262</v>
      </c>
      <c r="M9" s="13"/>
      <c r="N9" s="12" t="s">
        <v>963</v>
      </c>
      <c r="O9" s="12" t="s">
        <v>964</v>
      </c>
    </row>
    <row r="10">
      <c r="A10" s="12" t="s">
        <v>975</v>
      </c>
      <c r="B10" s="12" t="s">
        <v>976</v>
      </c>
      <c r="C10" s="12"/>
      <c r="D10" s="14">
        <v>62.0</v>
      </c>
      <c r="E10" s="14">
        <v>5400000.0</v>
      </c>
      <c r="F10" s="12" t="s">
        <v>959</v>
      </c>
      <c r="G10" s="12" t="s">
        <v>960</v>
      </c>
      <c r="H10" s="12"/>
      <c r="I10" s="12"/>
      <c r="J10" s="12" t="s">
        <v>961</v>
      </c>
      <c r="K10" s="12" t="s">
        <v>962</v>
      </c>
      <c r="L10" s="12" t="s">
        <v>262</v>
      </c>
      <c r="M10" s="13"/>
      <c r="N10" s="12" t="s">
        <v>963</v>
      </c>
      <c r="O10" s="12" t="s">
        <v>964</v>
      </c>
    </row>
    <row r="11">
      <c r="A11" s="12" t="s">
        <v>977</v>
      </c>
      <c r="B11" s="12" t="s">
        <v>978</v>
      </c>
      <c r="C11" s="12"/>
      <c r="D11" s="14">
        <v>59.0</v>
      </c>
      <c r="E11" s="14">
        <v>639000.0</v>
      </c>
      <c r="F11" s="12" t="s">
        <v>959</v>
      </c>
      <c r="G11" s="12" t="s">
        <v>960</v>
      </c>
      <c r="H11" s="12"/>
      <c r="I11" s="12"/>
      <c r="J11" s="12" t="s">
        <v>961</v>
      </c>
      <c r="K11" s="12" t="s">
        <v>962</v>
      </c>
      <c r="L11" s="12" t="s">
        <v>262</v>
      </c>
      <c r="M11" s="13"/>
      <c r="N11" s="12" t="s">
        <v>963</v>
      </c>
      <c r="O11" s="12" t="s">
        <v>964</v>
      </c>
    </row>
    <row r="12">
      <c r="A12" s="12" t="s">
        <v>979</v>
      </c>
      <c r="B12" s="12" t="s">
        <v>980</v>
      </c>
      <c r="C12" s="12"/>
      <c r="D12" s="14">
        <v>58.0</v>
      </c>
      <c r="E12" s="14">
        <v>537000.0</v>
      </c>
      <c r="F12" s="12" t="s">
        <v>959</v>
      </c>
      <c r="G12" s="12" t="s">
        <v>960</v>
      </c>
      <c r="H12" s="12"/>
      <c r="I12" s="12"/>
      <c r="J12" s="12" t="s">
        <v>961</v>
      </c>
      <c r="K12" s="12" t="s">
        <v>962</v>
      </c>
      <c r="L12" s="12" t="s">
        <v>262</v>
      </c>
      <c r="M12" s="13"/>
      <c r="N12" s="12" t="s">
        <v>963</v>
      </c>
      <c r="O12" s="12" t="s">
        <v>964</v>
      </c>
    </row>
    <row r="13">
      <c r="A13" s="12" t="s">
        <v>981</v>
      </c>
      <c r="B13" s="12" t="s">
        <v>982</v>
      </c>
      <c r="C13" s="12"/>
      <c r="D13" s="14">
        <v>57.0</v>
      </c>
      <c r="E13" s="14">
        <v>2900000.0</v>
      </c>
      <c r="F13" s="12" t="s">
        <v>959</v>
      </c>
      <c r="G13" s="12" t="s">
        <v>960</v>
      </c>
      <c r="H13" s="12"/>
      <c r="I13" s="12"/>
      <c r="J13" s="12" t="s">
        <v>961</v>
      </c>
      <c r="K13" s="12" t="s">
        <v>962</v>
      </c>
      <c r="L13" s="12" t="s">
        <v>262</v>
      </c>
      <c r="M13" s="13"/>
      <c r="N13" s="12" t="s">
        <v>963</v>
      </c>
      <c r="O13" s="12" t="s">
        <v>964</v>
      </c>
    </row>
    <row r="14">
      <c r="A14" s="12" t="s">
        <v>983</v>
      </c>
      <c r="B14" s="12" t="s">
        <v>984</v>
      </c>
      <c r="C14" s="12"/>
      <c r="D14" s="14">
        <v>54.0</v>
      </c>
      <c r="E14" s="14">
        <v>335000.0</v>
      </c>
      <c r="F14" s="12" t="s">
        <v>959</v>
      </c>
      <c r="G14" s="12" t="s">
        <v>960</v>
      </c>
      <c r="H14" s="12"/>
      <c r="I14" s="12"/>
      <c r="J14" s="12" t="s">
        <v>961</v>
      </c>
      <c r="K14" s="12" t="s">
        <v>962</v>
      </c>
      <c r="L14" s="12" t="s">
        <v>262</v>
      </c>
      <c r="M14" s="13"/>
      <c r="N14" s="12" t="s">
        <v>963</v>
      </c>
      <c r="O14" s="12" t="s">
        <v>964</v>
      </c>
    </row>
    <row r="15">
      <c r="A15" s="12" t="s">
        <v>985</v>
      </c>
      <c r="B15" s="12" t="s">
        <v>986</v>
      </c>
      <c r="C15" s="12"/>
      <c r="D15" s="14">
        <v>53.0</v>
      </c>
      <c r="E15" s="14">
        <v>605000.0</v>
      </c>
      <c r="F15" s="12" t="s">
        <v>959</v>
      </c>
      <c r="G15" s="12" t="s">
        <v>960</v>
      </c>
      <c r="H15" s="12"/>
      <c r="I15" s="12"/>
      <c r="J15" s="12" t="s">
        <v>961</v>
      </c>
      <c r="K15" s="12" t="s">
        <v>962</v>
      </c>
      <c r="L15" s="12" t="s">
        <v>262</v>
      </c>
      <c r="M15" s="13"/>
      <c r="N15" s="12" t="s">
        <v>963</v>
      </c>
      <c r="O15" s="12" t="s">
        <v>964</v>
      </c>
    </row>
    <row r="16">
      <c r="A16" s="12" t="s">
        <v>987</v>
      </c>
      <c r="B16" s="12" t="s">
        <v>988</v>
      </c>
      <c r="C16" s="12"/>
      <c r="D16" s="14">
        <v>49.0</v>
      </c>
      <c r="E16" s="14">
        <v>906000.0</v>
      </c>
      <c r="F16" s="12" t="s">
        <v>959</v>
      </c>
      <c r="G16" s="12" t="s">
        <v>960</v>
      </c>
      <c r="H16" s="12"/>
      <c r="I16" s="12"/>
      <c r="J16" s="12" t="s">
        <v>961</v>
      </c>
      <c r="K16" s="12" t="s">
        <v>962</v>
      </c>
      <c r="L16" s="12" t="s">
        <v>262</v>
      </c>
      <c r="M16" s="13"/>
      <c r="N16" s="12" t="s">
        <v>963</v>
      </c>
      <c r="O16" s="12" t="s">
        <v>964</v>
      </c>
    </row>
    <row r="17">
      <c r="A17" s="12" t="s">
        <v>989</v>
      </c>
      <c r="B17" s="12" t="s">
        <v>990</v>
      </c>
      <c r="C17" s="12"/>
      <c r="D17" s="14">
        <v>47.0</v>
      </c>
      <c r="E17" s="14">
        <v>4600000.0</v>
      </c>
      <c r="F17" s="12" t="s">
        <v>959</v>
      </c>
      <c r="G17" s="12" t="s">
        <v>960</v>
      </c>
      <c r="H17" s="12"/>
      <c r="I17" s="12"/>
      <c r="J17" s="12" t="s">
        <v>961</v>
      </c>
      <c r="K17" s="12" t="s">
        <v>962</v>
      </c>
      <c r="L17" s="12" t="s">
        <v>262</v>
      </c>
      <c r="M17" s="13"/>
      <c r="N17" s="12" t="s">
        <v>963</v>
      </c>
      <c r="O17" s="12" t="s">
        <v>964</v>
      </c>
    </row>
    <row r="18">
      <c r="A18" s="12" t="s">
        <v>991</v>
      </c>
      <c r="B18" s="12" t="s">
        <v>992</v>
      </c>
      <c r="C18" s="12"/>
      <c r="D18" s="14">
        <v>45.0</v>
      </c>
      <c r="E18" s="14">
        <v>32600.0</v>
      </c>
      <c r="F18" s="12" t="s">
        <v>959</v>
      </c>
      <c r="G18" s="12" t="s">
        <v>960</v>
      </c>
      <c r="H18" s="12"/>
      <c r="I18" s="12"/>
      <c r="J18" s="12" t="s">
        <v>961</v>
      </c>
      <c r="K18" s="12" t="s">
        <v>962</v>
      </c>
      <c r="L18" s="12" t="s">
        <v>262</v>
      </c>
      <c r="M18" s="13"/>
      <c r="N18" s="12" t="s">
        <v>963</v>
      </c>
      <c r="O18" s="12" t="s">
        <v>964</v>
      </c>
    </row>
    <row r="19">
      <c r="A19" s="12" t="s">
        <v>993</v>
      </c>
      <c r="B19" s="12" t="s">
        <v>994</v>
      </c>
      <c r="C19" s="12"/>
      <c r="D19" s="14">
        <v>45.0</v>
      </c>
      <c r="E19" s="14">
        <v>1100000.0</v>
      </c>
      <c r="F19" s="12" t="s">
        <v>959</v>
      </c>
      <c r="G19" s="12" t="s">
        <v>960</v>
      </c>
      <c r="H19" s="12"/>
      <c r="I19" s="12"/>
      <c r="J19" s="12" t="s">
        <v>961</v>
      </c>
      <c r="K19" s="12" t="s">
        <v>962</v>
      </c>
      <c r="L19" s="12" t="s">
        <v>262</v>
      </c>
      <c r="M19" s="13"/>
      <c r="N19" s="12" t="s">
        <v>963</v>
      </c>
      <c r="O19" s="12" t="s">
        <v>964</v>
      </c>
    </row>
    <row r="20">
      <c r="A20" s="12" t="s">
        <v>995</v>
      </c>
      <c r="B20" s="12" t="s">
        <v>996</v>
      </c>
      <c r="C20" s="12"/>
      <c r="D20" s="14">
        <v>45.0</v>
      </c>
      <c r="E20" s="14">
        <v>1700000.0</v>
      </c>
      <c r="F20" s="12" t="s">
        <v>959</v>
      </c>
      <c r="G20" s="12" t="s">
        <v>960</v>
      </c>
      <c r="H20" s="12"/>
      <c r="I20" s="12"/>
      <c r="J20" s="12" t="s">
        <v>961</v>
      </c>
      <c r="K20" s="12" t="s">
        <v>962</v>
      </c>
      <c r="L20" s="12" t="s">
        <v>262</v>
      </c>
      <c r="M20" s="13"/>
      <c r="N20" s="12" t="s">
        <v>963</v>
      </c>
      <c r="O20" s="12" t="s">
        <v>964</v>
      </c>
    </row>
    <row r="21" ht="15.75" customHeight="1">
      <c r="A21" s="12" t="s">
        <v>997</v>
      </c>
      <c r="B21" s="12" t="s">
        <v>998</v>
      </c>
      <c r="C21" s="12"/>
      <c r="D21" s="14">
        <v>45.0</v>
      </c>
      <c r="E21" s="14">
        <v>139000.0</v>
      </c>
      <c r="F21" s="12" t="s">
        <v>959</v>
      </c>
      <c r="G21" s="12" t="s">
        <v>960</v>
      </c>
      <c r="H21" s="12"/>
      <c r="I21" s="12"/>
      <c r="J21" s="12" t="s">
        <v>961</v>
      </c>
      <c r="K21" s="12" t="s">
        <v>962</v>
      </c>
      <c r="L21" s="12" t="s">
        <v>262</v>
      </c>
      <c r="M21" s="13"/>
      <c r="N21" s="12" t="s">
        <v>963</v>
      </c>
      <c r="O21" s="12" t="s">
        <v>964</v>
      </c>
    </row>
    <row r="22" ht="15.75" customHeight="1">
      <c r="A22" s="12" t="s">
        <v>999</v>
      </c>
      <c r="B22" s="12" t="s">
        <v>1000</v>
      </c>
      <c r="C22" s="12"/>
      <c r="D22" s="14">
        <v>45.0</v>
      </c>
      <c r="E22" s="14">
        <v>66900.0</v>
      </c>
      <c r="F22" s="12" t="s">
        <v>959</v>
      </c>
      <c r="G22" s="12" t="s">
        <v>960</v>
      </c>
      <c r="H22" s="12"/>
      <c r="I22" s="12"/>
      <c r="J22" s="12" t="s">
        <v>961</v>
      </c>
      <c r="K22" s="12" t="s">
        <v>962</v>
      </c>
      <c r="L22" s="12" t="s">
        <v>262</v>
      </c>
      <c r="M22" s="13"/>
      <c r="N22" s="12" t="s">
        <v>963</v>
      </c>
      <c r="O22" s="12" t="s">
        <v>964</v>
      </c>
    </row>
    <row r="23" ht="15.75" customHeight="1">
      <c r="A23" s="12" t="s">
        <v>1001</v>
      </c>
      <c r="B23" s="12" t="s">
        <v>1002</v>
      </c>
      <c r="C23" s="12"/>
      <c r="D23" s="14">
        <v>43.0</v>
      </c>
      <c r="E23" s="14">
        <v>803000.0</v>
      </c>
      <c r="F23" s="12" t="s">
        <v>959</v>
      </c>
      <c r="G23" s="12" t="s">
        <v>960</v>
      </c>
      <c r="H23" s="12"/>
      <c r="I23" s="12"/>
      <c r="J23" s="12" t="s">
        <v>961</v>
      </c>
      <c r="K23" s="12" t="s">
        <v>962</v>
      </c>
      <c r="L23" s="12" t="s">
        <v>262</v>
      </c>
      <c r="M23" s="13"/>
      <c r="N23" s="12" t="s">
        <v>963</v>
      </c>
      <c r="O23" s="12" t="s">
        <v>964</v>
      </c>
    </row>
    <row r="24" ht="15.75" customHeight="1">
      <c r="A24" s="12" t="s">
        <v>1003</v>
      </c>
      <c r="B24" s="12" t="s">
        <v>1004</v>
      </c>
      <c r="C24" s="12"/>
      <c r="D24" s="14">
        <v>42.0</v>
      </c>
      <c r="E24" s="14">
        <v>79700.0</v>
      </c>
      <c r="F24" s="12" t="s">
        <v>959</v>
      </c>
      <c r="G24" s="12" t="s">
        <v>960</v>
      </c>
      <c r="H24" s="12"/>
      <c r="I24" s="12"/>
      <c r="J24" s="12" t="s">
        <v>961</v>
      </c>
      <c r="K24" s="12" t="s">
        <v>962</v>
      </c>
      <c r="L24" s="12" t="s">
        <v>262</v>
      </c>
      <c r="M24" s="13"/>
      <c r="N24" s="12" t="s">
        <v>963</v>
      </c>
      <c r="O24" s="12" t="s">
        <v>964</v>
      </c>
    </row>
    <row r="25" ht="15.75" customHeight="1">
      <c r="A25" s="12" t="s">
        <v>1005</v>
      </c>
      <c r="B25" s="12" t="s">
        <v>1006</v>
      </c>
      <c r="C25" s="12"/>
      <c r="D25" s="14">
        <v>40.0</v>
      </c>
      <c r="E25" s="14">
        <v>767000.0</v>
      </c>
      <c r="F25" s="12" t="s">
        <v>959</v>
      </c>
      <c r="G25" s="12" t="s">
        <v>960</v>
      </c>
      <c r="H25" s="12"/>
      <c r="I25" s="12"/>
      <c r="J25" s="12" t="s">
        <v>961</v>
      </c>
      <c r="K25" s="12" t="s">
        <v>962</v>
      </c>
      <c r="L25" s="12" t="s">
        <v>262</v>
      </c>
      <c r="M25" s="13"/>
      <c r="N25" s="12" t="s">
        <v>963</v>
      </c>
      <c r="O25" s="12" t="s">
        <v>964</v>
      </c>
    </row>
    <row r="26" ht="15.75" customHeight="1">
      <c r="A26" s="12" t="s">
        <v>1007</v>
      </c>
      <c r="B26" s="12" t="s">
        <v>1008</v>
      </c>
      <c r="C26" s="12"/>
      <c r="D26" s="14">
        <v>40.0</v>
      </c>
      <c r="E26" s="14">
        <v>78400.0</v>
      </c>
      <c r="F26" s="12" t="s">
        <v>959</v>
      </c>
      <c r="G26" s="12" t="s">
        <v>960</v>
      </c>
      <c r="H26" s="12"/>
      <c r="I26" s="12"/>
      <c r="J26" s="12" t="s">
        <v>961</v>
      </c>
      <c r="K26" s="12" t="s">
        <v>962</v>
      </c>
      <c r="L26" s="12" t="s">
        <v>262</v>
      </c>
      <c r="M26" s="13"/>
      <c r="N26" s="12" t="s">
        <v>963</v>
      </c>
      <c r="O26" s="12" t="s">
        <v>964</v>
      </c>
    </row>
    <row r="27" ht="15.75" customHeight="1">
      <c r="A27" s="12" t="s">
        <v>1009</v>
      </c>
      <c r="B27" s="12" t="s">
        <v>1010</v>
      </c>
      <c r="C27" s="12"/>
      <c r="D27" s="14">
        <v>40.0</v>
      </c>
      <c r="E27" s="14">
        <v>92200.0</v>
      </c>
      <c r="F27" s="12" t="s">
        <v>959</v>
      </c>
      <c r="G27" s="12" t="s">
        <v>960</v>
      </c>
      <c r="H27" s="12"/>
      <c r="I27" s="12"/>
      <c r="J27" s="12" t="s">
        <v>961</v>
      </c>
      <c r="K27" s="12" t="s">
        <v>962</v>
      </c>
      <c r="L27" s="12" t="s">
        <v>262</v>
      </c>
      <c r="M27" s="13"/>
      <c r="N27" s="12" t="s">
        <v>963</v>
      </c>
      <c r="O27" s="12" t="s">
        <v>964</v>
      </c>
    </row>
    <row r="28" ht="15.75" customHeight="1">
      <c r="A28" s="12" t="s">
        <v>1011</v>
      </c>
      <c r="B28" s="12" t="s">
        <v>1012</v>
      </c>
      <c r="C28" s="12"/>
      <c r="D28" s="14">
        <v>40.0</v>
      </c>
      <c r="E28" s="14">
        <v>25700.0</v>
      </c>
      <c r="F28" s="12" t="s">
        <v>959</v>
      </c>
      <c r="G28" s="12" t="s">
        <v>960</v>
      </c>
      <c r="H28" s="12"/>
      <c r="I28" s="12"/>
      <c r="J28" s="12" t="s">
        <v>961</v>
      </c>
      <c r="K28" s="12" t="s">
        <v>962</v>
      </c>
      <c r="L28" s="12" t="s">
        <v>262</v>
      </c>
      <c r="M28" s="13"/>
      <c r="N28" s="12" t="s">
        <v>963</v>
      </c>
      <c r="O28" s="12" t="s">
        <v>964</v>
      </c>
    </row>
    <row r="29" ht="15.75" customHeight="1">
      <c r="A29" s="12" t="s">
        <v>1013</v>
      </c>
      <c r="B29" s="12" t="s">
        <v>1014</v>
      </c>
      <c r="C29" s="12"/>
      <c r="D29" s="14">
        <v>40.0</v>
      </c>
      <c r="E29" s="14">
        <v>20000.0</v>
      </c>
      <c r="F29" s="12" t="s">
        <v>959</v>
      </c>
      <c r="G29" s="12" t="s">
        <v>960</v>
      </c>
      <c r="H29" s="12"/>
      <c r="I29" s="12"/>
      <c r="J29" s="12" t="s">
        <v>961</v>
      </c>
      <c r="K29" s="12" t="s">
        <v>962</v>
      </c>
      <c r="L29" s="12" t="s">
        <v>262</v>
      </c>
      <c r="M29" s="13"/>
      <c r="N29" s="12" t="s">
        <v>963</v>
      </c>
      <c r="O29" s="12" t="s">
        <v>964</v>
      </c>
    </row>
    <row r="30" ht="15.75" customHeight="1">
      <c r="A30" s="12" t="s">
        <v>1015</v>
      </c>
      <c r="B30" s="12" t="s">
        <v>1016</v>
      </c>
      <c r="C30" s="12"/>
      <c r="D30" s="14">
        <v>40.0</v>
      </c>
      <c r="E30" s="14">
        <v>59600.0</v>
      </c>
      <c r="F30" s="12" t="s">
        <v>959</v>
      </c>
      <c r="G30" s="12" t="s">
        <v>960</v>
      </c>
      <c r="H30" s="12"/>
      <c r="I30" s="12"/>
      <c r="J30" s="12" t="s">
        <v>961</v>
      </c>
      <c r="K30" s="12" t="s">
        <v>962</v>
      </c>
      <c r="L30" s="12" t="s">
        <v>262</v>
      </c>
      <c r="M30" s="13"/>
      <c r="N30" s="12" t="s">
        <v>963</v>
      </c>
      <c r="O30" s="12" t="s">
        <v>964</v>
      </c>
    </row>
    <row r="31" ht="15.75" customHeight="1">
      <c r="A31" s="12" t="s">
        <v>1017</v>
      </c>
      <c r="B31" s="12" t="s">
        <v>1018</v>
      </c>
      <c r="C31" s="12"/>
      <c r="D31" s="14">
        <v>40.0</v>
      </c>
      <c r="E31" s="14">
        <v>45700.0</v>
      </c>
      <c r="F31" s="12" t="s">
        <v>959</v>
      </c>
      <c r="G31" s="12" t="s">
        <v>960</v>
      </c>
      <c r="H31" s="12"/>
      <c r="I31" s="12"/>
      <c r="J31" s="12" t="s">
        <v>961</v>
      </c>
      <c r="K31" s="12" t="s">
        <v>962</v>
      </c>
      <c r="L31" s="12" t="s">
        <v>262</v>
      </c>
      <c r="M31" s="13"/>
      <c r="N31" s="12" t="s">
        <v>963</v>
      </c>
      <c r="O31" s="12" t="s">
        <v>964</v>
      </c>
    </row>
    <row r="32" ht="15.75" customHeight="1">
      <c r="A32" s="12" t="s">
        <v>1019</v>
      </c>
      <c r="B32" s="12" t="s">
        <v>1020</v>
      </c>
      <c r="C32" s="12"/>
      <c r="D32" s="14">
        <v>39.0</v>
      </c>
      <c r="E32" s="14">
        <v>12700.0</v>
      </c>
      <c r="F32" s="12" t="s">
        <v>959</v>
      </c>
      <c r="G32" s="12" t="s">
        <v>960</v>
      </c>
      <c r="H32" s="12"/>
      <c r="I32" s="12"/>
      <c r="J32" s="12" t="s">
        <v>961</v>
      </c>
      <c r="K32" s="12" t="s">
        <v>962</v>
      </c>
      <c r="L32" s="12" t="s">
        <v>262</v>
      </c>
      <c r="M32" s="13"/>
      <c r="N32" s="12" t="s">
        <v>963</v>
      </c>
      <c r="O32" s="12" t="s">
        <v>964</v>
      </c>
    </row>
    <row r="33" ht="15.75" customHeight="1">
      <c r="A33" s="12" t="s">
        <v>1021</v>
      </c>
      <c r="B33" s="12" t="s">
        <v>1022</v>
      </c>
      <c r="C33" s="12"/>
      <c r="D33" s="14">
        <v>39.0</v>
      </c>
      <c r="E33" s="14">
        <v>17600.0</v>
      </c>
      <c r="F33" s="12" t="s">
        <v>959</v>
      </c>
      <c r="G33" s="12" t="s">
        <v>960</v>
      </c>
      <c r="H33" s="12"/>
      <c r="I33" s="12"/>
      <c r="J33" s="12" t="s">
        <v>961</v>
      </c>
      <c r="K33" s="12" t="s">
        <v>962</v>
      </c>
      <c r="L33" s="12" t="s">
        <v>262</v>
      </c>
      <c r="M33" s="13"/>
      <c r="N33" s="12" t="s">
        <v>963</v>
      </c>
      <c r="O33" s="12" t="s">
        <v>964</v>
      </c>
    </row>
    <row r="34" ht="15.75" customHeight="1">
      <c r="A34" s="12" t="s">
        <v>1023</v>
      </c>
      <c r="B34" s="12" t="s">
        <v>1024</v>
      </c>
      <c r="C34" s="12"/>
      <c r="D34" s="14">
        <v>39.0</v>
      </c>
      <c r="E34" s="14">
        <v>4600.0</v>
      </c>
      <c r="F34" s="12" t="s">
        <v>959</v>
      </c>
      <c r="G34" s="12" t="s">
        <v>960</v>
      </c>
      <c r="H34" s="12"/>
      <c r="I34" s="12"/>
      <c r="J34" s="12" t="s">
        <v>961</v>
      </c>
      <c r="K34" s="12" t="s">
        <v>962</v>
      </c>
      <c r="L34" s="12" t="s">
        <v>262</v>
      </c>
      <c r="M34" s="13"/>
      <c r="N34" s="12" t="s">
        <v>963</v>
      </c>
      <c r="O34" s="12" t="s">
        <v>964</v>
      </c>
    </row>
    <row r="35" ht="15.75" customHeight="1">
      <c r="A35" s="12" t="s">
        <v>1025</v>
      </c>
      <c r="B35" s="12" t="s">
        <v>1026</v>
      </c>
      <c r="C35" s="12"/>
      <c r="D35" s="14">
        <v>39.0</v>
      </c>
      <c r="E35" s="14">
        <v>28200.0</v>
      </c>
      <c r="F35" s="12" t="s">
        <v>959</v>
      </c>
      <c r="G35" s="12" t="s">
        <v>960</v>
      </c>
      <c r="H35" s="12"/>
      <c r="I35" s="12"/>
      <c r="J35" s="12" t="s">
        <v>961</v>
      </c>
      <c r="K35" s="12" t="s">
        <v>962</v>
      </c>
      <c r="L35" s="12" t="s">
        <v>262</v>
      </c>
      <c r="M35" s="13"/>
      <c r="N35" s="12" t="s">
        <v>963</v>
      </c>
      <c r="O35" s="12" t="s">
        <v>964</v>
      </c>
    </row>
    <row r="36" ht="15.75" customHeight="1">
      <c r="A36" s="12" t="s">
        <v>1027</v>
      </c>
      <c r="B36" s="12" t="s">
        <v>1028</v>
      </c>
      <c r="C36" s="12"/>
      <c r="D36" s="14">
        <v>38.0</v>
      </c>
      <c r="E36" s="14">
        <v>777.0</v>
      </c>
      <c r="F36" s="12" t="s">
        <v>959</v>
      </c>
      <c r="G36" s="12" t="s">
        <v>960</v>
      </c>
      <c r="H36" s="12"/>
      <c r="I36" s="12"/>
      <c r="J36" s="12" t="s">
        <v>961</v>
      </c>
      <c r="K36" s="12" t="s">
        <v>962</v>
      </c>
      <c r="L36" s="12" t="s">
        <v>262</v>
      </c>
      <c r="M36" s="13"/>
      <c r="N36" s="12" t="s">
        <v>963</v>
      </c>
      <c r="O36" s="12" t="s">
        <v>964</v>
      </c>
    </row>
    <row r="37" ht="15.75" customHeight="1">
      <c r="A37" s="12" t="s">
        <v>1029</v>
      </c>
      <c r="B37" s="12" t="s">
        <v>1030</v>
      </c>
      <c r="C37" s="12"/>
      <c r="D37" s="14">
        <v>38.0</v>
      </c>
      <c r="E37" s="14">
        <v>12200.0</v>
      </c>
      <c r="F37" s="12" t="s">
        <v>959</v>
      </c>
      <c r="G37" s="12" t="s">
        <v>960</v>
      </c>
      <c r="H37" s="12"/>
      <c r="I37" s="12"/>
      <c r="J37" s="12" t="s">
        <v>961</v>
      </c>
      <c r="K37" s="12" t="s">
        <v>962</v>
      </c>
      <c r="L37" s="12" t="s">
        <v>262</v>
      </c>
      <c r="M37" s="13"/>
      <c r="N37" s="12" t="s">
        <v>963</v>
      </c>
      <c r="O37" s="12" t="s">
        <v>964</v>
      </c>
    </row>
    <row r="38" ht="15.75" customHeight="1">
      <c r="A38" s="12" t="s">
        <v>1031</v>
      </c>
      <c r="B38" s="12" t="s">
        <v>1032</v>
      </c>
      <c r="C38" s="12"/>
      <c r="D38" s="14">
        <v>37.0</v>
      </c>
      <c r="E38" s="14">
        <v>29500.0</v>
      </c>
      <c r="F38" s="12" t="s">
        <v>959</v>
      </c>
      <c r="G38" s="12" t="s">
        <v>960</v>
      </c>
      <c r="H38" s="12"/>
      <c r="I38" s="12"/>
      <c r="J38" s="12" t="s">
        <v>961</v>
      </c>
      <c r="K38" s="12" t="s">
        <v>962</v>
      </c>
      <c r="L38" s="12" t="s">
        <v>262</v>
      </c>
      <c r="M38" s="13"/>
      <c r="N38" s="12" t="s">
        <v>963</v>
      </c>
      <c r="O38" s="12" t="s">
        <v>964</v>
      </c>
    </row>
    <row r="39" ht="15.75" customHeight="1">
      <c r="A39" s="12" t="s">
        <v>1033</v>
      </c>
      <c r="B39" s="12" t="s">
        <v>1034</v>
      </c>
      <c r="C39" s="12"/>
      <c r="D39" s="14">
        <v>37.0</v>
      </c>
      <c r="E39" s="14">
        <v>48700.0</v>
      </c>
      <c r="F39" s="12" t="s">
        <v>959</v>
      </c>
      <c r="G39" s="12" t="s">
        <v>960</v>
      </c>
      <c r="H39" s="12"/>
      <c r="I39" s="12"/>
      <c r="J39" s="12" t="s">
        <v>961</v>
      </c>
      <c r="K39" s="12" t="s">
        <v>962</v>
      </c>
      <c r="L39" s="12" t="s">
        <v>262</v>
      </c>
      <c r="M39" s="13"/>
      <c r="N39" s="12" t="s">
        <v>963</v>
      </c>
      <c r="O39" s="12" t="s">
        <v>964</v>
      </c>
    </row>
    <row r="40" ht="15.75" customHeight="1">
      <c r="A40" s="12" t="s">
        <v>1035</v>
      </c>
      <c r="B40" s="12" t="s">
        <v>1036</v>
      </c>
      <c r="C40" s="12"/>
      <c r="D40" s="14">
        <v>36.0</v>
      </c>
      <c r="E40" s="14">
        <v>372000.0</v>
      </c>
      <c r="F40" s="12" t="s">
        <v>959</v>
      </c>
      <c r="G40" s="12" t="s">
        <v>960</v>
      </c>
      <c r="H40" s="12"/>
      <c r="I40" s="12"/>
      <c r="J40" s="12" t="s">
        <v>961</v>
      </c>
      <c r="K40" s="12" t="s">
        <v>962</v>
      </c>
      <c r="L40" s="12" t="s">
        <v>262</v>
      </c>
      <c r="M40" s="13"/>
      <c r="N40" s="12" t="s">
        <v>963</v>
      </c>
      <c r="O40" s="12" t="s">
        <v>964</v>
      </c>
    </row>
    <row r="41" ht="15.75" customHeight="1">
      <c r="A41" s="12" t="s">
        <v>1037</v>
      </c>
      <c r="B41" s="12" t="s">
        <v>1038</v>
      </c>
      <c r="C41" s="12"/>
      <c r="D41" s="14">
        <v>36.0</v>
      </c>
      <c r="E41" s="14">
        <v>51200.0</v>
      </c>
      <c r="F41" s="12" t="s">
        <v>959</v>
      </c>
      <c r="G41" s="12" t="s">
        <v>960</v>
      </c>
      <c r="H41" s="12"/>
      <c r="I41" s="12"/>
      <c r="J41" s="12" t="s">
        <v>961</v>
      </c>
      <c r="K41" s="12" t="s">
        <v>962</v>
      </c>
      <c r="L41" s="12" t="s">
        <v>262</v>
      </c>
      <c r="M41" s="13"/>
      <c r="N41" s="12" t="s">
        <v>963</v>
      </c>
      <c r="O41" s="12" t="s">
        <v>964</v>
      </c>
    </row>
    <row r="42" ht="15.75" customHeight="1">
      <c r="A42" s="12" t="s">
        <v>1039</v>
      </c>
      <c r="B42" s="12" t="s">
        <v>1040</v>
      </c>
      <c r="C42" s="12"/>
      <c r="D42" s="14">
        <v>35.0</v>
      </c>
      <c r="E42" s="14">
        <v>52800.0</v>
      </c>
      <c r="F42" s="12" t="s">
        <v>959</v>
      </c>
      <c r="G42" s="12" t="s">
        <v>960</v>
      </c>
      <c r="H42" s="12"/>
      <c r="I42" s="12"/>
      <c r="J42" s="12" t="s">
        <v>961</v>
      </c>
      <c r="K42" s="12" t="s">
        <v>962</v>
      </c>
      <c r="L42" s="12" t="s">
        <v>262</v>
      </c>
      <c r="M42" s="13"/>
      <c r="N42" s="12" t="s">
        <v>963</v>
      </c>
      <c r="O42" s="12" t="s">
        <v>964</v>
      </c>
    </row>
    <row r="43" ht="15.75" customHeight="1">
      <c r="A43" s="12" t="s">
        <v>1041</v>
      </c>
      <c r="B43" s="12" t="s">
        <v>1042</v>
      </c>
      <c r="C43" s="12"/>
      <c r="D43" s="14">
        <v>35.0</v>
      </c>
      <c r="E43" s="14">
        <v>136000.0</v>
      </c>
      <c r="F43" s="12" t="s">
        <v>959</v>
      </c>
      <c r="G43" s="12" t="s">
        <v>960</v>
      </c>
      <c r="H43" s="12"/>
      <c r="I43" s="12"/>
      <c r="J43" s="12" t="s">
        <v>961</v>
      </c>
      <c r="K43" s="12" t="s">
        <v>962</v>
      </c>
      <c r="L43" s="12" t="s">
        <v>262</v>
      </c>
      <c r="M43" s="13"/>
      <c r="N43" s="12" t="s">
        <v>963</v>
      </c>
      <c r="O43" s="12" t="s">
        <v>964</v>
      </c>
    </row>
    <row r="44" ht="15.75" customHeight="1">
      <c r="A44" s="12" t="s">
        <v>1043</v>
      </c>
      <c r="B44" s="12" t="s">
        <v>1044</v>
      </c>
      <c r="C44" s="12"/>
      <c r="D44" s="14">
        <v>35.0</v>
      </c>
      <c r="E44" s="14">
        <v>65000.0</v>
      </c>
      <c r="F44" s="12" t="s">
        <v>959</v>
      </c>
      <c r="G44" s="12" t="s">
        <v>960</v>
      </c>
      <c r="H44" s="12"/>
      <c r="I44" s="12"/>
      <c r="J44" s="12" t="s">
        <v>961</v>
      </c>
      <c r="K44" s="12" t="s">
        <v>962</v>
      </c>
      <c r="L44" s="12" t="s">
        <v>262</v>
      </c>
      <c r="M44" s="13"/>
      <c r="N44" s="12" t="s">
        <v>963</v>
      </c>
      <c r="O44" s="12" t="s">
        <v>964</v>
      </c>
    </row>
    <row r="45" ht="15.75" customHeight="1">
      <c r="A45" s="12" t="s">
        <v>1045</v>
      </c>
      <c r="B45" s="12" t="s">
        <v>1046</v>
      </c>
      <c r="C45" s="12"/>
      <c r="D45" s="14">
        <v>35.0</v>
      </c>
      <c r="E45" s="14">
        <v>10000.0</v>
      </c>
      <c r="F45" s="12" t="s">
        <v>959</v>
      </c>
      <c r="G45" s="12" t="s">
        <v>960</v>
      </c>
      <c r="H45" s="12"/>
      <c r="I45" s="12"/>
      <c r="J45" s="12" t="s">
        <v>961</v>
      </c>
      <c r="K45" s="12" t="s">
        <v>962</v>
      </c>
      <c r="L45" s="12" t="s">
        <v>262</v>
      </c>
      <c r="M45" s="13"/>
      <c r="N45" s="12" t="s">
        <v>963</v>
      </c>
      <c r="O45" s="12" t="s">
        <v>964</v>
      </c>
    </row>
    <row r="46" ht="15.75" customHeight="1">
      <c r="A46" s="12" t="s">
        <v>1047</v>
      </c>
      <c r="B46" s="12" t="s">
        <v>1048</v>
      </c>
      <c r="C46" s="12"/>
      <c r="D46" s="14">
        <v>35.0</v>
      </c>
      <c r="E46" s="14">
        <v>22300.0</v>
      </c>
      <c r="F46" s="12" t="s">
        <v>959</v>
      </c>
      <c r="G46" s="12" t="s">
        <v>960</v>
      </c>
      <c r="H46" s="12"/>
      <c r="I46" s="12"/>
      <c r="J46" s="12" t="s">
        <v>961</v>
      </c>
      <c r="K46" s="12" t="s">
        <v>962</v>
      </c>
      <c r="L46" s="12" t="s">
        <v>262</v>
      </c>
      <c r="M46" s="13"/>
      <c r="N46" s="12" t="s">
        <v>963</v>
      </c>
      <c r="O46" s="12" t="s">
        <v>964</v>
      </c>
    </row>
    <row r="47" ht="15.75" customHeight="1">
      <c r="A47" s="12" t="s">
        <v>1049</v>
      </c>
      <c r="B47" s="12" t="s">
        <v>1050</v>
      </c>
      <c r="C47" s="12"/>
      <c r="D47" s="14">
        <v>35.0</v>
      </c>
      <c r="E47" s="14">
        <v>72000.0</v>
      </c>
      <c r="F47" s="12" t="s">
        <v>959</v>
      </c>
      <c r="G47" s="12" t="s">
        <v>960</v>
      </c>
      <c r="H47" s="12"/>
      <c r="I47" s="12"/>
      <c r="J47" s="12" t="s">
        <v>961</v>
      </c>
      <c r="K47" s="12" t="s">
        <v>962</v>
      </c>
      <c r="L47" s="12" t="s">
        <v>262</v>
      </c>
      <c r="M47" s="13"/>
      <c r="N47" s="12" t="s">
        <v>963</v>
      </c>
      <c r="O47" s="12" t="s">
        <v>964</v>
      </c>
    </row>
    <row r="48" ht="15.75" customHeight="1">
      <c r="A48" s="12" t="s">
        <v>1051</v>
      </c>
      <c r="B48" s="12" t="s">
        <v>1052</v>
      </c>
      <c r="C48" s="12"/>
      <c r="D48" s="14">
        <v>35.0</v>
      </c>
      <c r="E48" s="14">
        <v>3100.0</v>
      </c>
      <c r="F48" s="12" t="s">
        <v>959</v>
      </c>
      <c r="G48" s="12" t="s">
        <v>960</v>
      </c>
      <c r="H48" s="12"/>
      <c r="I48" s="12"/>
      <c r="J48" s="12" t="s">
        <v>961</v>
      </c>
      <c r="K48" s="12" t="s">
        <v>962</v>
      </c>
      <c r="L48" s="12" t="s">
        <v>262</v>
      </c>
      <c r="M48" s="13"/>
      <c r="N48" s="12" t="s">
        <v>963</v>
      </c>
      <c r="O48" s="12" t="s">
        <v>964</v>
      </c>
    </row>
    <row r="49" ht="15.75" customHeight="1">
      <c r="A49" s="12" t="s">
        <v>1053</v>
      </c>
      <c r="B49" s="12" t="s">
        <v>1054</v>
      </c>
      <c r="C49" s="12"/>
      <c r="D49" s="14">
        <v>34.0</v>
      </c>
      <c r="E49" s="14">
        <v>80400.0</v>
      </c>
      <c r="F49" s="12" t="s">
        <v>959</v>
      </c>
      <c r="G49" s="12" t="s">
        <v>960</v>
      </c>
      <c r="H49" s="12"/>
      <c r="I49" s="12"/>
      <c r="J49" s="12" t="s">
        <v>961</v>
      </c>
      <c r="K49" s="12" t="s">
        <v>962</v>
      </c>
      <c r="L49" s="12" t="s">
        <v>262</v>
      </c>
      <c r="M49" s="13"/>
      <c r="N49" s="12" t="s">
        <v>963</v>
      </c>
      <c r="O49" s="12" t="s">
        <v>964</v>
      </c>
    </row>
    <row r="50" ht="15.75" customHeight="1">
      <c r="A50" s="12" t="s">
        <v>1055</v>
      </c>
      <c r="B50" s="12" t="s">
        <v>1056</v>
      </c>
      <c r="C50" s="12"/>
      <c r="D50" s="14">
        <v>34.0</v>
      </c>
      <c r="E50" s="14">
        <v>22600.0</v>
      </c>
      <c r="F50" s="12" t="s">
        <v>959</v>
      </c>
      <c r="G50" s="12" t="s">
        <v>960</v>
      </c>
      <c r="H50" s="12"/>
      <c r="I50" s="12"/>
      <c r="J50" s="12" t="s">
        <v>961</v>
      </c>
      <c r="K50" s="12" t="s">
        <v>962</v>
      </c>
      <c r="L50" s="12" t="s">
        <v>262</v>
      </c>
      <c r="M50" s="13"/>
      <c r="N50" s="12" t="s">
        <v>963</v>
      </c>
      <c r="O50" s="12" t="s">
        <v>964</v>
      </c>
    </row>
    <row r="51" ht="15.75" customHeight="1">
      <c r="A51" s="12" t="s">
        <v>1057</v>
      </c>
      <c r="B51" s="12" t="s">
        <v>1058</v>
      </c>
      <c r="C51" s="12"/>
      <c r="D51" s="14">
        <v>34.0</v>
      </c>
      <c r="E51" s="14">
        <v>4600.0</v>
      </c>
      <c r="F51" s="12" t="s">
        <v>959</v>
      </c>
      <c r="G51" s="12" t="s">
        <v>960</v>
      </c>
      <c r="H51" s="12"/>
      <c r="I51" s="12"/>
      <c r="J51" s="12" t="s">
        <v>961</v>
      </c>
      <c r="K51" s="12" t="s">
        <v>962</v>
      </c>
      <c r="L51" s="12" t="s">
        <v>262</v>
      </c>
      <c r="M51" s="13"/>
      <c r="N51" s="12" t="s">
        <v>963</v>
      </c>
      <c r="O51" s="12" t="s">
        <v>964</v>
      </c>
    </row>
    <row r="52" ht="15.75" customHeight="1">
      <c r="A52" s="12" t="s">
        <v>1059</v>
      </c>
      <c r="B52" s="12" t="s">
        <v>1060</v>
      </c>
      <c r="C52" s="12"/>
      <c r="D52" s="14">
        <v>33.0</v>
      </c>
      <c r="E52" s="14">
        <v>3600.0</v>
      </c>
      <c r="F52" s="12" t="s">
        <v>959</v>
      </c>
      <c r="G52" s="12" t="s">
        <v>960</v>
      </c>
      <c r="H52" s="12"/>
      <c r="I52" s="12"/>
      <c r="J52" s="12" t="s">
        <v>961</v>
      </c>
      <c r="K52" s="12" t="s">
        <v>962</v>
      </c>
      <c r="L52" s="12" t="s">
        <v>262</v>
      </c>
      <c r="M52" s="13"/>
      <c r="N52" s="12" t="s">
        <v>963</v>
      </c>
      <c r="O52" s="12" t="s">
        <v>964</v>
      </c>
    </row>
    <row r="53" ht="15.75" customHeight="1">
      <c r="A53" s="12" t="s">
        <v>1061</v>
      </c>
      <c r="B53" s="12" t="s">
        <v>1062</v>
      </c>
      <c r="C53" s="12"/>
      <c r="D53" s="14">
        <v>33.0</v>
      </c>
      <c r="E53" s="14">
        <v>53400.0</v>
      </c>
      <c r="F53" s="12" t="s">
        <v>959</v>
      </c>
      <c r="G53" s="12" t="s">
        <v>960</v>
      </c>
      <c r="H53" s="12"/>
      <c r="I53" s="12"/>
      <c r="J53" s="12" t="s">
        <v>961</v>
      </c>
      <c r="K53" s="12" t="s">
        <v>962</v>
      </c>
      <c r="L53" s="12" t="s">
        <v>262</v>
      </c>
      <c r="M53" s="13"/>
      <c r="N53" s="12" t="s">
        <v>963</v>
      </c>
      <c r="O53" s="12" t="s">
        <v>964</v>
      </c>
    </row>
    <row r="54" ht="15.75" customHeight="1">
      <c r="A54" s="12" t="s">
        <v>1063</v>
      </c>
      <c r="B54" s="12" t="s">
        <v>1064</v>
      </c>
      <c r="C54" s="12"/>
      <c r="D54" s="14">
        <v>33.0</v>
      </c>
      <c r="E54" s="14">
        <v>23200.0</v>
      </c>
      <c r="F54" s="12" t="s">
        <v>959</v>
      </c>
      <c r="G54" s="12" t="s">
        <v>960</v>
      </c>
      <c r="H54" s="12"/>
      <c r="I54" s="12"/>
      <c r="J54" s="12" t="s">
        <v>961</v>
      </c>
      <c r="K54" s="12" t="s">
        <v>962</v>
      </c>
      <c r="L54" s="12" t="s">
        <v>262</v>
      </c>
      <c r="M54" s="13"/>
      <c r="N54" s="12" t="s">
        <v>963</v>
      </c>
      <c r="O54" s="12" t="s">
        <v>964</v>
      </c>
    </row>
    <row r="55" ht="15.75" customHeight="1">
      <c r="A55" s="12" t="s">
        <v>1065</v>
      </c>
      <c r="B55" s="12" t="s">
        <v>1066</v>
      </c>
      <c r="C55" s="12"/>
      <c r="D55" s="14">
        <v>33.0</v>
      </c>
      <c r="E55" s="14">
        <v>40600.0</v>
      </c>
      <c r="F55" s="12" t="s">
        <v>959</v>
      </c>
      <c r="G55" s="12" t="s">
        <v>960</v>
      </c>
      <c r="H55" s="12"/>
      <c r="I55" s="12"/>
      <c r="J55" s="12" t="s">
        <v>961</v>
      </c>
      <c r="K55" s="12" t="s">
        <v>962</v>
      </c>
      <c r="L55" s="12" t="s">
        <v>262</v>
      </c>
      <c r="M55" s="13"/>
      <c r="N55" s="12" t="s">
        <v>963</v>
      </c>
      <c r="O55" s="12" t="s">
        <v>964</v>
      </c>
    </row>
    <row r="56" ht="15.75" customHeight="1">
      <c r="A56" s="12" t="s">
        <v>1067</v>
      </c>
      <c r="B56" s="12" t="s">
        <v>1068</v>
      </c>
      <c r="C56" s="12"/>
      <c r="D56" s="14">
        <v>33.0</v>
      </c>
      <c r="E56" s="14">
        <v>40200.0</v>
      </c>
      <c r="F56" s="12" t="s">
        <v>959</v>
      </c>
      <c r="G56" s="12" t="s">
        <v>960</v>
      </c>
      <c r="H56" s="12"/>
      <c r="I56" s="12"/>
      <c r="J56" s="12" t="s">
        <v>961</v>
      </c>
      <c r="K56" s="12" t="s">
        <v>962</v>
      </c>
      <c r="L56" s="12" t="s">
        <v>262</v>
      </c>
      <c r="M56" s="13"/>
      <c r="N56" s="12" t="s">
        <v>963</v>
      </c>
      <c r="O56" s="12" t="s">
        <v>964</v>
      </c>
    </row>
    <row r="57" ht="15.75" customHeight="1">
      <c r="A57" s="12" t="s">
        <v>1069</v>
      </c>
      <c r="B57" s="12" t="s">
        <v>1070</v>
      </c>
      <c r="C57" s="12"/>
      <c r="D57" s="14">
        <v>33.0</v>
      </c>
      <c r="E57" s="14">
        <v>38800.0</v>
      </c>
      <c r="F57" s="12" t="s">
        <v>959</v>
      </c>
      <c r="G57" s="12" t="s">
        <v>960</v>
      </c>
      <c r="H57" s="12"/>
      <c r="I57" s="12"/>
      <c r="J57" s="12" t="s">
        <v>961</v>
      </c>
      <c r="K57" s="12" t="s">
        <v>962</v>
      </c>
      <c r="L57" s="12" t="s">
        <v>262</v>
      </c>
      <c r="M57" s="13"/>
      <c r="N57" s="12" t="s">
        <v>963</v>
      </c>
      <c r="O57" s="12" t="s">
        <v>964</v>
      </c>
    </row>
    <row r="58" ht="15.75" customHeight="1">
      <c r="A58" s="12" t="s">
        <v>1072</v>
      </c>
      <c r="B58" s="12" t="s">
        <v>1073</v>
      </c>
      <c r="C58" s="12"/>
      <c r="D58" s="14">
        <v>33.0</v>
      </c>
      <c r="E58" s="14">
        <v>11500.0</v>
      </c>
      <c r="F58" s="12" t="s">
        <v>959</v>
      </c>
      <c r="G58" s="12" t="s">
        <v>960</v>
      </c>
      <c r="H58" s="12"/>
      <c r="I58" s="12"/>
      <c r="J58" s="12" t="s">
        <v>961</v>
      </c>
      <c r="K58" s="12" t="s">
        <v>962</v>
      </c>
      <c r="L58" s="12" t="s">
        <v>262</v>
      </c>
      <c r="M58" s="13"/>
      <c r="N58" s="12" t="s">
        <v>963</v>
      </c>
      <c r="O58" s="12" t="s">
        <v>964</v>
      </c>
    </row>
    <row r="59" ht="15.75" customHeight="1">
      <c r="A59" s="12" t="s">
        <v>1075</v>
      </c>
      <c r="B59" s="12" t="s">
        <v>1076</v>
      </c>
      <c r="C59" s="12"/>
      <c r="D59" s="14">
        <v>33.0</v>
      </c>
      <c r="E59" s="14">
        <v>11800.0</v>
      </c>
      <c r="F59" s="12" t="s">
        <v>959</v>
      </c>
      <c r="G59" s="12" t="s">
        <v>960</v>
      </c>
      <c r="H59" s="12"/>
      <c r="I59" s="12"/>
      <c r="J59" s="12" t="s">
        <v>961</v>
      </c>
      <c r="K59" s="12" t="s">
        <v>962</v>
      </c>
      <c r="L59" s="12" t="s">
        <v>262</v>
      </c>
      <c r="M59" s="13"/>
      <c r="N59" s="12" t="s">
        <v>963</v>
      </c>
      <c r="O59" s="12" t="s">
        <v>964</v>
      </c>
    </row>
    <row r="60" ht="15.75" customHeight="1">
      <c r="A60" s="12" t="s">
        <v>1083</v>
      </c>
      <c r="B60" s="12" t="s">
        <v>1085</v>
      </c>
      <c r="C60" s="12"/>
      <c r="D60" s="14">
        <v>32.0</v>
      </c>
      <c r="E60" s="14">
        <v>26300.0</v>
      </c>
      <c r="F60" s="12" t="s">
        <v>959</v>
      </c>
      <c r="G60" s="12" t="s">
        <v>960</v>
      </c>
      <c r="H60" s="12"/>
      <c r="I60" s="12"/>
      <c r="J60" s="12" t="s">
        <v>961</v>
      </c>
      <c r="K60" s="12" t="s">
        <v>962</v>
      </c>
      <c r="L60" s="12" t="s">
        <v>262</v>
      </c>
      <c r="M60" s="13"/>
      <c r="N60" s="12" t="s">
        <v>963</v>
      </c>
      <c r="O60" s="12" t="s">
        <v>964</v>
      </c>
    </row>
    <row r="61" ht="15.75" customHeight="1">
      <c r="A61" s="12" t="s">
        <v>1093</v>
      </c>
      <c r="B61" s="12" t="s">
        <v>1094</v>
      </c>
      <c r="C61" s="12"/>
      <c r="D61" s="14">
        <v>31.0</v>
      </c>
      <c r="E61" s="14">
        <v>4900.0</v>
      </c>
      <c r="F61" s="12" t="s">
        <v>959</v>
      </c>
      <c r="G61" s="12" t="s">
        <v>960</v>
      </c>
      <c r="H61" s="12"/>
      <c r="I61" s="12"/>
      <c r="J61" s="12" t="s">
        <v>961</v>
      </c>
      <c r="K61" s="12" t="s">
        <v>962</v>
      </c>
      <c r="L61" s="12" t="s">
        <v>262</v>
      </c>
      <c r="M61" s="13"/>
      <c r="N61" s="12" t="s">
        <v>963</v>
      </c>
      <c r="O61" s="12" t="s">
        <v>964</v>
      </c>
    </row>
    <row r="62" ht="15.75" customHeight="1">
      <c r="A62" s="12" t="s">
        <v>1099</v>
      </c>
      <c r="B62" s="12" t="s">
        <v>1100</v>
      </c>
      <c r="C62" s="12"/>
      <c r="D62" s="14">
        <v>31.0</v>
      </c>
      <c r="E62" s="14">
        <v>1400.0</v>
      </c>
      <c r="F62" s="12" t="s">
        <v>959</v>
      </c>
      <c r="G62" s="12" t="s">
        <v>960</v>
      </c>
      <c r="H62" s="12"/>
      <c r="I62" s="12"/>
      <c r="J62" s="12" t="s">
        <v>961</v>
      </c>
      <c r="K62" s="12" t="s">
        <v>962</v>
      </c>
      <c r="L62" s="12" t="s">
        <v>262</v>
      </c>
      <c r="M62" s="13"/>
      <c r="N62" s="12" t="s">
        <v>963</v>
      </c>
      <c r="O62" s="12" t="s">
        <v>964</v>
      </c>
    </row>
    <row r="63" ht="15.75" customHeight="1">
      <c r="A63" s="12" t="s">
        <v>1102</v>
      </c>
      <c r="B63" s="12" t="s">
        <v>1103</v>
      </c>
      <c r="C63" s="12"/>
      <c r="D63" s="14">
        <v>31.0</v>
      </c>
      <c r="E63" s="14">
        <v>8400.0</v>
      </c>
      <c r="F63" s="12" t="s">
        <v>959</v>
      </c>
      <c r="G63" s="12" t="s">
        <v>960</v>
      </c>
      <c r="H63" s="12"/>
      <c r="I63" s="12"/>
      <c r="J63" s="12" t="s">
        <v>961</v>
      </c>
      <c r="K63" s="12" t="s">
        <v>962</v>
      </c>
      <c r="L63" s="12" t="s">
        <v>262</v>
      </c>
      <c r="M63" s="13"/>
      <c r="N63" s="12" t="s">
        <v>963</v>
      </c>
      <c r="O63" s="12" t="s">
        <v>964</v>
      </c>
    </row>
    <row r="64" ht="15.75" customHeight="1">
      <c r="A64" s="12" t="s">
        <v>1109</v>
      </c>
      <c r="B64" s="12" t="s">
        <v>1110</v>
      </c>
      <c r="C64" s="12"/>
      <c r="D64" s="14">
        <v>30.0</v>
      </c>
      <c r="E64" s="14">
        <v>2400.0</v>
      </c>
      <c r="F64" s="12" t="s">
        <v>959</v>
      </c>
      <c r="G64" s="12" t="s">
        <v>960</v>
      </c>
      <c r="H64" s="12"/>
      <c r="I64" s="12"/>
      <c r="J64" s="12" t="s">
        <v>961</v>
      </c>
      <c r="K64" s="12" t="s">
        <v>962</v>
      </c>
      <c r="L64" s="12" t="s">
        <v>262</v>
      </c>
      <c r="M64" s="13"/>
      <c r="N64" s="12" t="s">
        <v>963</v>
      </c>
      <c r="O64" s="12" t="s">
        <v>964</v>
      </c>
    </row>
    <row r="65" ht="15.75" customHeight="1">
      <c r="A65" s="12" t="s">
        <v>1111</v>
      </c>
      <c r="B65" s="12" t="s">
        <v>1112</v>
      </c>
      <c r="C65" s="12"/>
      <c r="D65" s="14">
        <v>30.0</v>
      </c>
      <c r="E65" s="14">
        <v>10100.0</v>
      </c>
      <c r="F65" s="12" t="s">
        <v>959</v>
      </c>
      <c r="G65" s="12" t="s">
        <v>960</v>
      </c>
      <c r="H65" s="12"/>
      <c r="I65" s="12"/>
      <c r="J65" s="12" t="s">
        <v>961</v>
      </c>
      <c r="K65" s="12" t="s">
        <v>962</v>
      </c>
      <c r="L65" s="12" t="s">
        <v>262</v>
      </c>
      <c r="M65" s="13"/>
      <c r="N65" s="12" t="s">
        <v>963</v>
      </c>
      <c r="O65" s="12" t="s">
        <v>964</v>
      </c>
    </row>
    <row r="66" ht="15.75" customHeight="1">
      <c r="A66" s="12" t="s">
        <v>1116</v>
      </c>
      <c r="B66" s="12" t="s">
        <v>1117</v>
      </c>
      <c r="C66" s="12"/>
      <c r="D66" s="14">
        <v>30.0</v>
      </c>
      <c r="E66" s="14">
        <v>17600.0</v>
      </c>
      <c r="F66" s="12" t="s">
        <v>959</v>
      </c>
      <c r="G66" s="12" t="s">
        <v>960</v>
      </c>
      <c r="H66" s="12"/>
      <c r="I66" s="12"/>
      <c r="J66" s="12" t="s">
        <v>961</v>
      </c>
      <c r="K66" s="12" t="s">
        <v>962</v>
      </c>
      <c r="L66" s="12" t="s">
        <v>262</v>
      </c>
      <c r="M66" s="13"/>
      <c r="N66" s="12" t="s">
        <v>963</v>
      </c>
      <c r="O66" s="12" t="s">
        <v>964</v>
      </c>
    </row>
    <row r="67" ht="15.75" customHeight="1">
      <c r="A67" s="12" t="s">
        <v>1122</v>
      </c>
      <c r="B67" s="12" t="s">
        <v>1123</v>
      </c>
      <c r="C67" s="12"/>
      <c r="D67" s="14">
        <v>30.0</v>
      </c>
      <c r="E67" s="14">
        <v>10400.0</v>
      </c>
      <c r="F67" s="12" t="s">
        <v>959</v>
      </c>
      <c r="G67" s="12" t="s">
        <v>960</v>
      </c>
      <c r="H67" s="12"/>
      <c r="I67" s="12"/>
      <c r="J67" s="12" t="s">
        <v>961</v>
      </c>
      <c r="K67" s="12" t="s">
        <v>962</v>
      </c>
      <c r="L67" s="12" t="s">
        <v>262</v>
      </c>
      <c r="M67" s="13"/>
      <c r="N67" s="12" t="s">
        <v>963</v>
      </c>
      <c r="O67" s="12" t="s">
        <v>964</v>
      </c>
    </row>
    <row r="68" ht="15.75" customHeight="1">
      <c r="A68" s="12" t="s">
        <v>1127</v>
      </c>
      <c r="B68" s="12" t="s">
        <v>1128</v>
      </c>
      <c r="C68" s="12"/>
      <c r="D68" s="14">
        <v>30.0</v>
      </c>
      <c r="E68" s="14">
        <v>8900.0</v>
      </c>
      <c r="F68" s="12" t="s">
        <v>959</v>
      </c>
      <c r="G68" s="12" t="s">
        <v>960</v>
      </c>
      <c r="H68" s="12"/>
      <c r="I68" s="12"/>
      <c r="J68" s="12" t="s">
        <v>961</v>
      </c>
      <c r="K68" s="12" t="s">
        <v>962</v>
      </c>
      <c r="L68" s="12" t="s">
        <v>262</v>
      </c>
      <c r="M68" s="13"/>
      <c r="N68" s="12" t="s">
        <v>963</v>
      </c>
      <c r="O68" s="12" t="s">
        <v>964</v>
      </c>
    </row>
    <row r="69" ht="15.75" customHeight="1">
      <c r="A69" s="12" t="s">
        <v>1129</v>
      </c>
      <c r="B69" s="12" t="s">
        <v>1130</v>
      </c>
      <c r="C69" s="12"/>
      <c r="D69" s="14">
        <v>30.0</v>
      </c>
      <c r="E69" s="14">
        <v>12000.0</v>
      </c>
      <c r="F69" s="12" t="s">
        <v>959</v>
      </c>
      <c r="G69" s="12" t="s">
        <v>960</v>
      </c>
      <c r="H69" s="12"/>
      <c r="I69" s="12"/>
      <c r="J69" s="12" t="s">
        <v>961</v>
      </c>
      <c r="K69" s="12" t="s">
        <v>962</v>
      </c>
      <c r="L69" s="12" t="s">
        <v>262</v>
      </c>
      <c r="M69" s="13"/>
      <c r="N69" s="12" t="s">
        <v>963</v>
      </c>
      <c r="O69" s="12" t="s">
        <v>964</v>
      </c>
    </row>
    <row r="70" ht="15.75" customHeight="1">
      <c r="A70" s="12" t="s">
        <v>1133</v>
      </c>
      <c r="B70" s="12" t="s">
        <v>1134</v>
      </c>
      <c r="C70" s="12"/>
      <c r="D70" s="14">
        <v>29.0</v>
      </c>
      <c r="E70" s="14">
        <v>21800.0</v>
      </c>
      <c r="F70" s="12" t="s">
        <v>959</v>
      </c>
      <c r="G70" s="12" t="s">
        <v>960</v>
      </c>
      <c r="H70" s="12"/>
      <c r="I70" s="12"/>
      <c r="J70" s="12" t="s">
        <v>961</v>
      </c>
      <c r="K70" s="12" t="s">
        <v>962</v>
      </c>
      <c r="L70" s="12" t="s">
        <v>262</v>
      </c>
      <c r="M70" s="13"/>
      <c r="N70" s="12" t="s">
        <v>963</v>
      </c>
      <c r="O70" s="12" t="s">
        <v>964</v>
      </c>
    </row>
    <row r="71" ht="15.75" customHeight="1">
      <c r="A71" s="12" t="s">
        <v>1137</v>
      </c>
      <c r="B71" s="12" t="s">
        <v>1138</v>
      </c>
      <c r="C71" s="12"/>
      <c r="D71" s="14">
        <v>29.0</v>
      </c>
      <c r="E71" s="14">
        <v>17200.0</v>
      </c>
      <c r="F71" s="12" t="s">
        <v>959</v>
      </c>
      <c r="G71" s="12" t="s">
        <v>960</v>
      </c>
      <c r="H71" s="12"/>
      <c r="I71" s="12"/>
      <c r="J71" s="12" t="s">
        <v>961</v>
      </c>
      <c r="K71" s="12" t="s">
        <v>962</v>
      </c>
      <c r="L71" s="12" t="s">
        <v>262</v>
      </c>
      <c r="M71" s="13"/>
      <c r="N71" s="12" t="s">
        <v>963</v>
      </c>
      <c r="O71" s="12" t="s">
        <v>964</v>
      </c>
    </row>
    <row r="72" ht="15.75" customHeight="1">
      <c r="A72" s="12" t="s">
        <v>1141</v>
      </c>
      <c r="B72" s="12" t="s">
        <v>1142</v>
      </c>
      <c r="C72" s="12"/>
      <c r="D72" s="14">
        <v>29.0</v>
      </c>
      <c r="E72" s="14">
        <v>2100.0</v>
      </c>
      <c r="F72" s="12" t="s">
        <v>959</v>
      </c>
      <c r="G72" s="12" t="s">
        <v>960</v>
      </c>
      <c r="H72" s="12"/>
      <c r="I72" s="12"/>
      <c r="J72" s="12" t="s">
        <v>961</v>
      </c>
      <c r="K72" s="12" t="s">
        <v>962</v>
      </c>
      <c r="L72" s="12" t="s">
        <v>262</v>
      </c>
      <c r="M72" s="13"/>
      <c r="N72" s="12" t="s">
        <v>963</v>
      </c>
      <c r="O72" s="12" t="s">
        <v>964</v>
      </c>
    </row>
    <row r="73" ht="15.75" customHeight="1">
      <c r="A73" s="12" t="s">
        <v>1143</v>
      </c>
      <c r="B73" s="12" t="s">
        <v>1144</v>
      </c>
      <c r="C73" s="12"/>
      <c r="D73" s="14">
        <v>29.0</v>
      </c>
      <c r="E73" s="14">
        <v>2000.0</v>
      </c>
      <c r="F73" s="12" t="s">
        <v>959</v>
      </c>
      <c r="G73" s="12" t="s">
        <v>960</v>
      </c>
      <c r="H73" s="12"/>
      <c r="I73" s="12"/>
      <c r="J73" s="12" t="s">
        <v>961</v>
      </c>
      <c r="K73" s="12" t="s">
        <v>962</v>
      </c>
      <c r="L73" s="12" t="s">
        <v>262</v>
      </c>
      <c r="M73" s="13"/>
      <c r="N73" s="12" t="s">
        <v>963</v>
      </c>
      <c r="O73" s="12" t="s">
        <v>964</v>
      </c>
    </row>
    <row r="74" ht="15.75" customHeight="1">
      <c r="A74" s="12" t="s">
        <v>1147</v>
      </c>
      <c r="B74" s="12" t="s">
        <v>1148</v>
      </c>
      <c r="C74" s="12"/>
      <c r="D74" s="14">
        <v>29.0</v>
      </c>
      <c r="E74" s="14">
        <v>45000.0</v>
      </c>
      <c r="F74" s="12" t="s">
        <v>959</v>
      </c>
      <c r="G74" s="12" t="s">
        <v>960</v>
      </c>
      <c r="H74" s="12"/>
      <c r="I74" s="12"/>
      <c r="J74" s="12" t="s">
        <v>961</v>
      </c>
      <c r="K74" s="12" t="s">
        <v>962</v>
      </c>
      <c r="L74" s="12" t="s">
        <v>262</v>
      </c>
      <c r="M74" s="13"/>
      <c r="N74" s="12" t="s">
        <v>963</v>
      </c>
      <c r="O74" s="12" t="s">
        <v>964</v>
      </c>
    </row>
    <row r="75" ht="15.75" customHeight="1">
      <c r="A75" s="12" t="s">
        <v>1151</v>
      </c>
      <c r="B75" s="12" t="s">
        <v>1152</v>
      </c>
      <c r="C75" s="12"/>
      <c r="D75" s="14">
        <v>29.0</v>
      </c>
      <c r="E75" s="14">
        <v>21100.0</v>
      </c>
      <c r="F75" s="12" t="s">
        <v>959</v>
      </c>
      <c r="G75" s="12" t="s">
        <v>960</v>
      </c>
      <c r="H75" s="12"/>
      <c r="I75" s="12"/>
      <c r="J75" s="12" t="s">
        <v>961</v>
      </c>
      <c r="K75" s="12" t="s">
        <v>962</v>
      </c>
      <c r="L75" s="12" t="s">
        <v>262</v>
      </c>
      <c r="M75" s="13"/>
      <c r="N75" s="12" t="s">
        <v>963</v>
      </c>
      <c r="O75" s="12" t="s">
        <v>964</v>
      </c>
    </row>
    <row r="76" ht="15.75" customHeight="1">
      <c r="A76" s="12" t="s">
        <v>1153</v>
      </c>
      <c r="B76" s="12" t="s">
        <v>1154</v>
      </c>
      <c r="C76" s="12"/>
      <c r="D76" s="14">
        <v>29.0</v>
      </c>
      <c r="E76" s="14">
        <v>2100.0</v>
      </c>
      <c r="F76" s="12" t="s">
        <v>959</v>
      </c>
      <c r="G76" s="12" t="s">
        <v>960</v>
      </c>
      <c r="H76" s="12"/>
      <c r="I76" s="12"/>
      <c r="J76" s="12" t="s">
        <v>961</v>
      </c>
      <c r="K76" s="12" t="s">
        <v>962</v>
      </c>
      <c r="L76" s="12" t="s">
        <v>262</v>
      </c>
      <c r="M76" s="13"/>
      <c r="N76" s="12" t="s">
        <v>963</v>
      </c>
      <c r="O76" s="12" t="s">
        <v>964</v>
      </c>
    </row>
    <row r="77" ht="15.75" customHeight="1">
      <c r="A77" s="12" t="s">
        <v>1157</v>
      </c>
      <c r="B77" s="12" t="s">
        <v>1158</v>
      </c>
      <c r="C77" s="12"/>
      <c r="D77" s="14">
        <v>28.0</v>
      </c>
      <c r="E77" s="14">
        <v>3500.0</v>
      </c>
      <c r="F77" s="12" t="s">
        <v>959</v>
      </c>
      <c r="G77" s="12" t="s">
        <v>960</v>
      </c>
      <c r="H77" s="12"/>
      <c r="I77" s="12"/>
      <c r="J77" s="12" t="s">
        <v>961</v>
      </c>
      <c r="K77" s="12" t="s">
        <v>962</v>
      </c>
      <c r="L77" s="12" t="s">
        <v>262</v>
      </c>
      <c r="M77" s="13"/>
      <c r="N77" s="12" t="s">
        <v>963</v>
      </c>
      <c r="O77" s="12" t="s">
        <v>964</v>
      </c>
    </row>
    <row r="78" ht="15.75" customHeight="1">
      <c r="A78" s="12" t="s">
        <v>1161</v>
      </c>
      <c r="B78" s="12" t="s">
        <v>1162</v>
      </c>
      <c r="C78" s="12"/>
      <c r="D78" s="14">
        <v>28.0</v>
      </c>
      <c r="E78" s="14">
        <v>3900.0</v>
      </c>
      <c r="F78" s="12" t="s">
        <v>959</v>
      </c>
      <c r="G78" s="12" t="s">
        <v>960</v>
      </c>
      <c r="H78" s="12"/>
      <c r="I78" s="12"/>
      <c r="J78" s="12" t="s">
        <v>961</v>
      </c>
      <c r="K78" s="12" t="s">
        <v>962</v>
      </c>
      <c r="L78" s="12" t="s">
        <v>262</v>
      </c>
      <c r="M78" s="13"/>
      <c r="N78" s="12" t="s">
        <v>963</v>
      </c>
      <c r="O78" s="12" t="s">
        <v>964</v>
      </c>
    </row>
    <row r="79" ht="15.75" customHeight="1">
      <c r="A79" s="12" t="s">
        <v>1165</v>
      </c>
      <c r="B79" s="12" t="s">
        <v>1166</v>
      </c>
      <c r="C79" s="12"/>
      <c r="D79" s="14">
        <v>28.0</v>
      </c>
      <c r="E79" s="14">
        <v>4400.0</v>
      </c>
      <c r="F79" s="12" t="s">
        <v>959</v>
      </c>
      <c r="G79" s="12" t="s">
        <v>960</v>
      </c>
      <c r="H79" s="12"/>
      <c r="I79" s="12"/>
      <c r="J79" s="12" t="s">
        <v>961</v>
      </c>
      <c r="K79" s="12" t="s">
        <v>962</v>
      </c>
      <c r="L79" s="12" t="s">
        <v>262</v>
      </c>
      <c r="M79" s="13"/>
      <c r="N79" s="12" t="s">
        <v>963</v>
      </c>
      <c r="O79" s="12" t="s">
        <v>964</v>
      </c>
    </row>
    <row r="80" ht="15.75" customHeight="1">
      <c r="A80" s="12" t="s">
        <v>1169</v>
      </c>
      <c r="B80" s="12" t="s">
        <v>1170</v>
      </c>
      <c r="C80" s="12"/>
      <c r="D80" s="14">
        <v>28.0</v>
      </c>
      <c r="E80" s="14">
        <v>3900.0</v>
      </c>
      <c r="F80" s="12" t="s">
        <v>959</v>
      </c>
      <c r="G80" s="12" t="s">
        <v>960</v>
      </c>
      <c r="H80" s="12"/>
      <c r="I80" s="12"/>
      <c r="J80" s="12" t="s">
        <v>961</v>
      </c>
      <c r="K80" s="12" t="s">
        <v>962</v>
      </c>
      <c r="L80" s="12" t="s">
        <v>262</v>
      </c>
      <c r="M80" s="13"/>
      <c r="N80" s="12" t="s">
        <v>963</v>
      </c>
      <c r="O80" s="12" t="s">
        <v>964</v>
      </c>
    </row>
    <row r="81" ht="15.75" customHeight="1">
      <c r="A81" s="12" t="s">
        <v>1171</v>
      </c>
      <c r="B81" s="12" t="s">
        <v>1172</v>
      </c>
      <c r="C81" s="12"/>
      <c r="D81" s="14">
        <v>28.0</v>
      </c>
      <c r="E81" s="14">
        <v>1300.0</v>
      </c>
      <c r="F81" s="12" t="s">
        <v>959</v>
      </c>
      <c r="G81" s="12" t="s">
        <v>960</v>
      </c>
      <c r="H81" s="12"/>
      <c r="I81" s="12"/>
      <c r="J81" s="12" t="s">
        <v>961</v>
      </c>
      <c r="K81" s="12" t="s">
        <v>962</v>
      </c>
      <c r="L81" s="12" t="s">
        <v>262</v>
      </c>
      <c r="M81" s="13"/>
      <c r="N81" s="12" t="s">
        <v>963</v>
      </c>
      <c r="O81" s="12" t="s">
        <v>964</v>
      </c>
    </row>
    <row r="82" ht="15.75" customHeight="1">
      <c r="A82" s="12" t="s">
        <v>1175</v>
      </c>
      <c r="B82" s="12" t="s">
        <v>1176</v>
      </c>
      <c r="C82" s="12"/>
      <c r="D82" s="14">
        <v>28.0</v>
      </c>
      <c r="E82" s="14">
        <v>5300.0</v>
      </c>
      <c r="F82" s="12" t="s">
        <v>959</v>
      </c>
      <c r="G82" s="12" t="s">
        <v>960</v>
      </c>
      <c r="H82" s="12"/>
      <c r="I82" s="12"/>
      <c r="J82" s="12" t="s">
        <v>961</v>
      </c>
      <c r="K82" s="12" t="s">
        <v>962</v>
      </c>
      <c r="L82" s="12" t="s">
        <v>262</v>
      </c>
      <c r="M82" s="13"/>
      <c r="N82" s="12" t="s">
        <v>963</v>
      </c>
      <c r="O82" s="12" t="s">
        <v>964</v>
      </c>
    </row>
    <row r="83" ht="15.75" customHeight="1">
      <c r="A83" s="12" t="s">
        <v>1179</v>
      </c>
      <c r="B83" s="12" t="s">
        <v>1180</v>
      </c>
      <c r="C83" s="12"/>
      <c r="D83" s="14">
        <v>28.0</v>
      </c>
      <c r="E83" s="14">
        <v>136000.0</v>
      </c>
      <c r="F83" s="12" t="s">
        <v>959</v>
      </c>
      <c r="G83" s="12" t="s">
        <v>960</v>
      </c>
      <c r="H83" s="12"/>
      <c r="I83" s="12"/>
      <c r="J83" s="12" t="s">
        <v>961</v>
      </c>
      <c r="K83" s="12" t="s">
        <v>962</v>
      </c>
      <c r="L83" s="12" t="s">
        <v>262</v>
      </c>
      <c r="M83" s="13"/>
      <c r="N83" s="12" t="s">
        <v>963</v>
      </c>
      <c r="O83" s="12" t="s">
        <v>964</v>
      </c>
    </row>
    <row r="84" ht="15.75" customHeight="1">
      <c r="A84" s="12" t="s">
        <v>1183</v>
      </c>
      <c r="B84" s="12" t="s">
        <v>1184</v>
      </c>
      <c r="C84" s="12"/>
      <c r="D84" s="14">
        <v>28.0</v>
      </c>
      <c r="E84" s="14">
        <v>547.0</v>
      </c>
      <c r="F84" s="12" t="s">
        <v>959</v>
      </c>
      <c r="G84" s="12" t="s">
        <v>960</v>
      </c>
      <c r="H84" s="12"/>
      <c r="I84" s="12"/>
      <c r="J84" s="12" t="s">
        <v>961</v>
      </c>
      <c r="K84" s="12" t="s">
        <v>962</v>
      </c>
      <c r="L84" s="12" t="s">
        <v>262</v>
      </c>
      <c r="M84" s="13"/>
      <c r="N84" s="12" t="s">
        <v>963</v>
      </c>
      <c r="O84" s="12" t="s">
        <v>964</v>
      </c>
    </row>
    <row r="85" ht="15.75" customHeight="1">
      <c r="A85" s="12" t="s">
        <v>1185</v>
      </c>
      <c r="B85" s="12" t="s">
        <v>1186</v>
      </c>
      <c r="C85" s="12"/>
      <c r="D85" s="14">
        <v>28.0</v>
      </c>
      <c r="E85" s="14">
        <v>2600.0</v>
      </c>
      <c r="F85" s="12" t="s">
        <v>959</v>
      </c>
      <c r="G85" s="12" t="s">
        <v>960</v>
      </c>
      <c r="H85" s="12"/>
      <c r="I85" s="12"/>
      <c r="J85" s="12" t="s">
        <v>961</v>
      </c>
      <c r="K85" s="12" t="s">
        <v>962</v>
      </c>
      <c r="L85" s="12" t="s">
        <v>262</v>
      </c>
      <c r="M85" s="13"/>
      <c r="N85" s="12" t="s">
        <v>963</v>
      </c>
      <c r="O85" s="12" t="s">
        <v>964</v>
      </c>
    </row>
    <row r="86" ht="15.75" customHeight="1">
      <c r="A86" s="12" t="s">
        <v>1189</v>
      </c>
      <c r="B86" s="12" t="s">
        <v>1190</v>
      </c>
      <c r="C86" s="12"/>
      <c r="D86" s="14">
        <v>27.0</v>
      </c>
      <c r="E86" s="14">
        <v>2600.0</v>
      </c>
      <c r="F86" s="12" t="s">
        <v>959</v>
      </c>
      <c r="G86" s="12" t="s">
        <v>960</v>
      </c>
      <c r="H86" s="12"/>
      <c r="I86" s="12"/>
      <c r="J86" s="12" t="s">
        <v>961</v>
      </c>
      <c r="K86" s="12" t="s">
        <v>962</v>
      </c>
      <c r="L86" s="12" t="s">
        <v>262</v>
      </c>
      <c r="M86" s="13"/>
      <c r="N86" s="12" t="s">
        <v>963</v>
      </c>
      <c r="O86" s="12" t="s">
        <v>964</v>
      </c>
    </row>
    <row r="87" ht="15.75" customHeight="1">
      <c r="A87" s="12" t="s">
        <v>1194</v>
      </c>
      <c r="B87" s="12" t="s">
        <v>1195</v>
      </c>
      <c r="C87" s="12"/>
      <c r="D87" s="14">
        <v>27.0</v>
      </c>
      <c r="E87" s="14">
        <v>15800.0</v>
      </c>
      <c r="F87" s="12" t="s">
        <v>959</v>
      </c>
      <c r="G87" s="12" t="s">
        <v>960</v>
      </c>
      <c r="H87" s="12"/>
      <c r="I87" s="12"/>
      <c r="J87" s="12" t="s">
        <v>961</v>
      </c>
      <c r="K87" s="12" t="s">
        <v>962</v>
      </c>
      <c r="L87" s="12" t="s">
        <v>262</v>
      </c>
      <c r="M87" s="13"/>
      <c r="N87" s="12" t="s">
        <v>963</v>
      </c>
      <c r="O87" s="12" t="s">
        <v>964</v>
      </c>
    </row>
    <row r="88" ht="15.75" customHeight="1">
      <c r="A88" s="12" t="s">
        <v>1196</v>
      </c>
      <c r="B88" s="12" t="s">
        <v>1197</v>
      </c>
      <c r="C88" s="12"/>
      <c r="D88" s="14">
        <v>27.0</v>
      </c>
      <c r="E88" s="14">
        <v>647.0</v>
      </c>
      <c r="F88" s="12" t="s">
        <v>959</v>
      </c>
      <c r="G88" s="12" t="s">
        <v>960</v>
      </c>
      <c r="H88" s="12"/>
      <c r="I88" s="12"/>
      <c r="J88" s="12" t="s">
        <v>961</v>
      </c>
      <c r="K88" s="12" t="s">
        <v>962</v>
      </c>
      <c r="L88" s="12" t="s">
        <v>262</v>
      </c>
      <c r="M88" s="13"/>
      <c r="N88" s="12" t="s">
        <v>963</v>
      </c>
      <c r="O88" s="12" t="s">
        <v>964</v>
      </c>
    </row>
    <row r="89" ht="15.75" customHeight="1">
      <c r="A89" s="12" t="s">
        <v>1200</v>
      </c>
      <c r="B89" s="12" t="s">
        <v>1201</v>
      </c>
      <c r="C89" s="12"/>
      <c r="D89" s="14">
        <v>27.0</v>
      </c>
      <c r="E89" s="14">
        <v>9900.0</v>
      </c>
      <c r="F89" s="12" t="s">
        <v>959</v>
      </c>
      <c r="G89" s="12" t="s">
        <v>960</v>
      </c>
      <c r="H89" s="12"/>
      <c r="I89" s="12"/>
      <c r="J89" s="12" t="s">
        <v>961</v>
      </c>
      <c r="K89" s="12" t="s">
        <v>962</v>
      </c>
      <c r="L89" s="12" t="s">
        <v>262</v>
      </c>
      <c r="M89" s="13"/>
      <c r="N89" s="12" t="s">
        <v>963</v>
      </c>
      <c r="O89" s="12" t="s">
        <v>964</v>
      </c>
    </row>
    <row r="90" ht="15.75" customHeight="1">
      <c r="A90" s="12" t="s">
        <v>1204</v>
      </c>
      <c r="B90" s="12" t="s">
        <v>1205</v>
      </c>
      <c r="C90" s="12"/>
      <c r="D90" s="14">
        <v>27.0</v>
      </c>
      <c r="E90" s="14">
        <v>10400.0</v>
      </c>
      <c r="F90" s="12" t="s">
        <v>959</v>
      </c>
      <c r="G90" s="12" t="s">
        <v>960</v>
      </c>
      <c r="H90" s="12"/>
      <c r="I90" s="12"/>
      <c r="J90" s="12" t="s">
        <v>961</v>
      </c>
      <c r="K90" s="12" t="s">
        <v>962</v>
      </c>
      <c r="L90" s="12" t="s">
        <v>262</v>
      </c>
      <c r="M90" s="13"/>
      <c r="N90" s="12" t="s">
        <v>963</v>
      </c>
      <c r="O90" s="12" t="s">
        <v>964</v>
      </c>
    </row>
    <row r="91" ht="15.75" customHeight="1">
      <c r="A91" s="12" t="s">
        <v>1208</v>
      </c>
      <c r="B91" s="12" t="s">
        <v>1209</v>
      </c>
      <c r="C91" s="12"/>
      <c r="D91" s="14">
        <v>27.0</v>
      </c>
      <c r="E91" s="14">
        <v>47800.0</v>
      </c>
      <c r="F91" s="12" t="s">
        <v>959</v>
      </c>
      <c r="G91" s="12" t="s">
        <v>960</v>
      </c>
      <c r="H91" s="12"/>
      <c r="I91" s="12"/>
      <c r="J91" s="12" t="s">
        <v>961</v>
      </c>
      <c r="K91" s="12" t="s">
        <v>962</v>
      </c>
      <c r="L91" s="12" t="s">
        <v>262</v>
      </c>
      <c r="M91" s="13"/>
      <c r="N91" s="12" t="s">
        <v>963</v>
      </c>
      <c r="O91" s="12" t="s">
        <v>964</v>
      </c>
    </row>
    <row r="92" ht="15.75" customHeight="1">
      <c r="A92" s="12" t="s">
        <v>1210</v>
      </c>
      <c r="B92" s="12" t="s">
        <v>1211</v>
      </c>
      <c r="C92" s="12"/>
      <c r="D92" s="14">
        <v>27.0</v>
      </c>
      <c r="E92" s="14">
        <v>29300.0</v>
      </c>
      <c r="F92" s="12" t="s">
        <v>959</v>
      </c>
      <c r="G92" s="12" t="s">
        <v>960</v>
      </c>
      <c r="H92" s="12"/>
      <c r="I92" s="12"/>
      <c r="J92" s="12" t="s">
        <v>961</v>
      </c>
      <c r="K92" s="12" t="s">
        <v>962</v>
      </c>
      <c r="L92" s="12" t="s">
        <v>262</v>
      </c>
      <c r="M92" s="13"/>
      <c r="N92" s="12" t="s">
        <v>963</v>
      </c>
      <c r="O92" s="12" t="s">
        <v>964</v>
      </c>
    </row>
    <row r="93" ht="15.75" customHeight="1">
      <c r="A93" s="12" t="s">
        <v>1214</v>
      </c>
      <c r="B93" s="12" t="s">
        <v>1215</v>
      </c>
      <c r="C93" s="12"/>
      <c r="D93" s="14">
        <v>27.0</v>
      </c>
      <c r="E93" s="14">
        <v>13900.0</v>
      </c>
      <c r="F93" s="12" t="s">
        <v>959</v>
      </c>
      <c r="G93" s="12" t="s">
        <v>960</v>
      </c>
      <c r="H93" s="12"/>
      <c r="I93" s="12"/>
      <c r="J93" s="12" t="s">
        <v>961</v>
      </c>
      <c r="K93" s="12" t="s">
        <v>962</v>
      </c>
      <c r="L93" s="12" t="s">
        <v>262</v>
      </c>
      <c r="M93" s="13"/>
      <c r="N93" s="12" t="s">
        <v>963</v>
      </c>
      <c r="O93" s="12" t="s">
        <v>964</v>
      </c>
    </row>
    <row r="94" ht="15.75" customHeight="1">
      <c r="A94" s="12" t="s">
        <v>1218</v>
      </c>
      <c r="B94" s="12" t="s">
        <v>1219</v>
      </c>
      <c r="C94" s="12"/>
      <c r="D94" s="14">
        <v>27.0</v>
      </c>
      <c r="E94" s="14">
        <v>12100.0</v>
      </c>
      <c r="F94" s="12" t="s">
        <v>959</v>
      </c>
      <c r="G94" s="12" t="s">
        <v>960</v>
      </c>
      <c r="H94" s="12"/>
      <c r="I94" s="12"/>
      <c r="J94" s="12" t="s">
        <v>961</v>
      </c>
      <c r="K94" s="12" t="s">
        <v>962</v>
      </c>
      <c r="L94" s="12" t="s">
        <v>262</v>
      </c>
      <c r="M94" s="13"/>
      <c r="N94" s="12" t="s">
        <v>963</v>
      </c>
      <c r="O94" s="12" t="s">
        <v>964</v>
      </c>
    </row>
    <row r="95" ht="15.75" customHeight="1">
      <c r="A95" s="12" t="s">
        <v>1221</v>
      </c>
      <c r="B95" s="12" t="s">
        <v>1222</v>
      </c>
      <c r="C95" s="12"/>
      <c r="D95" s="14">
        <v>26.0</v>
      </c>
      <c r="E95" s="14">
        <v>36800.0</v>
      </c>
      <c r="F95" s="12" t="s">
        <v>959</v>
      </c>
      <c r="G95" s="12" t="s">
        <v>960</v>
      </c>
      <c r="H95" s="12"/>
      <c r="I95" s="12"/>
      <c r="J95" s="12" t="s">
        <v>961</v>
      </c>
      <c r="K95" s="12" t="s">
        <v>962</v>
      </c>
      <c r="L95" s="12" t="s">
        <v>262</v>
      </c>
      <c r="M95" s="13"/>
      <c r="N95" s="12" t="s">
        <v>963</v>
      </c>
      <c r="O95" s="12" t="s">
        <v>964</v>
      </c>
    </row>
    <row r="96" ht="15.75" customHeight="1">
      <c r="A96" s="12" t="s">
        <v>1224</v>
      </c>
      <c r="B96" s="12" t="s">
        <v>1225</v>
      </c>
      <c r="C96" s="12"/>
      <c r="D96" s="14">
        <v>26.0</v>
      </c>
      <c r="E96" s="14">
        <v>360.0</v>
      </c>
      <c r="F96" s="12" t="s">
        <v>959</v>
      </c>
      <c r="G96" s="12" t="s">
        <v>960</v>
      </c>
      <c r="H96" s="12"/>
      <c r="I96" s="12"/>
      <c r="J96" s="12" t="s">
        <v>961</v>
      </c>
      <c r="K96" s="12" t="s">
        <v>962</v>
      </c>
      <c r="L96" s="12" t="s">
        <v>262</v>
      </c>
      <c r="M96" s="13"/>
      <c r="N96" s="12" t="s">
        <v>963</v>
      </c>
      <c r="O96" s="12" t="s">
        <v>964</v>
      </c>
    </row>
    <row r="97" ht="15.75" customHeight="1">
      <c r="A97" s="12" t="s">
        <v>1228</v>
      </c>
      <c r="B97" s="12" t="s">
        <v>1229</v>
      </c>
      <c r="C97" s="12"/>
      <c r="D97" s="14">
        <v>26.0</v>
      </c>
      <c r="E97" s="14">
        <v>36700.0</v>
      </c>
      <c r="F97" s="12" t="s">
        <v>959</v>
      </c>
      <c r="G97" s="12" t="s">
        <v>960</v>
      </c>
      <c r="H97" s="12"/>
      <c r="I97" s="12"/>
      <c r="J97" s="12" t="s">
        <v>961</v>
      </c>
      <c r="K97" s="12" t="s">
        <v>962</v>
      </c>
      <c r="L97" s="12" t="s">
        <v>262</v>
      </c>
      <c r="M97" s="13"/>
      <c r="N97" s="12" t="s">
        <v>963</v>
      </c>
      <c r="O97" s="12" t="s">
        <v>964</v>
      </c>
    </row>
    <row r="98" ht="15.75" customHeight="1">
      <c r="A98" s="12" t="s">
        <v>1232</v>
      </c>
      <c r="B98" s="12" t="s">
        <v>1233</v>
      </c>
      <c r="C98" s="12"/>
      <c r="D98" s="14">
        <v>26.0</v>
      </c>
      <c r="E98" s="14">
        <v>1200.0</v>
      </c>
      <c r="F98" s="12" t="s">
        <v>959</v>
      </c>
      <c r="G98" s="12" t="s">
        <v>960</v>
      </c>
      <c r="H98" s="12"/>
      <c r="I98" s="12"/>
      <c r="J98" s="12" t="s">
        <v>961</v>
      </c>
      <c r="K98" s="12" t="s">
        <v>962</v>
      </c>
      <c r="L98" s="12" t="s">
        <v>262</v>
      </c>
      <c r="M98" s="13"/>
      <c r="N98" s="12" t="s">
        <v>963</v>
      </c>
      <c r="O98" s="12" t="s">
        <v>964</v>
      </c>
    </row>
    <row r="99" ht="15.75" customHeight="1">
      <c r="A99" s="12" t="s">
        <v>1234</v>
      </c>
      <c r="B99" s="12" t="s">
        <v>1235</v>
      </c>
      <c r="C99" s="12"/>
      <c r="D99" s="14">
        <v>26.0</v>
      </c>
      <c r="E99" s="14">
        <v>23900.0</v>
      </c>
      <c r="F99" s="12" t="s">
        <v>959</v>
      </c>
      <c r="G99" s="12" t="s">
        <v>960</v>
      </c>
      <c r="H99" s="12"/>
      <c r="I99" s="12"/>
      <c r="J99" s="12" t="s">
        <v>961</v>
      </c>
      <c r="K99" s="12" t="s">
        <v>962</v>
      </c>
      <c r="L99" s="12" t="s">
        <v>262</v>
      </c>
      <c r="M99" s="13"/>
      <c r="N99" s="12" t="s">
        <v>963</v>
      </c>
      <c r="O99" s="12" t="s">
        <v>964</v>
      </c>
    </row>
    <row r="100" ht="15.75" customHeight="1">
      <c r="A100" s="12" t="s">
        <v>1238</v>
      </c>
      <c r="B100" s="12" t="s">
        <v>1239</v>
      </c>
      <c r="C100" s="12"/>
      <c r="D100" s="14">
        <v>25.0</v>
      </c>
      <c r="E100" s="14">
        <v>44200.0</v>
      </c>
      <c r="F100" s="12" t="s">
        <v>959</v>
      </c>
      <c r="G100" s="12" t="s">
        <v>960</v>
      </c>
      <c r="H100" s="12"/>
      <c r="I100" s="12"/>
      <c r="J100" s="12" t="s">
        <v>961</v>
      </c>
      <c r="K100" s="12" t="s">
        <v>962</v>
      </c>
      <c r="L100" s="12" t="s">
        <v>262</v>
      </c>
      <c r="M100" s="13"/>
      <c r="N100" s="12" t="s">
        <v>963</v>
      </c>
      <c r="O100" s="12" t="s">
        <v>964</v>
      </c>
    </row>
    <row r="101" ht="15.75" customHeight="1">
      <c r="A101" s="12" t="s">
        <v>1242</v>
      </c>
      <c r="B101" s="12" t="s">
        <v>1243</v>
      </c>
      <c r="C101" s="12"/>
      <c r="D101" s="14">
        <v>25.0</v>
      </c>
      <c r="E101" s="14">
        <v>841.0</v>
      </c>
      <c r="F101" s="12" t="s">
        <v>959</v>
      </c>
      <c r="G101" s="12" t="s">
        <v>960</v>
      </c>
      <c r="H101" s="12"/>
      <c r="I101" s="12"/>
      <c r="J101" s="12" t="s">
        <v>961</v>
      </c>
      <c r="K101" s="12" t="s">
        <v>962</v>
      </c>
      <c r="L101" s="12" t="s">
        <v>262</v>
      </c>
      <c r="M101" s="13"/>
      <c r="N101" s="12" t="s">
        <v>963</v>
      </c>
      <c r="O101" s="12" t="s">
        <v>964</v>
      </c>
    </row>
    <row r="102" ht="15.75" customHeight="1">
      <c r="A102" s="12" t="s">
        <v>1246</v>
      </c>
      <c r="B102" s="12" t="s">
        <v>1247</v>
      </c>
      <c r="C102" s="12"/>
      <c r="D102" s="14">
        <v>25.0</v>
      </c>
      <c r="E102" s="14">
        <v>1100.0</v>
      </c>
      <c r="F102" s="12" t="s">
        <v>959</v>
      </c>
      <c r="G102" s="12" t="s">
        <v>960</v>
      </c>
      <c r="H102" s="12"/>
      <c r="I102" s="12"/>
      <c r="J102" s="12" t="s">
        <v>961</v>
      </c>
      <c r="K102" s="12" t="s">
        <v>962</v>
      </c>
      <c r="L102" s="12" t="s">
        <v>262</v>
      </c>
      <c r="M102" s="13"/>
      <c r="N102" s="12" t="s">
        <v>963</v>
      </c>
      <c r="O102" s="12" t="s">
        <v>964</v>
      </c>
    </row>
    <row r="103" ht="15.75" customHeight="1">
      <c r="A103" s="12" t="s">
        <v>1248</v>
      </c>
      <c r="B103" s="12" t="s">
        <v>1249</v>
      </c>
      <c r="C103" s="12"/>
      <c r="D103" s="14">
        <v>25.0</v>
      </c>
      <c r="E103" s="14">
        <v>5200.0</v>
      </c>
      <c r="F103" s="12" t="s">
        <v>959</v>
      </c>
      <c r="G103" s="12" t="s">
        <v>960</v>
      </c>
      <c r="H103" s="12"/>
      <c r="I103" s="12"/>
      <c r="J103" s="12" t="s">
        <v>961</v>
      </c>
      <c r="K103" s="12" t="s">
        <v>962</v>
      </c>
      <c r="L103" s="12" t="s">
        <v>262</v>
      </c>
      <c r="M103" s="13"/>
      <c r="N103" s="12" t="s">
        <v>963</v>
      </c>
      <c r="O103" s="12" t="s">
        <v>964</v>
      </c>
    </row>
    <row r="104" ht="15.75" customHeight="1">
      <c r="A104" s="12" t="s">
        <v>1252</v>
      </c>
      <c r="B104" s="12" t="s">
        <v>1253</v>
      </c>
      <c r="C104" s="12"/>
      <c r="D104" s="14">
        <v>25.0</v>
      </c>
      <c r="E104" s="14">
        <v>4600.0</v>
      </c>
      <c r="F104" s="12" t="s">
        <v>959</v>
      </c>
      <c r="G104" s="12" t="s">
        <v>960</v>
      </c>
      <c r="H104" s="12"/>
      <c r="I104" s="12"/>
      <c r="J104" s="12" t="s">
        <v>961</v>
      </c>
      <c r="K104" s="12" t="s">
        <v>962</v>
      </c>
      <c r="L104" s="12" t="s">
        <v>262</v>
      </c>
      <c r="M104" s="13"/>
      <c r="N104" s="12" t="s">
        <v>963</v>
      </c>
      <c r="O104" s="12" t="s">
        <v>964</v>
      </c>
    </row>
    <row r="105" ht="15.75" customHeight="1">
      <c r="A105" s="12" t="s">
        <v>1256</v>
      </c>
      <c r="B105" s="12" t="s">
        <v>1257</v>
      </c>
      <c r="C105" s="12"/>
      <c r="D105" s="14">
        <v>25.0</v>
      </c>
      <c r="E105" s="14">
        <v>525.0</v>
      </c>
      <c r="F105" s="12" t="s">
        <v>959</v>
      </c>
      <c r="G105" s="12" t="s">
        <v>960</v>
      </c>
      <c r="H105" s="12"/>
      <c r="I105" s="12"/>
      <c r="J105" s="12" t="s">
        <v>961</v>
      </c>
      <c r="K105" s="12" t="s">
        <v>962</v>
      </c>
      <c r="L105" s="12" t="s">
        <v>262</v>
      </c>
      <c r="M105" s="13"/>
      <c r="N105" s="12" t="s">
        <v>963</v>
      </c>
      <c r="O105" s="12" t="s">
        <v>964</v>
      </c>
    </row>
    <row r="106" ht="15.75" customHeight="1">
      <c r="A106" s="12" t="s">
        <v>1260</v>
      </c>
      <c r="B106" s="12" t="s">
        <v>1261</v>
      </c>
      <c r="C106" s="12"/>
      <c r="D106" s="14">
        <v>25.0</v>
      </c>
      <c r="E106" s="14">
        <v>1600.0</v>
      </c>
      <c r="F106" s="12" t="s">
        <v>959</v>
      </c>
      <c r="G106" s="12" t="s">
        <v>960</v>
      </c>
      <c r="H106" s="12"/>
      <c r="I106" s="12"/>
      <c r="J106" s="12" t="s">
        <v>961</v>
      </c>
      <c r="K106" s="12" t="s">
        <v>962</v>
      </c>
      <c r="L106" s="12" t="s">
        <v>262</v>
      </c>
      <c r="M106" s="13"/>
      <c r="N106" s="12" t="s">
        <v>963</v>
      </c>
      <c r="O106" s="12" t="s">
        <v>964</v>
      </c>
    </row>
    <row r="107" ht="15.75" customHeight="1">
      <c r="A107" s="12" t="s">
        <v>1262</v>
      </c>
      <c r="B107" s="12" t="s">
        <v>1263</v>
      </c>
      <c r="C107" s="12"/>
      <c r="D107" s="14">
        <v>24.0</v>
      </c>
      <c r="E107" s="14">
        <v>9400.0</v>
      </c>
      <c r="F107" s="12" t="s">
        <v>959</v>
      </c>
      <c r="G107" s="12" t="s">
        <v>960</v>
      </c>
      <c r="H107" s="12"/>
      <c r="I107" s="12"/>
      <c r="J107" s="12" t="s">
        <v>961</v>
      </c>
      <c r="K107" s="12" t="s">
        <v>962</v>
      </c>
      <c r="L107" s="12" t="s">
        <v>262</v>
      </c>
      <c r="M107" s="13"/>
      <c r="N107" s="12" t="s">
        <v>963</v>
      </c>
      <c r="O107" s="12" t="s">
        <v>964</v>
      </c>
    </row>
    <row r="108" ht="15.75" customHeight="1">
      <c r="A108" s="12" t="s">
        <v>1266</v>
      </c>
      <c r="B108" s="12" t="s">
        <v>1267</v>
      </c>
      <c r="C108" s="12"/>
      <c r="D108" s="14">
        <v>24.0</v>
      </c>
      <c r="E108" s="14">
        <v>2500.0</v>
      </c>
      <c r="F108" s="12" t="s">
        <v>959</v>
      </c>
      <c r="G108" s="12" t="s">
        <v>960</v>
      </c>
      <c r="H108" s="12"/>
      <c r="I108" s="12"/>
      <c r="J108" s="12" t="s">
        <v>961</v>
      </c>
      <c r="K108" s="12" t="s">
        <v>962</v>
      </c>
      <c r="L108" s="12" t="s">
        <v>262</v>
      </c>
      <c r="M108" s="13"/>
      <c r="N108" s="12" t="s">
        <v>963</v>
      </c>
      <c r="O108" s="12" t="s">
        <v>964</v>
      </c>
    </row>
    <row r="109" ht="15.75" customHeight="1">
      <c r="A109" s="12" t="s">
        <v>1270</v>
      </c>
      <c r="B109" s="12" t="s">
        <v>1271</v>
      </c>
      <c r="C109" s="12"/>
      <c r="D109" s="14">
        <v>24.0</v>
      </c>
      <c r="E109" s="14">
        <v>1300.0</v>
      </c>
      <c r="F109" s="12" t="s">
        <v>959</v>
      </c>
      <c r="G109" s="12" t="s">
        <v>960</v>
      </c>
      <c r="H109" s="12"/>
      <c r="I109" s="12"/>
      <c r="J109" s="12" t="s">
        <v>961</v>
      </c>
      <c r="K109" s="12" t="s">
        <v>962</v>
      </c>
      <c r="L109" s="12" t="s">
        <v>262</v>
      </c>
      <c r="M109" s="13"/>
      <c r="N109" s="12" t="s">
        <v>963</v>
      </c>
      <c r="O109" s="12" t="s">
        <v>964</v>
      </c>
    </row>
    <row r="110" ht="15.75" customHeight="1">
      <c r="A110" s="12" t="s">
        <v>1274</v>
      </c>
      <c r="B110" s="12" t="s">
        <v>1275</v>
      </c>
      <c r="C110" s="12"/>
      <c r="D110" s="14">
        <v>24.0</v>
      </c>
      <c r="E110" s="14">
        <v>11400.0</v>
      </c>
      <c r="F110" s="12" t="s">
        <v>959</v>
      </c>
      <c r="G110" s="12" t="s">
        <v>960</v>
      </c>
      <c r="H110" s="12"/>
      <c r="I110" s="12"/>
      <c r="J110" s="12" t="s">
        <v>961</v>
      </c>
      <c r="K110" s="12" t="s">
        <v>962</v>
      </c>
      <c r="L110" s="12" t="s">
        <v>262</v>
      </c>
      <c r="M110" s="13"/>
      <c r="N110" s="12" t="s">
        <v>963</v>
      </c>
      <c r="O110" s="12" t="s">
        <v>964</v>
      </c>
    </row>
    <row r="111" ht="15.75" customHeight="1">
      <c r="A111" s="12" t="s">
        <v>1276</v>
      </c>
      <c r="B111" s="12" t="s">
        <v>1278</v>
      </c>
      <c r="C111" s="12"/>
      <c r="D111" s="14">
        <v>24.0</v>
      </c>
      <c r="E111" s="14">
        <v>1300.0</v>
      </c>
      <c r="F111" s="12" t="s">
        <v>959</v>
      </c>
      <c r="G111" s="12" t="s">
        <v>960</v>
      </c>
      <c r="H111" s="12"/>
      <c r="I111" s="12"/>
      <c r="J111" s="12" t="s">
        <v>961</v>
      </c>
      <c r="K111" s="12" t="s">
        <v>962</v>
      </c>
      <c r="L111" s="12" t="s">
        <v>262</v>
      </c>
      <c r="M111" s="13"/>
      <c r="N111" s="12" t="s">
        <v>963</v>
      </c>
      <c r="O111" s="12" t="s">
        <v>964</v>
      </c>
    </row>
    <row r="112" ht="15.75" customHeight="1">
      <c r="A112" s="12" t="s">
        <v>1280</v>
      </c>
      <c r="B112" s="12" t="s">
        <v>1281</v>
      </c>
      <c r="C112" s="12"/>
      <c r="D112" s="14">
        <v>24.0</v>
      </c>
      <c r="E112" s="14">
        <v>6200.0</v>
      </c>
      <c r="F112" s="12" t="s">
        <v>959</v>
      </c>
      <c r="G112" s="12" t="s">
        <v>960</v>
      </c>
      <c r="H112" s="12"/>
      <c r="I112" s="12"/>
      <c r="J112" s="12" t="s">
        <v>961</v>
      </c>
      <c r="K112" s="12" t="s">
        <v>962</v>
      </c>
      <c r="L112" s="12" t="s">
        <v>262</v>
      </c>
      <c r="M112" s="13"/>
      <c r="N112" s="12" t="s">
        <v>963</v>
      </c>
      <c r="O112" s="12" t="s">
        <v>964</v>
      </c>
    </row>
    <row r="113" ht="15.75" customHeight="1">
      <c r="A113" s="12" t="s">
        <v>1284</v>
      </c>
      <c r="B113" s="12" t="s">
        <v>1285</v>
      </c>
      <c r="C113" s="12"/>
      <c r="D113" s="14">
        <v>24.0</v>
      </c>
      <c r="E113" s="14">
        <v>2400.0</v>
      </c>
      <c r="F113" s="12" t="s">
        <v>959</v>
      </c>
      <c r="G113" s="12" t="s">
        <v>960</v>
      </c>
      <c r="H113" s="12"/>
      <c r="I113" s="12"/>
      <c r="J113" s="12" t="s">
        <v>961</v>
      </c>
      <c r="K113" s="12" t="s">
        <v>962</v>
      </c>
      <c r="L113" s="12" t="s">
        <v>262</v>
      </c>
      <c r="M113" s="13"/>
      <c r="N113" s="12" t="s">
        <v>963</v>
      </c>
      <c r="O113" s="12" t="s">
        <v>964</v>
      </c>
    </row>
    <row r="114" ht="15.75" customHeight="1">
      <c r="A114" s="12" t="s">
        <v>1289</v>
      </c>
      <c r="B114" s="12" t="s">
        <v>1290</v>
      </c>
      <c r="C114" s="12"/>
      <c r="D114" s="14">
        <v>24.0</v>
      </c>
      <c r="E114" s="14">
        <v>522.0</v>
      </c>
      <c r="F114" s="12" t="s">
        <v>959</v>
      </c>
      <c r="G114" s="12" t="s">
        <v>960</v>
      </c>
      <c r="H114" s="12"/>
      <c r="I114" s="12"/>
      <c r="J114" s="12" t="s">
        <v>961</v>
      </c>
      <c r="K114" s="12" t="s">
        <v>962</v>
      </c>
      <c r="L114" s="12" t="s">
        <v>262</v>
      </c>
      <c r="M114" s="13"/>
      <c r="N114" s="12" t="s">
        <v>963</v>
      </c>
      <c r="O114" s="12" t="s">
        <v>964</v>
      </c>
    </row>
    <row r="115" ht="15.75" customHeight="1">
      <c r="A115" s="12" t="s">
        <v>1291</v>
      </c>
      <c r="B115" s="12" t="s">
        <v>1292</v>
      </c>
      <c r="C115" s="12"/>
      <c r="D115" s="14">
        <v>23.0</v>
      </c>
      <c r="E115" s="14">
        <v>502.0</v>
      </c>
      <c r="F115" s="12" t="s">
        <v>959</v>
      </c>
      <c r="G115" s="12" t="s">
        <v>960</v>
      </c>
      <c r="H115" s="12"/>
      <c r="I115" s="12"/>
      <c r="J115" s="12" t="s">
        <v>961</v>
      </c>
      <c r="K115" s="12" t="s">
        <v>962</v>
      </c>
      <c r="L115" s="12" t="s">
        <v>262</v>
      </c>
      <c r="M115" s="13"/>
      <c r="N115" s="12" t="s">
        <v>963</v>
      </c>
      <c r="O115" s="12" t="s">
        <v>964</v>
      </c>
    </row>
    <row r="116" ht="15.75" customHeight="1">
      <c r="A116" s="12" t="s">
        <v>1295</v>
      </c>
      <c r="B116" s="12" t="s">
        <v>1296</v>
      </c>
      <c r="C116" s="12"/>
      <c r="D116" s="14">
        <v>23.0</v>
      </c>
      <c r="E116" s="14">
        <v>48900.0</v>
      </c>
      <c r="F116" s="12" t="s">
        <v>959</v>
      </c>
      <c r="G116" s="12" t="s">
        <v>960</v>
      </c>
      <c r="H116" s="12"/>
      <c r="I116" s="12"/>
      <c r="J116" s="12" t="s">
        <v>961</v>
      </c>
      <c r="K116" s="12" t="s">
        <v>962</v>
      </c>
      <c r="L116" s="12" t="s">
        <v>262</v>
      </c>
      <c r="M116" s="13"/>
      <c r="N116" s="12" t="s">
        <v>963</v>
      </c>
      <c r="O116" s="12" t="s">
        <v>964</v>
      </c>
    </row>
    <row r="117" ht="15.75" customHeight="1">
      <c r="A117" s="12" t="s">
        <v>1299</v>
      </c>
      <c r="B117" s="12" t="s">
        <v>1300</v>
      </c>
      <c r="C117" s="12"/>
      <c r="D117" s="14">
        <v>23.0</v>
      </c>
      <c r="E117" s="14">
        <v>5100.0</v>
      </c>
      <c r="F117" s="12" t="s">
        <v>959</v>
      </c>
      <c r="G117" s="12" t="s">
        <v>960</v>
      </c>
      <c r="H117" s="12"/>
      <c r="I117" s="12"/>
      <c r="J117" s="12" t="s">
        <v>961</v>
      </c>
      <c r="K117" s="12" t="s">
        <v>962</v>
      </c>
      <c r="L117" s="12" t="s">
        <v>262</v>
      </c>
      <c r="M117" s="13"/>
      <c r="N117" s="12" t="s">
        <v>963</v>
      </c>
      <c r="O117" s="12" t="s">
        <v>964</v>
      </c>
    </row>
    <row r="118" ht="15.75" customHeight="1">
      <c r="A118" s="12" t="s">
        <v>1303</v>
      </c>
      <c r="B118" s="12" t="s">
        <v>1304</v>
      </c>
      <c r="C118" s="12"/>
      <c r="D118" s="14">
        <v>22.0</v>
      </c>
      <c r="E118" s="14">
        <v>76.0</v>
      </c>
      <c r="F118" s="12" t="s">
        <v>959</v>
      </c>
      <c r="G118" s="12" t="s">
        <v>960</v>
      </c>
      <c r="H118" s="12"/>
      <c r="I118" s="12"/>
      <c r="J118" s="12" t="s">
        <v>961</v>
      </c>
      <c r="K118" s="12" t="s">
        <v>962</v>
      </c>
      <c r="L118" s="12" t="s">
        <v>262</v>
      </c>
      <c r="M118" s="13"/>
      <c r="N118" s="12" t="s">
        <v>963</v>
      </c>
      <c r="O118" s="12" t="s">
        <v>964</v>
      </c>
    </row>
    <row r="119" ht="15.75" customHeight="1">
      <c r="A119" s="12" t="s">
        <v>1306</v>
      </c>
      <c r="B119" s="12" t="s">
        <v>1308</v>
      </c>
      <c r="C119" s="12"/>
      <c r="D119" s="14">
        <v>22.0</v>
      </c>
      <c r="E119" s="14">
        <v>4900.0</v>
      </c>
      <c r="F119" s="12" t="s">
        <v>959</v>
      </c>
      <c r="G119" s="12" t="s">
        <v>960</v>
      </c>
      <c r="H119" s="12"/>
      <c r="I119" s="12"/>
      <c r="J119" s="12" t="s">
        <v>961</v>
      </c>
      <c r="K119" s="12" t="s">
        <v>962</v>
      </c>
      <c r="L119" s="12" t="s">
        <v>262</v>
      </c>
      <c r="M119" s="13"/>
      <c r="N119" s="12" t="s">
        <v>963</v>
      </c>
      <c r="O119" s="12" t="s">
        <v>964</v>
      </c>
    </row>
    <row r="120" ht="15.75" customHeight="1">
      <c r="A120" s="12" t="s">
        <v>1309</v>
      </c>
      <c r="B120" s="12" t="s">
        <v>1310</v>
      </c>
      <c r="C120" s="12"/>
      <c r="D120" s="14">
        <v>22.0</v>
      </c>
      <c r="E120" s="14">
        <v>149.0</v>
      </c>
      <c r="F120" s="12" t="s">
        <v>959</v>
      </c>
      <c r="G120" s="12" t="s">
        <v>960</v>
      </c>
      <c r="H120" s="12"/>
      <c r="I120" s="12"/>
      <c r="J120" s="12" t="s">
        <v>961</v>
      </c>
      <c r="K120" s="12" t="s">
        <v>962</v>
      </c>
      <c r="L120" s="12" t="s">
        <v>262</v>
      </c>
      <c r="M120" s="13"/>
      <c r="N120" s="12" t="s">
        <v>963</v>
      </c>
      <c r="O120" s="12" t="s">
        <v>964</v>
      </c>
    </row>
    <row r="121" ht="15.75" customHeight="1">
      <c r="A121" s="12" t="s">
        <v>1313</v>
      </c>
      <c r="B121" s="12" t="s">
        <v>1314</v>
      </c>
      <c r="C121" s="12"/>
      <c r="D121" s="14">
        <v>22.0</v>
      </c>
      <c r="E121" s="14">
        <v>94.0</v>
      </c>
      <c r="F121" s="12" t="s">
        <v>959</v>
      </c>
      <c r="G121" s="12" t="s">
        <v>960</v>
      </c>
      <c r="H121" s="12"/>
      <c r="I121" s="12"/>
      <c r="J121" s="12" t="s">
        <v>961</v>
      </c>
      <c r="K121" s="12" t="s">
        <v>962</v>
      </c>
      <c r="L121" s="12" t="s">
        <v>262</v>
      </c>
      <c r="M121" s="13"/>
      <c r="N121" s="12" t="s">
        <v>963</v>
      </c>
      <c r="O121" s="12" t="s">
        <v>964</v>
      </c>
    </row>
    <row r="122" ht="15.75" customHeight="1">
      <c r="A122" s="12" t="s">
        <v>1317</v>
      </c>
      <c r="B122" s="12" t="s">
        <v>1318</v>
      </c>
      <c r="C122" s="12"/>
      <c r="D122" s="14">
        <v>22.0</v>
      </c>
      <c r="E122" s="14">
        <v>245.0</v>
      </c>
      <c r="F122" s="12" t="s">
        <v>959</v>
      </c>
      <c r="G122" s="12" t="s">
        <v>960</v>
      </c>
      <c r="H122" s="12"/>
      <c r="I122" s="12"/>
      <c r="J122" s="12" t="s">
        <v>961</v>
      </c>
      <c r="K122" s="12" t="s">
        <v>962</v>
      </c>
      <c r="L122" s="12" t="s">
        <v>262</v>
      </c>
      <c r="M122" s="13"/>
      <c r="N122" s="12" t="s">
        <v>963</v>
      </c>
      <c r="O122" s="12" t="s">
        <v>964</v>
      </c>
    </row>
    <row r="123" ht="15.75" customHeight="1">
      <c r="A123" s="12" t="s">
        <v>1321</v>
      </c>
      <c r="B123" s="12" t="s">
        <v>1322</v>
      </c>
      <c r="C123" s="12"/>
      <c r="D123" s="14">
        <v>22.0</v>
      </c>
      <c r="E123" s="14">
        <v>601.0</v>
      </c>
      <c r="F123" s="12" t="s">
        <v>959</v>
      </c>
      <c r="G123" s="12" t="s">
        <v>960</v>
      </c>
      <c r="H123" s="12"/>
      <c r="I123" s="12"/>
      <c r="J123" s="12" t="s">
        <v>961</v>
      </c>
      <c r="K123" s="12" t="s">
        <v>962</v>
      </c>
      <c r="L123" s="12" t="s">
        <v>262</v>
      </c>
      <c r="M123" s="13"/>
      <c r="N123" s="12" t="s">
        <v>963</v>
      </c>
      <c r="O123" s="12" t="s">
        <v>964</v>
      </c>
    </row>
    <row r="124" ht="15.75" customHeight="1">
      <c r="A124" s="12" t="s">
        <v>1323</v>
      </c>
      <c r="B124" s="12" t="s">
        <v>1324</v>
      </c>
      <c r="C124" s="12"/>
      <c r="D124" s="14">
        <v>22.0</v>
      </c>
      <c r="E124" s="14">
        <v>2200.0</v>
      </c>
      <c r="F124" s="12" t="s">
        <v>959</v>
      </c>
      <c r="G124" s="12" t="s">
        <v>960</v>
      </c>
      <c r="H124" s="12"/>
      <c r="I124" s="12"/>
      <c r="J124" s="12" t="s">
        <v>961</v>
      </c>
      <c r="K124" s="12" t="s">
        <v>962</v>
      </c>
      <c r="L124" s="12" t="s">
        <v>262</v>
      </c>
      <c r="M124" s="13"/>
      <c r="N124" s="12" t="s">
        <v>963</v>
      </c>
      <c r="O124" s="12" t="s">
        <v>964</v>
      </c>
    </row>
    <row r="125" ht="15.75" customHeight="1">
      <c r="A125" s="12" t="s">
        <v>1327</v>
      </c>
      <c r="B125" s="12" t="s">
        <v>1328</v>
      </c>
      <c r="C125" s="12"/>
      <c r="D125" s="14">
        <v>21.0</v>
      </c>
      <c r="E125" s="14">
        <v>516.0</v>
      </c>
      <c r="F125" s="12" t="s">
        <v>959</v>
      </c>
      <c r="G125" s="12" t="s">
        <v>960</v>
      </c>
      <c r="H125" s="12"/>
      <c r="I125" s="12"/>
      <c r="J125" s="12" t="s">
        <v>961</v>
      </c>
      <c r="K125" s="12" t="s">
        <v>962</v>
      </c>
      <c r="L125" s="12" t="s">
        <v>262</v>
      </c>
      <c r="M125" s="13"/>
      <c r="N125" s="12" t="s">
        <v>963</v>
      </c>
      <c r="O125" s="12" t="s">
        <v>964</v>
      </c>
    </row>
    <row r="126" ht="15.75" customHeight="1">
      <c r="A126" s="12" t="s">
        <v>1331</v>
      </c>
      <c r="B126" s="12" t="s">
        <v>1332</v>
      </c>
      <c r="C126" s="12"/>
      <c r="D126" s="14">
        <v>21.0</v>
      </c>
      <c r="E126" s="14">
        <v>1400.0</v>
      </c>
      <c r="F126" s="12" t="s">
        <v>959</v>
      </c>
      <c r="G126" s="12" t="s">
        <v>960</v>
      </c>
      <c r="H126" s="12"/>
      <c r="I126" s="12"/>
      <c r="J126" s="12" t="s">
        <v>961</v>
      </c>
      <c r="K126" s="12" t="s">
        <v>962</v>
      </c>
      <c r="L126" s="12" t="s">
        <v>262</v>
      </c>
      <c r="M126" s="13"/>
      <c r="N126" s="12" t="s">
        <v>963</v>
      </c>
      <c r="O126" s="12" t="s">
        <v>964</v>
      </c>
    </row>
    <row r="127" ht="15.75" customHeight="1">
      <c r="A127" s="12" t="s">
        <v>1336</v>
      </c>
      <c r="B127" s="12" t="s">
        <v>1338</v>
      </c>
      <c r="C127" s="12"/>
      <c r="D127" s="14">
        <v>21.0</v>
      </c>
      <c r="E127" s="14">
        <v>1900.0</v>
      </c>
      <c r="F127" s="12" t="s">
        <v>959</v>
      </c>
      <c r="G127" s="12" t="s">
        <v>960</v>
      </c>
      <c r="H127" s="12"/>
      <c r="I127" s="12"/>
      <c r="J127" s="12" t="s">
        <v>961</v>
      </c>
      <c r="K127" s="12" t="s">
        <v>962</v>
      </c>
      <c r="L127" s="12" t="s">
        <v>262</v>
      </c>
      <c r="M127" s="13"/>
      <c r="N127" s="12" t="s">
        <v>963</v>
      </c>
      <c r="O127" s="12" t="s">
        <v>964</v>
      </c>
    </row>
    <row r="128" ht="15.75" customHeight="1">
      <c r="A128" s="12" t="s">
        <v>1341</v>
      </c>
      <c r="B128" s="12" t="s">
        <v>1342</v>
      </c>
      <c r="C128" s="12"/>
      <c r="D128" s="14">
        <v>21.0</v>
      </c>
      <c r="E128" s="14">
        <v>73000.0</v>
      </c>
      <c r="F128" s="12" t="s">
        <v>959</v>
      </c>
      <c r="G128" s="12" t="s">
        <v>960</v>
      </c>
      <c r="H128" s="12"/>
      <c r="I128" s="12"/>
      <c r="J128" s="12" t="s">
        <v>961</v>
      </c>
      <c r="K128" s="12" t="s">
        <v>962</v>
      </c>
      <c r="L128" s="12" t="s">
        <v>262</v>
      </c>
      <c r="M128" s="13"/>
      <c r="N128" s="12" t="s">
        <v>963</v>
      </c>
      <c r="O128" s="12" t="s">
        <v>964</v>
      </c>
    </row>
    <row r="129" ht="15.75" customHeight="1">
      <c r="A129" s="12" t="s">
        <v>1351</v>
      </c>
      <c r="B129" s="12" t="s">
        <v>1352</v>
      </c>
      <c r="C129" s="12"/>
      <c r="D129" s="14">
        <v>20.0</v>
      </c>
      <c r="E129" s="14">
        <v>578.0</v>
      </c>
      <c r="F129" s="12" t="s">
        <v>959</v>
      </c>
      <c r="G129" s="12" t="s">
        <v>960</v>
      </c>
      <c r="H129" s="12"/>
      <c r="I129" s="12"/>
      <c r="J129" s="12" t="s">
        <v>961</v>
      </c>
      <c r="K129" s="12" t="s">
        <v>962</v>
      </c>
      <c r="L129" s="12" t="s">
        <v>262</v>
      </c>
      <c r="M129" s="13"/>
      <c r="N129" s="12" t="s">
        <v>963</v>
      </c>
      <c r="O129" s="12" t="s">
        <v>964</v>
      </c>
    </row>
    <row r="130" ht="15.75" customHeight="1">
      <c r="A130" s="12" t="s">
        <v>1362</v>
      </c>
      <c r="B130" s="12" t="s">
        <v>1364</v>
      </c>
      <c r="C130" s="12"/>
      <c r="D130" s="14">
        <v>20.0</v>
      </c>
      <c r="E130" s="14">
        <v>660.0</v>
      </c>
      <c r="F130" s="12" t="s">
        <v>959</v>
      </c>
      <c r="G130" s="12" t="s">
        <v>960</v>
      </c>
      <c r="H130" s="12"/>
      <c r="I130" s="12"/>
      <c r="J130" s="12" t="s">
        <v>961</v>
      </c>
      <c r="K130" s="12" t="s">
        <v>962</v>
      </c>
      <c r="L130" s="12" t="s">
        <v>262</v>
      </c>
      <c r="M130" s="13"/>
      <c r="N130" s="12" t="s">
        <v>963</v>
      </c>
      <c r="O130" s="12" t="s">
        <v>964</v>
      </c>
    </row>
    <row r="131" ht="15.75" customHeight="1">
      <c r="A131" s="12" t="s">
        <v>1375</v>
      </c>
      <c r="B131" s="12" t="s">
        <v>1377</v>
      </c>
      <c r="C131" s="12"/>
      <c r="D131" s="14">
        <v>20.0</v>
      </c>
      <c r="E131" s="14">
        <v>143.0</v>
      </c>
      <c r="F131" s="12" t="s">
        <v>959</v>
      </c>
      <c r="G131" s="12" t="s">
        <v>960</v>
      </c>
      <c r="H131" s="12"/>
      <c r="I131" s="12"/>
      <c r="J131" s="12" t="s">
        <v>961</v>
      </c>
      <c r="K131" s="12" t="s">
        <v>962</v>
      </c>
      <c r="L131" s="12" t="s">
        <v>262</v>
      </c>
      <c r="M131" s="13"/>
      <c r="N131" s="12" t="s">
        <v>963</v>
      </c>
      <c r="O131" s="12" t="s">
        <v>964</v>
      </c>
    </row>
    <row r="132" ht="15.75" customHeight="1">
      <c r="A132" s="12" t="s">
        <v>1389</v>
      </c>
      <c r="B132" s="12" t="s">
        <v>1391</v>
      </c>
      <c r="C132" s="12"/>
      <c r="D132" s="14">
        <v>20.0</v>
      </c>
      <c r="E132" s="14">
        <v>11700.0</v>
      </c>
      <c r="F132" s="12" t="s">
        <v>959</v>
      </c>
      <c r="G132" s="12" t="s">
        <v>960</v>
      </c>
      <c r="H132" s="12"/>
      <c r="I132" s="12"/>
      <c r="J132" s="12" t="s">
        <v>961</v>
      </c>
      <c r="K132" s="12" t="s">
        <v>962</v>
      </c>
      <c r="L132" s="12" t="s">
        <v>262</v>
      </c>
      <c r="M132" s="13"/>
      <c r="N132" s="12" t="s">
        <v>963</v>
      </c>
      <c r="O132" s="12" t="s">
        <v>964</v>
      </c>
    </row>
    <row r="133" ht="15.75" customHeight="1">
      <c r="A133" s="12" t="s">
        <v>1401</v>
      </c>
      <c r="B133" s="12" t="s">
        <v>1402</v>
      </c>
      <c r="C133" s="12"/>
      <c r="D133" s="14">
        <v>20.0</v>
      </c>
      <c r="E133" s="14">
        <v>423.0</v>
      </c>
      <c r="F133" s="12" t="s">
        <v>959</v>
      </c>
      <c r="G133" s="12" t="s">
        <v>960</v>
      </c>
      <c r="H133" s="12"/>
      <c r="I133" s="12"/>
      <c r="J133" s="12" t="s">
        <v>961</v>
      </c>
      <c r="K133" s="12" t="s">
        <v>962</v>
      </c>
      <c r="L133" s="12" t="s">
        <v>262</v>
      </c>
      <c r="M133" s="13"/>
      <c r="N133" s="12" t="s">
        <v>963</v>
      </c>
      <c r="O133" s="12" t="s">
        <v>964</v>
      </c>
    </row>
    <row r="134" ht="15.75" customHeight="1">
      <c r="A134" s="12" t="s">
        <v>1409</v>
      </c>
      <c r="B134" s="12" t="s">
        <v>1410</v>
      </c>
      <c r="C134" s="12"/>
      <c r="D134" s="14">
        <v>20.0</v>
      </c>
      <c r="E134" s="14">
        <v>170.0</v>
      </c>
      <c r="F134" s="12" t="s">
        <v>959</v>
      </c>
      <c r="G134" s="12" t="s">
        <v>960</v>
      </c>
      <c r="H134" s="12"/>
      <c r="I134" s="12"/>
      <c r="J134" s="12" t="s">
        <v>961</v>
      </c>
      <c r="K134" s="12" t="s">
        <v>962</v>
      </c>
      <c r="L134" s="12" t="s">
        <v>262</v>
      </c>
      <c r="M134" s="13"/>
      <c r="N134" s="12" t="s">
        <v>963</v>
      </c>
      <c r="O134" s="12" t="s">
        <v>964</v>
      </c>
    </row>
    <row r="135" ht="15.75" customHeight="1">
      <c r="A135" s="12" t="s">
        <v>1419</v>
      </c>
      <c r="B135" s="12" t="s">
        <v>1421</v>
      </c>
      <c r="C135" s="12"/>
      <c r="D135" s="14">
        <v>19.0</v>
      </c>
      <c r="E135" s="14"/>
      <c r="F135" s="12" t="s">
        <v>959</v>
      </c>
      <c r="G135" s="12" t="s">
        <v>960</v>
      </c>
      <c r="H135" s="12"/>
      <c r="I135" s="12"/>
      <c r="J135" s="12" t="s">
        <v>961</v>
      </c>
      <c r="K135" s="12" t="s">
        <v>962</v>
      </c>
      <c r="L135" s="12" t="s">
        <v>262</v>
      </c>
      <c r="M135" s="13"/>
      <c r="N135" s="12" t="s">
        <v>963</v>
      </c>
      <c r="O135" s="12" t="s">
        <v>964</v>
      </c>
    </row>
    <row r="136" ht="15.75" customHeight="1">
      <c r="A136" s="12" t="s">
        <v>1429</v>
      </c>
      <c r="B136" s="12" t="s">
        <v>1430</v>
      </c>
      <c r="C136" s="12"/>
      <c r="D136" s="14">
        <v>19.0</v>
      </c>
      <c r="E136" s="14"/>
      <c r="F136" s="12" t="s">
        <v>959</v>
      </c>
      <c r="G136" s="12" t="s">
        <v>960</v>
      </c>
      <c r="H136" s="12"/>
      <c r="I136" s="12"/>
      <c r="J136" s="12" t="s">
        <v>961</v>
      </c>
      <c r="K136" s="12" t="s">
        <v>962</v>
      </c>
      <c r="L136" s="12" t="s">
        <v>262</v>
      </c>
      <c r="M136" s="13"/>
      <c r="N136" s="12" t="s">
        <v>963</v>
      </c>
      <c r="O136" s="12" t="s">
        <v>964</v>
      </c>
    </row>
    <row r="137" ht="15.75" customHeight="1">
      <c r="A137" s="12" t="s">
        <v>1437</v>
      </c>
      <c r="B137" s="12" t="s">
        <v>1439</v>
      </c>
      <c r="C137" s="12"/>
      <c r="D137" s="14">
        <v>19.0</v>
      </c>
      <c r="E137" s="14">
        <v>6500.0</v>
      </c>
      <c r="F137" s="12" t="s">
        <v>959</v>
      </c>
      <c r="G137" s="12" t="s">
        <v>960</v>
      </c>
      <c r="H137" s="12"/>
      <c r="I137" s="12"/>
      <c r="J137" s="12" t="s">
        <v>961</v>
      </c>
      <c r="K137" s="12" t="s">
        <v>962</v>
      </c>
      <c r="L137" s="12" t="s">
        <v>262</v>
      </c>
      <c r="M137" s="13"/>
      <c r="N137" s="12" t="s">
        <v>963</v>
      </c>
      <c r="O137" s="12" t="s">
        <v>964</v>
      </c>
    </row>
    <row r="138" ht="15.75" customHeight="1">
      <c r="A138" s="12" t="s">
        <v>1448</v>
      </c>
      <c r="B138" s="12" t="s">
        <v>1450</v>
      </c>
      <c r="C138" s="12"/>
      <c r="D138" s="14">
        <v>18.0</v>
      </c>
      <c r="E138" s="14">
        <v>19300.0</v>
      </c>
      <c r="F138" s="12" t="s">
        <v>959</v>
      </c>
      <c r="G138" s="12" t="s">
        <v>960</v>
      </c>
      <c r="H138" s="12"/>
      <c r="I138" s="12"/>
      <c r="J138" s="12" t="s">
        <v>961</v>
      </c>
      <c r="K138" s="12" t="s">
        <v>962</v>
      </c>
      <c r="L138" s="12" t="s">
        <v>262</v>
      </c>
      <c r="M138" s="13"/>
      <c r="N138" s="12" t="s">
        <v>963</v>
      </c>
      <c r="O138" s="12" t="s">
        <v>964</v>
      </c>
    </row>
    <row r="139" ht="15.75" customHeight="1">
      <c r="A139" s="12" t="s">
        <v>1459</v>
      </c>
      <c r="B139" s="12" t="s">
        <v>1461</v>
      </c>
      <c r="C139" s="12"/>
      <c r="D139" s="14">
        <v>18.0</v>
      </c>
      <c r="E139" s="14">
        <v>856.0</v>
      </c>
      <c r="F139" s="12" t="s">
        <v>959</v>
      </c>
      <c r="G139" s="12" t="s">
        <v>960</v>
      </c>
      <c r="H139" s="12"/>
      <c r="I139" s="12"/>
      <c r="J139" s="12" t="s">
        <v>961</v>
      </c>
      <c r="K139" s="12" t="s">
        <v>962</v>
      </c>
      <c r="L139" s="12" t="s">
        <v>262</v>
      </c>
      <c r="M139" s="13"/>
      <c r="N139" s="12" t="s">
        <v>963</v>
      </c>
      <c r="O139" s="12" t="s">
        <v>964</v>
      </c>
    </row>
    <row r="140" ht="15.75" customHeight="1">
      <c r="A140" s="12" t="s">
        <v>1469</v>
      </c>
      <c r="B140" s="12" t="s">
        <v>1470</v>
      </c>
      <c r="C140" s="12"/>
      <c r="D140" s="14">
        <v>18.0</v>
      </c>
      <c r="E140" s="14"/>
      <c r="F140" s="12" t="s">
        <v>959</v>
      </c>
      <c r="G140" s="12" t="s">
        <v>960</v>
      </c>
      <c r="H140" s="12"/>
      <c r="I140" s="12"/>
      <c r="J140" s="12" t="s">
        <v>961</v>
      </c>
      <c r="K140" s="12" t="s">
        <v>962</v>
      </c>
      <c r="L140" s="12" t="s">
        <v>262</v>
      </c>
      <c r="M140" s="13"/>
      <c r="N140" s="12" t="s">
        <v>963</v>
      </c>
      <c r="O140" s="12" t="s">
        <v>964</v>
      </c>
    </row>
    <row r="141" ht="15.75" customHeight="1">
      <c r="A141" s="12" t="s">
        <v>1479</v>
      </c>
      <c r="B141" s="12" t="s">
        <v>1481</v>
      </c>
      <c r="C141" s="12"/>
      <c r="D141" s="14">
        <v>18.0</v>
      </c>
      <c r="E141" s="14"/>
      <c r="F141" s="12" t="s">
        <v>959</v>
      </c>
      <c r="G141" s="12" t="s">
        <v>960</v>
      </c>
      <c r="H141" s="12"/>
      <c r="I141" s="12"/>
      <c r="J141" s="12" t="s">
        <v>961</v>
      </c>
      <c r="K141" s="12" t="s">
        <v>962</v>
      </c>
      <c r="L141" s="12" t="s">
        <v>262</v>
      </c>
      <c r="M141" s="13"/>
      <c r="N141" s="12" t="s">
        <v>963</v>
      </c>
      <c r="O141" s="12" t="s">
        <v>964</v>
      </c>
    </row>
    <row r="142" ht="15.75" customHeight="1">
      <c r="A142" s="12" t="s">
        <v>1491</v>
      </c>
      <c r="B142" s="12" t="s">
        <v>1493</v>
      </c>
      <c r="C142" s="12"/>
      <c r="D142" s="14">
        <v>17.0</v>
      </c>
      <c r="E142" s="14">
        <v>1700.0</v>
      </c>
      <c r="F142" s="12" t="s">
        <v>959</v>
      </c>
      <c r="G142" s="12" t="s">
        <v>960</v>
      </c>
      <c r="H142" s="12"/>
      <c r="I142" s="12"/>
      <c r="J142" s="12" t="s">
        <v>961</v>
      </c>
      <c r="K142" s="12" t="s">
        <v>962</v>
      </c>
      <c r="L142" s="12" t="s">
        <v>262</v>
      </c>
      <c r="M142" s="13"/>
      <c r="N142" s="12" t="s">
        <v>963</v>
      </c>
      <c r="O142" s="12" t="s">
        <v>964</v>
      </c>
    </row>
    <row r="143" ht="15.75" customHeight="1">
      <c r="A143" s="12" t="s">
        <v>1499</v>
      </c>
      <c r="B143" s="12" t="s">
        <v>1501</v>
      </c>
      <c r="C143" s="12"/>
      <c r="D143" s="14">
        <v>17.0</v>
      </c>
      <c r="E143" s="14">
        <v>15200.0</v>
      </c>
      <c r="F143" s="12" t="s">
        <v>959</v>
      </c>
      <c r="G143" s="12" t="s">
        <v>960</v>
      </c>
      <c r="H143" s="12"/>
      <c r="I143" s="12"/>
      <c r="J143" s="12" t="s">
        <v>961</v>
      </c>
      <c r="K143" s="12" t="s">
        <v>962</v>
      </c>
      <c r="L143" s="12" t="s">
        <v>262</v>
      </c>
      <c r="M143" s="13"/>
      <c r="N143" s="12" t="s">
        <v>963</v>
      </c>
      <c r="O143" s="12" t="s">
        <v>964</v>
      </c>
    </row>
    <row r="144" ht="15.75" customHeight="1">
      <c r="A144" s="12" t="s">
        <v>1503</v>
      </c>
      <c r="B144" s="12" t="s">
        <v>1504</v>
      </c>
      <c r="C144" s="12"/>
      <c r="D144" s="14">
        <v>17.0</v>
      </c>
      <c r="E144" s="14"/>
      <c r="F144" s="12" t="s">
        <v>959</v>
      </c>
      <c r="G144" s="12" t="s">
        <v>960</v>
      </c>
      <c r="H144" s="12"/>
      <c r="I144" s="12"/>
      <c r="J144" s="12" t="s">
        <v>961</v>
      </c>
      <c r="K144" s="12" t="s">
        <v>962</v>
      </c>
      <c r="L144" s="12" t="s">
        <v>262</v>
      </c>
      <c r="M144" s="13"/>
      <c r="N144" s="12" t="s">
        <v>963</v>
      </c>
      <c r="O144" s="12" t="s">
        <v>964</v>
      </c>
    </row>
    <row r="145" ht="15.75" customHeight="1">
      <c r="A145" s="12" t="s">
        <v>1507</v>
      </c>
      <c r="B145" s="12" t="s">
        <v>1508</v>
      </c>
      <c r="C145" s="12"/>
      <c r="D145" s="14">
        <v>17.0</v>
      </c>
      <c r="E145" s="14">
        <v>18900.0</v>
      </c>
      <c r="F145" s="12" t="s">
        <v>959</v>
      </c>
      <c r="G145" s="12" t="s">
        <v>960</v>
      </c>
      <c r="H145" s="12"/>
      <c r="I145" s="12"/>
      <c r="J145" s="12" t="s">
        <v>961</v>
      </c>
      <c r="K145" s="12" t="s">
        <v>962</v>
      </c>
      <c r="L145" s="12" t="s">
        <v>262</v>
      </c>
      <c r="M145" s="13"/>
      <c r="N145" s="12" t="s">
        <v>963</v>
      </c>
      <c r="O145" s="12" t="s">
        <v>964</v>
      </c>
    </row>
    <row r="146" ht="15.75" customHeight="1">
      <c r="A146" s="12" t="s">
        <v>1511</v>
      </c>
      <c r="B146" s="12" t="s">
        <v>1512</v>
      </c>
      <c r="C146" s="12"/>
      <c r="D146" s="14">
        <v>17.0</v>
      </c>
      <c r="E146" s="14">
        <v>1500.0</v>
      </c>
      <c r="F146" s="12" t="s">
        <v>959</v>
      </c>
      <c r="G146" s="12" t="s">
        <v>960</v>
      </c>
      <c r="H146" s="12"/>
      <c r="I146" s="12"/>
      <c r="J146" s="12" t="s">
        <v>961</v>
      </c>
      <c r="K146" s="12" t="s">
        <v>962</v>
      </c>
      <c r="L146" s="12" t="s">
        <v>262</v>
      </c>
      <c r="M146" s="13"/>
      <c r="N146" s="12" t="s">
        <v>963</v>
      </c>
      <c r="O146" s="12" t="s">
        <v>964</v>
      </c>
    </row>
    <row r="147" ht="15.75" customHeight="1">
      <c r="A147" s="12" t="s">
        <v>1515</v>
      </c>
      <c r="B147" s="12" t="s">
        <v>1516</v>
      </c>
      <c r="C147" s="12"/>
      <c r="D147" s="14">
        <v>16.0</v>
      </c>
      <c r="E147" s="14">
        <v>23.0</v>
      </c>
      <c r="F147" s="12" t="s">
        <v>959</v>
      </c>
      <c r="G147" s="12" t="s">
        <v>960</v>
      </c>
      <c r="H147" s="12"/>
      <c r="I147" s="12"/>
      <c r="J147" s="12" t="s">
        <v>961</v>
      </c>
      <c r="K147" s="12" t="s">
        <v>962</v>
      </c>
      <c r="L147" s="12" t="s">
        <v>262</v>
      </c>
      <c r="M147" s="13"/>
      <c r="N147" s="12" t="s">
        <v>963</v>
      </c>
      <c r="O147" s="12" t="s">
        <v>964</v>
      </c>
    </row>
    <row r="148" ht="15.75" customHeight="1">
      <c r="A148" s="12" t="s">
        <v>1519</v>
      </c>
      <c r="B148" s="12" t="s">
        <v>1520</v>
      </c>
      <c r="C148" s="12"/>
      <c r="D148" s="14">
        <v>16.0</v>
      </c>
      <c r="E148" s="14">
        <v>29500.0</v>
      </c>
      <c r="F148" s="12" t="s">
        <v>959</v>
      </c>
      <c r="G148" s="12" t="s">
        <v>960</v>
      </c>
      <c r="H148" s="12"/>
      <c r="I148" s="12"/>
      <c r="J148" s="12" t="s">
        <v>961</v>
      </c>
      <c r="K148" s="12" t="s">
        <v>962</v>
      </c>
      <c r="L148" s="12" t="s">
        <v>262</v>
      </c>
      <c r="M148" s="13"/>
      <c r="N148" s="12" t="s">
        <v>963</v>
      </c>
      <c r="O148" s="12" t="s">
        <v>964</v>
      </c>
    </row>
    <row r="149" ht="15.75" customHeight="1">
      <c r="A149" s="12" t="s">
        <v>1522</v>
      </c>
      <c r="B149" s="12" t="s">
        <v>1524</v>
      </c>
      <c r="C149" s="12"/>
      <c r="D149" s="14">
        <v>16.0</v>
      </c>
      <c r="E149" s="14">
        <v>588.0</v>
      </c>
      <c r="F149" s="12" t="s">
        <v>959</v>
      </c>
      <c r="G149" s="12" t="s">
        <v>960</v>
      </c>
      <c r="H149" s="12"/>
      <c r="I149" s="12"/>
      <c r="J149" s="12" t="s">
        <v>961</v>
      </c>
      <c r="K149" s="12" t="s">
        <v>962</v>
      </c>
      <c r="L149" s="12" t="s">
        <v>262</v>
      </c>
      <c r="M149" s="13"/>
      <c r="N149" s="12" t="s">
        <v>963</v>
      </c>
      <c r="O149" s="12" t="s">
        <v>964</v>
      </c>
    </row>
    <row r="150" ht="15.75" customHeight="1">
      <c r="A150" s="12" t="s">
        <v>1526</v>
      </c>
      <c r="B150" s="12" t="s">
        <v>1527</v>
      </c>
      <c r="C150" s="12"/>
      <c r="D150" s="14">
        <v>16.0</v>
      </c>
      <c r="E150" s="14">
        <v>360.0</v>
      </c>
      <c r="F150" s="12" t="s">
        <v>959</v>
      </c>
      <c r="G150" s="12" t="s">
        <v>960</v>
      </c>
      <c r="H150" s="12"/>
      <c r="I150" s="12"/>
      <c r="J150" s="12" t="s">
        <v>961</v>
      </c>
      <c r="K150" s="12" t="s">
        <v>962</v>
      </c>
      <c r="L150" s="12" t="s">
        <v>262</v>
      </c>
      <c r="M150" s="13"/>
      <c r="N150" s="12" t="s">
        <v>963</v>
      </c>
      <c r="O150" s="12" t="s">
        <v>964</v>
      </c>
    </row>
    <row r="151" ht="15.75" customHeight="1">
      <c r="A151" s="12" t="s">
        <v>1530</v>
      </c>
      <c r="B151" s="12" t="s">
        <v>1531</v>
      </c>
      <c r="C151" s="12"/>
      <c r="D151" s="14">
        <v>16.0</v>
      </c>
      <c r="E151" s="14">
        <v>1000.0</v>
      </c>
      <c r="F151" s="12" t="s">
        <v>959</v>
      </c>
      <c r="G151" s="12" t="s">
        <v>960</v>
      </c>
      <c r="H151" s="12"/>
      <c r="I151" s="12"/>
      <c r="J151" s="12" t="s">
        <v>961</v>
      </c>
      <c r="K151" s="12" t="s">
        <v>962</v>
      </c>
      <c r="L151" s="12" t="s">
        <v>262</v>
      </c>
      <c r="M151" s="13"/>
      <c r="N151" s="12" t="s">
        <v>963</v>
      </c>
      <c r="O151" s="12" t="s">
        <v>964</v>
      </c>
    </row>
    <row r="152" ht="15.75" customHeight="1">
      <c r="A152" s="12" t="s">
        <v>1535</v>
      </c>
      <c r="B152" s="12" t="s">
        <v>1536</v>
      </c>
      <c r="C152" s="12"/>
      <c r="D152" s="14">
        <v>15.0</v>
      </c>
      <c r="E152" s="14"/>
      <c r="F152" s="12" t="s">
        <v>959</v>
      </c>
      <c r="G152" s="12" t="s">
        <v>960</v>
      </c>
      <c r="H152" s="12"/>
      <c r="I152" s="12"/>
      <c r="J152" s="12" t="s">
        <v>961</v>
      </c>
      <c r="K152" s="12" t="s">
        <v>962</v>
      </c>
      <c r="L152" s="12" t="s">
        <v>262</v>
      </c>
      <c r="M152" s="13"/>
      <c r="N152" s="12" t="s">
        <v>963</v>
      </c>
      <c r="O152" s="12" t="s">
        <v>964</v>
      </c>
    </row>
    <row r="153" ht="15.75" customHeight="1">
      <c r="A153" s="12" t="s">
        <v>1538</v>
      </c>
      <c r="B153" s="12" t="s">
        <v>1539</v>
      </c>
      <c r="C153" s="12"/>
      <c r="D153" s="14">
        <v>15.0</v>
      </c>
      <c r="E153" s="14">
        <v>1200.0</v>
      </c>
      <c r="F153" s="12" t="s">
        <v>959</v>
      </c>
      <c r="G153" s="12" t="s">
        <v>960</v>
      </c>
      <c r="H153" s="12"/>
      <c r="I153" s="12"/>
      <c r="J153" s="12" t="s">
        <v>961</v>
      </c>
      <c r="K153" s="12" t="s">
        <v>962</v>
      </c>
      <c r="L153" s="12" t="s">
        <v>262</v>
      </c>
      <c r="M153" s="13"/>
      <c r="N153" s="12" t="s">
        <v>963</v>
      </c>
      <c r="O153" s="12" t="s">
        <v>964</v>
      </c>
    </row>
    <row r="154" ht="15.75" customHeight="1">
      <c r="A154" s="12" t="s">
        <v>1542</v>
      </c>
      <c r="B154" s="12" t="s">
        <v>1543</v>
      </c>
      <c r="C154" s="12"/>
      <c r="D154" s="14">
        <v>14.0</v>
      </c>
      <c r="E154" s="14">
        <v>259.0</v>
      </c>
      <c r="F154" s="12" t="s">
        <v>959</v>
      </c>
      <c r="G154" s="12" t="s">
        <v>960</v>
      </c>
      <c r="H154" s="12"/>
      <c r="I154" s="12"/>
      <c r="J154" s="12" t="s">
        <v>961</v>
      </c>
      <c r="K154" s="12" t="s">
        <v>962</v>
      </c>
      <c r="L154" s="12" t="s">
        <v>262</v>
      </c>
      <c r="M154" s="13"/>
      <c r="N154" s="12" t="s">
        <v>963</v>
      </c>
      <c r="O154" s="12" t="s">
        <v>964</v>
      </c>
    </row>
    <row r="155" ht="15.75" customHeight="1">
      <c r="A155" s="12" t="s">
        <v>1549</v>
      </c>
      <c r="B155" s="12" t="s">
        <v>1550</v>
      </c>
      <c r="C155" s="12"/>
      <c r="D155" s="14">
        <v>14.0</v>
      </c>
      <c r="E155" s="14">
        <v>2800.0</v>
      </c>
      <c r="F155" s="12" t="s">
        <v>959</v>
      </c>
      <c r="G155" s="12" t="s">
        <v>960</v>
      </c>
      <c r="H155" s="12"/>
      <c r="I155" s="12"/>
      <c r="J155" s="12" t="s">
        <v>961</v>
      </c>
      <c r="K155" s="12" t="s">
        <v>962</v>
      </c>
      <c r="L155" s="12" t="s">
        <v>262</v>
      </c>
      <c r="M155" s="13"/>
      <c r="N155" s="12" t="s">
        <v>963</v>
      </c>
      <c r="O155" s="12" t="s">
        <v>964</v>
      </c>
    </row>
    <row r="156" ht="15.75" customHeight="1">
      <c r="A156" s="12" t="s">
        <v>1561</v>
      </c>
      <c r="B156" s="12" t="s">
        <v>1563</v>
      </c>
      <c r="C156" s="12"/>
      <c r="D156" s="14">
        <v>14.0</v>
      </c>
      <c r="E156" s="14"/>
      <c r="F156" s="12" t="s">
        <v>959</v>
      </c>
      <c r="G156" s="12" t="s">
        <v>960</v>
      </c>
      <c r="H156" s="12"/>
      <c r="I156" s="12"/>
      <c r="J156" s="12" t="s">
        <v>961</v>
      </c>
      <c r="K156" s="12" t="s">
        <v>962</v>
      </c>
      <c r="L156" s="12" t="s">
        <v>262</v>
      </c>
      <c r="M156" s="13"/>
      <c r="N156" s="12" t="s">
        <v>963</v>
      </c>
      <c r="O156" s="12" t="s">
        <v>964</v>
      </c>
    </row>
    <row r="157" ht="15.75" customHeight="1">
      <c r="A157" s="12" t="s">
        <v>1578</v>
      </c>
      <c r="B157" s="12" t="s">
        <v>1579</v>
      </c>
      <c r="C157" s="12"/>
      <c r="D157" s="14">
        <v>14.0</v>
      </c>
      <c r="E157" s="14">
        <v>2900.0</v>
      </c>
      <c r="F157" s="12" t="s">
        <v>959</v>
      </c>
      <c r="G157" s="12" t="s">
        <v>960</v>
      </c>
      <c r="H157" s="12"/>
      <c r="I157" s="12"/>
      <c r="J157" s="12" t="s">
        <v>961</v>
      </c>
      <c r="K157" s="12" t="s">
        <v>962</v>
      </c>
      <c r="L157" s="12" t="s">
        <v>262</v>
      </c>
      <c r="M157" s="13"/>
      <c r="N157" s="12" t="s">
        <v>963</v>
      </c>
      <c r="O157" s="12" t="s">
        <v>964</v>
      </c>
    </row>
    <row r="158" ht="15.75" customHeight="1">
      <c r="A158" s="12" t="s">
        <v>1583</v>
      </c>
      <c r="B158" s="12" t="s">
        <v>1584</v>
      </c>
      <c r="C158" s="12"/>
      <c r="D158" s="14">
        <v>14.0</v>
      </c>
      <c r="E158" s="14">
        <v>4400.0</v>
      </c>
      <c r="F158" s="12" t="s">
        <v>959</v>
      </c>
      <c r="G158" s="12" t="s">
        <v>960</v>
      </c>
      <c r="H158" s="12"/>
      <c r="I158" s="12"/>
      <c r="J158" s="12" t="s">
        <v>961</v>
      </c>
      <c r="K158" s="12" t="s">
        <v>962</v>
      </c>
      <c r="L158" s="12" t="s">
        <v>262</v>
      </c>
      <c r="M158" s="13"/>
      <c r="N158" s="12" t="s">
        <v>963</v>
      </c>
      <c r="O158" s="12" t="s">
        <v>964</v>
      </c>
    </row>
    <row r="159" ht="15.75" customHeight="1">
      <c r="A159" s="12" t="s">
        <v>1588</v>
      </c>
      <c r="B159" s="12" t="s">
        <v>1590</v>
      </c>
      <c r="C159" s="12"/>
      <c r="D159" s="14">
        <v>13.0</v>
      </c>
      <c r="E159" s="14">
        <v>12700.0</v>
      </c>
      <c r="F159" s="12" t="s">
        <v>959</v>
      </c>
      <c r="G159" s="12" t="s">
        <v>960</v>
      </c>
      <c r="H159" s="12"/>
      <c r="I159" s="12"/>
      <c r="J159" s="12" t="s">
        <v>961</v>
      </c>
      <c r="K159" s="12" t="s">
        <v>962</v>
      </c>
      <c r="L159" s="12" t="s">
        <v>262</v>
      </c>
      <c r="M159" s="13"/>
      <c r="N159" s="12" t="s">
        <v>963</v>
      </c>
      <c r="O159" s="12" t="s">
        <v>964</v>
      </c>
    </row>
    <row r="160" ht="15.75" customHeight="1">
      <c r="A160" s="12" t="s">
        <v>1597</v>
      </c>
      <c r="B160" s="12" t="s">
        <v>1598</v>
      </c>
      <c r="C160" s="12"/>
      <c r="D160" s="14">
        <v>13.0</v>
      </c>
      <c r="E160" s="14"/>
      <c r="F160" s="12" t="s">
        <v>959</v>
      </c>
      <c r="G160" s="12" t="s">
        <v>960</v>
      </c>
      <c r="H160" s="12"/>
      <c r="I160" s="12"/>
      <c r="J160" s="12" t="s">
        <v>961</v>
      </c>
      <c r="K160" s="12" t="s">
        <v>962</v>
      </c>
      <c r="L160" s="12" t="s">
        <v>262</v>
      </c>
      <c r="M160" s="13"/>
      <c r="N160" s="12" t="s">
        <v>963</v>
      </c>
      <c r="O160" s="12" t="s">
        <v>964</v>
      </c>
    </row>
    <row r="161" ht="15.75" customHeight="1">
      <c r="A161" s="12" t="s">
        <v>1605</v>
      </c>
      <c r="B161" s="12" t="s">
        <v>1606</v>
      </c>
      <c r="C161" s="12"/>
      <c r="D161" s="14">
        <v>12.0</v>
      </c>
      <c r="E161" s="14">
        <v>2000.0</v>
      </c>
      <c r="F161" s="12" t="s">
        <v>959</v>
      </c>
      <c r="G161" s="12" t="s">
        <v>960</v>
      </c>
      <c r="H161" s="12"/>
      <c r="I161" s="12"/>
      <c r="J161" s="12" t="s">
        <v>961</v>
      </c>
      <c r="K161" s="12" t="s">
        <v>962</v>
      </c>
      <c r="L161" s="12" t="s">
        <v>262</v>
      </c>
      <c r="M161" s="13"/>
      <c r="N161" s="12" t="s">
        <v>963</v>
      </c>
      <c r="O161" s="12" t="s">
        <v>964</v>
      </c>
    </row>
    <row r="162" ht="15.75" customHeight="1">
      <c r="A162" s="12" t="s">
        <v>1610</v>
      </c>
      <c r="B162" s="12" t="s">
        <v>1611</v>
      </c>
      <c r="C162" s="12"/>
      <c r="D162" s="14">
        <v>12.0</v>
      </c>
      <c r="E162" s="14">
        <v>19100.0</v>
      </c>
      <c r="F162" s="12" t="s">
        <v>959</v>
      </c>
      <c r="G162" s="12" t="s">
        <v>960</v>
      </c>
      <c r="H162" s="12"/>
      <c r="I162" s="12"/>
      <c r="J162" s="12" t="s">
        <v>961</v>
      </c>
      <c r="K162" s="12" t="s">
        <v>962</v>
      </c>
      <c r="L162" s="12" t="s">
        <v>262</v>
      </c>
      <c r="M162" s="13"/>
      <c r="N162" s="12" t="s">
        <v>963</v>
      </c>
      <c r="O162" s="12" t="s">
        <v>964</v>
      </c>
    </row>
    <row r="163" ht="15.75" customHeight="1">
      <c r="A163" s="12" t="s">
        <v>1616</v>
      </c>
      <c r="B163" s="12" t="s">
        <v>1618</v>
      </c>
      <c r="C163" s="12"/>
      <c r="D163" s="14">
        <v>12.0</v>
      </c>
      <c r="E163" s="14"/>
      <c r="F163" s="12" t="s">
        <v>959</v>
      </c>
      <c r="G163" s="12" t="s">
        <v>960</v>
      </c>
      <c r="H163" s="12"/>
      <c r="I163" s="12"/>
      <c r="J163" s="12" t="s">
        <v>961</v>
      </c>
      <c r="K163" s="12" t="s">
        <v>962</v>
      </c>
      <c r="L163" s="12" t="s">
        <v>262</v>
      </c>
      <c r="M163" s="13"/>
      <c r="N163" s="12" t="s">
        <v>963</v>
      </c>
      <c r="O163" s="12" t="s">
        <v>964</v>
      </c>
    </row>
    <row r="164" ht="15.75" customHeight="1">
      <c r="A164" s="12" t="s">
        <v>1624</v>
      </c>
      <c r="B164" s="12" t="s">
        <v>1625</v>
      </c>
      <c r="C164" s="12"/>
      <c r="D164" s="14">
        <v>12.0</v>
      </c>
      <c r="E164" s="14">
        <v>984.0</v>
      </c>
      <c r="F164" s="12" t="s">
        <v>959</v>
      </c>
      <c r="G164" s="12" t="s">
        <v>960</v>
      </c>
      <c r="H164" s="12"/>
      <c r="I164" s="12"/>
      <c r="J164" s="12" t="s">
        <v>961</v>
      </c>
      <c r="K164" s="12" t="s">
        <v>962</v>
      </c>
      <c r="L164" s="12" t="s">
        <v>262</v>
      </c>
      <c r="M164" s="13"/>
      <c r="N164" s="12" t="s">
        <v>963</v>
      </c>
      <c r="O164" s="12" t="s">
        <v>964</v>
      </c>
    </row>
    <row r="165" ht="15.75" customHeight="1">
      <c r="A165" s="12" t="s">
        <v>1632</v>
      </c>
      <c r="B165" s="12" t="s">
        <v>1633</v>
      </c>
      <c r="C165" s="12"/>
      <c r="D165" s="14">
        <v>12.0</v>
      </c>
      <c r="E165" s="14">
        <v>23000.0</v>
      </c>
      <c r="F165" s="12" t="s">
        <v>959</v>
      </c>
      <c r="G165" s="12" t="s">
        <v>960</v>
      </c>
      <c r="H165" s="12"/>
      <c r="I165" s="12"/>
      <c r="J165" s="12" t="s">
        <v>961</v>
      </c>
      <c r="K165" s="12" t="s">
        <v>962</v>
      </c>
      <c r="L165" s="12" t="s">
        <v>262</v>
      </c>
      <c r="M165" s="13"/>
      <c r="N165" s="12" t="s">
        <v>963</v>
      </c>
      <c r="O165" s="12" t="s">
        <v>964</v>
      </c>
    </row>
    <row r="166" ht="15.75" customHeight="1">
      <c r="A166" s="12" t="s">
        <v>1635</v>
      </c>
      <c r="B166" s="12" t="s">
        <v>1636</v>
      </c>
      <c r="C166" s="12"/>
      <c r="D166" s="14">
        <v>12.0</v>
      </c>
      <c r="E166" s="14"/>
      <c r="F166" s="12" t="s">
        <v>959</v>
      </c>
      <c r="G166" s="12" t="s">
        <v>960</v>
      </c>
      <c r="H166" s="12"/>
      <c r="I166" s="12"/>
      <c r="J166" s="12" t="s">
        <v>961</v>
      </c>
      <c r="K166" s="12" t="s">
        <v>962</v>
      </c>
      <c r="L166" s="12" t="s">
        <v>262</v>
      </c>
      <c r="M166" s="13"/>
      <c r="N166" s="12" t="s">
        <v>963</v>
      </c>
      <c r="O166" s="12" t="s">
        <v>964</v>
      </c>
    </row>
    <row r="167" ht="15.75" customHeight="1">
      <c r="A167" s="12" t="s">
        <v>1642</v>
      </c>
      <c r="B167" s="12" t="s">
        <v>1643</v>
      </c>
      <c r="C167" s="12"/>
      <c r="D167" s="14">
        <v>12.0</v>
      </c>
      <c r="E167" s="14">
        <v>1900.0</v>
      </c>
      <c r="F167" s="12" t="s">
        <v>959</v>
      </c>
      <c r="G167" s="12" t="s">
        <v>960</v>
      </c>
      <c r="H167" s="12"/>
      <c r="I167" s="12"/>
      <c r="J167" s="12" t="s">
        <v>961</v>
      </c>
      <c r="K167" s="12" t="s">
        <v>962</v>
      </c>
      <c r="L167" s="12" t="s">
        <v>262</v>
      </c>
      <c r="M167" s="13"/>
      <c r="N167" s="12" t="s">
        <v>963</v>
      </c>
      <c r="O167" s="12" t="s">
        <v>964</v>
      </c>
    </row>
    <row r="168" ht="15.75" customHeight="1">
      <c r="A168" s="12" t="s">
        <v>1650</v>
      </c>
      <c r="B168" s="12" t="s">
        <v>1651</v>
      </c>
      <c r="C168" s="12"/>
      <c r="D168" s="14">
        <v>12.0</v>
      </c>
      <c r="E168" s="14">
        <v>691.0</v>
      </c>
      <c r="F168" s="12" t="s">
        <v>959</v>
      </c>
      <c r="G168" s="12" t="s">
        <v>960</v>
      </c>
      <c r="H168" s="12"/>
      <c r="I168" s="12"/>
      <c r="J168" s="12" t="s">
        <v>961</v>
      </c>
      <c r="K168" s="12" t="s">
        <v>962</v>
      </c>
      <c r="L168" s="12" t="s">
        <v>262</v>
      </c>
      <c r="M168" s="13"/>
      <c r="N168" s="12" t="s">
        <v>963</v>
      </c>
      <c r="O168" s="12" t="s">
        <v>964</v>
      </c>
    </row>
    <row r="169" ht="15.75" customHeight="1">
      <c r="A169" s="12" t="s">
        <v>1658</v>
      </c>
      <c r="B169" s="12" t="s">
        <v>1660</v>
      </c>
      <c r="C169" s="12"/>
      <c r="D169" s="14">
        <v>11.0</v>
      </c>
      <c r="E169" s="14">
        <v>69500.0</v>
      </c>
      <c r="F169" s="12" t="s">
        <v>959</v>
      </c>
      <c r="G169" s="12" t="s">
        <v>960</v>
      </c>
      <c r="H169" s="12"/>
      <c r="I169" s="12"/>
      <c r="J169" s="12" t="s">
        <v>961</v>
      </c>
      <c r="K169" s="12" t="s">
        <v>962</v>
      </c>
      <c r="L169" s="12" t="s">
        <v>262</v>
      </c>
      <c r="M169" s="13"/>
      <c r="N169" s="12" t="s">
        <v>963</v>
      </c>
      <c r="O169" s="12" t="s">
        <v>964</v>
      </c>
    </row>
    <row r="170" ht="15.75" customHeight="1">
      <c r="A170" s="12" t="s">
        <v>1669</v>
      </c>
      <c r="B170" s="12" t="s">
        <v>1670</v>
      </c>
      <c r="C170" s="12"/>
      <c r="D170" s="14">
        <v>11.0</v>
      </c>
      <c r="E170" s="14">
        <v>301.0</v>
      </c>
      <c r="F170" s="12" t="s">
        <v>959</v>
      </c>
      <c r="G170" s="12" t="s">
        <v>960</v>
      </c>
      <c r="H170" s="12"/>
      <c r="I170" s="12"/>
      <c r="J170" s="12" t="s">
        <v>961</v>
      </c>
      <c r="K170" s="12" t="s">
        <v>962</v>
      </c>
      <c r="L170" s="12" t="s">
        <v>262</v>
      </c>
      <c r="M170" s="13"/>
      <c r="N170" s="12" t="s">
        <v>963</v>
      </c>
      <c r="O170" s="12" t="s">
        <v>964</v>
      </c>
    </row>
    <row r="171" ht="15.75" customHeight="1">
      <c r="A171" s="12" t="s">
        <v>1672</v>
      </c>
      <c r="B171" s="12" t="s">
        <v>1673</v>
      </c>
      <c r="C171" s="12"/>
      <c r="D171" s="14">
        <v>11.0</v>
      </c>
      <c r="E171" s="14"/>
      <c r="F171" s="12" t="s">
        <v>959</v>
      </c>
      <c r="G171" s="12" t="s">
        <v>960</v>
      </c>
      <c r="H171" s="12"/>
      <c r="I171" s="12"/>
      <c r="J171" s="12" t="s">
        <v>961</v>
      </c>
      <c r="K171" s="12" t="s">
        <v>962</v>
      </c>
      <c r="L171" s="12" t="s">
        <v>262</v>
      </c>
      <c r="M171" s="13"/>
      <c r="N171" s="12" t="s">
        <v>963</v>
      </c>
      <c r="O171" s="12" t="s">
        <v>964</v>
      </c>
    </row>
    <row r="172" ht="15.75" customHeight="1">
      <c r="A172" s="12" t="s">
        <v>1683</v>
      </c>
      <c r="B172" s="12" t="s">
        <v>1684</v>
      </c>
      <c r="C172" s="12"/>
      <c r="D172" s="14">
        <v>10.0</v>
      </c>
      <c r="E172" s="14"/>
      <c r="F172" s="12" t="s">
        <v>959</v>
      </c>
      <c r="G172" s="12" t="s">
        <v>960</v>
      </c>
      <c r="H172" s="12"/>
      <c r="I172" s="12"/>
      <c r="J172" s="12" t="s">
        <v>961</v>
      </c>
      <c r="K172" s="12" t="s">
        <v>962</v>
      </c>
      <c r="L172" s="12" t="s">
        <v>262</v>
      </c>
      <c r="M172" s="13"/>
      <c r="N172" s="12" t="s">
        <v>963</v>
      </c>
      <c r="O172" s="12" t="s">
        <v>964</v>
      </c>
    </row>
    <row r="173" ht="15.75" customHeight="1">
      <c r="A173" s="12" t="s">
        <v>1691</v>
      </c>
      <c r="B173" s="12" t="s">
        <v>1692</v>
      </c>
      <c r="C173" s="12"/>
      <c r="D173" s="14">
        <v>10.0</v>
      </c>
      <c r="E173" s="14">
        <v>261.0</v>
      </c>
      <c r="F173" s="12" t="s">
        <v>959</v>
      </c>
      <c r="G173" s="12" t="s">
        <v>960</v>
      </c>
      <c r="H173" s="12"/>
      <c r="I173" s="12"/>
      <c r="J173" s="12" t="s">
        <v>961</v>
      </c>
      <c r="K173" s="12" t="s">
        <v>962</v>
      </c>
      <c r="L173" s="12" t="s">
        <v>262</v>
      </c>
      <c r="M173" s="13"/>
      <c r="N173" s="12" t="s">
        <v>963</v>
      </c>
      <c r="O173" s="12" t="s">
        <v>964</v>
      </c>
    </row>
    <row r="174" ht="15.75" customHeight="1">
      <c r="A174" s="12" t="s">
        <v>1694</v>
      </c>
      <c r="B174" s="12" t="s">
        <v>1695</v>
      </c>
      <c r="C174" s="12"/>
      <c r="D174" s="14">
        <v>10.0</v>
      </c>
      <c r="E174" s="14">
        <v>3500.0</v>
      </c>
      <c r="F174" s="12" t="s">
        <v>959</v>
      </c>
      <c r="G174" s="12" t="s">
        <v>960</v>
      </c>
      <c r="H174" s="12"/>
      <c r="I174" s="12"/>
      <c r="J174" s="12" t="s">
        <v>961</v>
      </c>
      <c r="K174" s="12" t="s">
        <v>962</v>
      </c>
      <c r="L174" s="12" t="s">
        <v>262</v>
      </c>
      <c r="M174" s="13"/>
      <c r="N174" s="12" t="s">
        <v>963</v>
      </c>
      <c r="O174" s="12" t="s">
        <v>964</v>
      </c>
    </row>
    <row r="175" ht="15.75" customHeight="1">
      <c r="A175" s="12" t="s">
        <v>1701</v>
      </c>
      <c r="B175" s="12" t="s">
        <v>1702</v>
      </c>
      <c r="C175" s="12"/>
      <c r="D175" s="14">
        <v>9.0</v>
      </c>
      <c r="E175" s="14">
        <v>3700.0</v>
      </c>
      <c r="F175" s="12" t="s">
        <v>959</v>
      </c>
      <c r="G175" s="12" t="s">
        <v>960</v>
      </c>
      <c r="H175" s="12"/>
      <c r="I175" s="12"/>
      <c r="J175" s="12" t="s">
        <v>961</v>
      </c>
      <c r="K175" s="12" t="s">
        <v>962</v>
      </c>
      <c r="L175" s="12" t="s">
        <v>262</v>
      </c>
      <c r="M175" s="13"/>
      <c r="N175" s="12" t="s">
        <v>963</v>
      </c>
      <c r="O175" s="12" t="s">
        <v>964</v>
      </c>
    </row>
    <row r="176" ht="15.75" customHeight="1">
      <c r="A176" s="12" t="s">
        <v>1705</v>
      </c>
      <c r="B176" s="12" t="s">
        <v>1706</v>
      </c>
      <c r="C176" s="12"/>
      <c r="D176" s="14">
        <v>9.0</v>
      </c>
      <c r="E176" s="14">
        <v>237.0</v>
      </c>
      <c r="F176" s="12" t="s">
        <v>959</v>
      </c>
      <c r="G176" s="12" t="s">
        <v>960</v>
      </c>
      <c r="H176" s="12"/>
      <c r="I176" s="12"/>
      <c r="J176" s="12" t="s">
        <v>961</v>
      </c>
      <c r="K176" s="12" t="s">
        <v>962</v>
      </c>
      <c r="L176" s="12" t="s">
        <v>262</v>
      </c>
      <c r="M176" s="13"/>
      <c r="N176" s="12" t="s">
        <v>963</v>
      </c>
      <c r="O176" s="12" t="s">
        <v>964</v>
      </c>
    </row>
    <row r="177" ht="15.75" customHeight="1">
      <c r="A177" s="12" t="s">
        <v>1712</v>
      </c>
      <c r="B177" s="12" t="s">
        <v>1713</v>
      </c>
      <c r="C177" s="12"/>
      <c r="D177" s="14">
        <v>9.0</v>
      </c>
      <c r="E177" s="14">
        <v>186000.0</v>
      </c>
      <c r="F177" s="12" t="s">
        <v>959</v>
      </c>
      <c r="G177" s="12" t="s">
        <v>960</v>
      </c>
      <c r="H177" s="12"/>
      <c r="I177" s="12"/>
      <c r="J177" s="12" t="s">
        <v>961</v>
      </c>
      <c r="K177" s="12" t="s">
        <v>962</v>
      </c>
      <c r="L177" s="12" t="s">
        <v>262</v>
      </c>
      <c r="M177" s="13"/>
      <c r="N177" s="12" t="s">
        <v>963</v>
      </c>
      <c r="O177" s="12" t="s">
        <v>964</v>
      </c>
    </row>
    <row r="178" ht="15.75" customHeight="1">
      <c r="A178" s="12" t="s">
        <v>1723</v>
      </c>
      <c r="B178" s="12" t="s">
        <v>1724</v>
      </c>
      <c r="C178" s="12"/>
      <c r="D178" s="14">
        <v>9.0</v>
      </c>
      <c r="E178" s="14">
        <v>1200.0</v>
      </c>
      <c r="F178" s="12" t="s">
        <v>959</v>
      </c>
      <c r="G178" s="12" t="s">
        <v>960</v>
      </c>
      <c r="H178" s="12"/>
      <c r="I178" s="12"/>
      <c r="J178" s="12" t="s">
        <v>961</v>
      </c>
      <c r="K178" s="12" t="s">
        <v>962</v>
      </c>
      <c r="L178" s="12" t="s">
        <v>262</v>
      </c>
      <c r="M178" s="13"/>
      <c r="N178" s="12" t="s">
        <v>963</v>
      </c>
      <c r="O178" s="12" t="s">
        <v>964</v>
      </c>
    </row>
    <row r="179" ht="15.75" customHeight="1">
      <c r="A179" s="12" t="s">
        <v>1726</v>
      </c>
      <c r="B179" s="12" t="s">
        <v>1727</v>
      </c>
      <c r="C179" s="12"/>
      <c r="D179" s="14">
        <v>8.0</v>
      </c>
      <c r="E179" s="14">
        <v>3400.0</v>
      </c>
      <c r="F179" s="12" t="s">
        <v>959</v>
      </c>
      <c r="G179" s="12" t="s">
        <v>960</v>
      </c>
      <c r="H179" s="12"/>
      <c r="I179" s="12"/>
      <c r="J179" s="12" t="s">
        <v>961</v>
      </c>
      <c r="K179" s="12" t="s">
        <v>962</v>
      </c>
      <c r="L179" s="12" t="s">
        <v>262</v>
      </c>
      <c r="M179" s="13"/>
      <c r="N179" s="12" t="s">
        <v>963</v>
      </c>
      <c r="O179" s="12" t="s">
        <v>964</v>
      </c>
    </row>
    <row r="180" ht="15.75" customHeight="1">
      <c r="A180" s="12" t="s">
        <v>1734</v>
      </c>
      <c r="B180" s="12" t="s">
        <v>1736</v>
      </c>
      <c r="C180" s="12"/>
      <c r="D180" s="14">
        <v>8.0</v>
      </c>
      <c r="E180" s="14">
        <v>592.0</v>
      </c>
      <c r="F180" s="12" t="s">
        <v>959</v>
      </c>
      <c r="G180" s="12" t="s">
        <v>960</v>
      </c>
      <c r="H180" s="12"/>
      <c r="I180" s="12"/>
      <c r="J180" s="12" t="s">
        <v>961</v>
      </c>
      <c r="K180" s="12" t="s">
        <v>962</v>
      </c>
      <c r="L180" s="12" t="s">
        <v>262</v>
      </c>
      <c r="M180" s="13"/>
      <c r="N180" s="12" t="s">
        <v>963</v>
      </c>
      <c r="O180" s="12" t="s">
        <v>964</v>
      </c>
    </row>
    <row r="181" ht="15.75" customHeight="1">
      <c r="A181" s="12" t="s">
        <v>1742</v>
      </c>
      <c r="B181" s="12" t="s">
        <v>1743</v>
      </c>
      <c r="C181" s="12"/>
      <c r="D181" s="14">
        <v>8.0</v>
      </c>
      <c r="E181" s="14"/>
      <c r="F181" s="12" t="s">
        <v>959</v>
      </c>
      <c r="G181" s="12" t="s">
        <v>960</v>
      </c>
      <c r="H181" s="12"/>
      <c r="I181" s="12"/>
      <c r="J181" s="12" t="s">
        <v>961</v>
      </c>
      <c r="K181" s="12" t="s">
        <v>962</v>
      </c>
      <c r="L181" s="12" t="s">
        <v>262</v>
      </c>
      <c r="M181" s="13"/>
      <c r="N181" s="12" t="s">
        <v>963</v>
      </c>
      <c r="O181" s="12" t="s">
        <v>964</v>
      </c>
    </row>
    <row r="182" ht="15.75" customHeight="1">
      <c r="A182" s="12" t="s">
        <v>1745</v>
      </c>
      <c r="B182" s="12" t="s">
        <v>1746</v>
      </c>
      <c r="C182" s="12"/>
      <c r="D182" s="14">
        <v>8.0</v>
      </c>
      <c r="E182" s="14">
        <v>178.0</v>
      </c>
      <c r="F182" s="12" t="s">
        <v>959</v>
      </c>
      <c r="G182" s="12" t="s">
        <v>960</v>
      </c>
      <c r="H182" s="12"/>
      <c r="I182" s="12"/>
      <c r="J182" s="12" t="s">
        <v>961</v>
      </c>
      <c r="K182" s="12" t="s">
        <v>962</v>
      </c>
      <c r="L182" s="12" t="s">
        <v>262</v>
      </c>
      <c r="M182" s="13"/>
      <c r="N182" s="12" t="s">
        <v>963</v>
      </c>
      <c r="O182" s="12" t="s">
        <v>964</v>
      </c>
    </row>
    <row r="183" ht="15.75" customHeight="1">
      <c r="A183" s="12" t="s">
        <v>1754</v>
      </c>
      <c r="B183" s="12" t="s">
        <v>1756</v>
      </c>
      <c r="C183" s="12"/>
      <c r="D183" s="14">
        <v>8.0</v>
      </c>
      <c r="E183" s="14">
        <v>676.0</v>
      </c>
      <c r="F183" s="12" t="s">
        <v>959</v>
      </c>
      <c r="G183" s="12" t="s">
        <v>960</v>
      </c>
      <c r="H183" s="12"/>
      <c r="I183" s="12"/>
      <c r="J183" s="12" t="s">
        <v>961</v>
      </c>
      <c r="K183" s="12" t="s">
        <v>962</v>
      </c>
      <c r="L183" s="12" t="s">
        <v>262</v>
      </c>
      <c r="M183" s="13"/>
      <c r="N183" s="12" t="s">
        <v>963</v>
      </c>
      <c r="O183" s="12" t="s">
        <v>964</v>
      </c>
    </row>
    <row r="184" ht="15.75" customHeight="1">
      <c r="A184" s="12" t="s">
        <v>1758</v>
      </c>
      <c r="B184" s="12" t="s">
        <v>1759</v>
      </c>
      <c r="C184" s="12"/>
      <c r="D184" s="14">
        <v>8.0</v>
      </c>
      <c r="E184" s="14">
        <v>1000.0</v>
      </c>
      <c r="F184" s="12" t="s">
        <v>959</v>
      </c>
      <c r="G184" s="12" t="s">
        <v>960</v>
      </c>
      <c r="H184" s="12"/>
      <c r="I184" s="12"/>
      <c r="J184" s="12" t="s">
        <v>961</v>
      </c>
      <c r="K184" s="12" t="s">
        <v>962</v>
      </c>
      <c r="L184" s="12" t="s">
        <v>262</v>
      </c>
      <c r="M184" s="13"/>
      <c r="N184" s="12" t="s">
        <v>963</v>
      </c>
      <c r="O184" s="12" t="s">
        <v>964</v>
      </c>
    </row>
    <row r="185" ht="15.75" customHeight="1">
      <c r="A185" s="12" t="s">
        <v>1765</v>
      </c>
      <c r="B185" s="12" t="s">
        <v>1767</v>
      </c>
      <c r="C185" s="12"/>
      <c r="D185" s="14">
        <v>8.0</v>
      </c>
      <c r="E185" s="14">
        <v>2300.0</v>
      </c>
      <c r="F185" s="12" t="s">
        <v>959</v>
      </c>
      <c r="G185" s="12" t="s">
        <v>960</v>
      </c>
      <c r="H185" s="12"/>
      <c r="I185" s="12"/>
      <c r="J185" s="12" t="s">
        <v>961</v>
      </c>
      <c r="K185" s="12" t="s">
        <v>962</v>
      </c>
      <c r="L185" s="12" t="s">
        <v>262</v>
      </c>
      <c r="M185" s="13"/>
      <c r="N185" s="12" t="s">
        <v>963</v>
      </c>
      <c r="O185" s="12" t="s">
        <v>964</v>
      </c>
    </row>
    <row r="186" ht="15.75" customHeight="1">
      <c r="A186" s="12" t="s">
        <v>1773</v>
      </c>
      <c r="B186" s="12" t="s">
        <v>1775</v>
      </c>
      <c r="C186" s="12"/>
      <c r="D186" s="14">
        <v>7.0</v>
      </c>
      <c r="E186" s="14"/>
      <c r="F186" s="12" t="s">
        <v>959</v>
      </c>
      <c r="G186" s="12" t="s">
        <v>960</v>
      </c>
      <c r="H186" s="12"/>
      <c r="I186" s="12"/>
      <c r="J186" s="12" t="s">
        <v>961</v>
      </c>
      <c r="K186" s="12" t="s">
        <v>962</v>
      </c>
      <c r="L186" s="12" t="s">
        <v>262</v>
      </c>
      <c r="M186" s="13"/>
      <c r="N186" s="12" t="s">
        <v>963</v>
      </c>
      <c r="O186" s="12" t="s">
        <v>964</v>
      </c>
    </row>
    <row r="187" ht="15.75" customHeight="1">
      <c r="A187" s="12" t="s">
        <v>1776</v>
      </c>
      <c r="B187" s="12" t="s">
        <v>1777</v>
      </c>
      <c r="C187" s="12"/>
      <c r="D187" s="14">
        <v>7.0</v>
      </c>
      <c r="E187" s="14">
        <v>217.0</v>
      </c>
      <c r="F187" s="12" t="s">
        <v>959</v>
      </c>
      <c r="G187" s="12" t="s">
        <v>960</v>
      </c>
      <c r="H187" s="12"/>
      <c r="I187" s="12"/>
      <c r="J187" s="12" t="s">
        <v>961</v>
      </c>
      <c r="K187" s="12" t="s">
        <v>962</v>
      </c>
      <c r="L187" s="12" t="s">
        <v>262</v>
      </c>
      <c r="M187" s="13"/>
      <c r="N187" s="12" t="s">
        <v>963</v>
      </c>
      <c r="O187" s="12" t="s">
        <v>964</v>
      </c>
    </row>
    <row r="188" ht="15.75" customHeight="1">
      <c r="A188" s="12" t="s">
        <v>1783</v>
      </c>
      <c r="B188" s="12" t="s">
        <v>1784</v>
      </c>
      <c r="C188" s="12"/>
      <c r="D188" s="14">
        <v>7.0</v>
      </c>
      <c r="E188" s="14">
        <v>95.0</v>
      </c>
      <c r="F188" s="12" t="s">
        <v>959</v>
      </c>
      <c r="G188" s="12" t="s">
        <v>960</v>
      </c>
      <c r="H188" s="12"/>
      <c r="I188" s="12"/>
      <c r="J188" s="12" t="s">
        <v>961</v>
      </c>
      <c r="K188" s="12" t="s">
        <v>962</v>
      </c>
      <c r="L188" s="12" t="s">
        <v>262</v>
      </c>
      <c r="M188" s="13"/>
      <c r="N188" s="12" t="s">
        <v>963</v>
      </c>
      <c r="O188" s="12" t="s">
        <v>964</v>
      </c>
    </row>
    <row r="189" ht="15.75" customHeight="1">
      <c r="A189" s="12" t="s">
        <v>1788</v>
      </c>
      <c r="B189" s="12" t="s">
        <v>1789</v>
      </c>
      <c r="C189" s="12"/>
      <c r="D189" s="14">
        <v>7.0</v>
      </c>
      <c r="E189" s="14">
        <v>436.0</v>
      </c>
      <c r="F189" s="12" t="s">
        <v>959</v>
      </c>
      <c r="G189" s="12" t="s">
        <v>960</v>
      </c>
      <c r="H189" s="12"/>
      <c r="I189" s="12"/>
      <c r="J189" s="12" t="s">
        <v>961</v>
      </c>
      <c r="K189" s="12" t="s">
        <v>962</v>
      </c>
      <c r="L189" s="12" t="s">
        <v>262</v>
      </c>
      <c r="M189" s="13"/>
      <c r="N189" s="12" t="s">
        <v>963</v>
      </c>
      <c r="O189" s="12" t="s">
        <v>964</v>
      </c>
    </row>
    <row r="190" ht="15.75" customHeight="1">
      <c r="A190" s="12" t="s">
        <v>1799</v>
      </c>
      <c r="B190" s="12" t="s">
        <v>1802</v>
      </c>
      <c r="C190" s="12"/>
      <c r="D190" s="14">
        <v>7.0</v>
      </c>
      <c r="E190" s="14"/>
      <c r="F190" s="12" t="s">
        <v>959</v>
      </c>
      <c r="G190" s="12" t="s">
        <v>960</v>
      </c>
      <c r="H190" s="12"/>
      <c r="I190" s="12"/>
      <c r="J190" s="12" t="s">
        <v>961</v>
      </c>
      <c r="K190" s="12" t="s">
        <v>962</v>
      </c>
      <c r="L190" s="12" t="s">
        <v>262</v>
      </c>
      <c r="M190" s="13"/>
      <c r="N190" s="12" t="s">
        <v>963</v>
      </c>
      <c r="O190" s="12" t="s">
        <v>964</v>
      </c>
    </row>
    <row r="191" ht="15.75" customHeight="1">
      <c r="A191" s="12" t="s">
        <v>1808</v>
      </c>
      <c r="B191" s="12" t="s">
        <v>1810</v>
      </c>
      <c r="C191" s="12"/>
      <c r="D191" s="14">
        <v>7.0</v>
      </c>
      <c r="E191" s="14">
        <v>196.0</v>
      </c>
      <c r="F191" s="12" t="s">
        <v>959</v>
      </c>
      <c r="G191" s="12" t="s">
        <v>960</v>
      </c>
      <c r="H191" s="12"/>
      <c r="I191" s="12"/>
      <c r="J191" s="12" t="s">
        <v>961</v>
      </c>
      <c r="K191" s="12" t="s">
        <v>962</v>
      </c>
      <c r="L191" s="12" t="s">
        <v>262</v>
      </c>
      <c r="M191" s="13"/>
      <c r="N191" s="12" t="s">
        <v>963</v>
      </c>
      <c r="O191" s="12" t="s">
        <v>964</v>
      </c>
    </row>
    <row r="192" ht="15.75" customHeight="1">
      <c r="A192" s="12" t="s">
        <v>1823</v>
      </c>
      <c r="B192" s="12" t="s">
        <v>1824</v>
      </c>
      <c r="C192" s="12"/>
      <c r="D192" s="14">
        <v>6.0</v>
      </c>
      <c r="E192" s="14">
        <v>53.0</v>
      </c>
      <c r="F192" s="12" t="s">
        <v>959</v>
      </c>
      <c r="G192" s="12" t="s">
        <v>960</v>
      </c>
      <c r="H192" s="12"/>
      <c r="I192" s="12"/>
      <c r="J192" s="12" t="s">
        <v>961</v>
      </c>
      <c r="K192" s="12" t="s">
        <v>962</v>
      </c>
      <c r="L192" s="12" t="s">
        <v>262</v>
      </c>
      <c r="M192" s="13"/>
      <c r="N192" s="12" t="s">
        <v>963</v>
      </c>
      <c r="O192" s="12" t="s">
        <v>964</v>
      </c>
    </row>
    <row r="193" ht="15.75" customHeight="1">
      <c r="A193" s="12" t="s">
        <v>1828</v>
      </c>
      <c r="B193" s="12" t="s">
        <v>1829</v>
      </c>
      <c r="C193" s="12"/>
      <c r="D193" s="14">
        <v>6.0</v>
      </c>
      <c r="E193" s="14"/>
      <c r="F193" s="12" t="s">
        <v>959</v>
      </c>
      <c r="G193" s="12" t="s">
        <v>960</v>
      </c>
      <c r="H193" s="12"/>
      <c r="I193" s="12"/>
      <c r="J193" s="12" t="s">
        <v>961</v>
      </c>
      <c r="K193" s="12" t="s">
        <v>962</v>
      </c>
      <c r="L193" s="12" t="s">
        <v>262</v>
      </c>
      <c r="M193" s="13"/>
      <c r="N193" s="12" t="s">
        <v>963</v>
      </c>
      <c r="O193" s="12" t="s">
        <v>964</v>
      </c>
    </row>
    <row r="194" ht="15.75" customHeight="1">
      <c r="A194" s="12" t="s">
        <v>1830</v>
      </c>
      <c r="B194" s="12" t="s">
        <v>1832</v>
      </c>
      <c r="C194" s="12"/>
      <c r="D194" s="14">
        <v>6.0</v>
      </c>
      <c r="E194" s="14">
        <v>4300.0</v>
      </c>
      <c r="F194" s="12" t="s">
        <v>959</v>
      </c>
      <c r="G194" s="12" t="s">
        <v>960</v>
      </c>
      <c r="H194" s="12"/>
      <c r="I194" s="12"/>
      <c r="J194" s="12" t="s">
        <v>961</v>
      </c>
      <c r="K194" s="12" t="s">
        <v>962</v>
      </c>
      <c r="L194" s="12" t="s">
        <v>262</v>
      </c>
      <c r="M194" s="13"/>
      <c r="N194" s="12" t="s">
        <v>963</v>
      </c>
      <c r="O194" s="12" t="s">
        <v>964</v>
      </c>
    </row>
    <row r="195" ht="15.75" customHeight="1">
      <c r="A195" s="12" t="s">
        <v>1840</v>
      </c>
      <c r="B195" s="12" t="s">
        <v>1841</v>
      </c>
      <c r="C195" s="12"/>
      <c r="D195" s="14">
        <v>6.0</v>
      </c>
      <c r="E195" s="14">
        <v>98.0</v>
      </c>
      <c r="F195" s="12" t="s">
        <v>959</v>
      </c>
      <c r="G195" s="12" t="s">
        <v>960</v>
      </c>
      <c r="H195" s="12"/>
      <c r="I195" s="12"/>
      <c r="J195" s="12" t="s">
        <v>961</v>
      </c>
      <c r="K195" s="12" t="s">
        <v>962</v>
      </c>
      <c r="L195" s="12" t="s">
        <v>262</v>
      </c>
      <c r="M195" s="13"/>
      <c r="N195" s="12" t="s">
        <v>963</v>
      </c>
      <c r="O195" s="12" t="s">
        <v>964</v>
      </c>
    </row>
    <row r="196" ht="15.75" customHeight="1">
      <c r="A196" s="12" t="s">
        <v>1848</v>
      </c>
      <c r="B196" s="12" t="s">
        <v>1849</v>
      </c>
      <c r="C196" s="12"/>
      <c r="D196" s="14">
        <v>6.0</v>
      </c>
      <c r="E196" s="14"/>
      <c r="F196" s="12" t="s">
        <v>959</v>
      </c>
      <c r="G196" s="12" t="s">
        <v>960</v>
      </c>
      <c r="H196" s="12"/>
      <c r="I196" s="12"/>
      <c r="J196" s="12" t="s">
        <v>961</v>
      </c>
      <c r="K196" s="12" t="s">
        <v>962</v>
      </c>
      <c r="L196" s="12" t="s">
        <v>262</v>
      </c>
      <c r="M196" s="13"/>
      <c r="N196" s="12" t="s">
        <v>963</v>
      </c>
      <c r="O196" s="12" t="s">
        <v>964</v>
      </c>
    </row>
    <row r="197" ht="15.75" customHeight="1">
      <c r="A197" s="12" t="s">
        <v>1852</v>
      </c>
      <c r="B197" s="12" t="s">
        <v>1854</v>
      </c>
      <c r="C197" s="12"/>
      <c r="D197" s="14">
        <v>6.0</v>
      </c>
      <c r="E197" s="14"/>
      <c r="F197" s="12" t="s">
        <v>959</v>
      </c>
      <c r="G197" s="12" t="s">
        <v>960</v>
      </c>
      <c r="H197" s="12"/>
      <c r="I197" s="12"/>
      <c r="J197" s="12" t="s">
        <v>961</v>
      </c>
      <c r="K197" s="12" t="s">
        <v>962</v>
      </c>
      <c r="L197" s="12" t="s">
        <v>262</v>
      </c>
      <c r="M197" s="13"/>
      <c r="N197" s="12" t="s">
        <v>963</v>
      </c>
      <c r="O197" s="12" t="s">
        <v>964</v>
      </c>
    </row>
    <row r="198" ht="15.75" customHeight="1">
      <c r="A198" s="12" t="s">
        <v>1857</v>
      </c>
      <c r="B198" s="12" t="s">
        <v>1859</v>
      </c>
      <c r="C198" s="12"/>
      <c r="D198" s="14">
        <v>6.0</v>
      </c>
      <c r="E198" s="14">
        <v>57.0</v>
      </c>
      <c r="F198" s="12" t="s">
        <v>959</v>
      </c>
      <c r="G198" s="12" t="s">
        <v>960</v>
      </c>
      <c r="H198" s="12"/>
      <c r="I198" s="12"/>
      <c r="J198" s="12" t="s">
        <v>961</v>
      </c>
      <c r="K198" s="12" t="s">
        <v>962</v>
      </c>
      <c r="L198" s="12" t="s">
        <v>262</v>
      </c>
      <c r="M198" s="13"/>
      <c r="N198" s="12" t="s">
        <v>963</v>
      </c>
      <c r="O198" s="12" t="s">
        <v>964</v>
      </c>
    </row>
    <row r="199" ht="15.75" customHeight="1">
      <c r="A199" s="12" t="s">
        <v>1862</v>
      </c>
      <c r="B199" s="12" t="s">
        <v>1863</v>
      </c>
      <c r="C199" s="12"/>
      <c r="D199" s="14">
        <v>6.0</v>
      </c>
      <c r="E199" s="14">
        <v>171.0</v>
      </c>
      <c r="F199" s="12" t="s">
        <v>959</v>
      </c>
      <c r="G199" s="12" t="s">
        <v>960</v>
      </c>
      <c r="H199" s="12"/>
      <c r="I199" s="12"/>
      <c r="J199" s="12" t="s">
        <v>961</v>
      </c>
      <c r="K199" s="12" t="s">
        <v>962</v>
      </c>
      <c r="L199" s="12" t="s">
        <v>262</v>
      </c>
      <c r="M199" s="13"/>
      <c r="N199" s="12" t="s">
        <v>963</v>
      </c>
      <c r="O199" s="12" t="s">
        <v>964</v>
      </c>
    </row>
    <row r="200" ht="15.75" customHeight="1">
      <c r="A200" s="12" t="s">
        <v>1868</v>
      </c>
      <c r="B200" s="12" t="s">
        <v>1869</v>
      </c>
      <c r="C200" s="12"/>
      <c r="D200" s="14">
        <v>6.0</v>
      </c>
      <c r="E200" s="14"/>
      <c r="F200" s="12" t="s">
        <v>959</v>
      </c>
      <c r="G200" s="12" t="s">
        <v>960</v>
      </c>
      <c r="H200" s="12"/>
      <c r="I200" s="12"/>
      <c r="J200" s="12" t="s">
        <v>961</v>
      </c>
      <c r="K200" s="12" t="s">
        <v>962</v>
      </c>
      <c r="L200" s="12" t="s">
        <v>262</v>
      </c>
      <c r="M200" s="13"/>
      <c r="N200" s="12" t="s">
        <v>963</v>
      </c>
      <c r="O200" s="12" t="s">
        <v>964</v>
      </c>
    </row>
    <row r="201" ht="15.75" customHeight="1">
      <c r="A201" s="12" t="s">
        <v>1872</v>
      </c>
      <c r="B201" s="12" t="s">
        <v>1873</v>
      </c>
      <c r="C201" s="12"/>
      <c r="D201" s="14">
        <v>6.0</v>
      </c>
      <c r="E201" s="14">
        <v>394.0</v>
      </c>
      <c r="F201" s="12" t="s">
        <v>959</v>
      </c>
      <c r="G201" s="12" t="s">
        <v>960</v>
      </c>
      <c r="H201" s="12"/>
      <c r="I201" s="12"/>
      <c r="J201" s="12" t="s">
        <v>961</v>
      </c>
      <c r="K201" s="12" t="s">
        <v>962</v>
      </c>
      <c r="L201" s="12" t="s">
        <v>262</v>
      </c>
      <c r="M201" s="13"/>
      <c r="N201" s="12" t="s">
        <v>963</v>
      </c>
      <c r="O201" s="12" t="s">
        <v>964</v>
      </c>
    </row>
    <row r="202" ht="15.75" customHeight="1">
      <c r="A202" s="12" t="s">
        <v>1880</v>
      </c>
      <c r="B202" s="12" t="s">
        <v>1881</v>
      </c>
      <c r="C202" s="12"/>
      <c r="D202" s="14">
        <v>6.0</v>
      </c>
      <c r="E202" s="14"/>
      <c r="F202" s="12" t="s">
        <v>959</v>
      </c>
      <c r="G202" s="12" t="s">
        <v>960</v>
      </c>
      <c r="H202" s="12"/>
      <c r="I202" s="12"/>
      <c r="J202" s="12" t="s">
        <v>961</v>
      </c>
      <c r="K202" s="12" t="s">
        <v>962</v>
      </c>
      <c r="L202" s="12" t="s">
        <v>262</v>
      </c>
      <c r="M202" s="13"/>
      <c r="N202" s="12" t="s">
        <v>963</v>
      </c>
      <c r="O202" s="12" t="s">
        <v>964</v>
      </c>
    </row>
    <row r="203" ht="15.75" customHeight="1">
      <c r="A203" s="12" t="s">
        <v>1891</v>
      </c>
      <c r="B203" s="12" t="s">
        <v>1892</v>
      </c>
      <c r="C203" s="12"/>
      <c r="D203" s="14">
        <v>5.0</v>
      </c>
      <c r="E203" s="14">
        <v>7200.0</v>
      </c>
      <c r="F203" s="12" t="s">
        <v>959</v>
      </c>
      <c r="G203" s="12" t="s">
        <v>960</v>
      </c>
      <c r="H203" s="12"/>
      <c r="I203" s="12"/>
      <c r="J203" s="12" t="s">
        <v>961</v>
      </c>
      <c r="K203" s="12" t="s">
        <v>962</v>
      </c>
      <c r="L203" s="12" t="s">
        <v>262</v>
      </c>
      <c r="M203" s="13"/>
      <c r="N203" s="12" t="s">
        <v>963</v>
      </c>
      <c r="O203" s="12" t="s">
        <v>964</v>
      </c>
    </row>
    <row r="204" ht="15.75" customHeight="1">
      <c r="A204" s="12" t="s">
        <v>1893</v>
      </c>
      <c r="B204" s="12" t="s">
        <v>1894</v>
      </c>
      <c r="C204" s="12"/>
      <c r="D204" s="14">
        <v>5.0</v>
      </c>
      <c r="E204" s="14">
        <v>9100.0</v>
      </c>
      <c r="F204" s="12" t="s">
        <v>959</v>
      </c>
      <c r="G204" s="12" t="s">
        <v>960</v>
      </c>
      <c r="H204" s="12"/>
      <c r="I204" s="12"/>
      <c r="J204" s="12" t="s">
        <v>961</v>
      </c>
      <c r="K204" s="12" t="s">
        <v>962</v>
      </c>
      <c r="L204" s="12" t="s">
        <v>262</v>
      </c>
      <c r="M204" s="13"/>
      <c r="N204" s="12" t="s">
        <v>963</v>
      </c>
      <c r="O204" s="12" t="s">
        <v>964</v>
      </c>
    </row>
    <row r="205" ht="15.75" customHeight="1">
      <c r="A205" s="12"/>
      <c r="B205" s="12"/>
      <c r="C205" s="12"/>
      <c r="D205" s="14"/>
      <c r="E205" s="14"/>
      <c r="F205" s="12"/>
      <c r="G205" s="12"/>
      <c r="H205" s="12"/>
      <c r="I205" s="12"/>
      <c r="J205" s="12"/>
      <c r="K205" s="12"/>
      <c r="L205" s="12"/>
      <c r="M205" s="13"/>
      <c r="N205" s="12"/>
      <c r="O205" s="12"/>
    </row>
    <row r="206" ht="15.75" customHeight="1">
      <c r="A206" s="12"/>
      <c r="B206" s="12"/>
      <c r="C206" s="12"/>
      <c r="D206" s="14"/>
      <c r="E206" s="14"/>
      <c r="F206" s="12"/>
      <c r="G206" s="12"/>
      <c r="H206" s="12"/>
      <c r="I206" s="12"/>
      <c r="J206" s="12"/>
      <c r="K206" s="12"/>
      <c r="L206" s="12"/>
      <c r="M206" s="13"/>
      <c r="N206" s="12"/>
      <c r="O206" s="12"/>
    </row>
    <row r="207" ht="15.75" customHeight="1">
      <c r="A207" s="12"/>
      <c r="B207" s="12"/>
      <c r="C207" s="12"/>
      <c r="D207" s="14"/>
      <c r="E207" s="14"/>
      <c r="F207" s="12"/>
      <c r="G207" s="12"/>
      <c r="H207" s="12"/>
      <c r="I207" s="12"/>
      <c r="J207" s="12"/>
      <c r="K207" s="12"/>
      <c r="L207" s="12"/>
      <c r="M207" s="13"/>
      <c r="N207" s="12"/>
      <c r="O207" s="12"/>
    </row>
    <row r="208" ht="15.75" customHeight="1">
      <c r="A208" s="12"/>
      <c r="B208" s="12"/>
      <c r="C208" s="12"/>
      <c r="D208" s="14"/>
      <c r="E208" s="14"/>
      <c r="F208" s="12"/>
      <c r="G208" s="12"/>
      <c r="H208" s="12"/>
      <c r="I208" s="12"/>
      <c r="J208" s="12"/>
      <c r="K208" s="12"/>
      <c r="L208" s="12"/>
      <c r="M208" s="13"/>
      <c r="N208" s="12"/>
      <c r="O208" s="12"/>
    </row>
    <row r="209" ht="15.75" customHeight="1">
      <c r="A209" s="12"/>
      <c r="B209" s="12"/>
      <c r="C209" s="12"/>
      <c r="D209" s="14"/>
      <c r="E209" s="14"/>
      <c r="F209" s="12"/>
      <c r="G209" s="12"/>
      <c r="H209" s="12"/>
      <c r="I209" s="12"/>
      <c r="J209" s="12"/>
      <c r="K209" s="12"/>
      <c r="L209" s="12"/>
      <c r="M209" s="13"/>
      <c r="N209" s="12"/>
      <c r="O209" s="12"/>
    </row>
    <row r="210" ht="15.75" customHeight="1">
      <c r="A210" s="12"/>
      <c r="B210" s="12"/>
      <c r="C210" s="12"/>
      <c r="D210" s="14"/>
      <c r="E210" s="14"/>
      <c r="F210" s="12"/>
      <c r="G210" s="12"/>
      <c r="H210" s="12"/>
      <c r="I210" s="12"/>
      <c r="J210" s="12"/>
      <c r="K210" s="12"/>
      <c r="L210" s="12"/>
      <c r="M210" s="13"/>
      <c r="N210" s="12"/>
      <c r="O210" s="12"/>
    </row>
    <row r="211" ht="15.75" customHeight="1">
      <c r="A211" s="12"/>
      <c r="B211" s="12"/>
      <c r="C211" s="12"/>
      <c r="D211" s="14"/>
      <c r="E211" s="14"/>
      <c r="F211" s="12"/>
      <c r="G211" s="12"/>
      <c r="H211" s="12"/>
      <c r="I211" s="12"/>
      <c r="J211" s="12"/>
      <c r="K211" s="12"/>
      <c r="L211" s="12"/>
      <c r="M211" s="13"/>
      <c r="N211" s="12"/>
      <c r="O211" s="12"/>
    </row>
    <row r="212" ht="15.75" customHeight="1">
      <c r="A212" s="12"/>
      <c r="B212" s="12"/>
      <c r="C212" s="12"/>
      <c r="D212" s="14"/>
      <c r="E212" s="14"/>
      <c r="F212" s="12"/>
      <c r="G212" s="12"/>
      <c r="H212" s="12"/>
      <c r="I212" s="12"/>
      <c r="J212" s="12"/>
      <c r="K212" s="12"/>
      <c r="L212" s="12"/>
      <c r="M212" s="13"/>
      <c r="N212" s="12"/>
      <c r="O212" s="12"/>
    </row>
    <row r="213" ht="15.75" customHeight="1">
      <c r="A213" s="12"/>
      <c r="B213" s="12"/>
      <c r="C213" s="12"/>
      <c r="D213" s="14"/>
      <c r="E213" s="14"/>
      <c r="F213" s="12"/>
      <c r="G213" s="12"/>
      <c r="H213" s="12"/>
      <c r="I213" s="12"/>
      <c r="J213" s="12"/>
      <c r="K213" s="12"/>
      <c r="L213" s="12"/>
      <c r="M213" s="13"/>
      <c r="N213" s="12"/>
      <c r="O213" s="12"/>
    </row>
    <row r="214" ht="15.75" customHeight="1">
      <c r="A214" s="12"/>
      <c r="B214" s="12"/>
      <c r="C214" s="12"/>
      <c r="D214" s="14"/>
      <c r="E214" s="14"/>
      <c r="F214" s="12"/>
      <c r="G214" s="12"/>
      <c r="H214" s="12"/>
      <c r="I214" s="12"/>
      <c r="J214" s="12"/>
      <c r="K214" s="12"/>
      <c r="L214" s="12"/>
      <c r="M214" s="13"/>
      <c r="N214" s="12"/>
      <c r="O214" s="12"/>
    </row>
    <row r="215" ht="15.75" customHeight="1">
      <c r="A215" s="12"/>
      <c r="B215" s="12"/>
      <c r="C215" s="12"/>
      <c r="D215" s="14"/>
      <c r="E215" s="14"/>
      <c r="F215" s="12"/>
      <c r="G215" s="12"/>
      <c r="H215" s="12"/>
      <c r="I215" s="12"/>
      <c r="J215" s="12"/>
      <c r="K215" s="12"/>
      <c r="L215" s="12"/>
      <c r="M215" s="13"/>
      <c r="N215" s="12"/>
      <c r="O215" s="12"/>
    </row>
    <row r="216" ht="15.75" customHeight="1">
      <c r="A216" s="12"/>
      <c r="B216" s="12"/>
      <c r="C216" s="12"/>
      <c r="D216" s="14"/>
      <c r="E216" s="14"/>
      <c r="F216" s="12"/>
      <c r="G216" s="12"/>
      <c r="H216" s="12"/>
      <c r="I216" s="12"/>
      <c r="J216" s="12"/>
      <c r="K216" s="12"/>
      <c r="L216" s="12"/>
      <c r="M216" s="13"/>
      <c r="N216" s="12"/>
      <c r="O216" s="12"/>
    </row>
    <row r="217" ht="15.75" customHeight="1">
      <c r="A217" s="12"/>
      <c r="B217" s="12"/>
      <c r="C217" s="12"/>
      <c r="D217" s="14"/>
      <c r="E217" s="14"/>
      <c r="F217" s="12"/>
      <c r="G217" s="12"/>
      <c r="H217" s="12"/>
      <c r="I217" s="12"/>
      <c r="J217" s="12"/>
      <c r="K217" s="12"/>
      <c r="L217" s="12"/>
      <c r="M217" s="13"/>
      <c r="N217" s="12"/>
      <c r="O217" s="12"/>
    </row>
    <row r="218" ht="15.75" customHeight="1">
      <c r="A218" s="12"/>
      <c r="B218" s="12"/>
      <c r="C218" s="12"/>
      <c r="D218" s="14"/>
      <c r="E218" s="14"/>
      <c r="F218" s="12"/>
      <c r="G218" s="12"/>
      <c r="H218" s="12"/>
      <c r="I218" s="12"/>
      <c r="J218" s="12"/>
      <c r="K218" s="12"/>
      <c r="L218" s="12"/>
      <c r="M218" s="13"/>
      <c r="N218" s="12"/>
      <c r="O218" s="12"/>
    </row>
    <row r="219" ht="15.75" customHeight="1">
      <c r="A219" s="12"/>
      <c r="B219" s="12"/>
      <c r="C219" s="12"/>
      <c r="D219" s="14"/>
      <c r="E219" s="14"/>
      <c r="F219" s="12"/>
      <c r="G219" s="12"/>
      <c r="H219" s="12"/>
      <c r="I219" s="12"/>
      <c r="J219" s="12"/>
      <c r="K219" s="12"/>
      <c r="L219" s="12"/>
      <c r="M219" s="13"/>
      <c r="N219" s="12"/>
      <c r="O219" s="12"/>
    </row>
    <row r="220" ht="15.75" customHeight="1">
      <c r="A220" s="12"/>
      <c r="B220" s="12"/>
      <c r="C220" s="12"/>
      <c r="D220" s="14"/>
      <c r="E220" s="14"/>
      <c r="F220" s="12"/>
      <c r="G220" s="12"/>
      <c r="H220" s="12"/>
      <c r="I220" s="12"/>
      <c r="J220" s="12"/>
      <c r="K220" s="12"/>
      <c r="L220" s="12"/>
      <c r="M220" s="13"/>
      <c r="N220" s="12"/>
      <c r="O220" s="12"/>
    </row>
    <row r="221" ht="15.75" customHeight="1">
      <c r="A221" s="12"/>
      <c r="B221" s="12"/>
      <c r="C221" s="12"/>
      <c r="D221" s="14"/>
      <c r="E221" s="14"/>
      <c r="F221" s="12"/>
      <c r="G221" s="12"/>
      <c r="H221" s="12"/>
      <c r="I221" s="12"/>
      <c r="J221" s="12"/>
      <c r="K221" s="12"/>
      <c r="L221" s="12"/>
      <c r="M221" s="13"/>
      <c r="N221" s="12"/>
      <c r="O221" s="12"/>
    </row>
    <row r="222" ht="15.75" customHeight="1">
      <c r="A222" s="12"/>
      <c r="B222" s="12"/>
      <c r="C222" s="12"/>
      <c r="D222" s="14"/>
      <c r="E222" s="14"/>
      <c r="F222" s="12"/>
      <c r="G222" s="12"/>
      <c r="H222" s="12"/>
      <c r="I222" s="12"/>
      <c r="J222" s="12"/>
      <c r="K222" s="12"/>
      <c r="L222" s="12"/>
      <c r="M222" s="13"/>
      <c r="N222" s="12"/>
      <c r="O222" s="12"/>
    </row>
    <row r="223" ht="15.75" customHeight="1">
      <c r="A223" s="12"/>
      <c r="B223" s="12"/>
      <c r="C223" s="12"/>
      <c r="D223" s="14"/>
      <c r="E223" s="14"/>
      <c r="F223" s="12"/>
      <c r="G223" s="12"/>
      <c r="H223" s="12"/>
      <c r="I223" s="12"/>
      <c r="J223" s="12"/>
      <c r="K223" s="12"/>
      <c r="L223" s="12"/>
      <c r="M223" s="13"/>
      <c r="N223" s="12"/>
      <c r="O223" s="12"/>
    </row>
    <row r="224" ht="15.75" customHeight="1">
      <c r="A224" s="12"/>
      <c r="B224" s="12"/>
      <c r="C224" s="12"/>
      <c r="D224" s="14"/>
      <c r="E224" s="14"/>
      <c r="F224" s="12"/>
      <c r="G224" s="12"/>
      <c r="H224" s="12"/>
      <c r="I224" s="12"/>
      <c r="J224" s="12"/>
      <c r="K224" s="12"/>
      <c r="L224" s="12"/>
      <c r="M224" s="13"/>
      <c r="N224" s="12"/>
      <c r="O224" s="12"/>
    </row>
    <row r="225" ht="15.75" customHeight="1">
      <c r="A225" s="12"/>
      <c r="B225" s="12"/>
      <c r="C225" s="12"/>
      <c r="D225" s="14"/>
      <c r="E225" s="14"/>
      <c r="F225" s="12"/>
      <c r="G225" s="12"/>
      <c r="H225" s="12"/>
      <c r="I225" s="12"/>
      <c r="J225" s="12"/>
      <c r="K225" s="12"/>
      <c r="L225" s="12"/>
      <c r="M225" s="13"/>
      <c r="N225" s="12"/>
      <c r="O225" s="12"/>
    </row>
    <row r="226" ht="15.75" customHeight="1">
      <c r="A226" s="12"/>
      <c r="B226" s="12"/>
      <c r="C226" s="12"/>
      <c r="D226" s="14"/>
      <c r="E226" s="14"/>
      <c r="F226" s="12"/>
      <c r="G226" s="12"/>
      <c r="H226" s="12"/>
      <c r="I226" s="12"/>
      <c r="J226" s="12"/>
      <c r="K226" s="12"/>
      <c r="L226" s="12"/>
      <c r="M226" s="13"/>
      <c r="N226" s="12"/>
      <c r="O226" s="12"/>
    </row>
    <row r="227" ht="15.75" customHeight="1">
      <c r="A227" s="12"/>
      <c r="B227" s="12"/>
      <c r="C227" s="12"/>
      <c r="D227" s="14"/>
      <c r="E227" s="14"/>
      <c r="F227" s="12"/>
      <c r="G227" s="12"/>
      <c r="H227" s="12"/>
      <c r="I227" s="12"/>
      <c r="J227" s="12"/>
      <c r="K227" s="12"/>
      <c r="L227" s="12"/>
      <c r="M227" s="13"/>
      <c r="N227" s="12"/>
      <c r="O227" s="12"/>
    </row>
    <row r="228" ht="15.75" customHeight="1">
      <c r="A228" s="12"/>
      <c r="B228" s="12"/>
      <c r="C228" s="12"/>
      <c r="D228" s="14"/>
      <c r="E228" s="14"/>
      <c r="F228" s="12"/>
      <c r="G228" s="12"/>
      <c r="H228" s="12"/>
      <c r="I228" s="12"/>
      <c r="J228" s="12"/>
      <c r="K228" s="12"/>
      <c r="L228" s="12"/>
      <c r="M228" s="13"/>
      <c r="N228" s="12"/>
      <c r="O228" s="12"/>
    </row>
    <row r="229" ht="15.75" customHeight="1">
      <c r="A229" s="12"/>
      <c r="B229" s="12"/>
      <c r="C229" s="12"/>
      <c r="D229" s="14"/>
      <c r="E229" s="14"/>
      <c r="F229" s="12"/>
      <c r="G229" s="12"/>
      <c r="H229" s="12"/>
      <c r="I229" s="12"/>
      <c r="J229" s="12"/>
      <c r="K229" s="12"/>
      <c r="L229" s="12"/>
      <c r="M229" s="13"/>
      <c r="N229" s="12"/>
      <c r="O229" s="12"/>
    </row>
    <row r="230" ht="15.75" customHeight="1">
      <c r="A230" s="12"/>
      <c r="B230" s="12"/>
      <c r="C230" s="12"/>
      <c r="D230" s="14"/>
      <c r="E230" s="14"/>
      <c r="F230" s="12"/>
      <c r="G230" s="12"/>
      <c r="H230" s="12"/>
      <c r="I230" s="12"/>
      <c r="J230" s="12"/>
      <c r="K230" s="12"/>
      <c r="L230" s="12"/>
      <c r="M230" s="13"/>
      <c r="N230" s="12"/>
      <c r="O230" s="12"/>
    </row>
    <row r="231" ht="15.75" customHeight="1">
      <c r="A231" s="12"/>
      <c r="B231" s="12"/>
      <c r="C231" s="12"/>
      <c r="D231" s="14"/>
      <c r="E231" s="14"/>
      <c r="F231" s="12"/>
      <c r="G231" s="12"/>
      <c r="H231" s="12"/>
      <c r="I231" s="12"/>
      <c r="J231" s="12"/>
      <c r="K231" s="12"/>
      <c r="L231" s="12"/>
      <c r="M231" s="13"/>
      <c r="N231" s="12"/>
      <c r="O231" s="12"/>
    </row>
    <row r="232" ht="15.75" customHeight="1">
      <c r="A232" s="12"/>
      <c r="B232" s="12"/>
      <c r="C232" s="12"/>
      <c r="D232" s="14"/>
      <c r="E232" s="14"/>
      <c r="F232" s="12"/>
      <c r="G232" s="12"/>
      <c r="H232" s="12"/>
      <c r="I232" s="12"/>
      <c r="J232" s="12"/>
      <c r="K232" s="12"/>
      <c r="L232" s="12"/>
      <c r="M232" s="13"/>
      <c r="N232" s="12"/>
      <c r="O232" s="12"/>
    </row>
    <row r="233" ht="15.75" customHeight="1">
      <c r="A233" s="12"/>
      <c r="B233" s="12"/>
      <c r="C233" s="12"/>
      <c r="D233" s="14"/>
      <c r="E233" s="14"/>
      <c r="F233" s="12"/>
      <c r="G233" s="12"/>
      <c r="H233" s="12"/>
      <c r="I233" s="12"/>
      <c r="J233" s="12"/>
      <c r="K233" s="12"/>
      <c r="L233" s="12"/>
      <c r="M233" s="13"/>
      <c r="N233" s="12"/>
      <c r="O233" s="12"/>
    </row>
    <row r="234" ht="15.75" customHeight="1">
      <c r="A234" s="12"/>
      <c r="B234" s="12"/>
      <c r="C234" s="12"/>
      <c r="D234" s="14"/>
      <c r="E234" s="14"/>
      <c r="F234" s="12"/>
      <c r="G234" s="12"/>
      <c r="H234" s="12"/>
      <c r="I234" s="12"/>
      <c r="J234" s="12"/>
      <c r="K234" s="12"/>
      <c r="L234" s="12"/>
      <c r="M234" s="13"/>
      <c r="N234" s="12"/>
      <c r="O234" s="12"/>
    </row>
    <row r="235" ht="15.75" customHeight="1">
      <c r="A235" s="12"/>
      <c r="B235" s="12"/>
      <c r="C235" s="12"/>
      <c r="D235" s="14"/>
      <c r="E235" s="14"/>
      <c r="F235" s="12"/>
      <c r="G235" s="12"/>
      <c r="H235" s="12"/>
      <c r="I235" s="12"/>
      <c r="J235" s="12"/>
      <c r="K235" s="12"/>
      <c r="L235" s="12"/>
      <c r="M235" s="13"/>
      <c r="N235" s="12"/>
      <c r="O235" s="12"/>
    </row>
    <row r="236" ht="15.75" customHeight="1">
      <c r="A236" s="12"/>
      <c r="B236" s="12"/>
      <c r="C236" s="12"/>
      <c r="D236" s="14"/>
      <c r="E236" s="14"/>
      <c r="F236" s="12"/>
      <c r="G236" s="12"/>
      <c r="H236" s="12"/>
      <c r="I236" s="12"/>
      <c r="J236" s="12"/>
      <c r="K236" s="12"/>
      <c r="L236" s="12"/>
      <c r="M236" s="13"/>
      <c r="N236" s="12"/>
      <c r="O236" s="12"/>
    </row>
    <row r="237" ht="15.75" customHeight="1">
      <c r="A237" s="12"/>
      <c r="B237" s="12"/>
      <c r="C237" s="12"/>
      <c r="D237" s="14"/>
      <c r="E237" s="14"/>
      <c r="F237" s="12"/>
      <c r="G237" s="12"/>
      <c r="H237" s="12"/>
      <c r="I237" s="12"/>
      <c r="J237" s="12"/>
      <c r="K237" s="12"/>
      <c r="L237" s="12"/>
      <c r="M237" s="13"/>
      <c r="N237" s="12"/>
      <c r="O237" s="12"/>
    </row>
    <row r="238" ht="15.75" customHeight="1">
      <c r="A238" s="12"/>
      <c r="B238" s="12"/>
      <c r="C238" s="12"/>
      <c r="D238" s="14"/>
      <c r="E238" s="14"/>
      <c r="F238" s="12"/>
      <c r="G238" s="12"/>
      <c r="H238" s="12"/>
      <c r="I238" s="12"/>
      <c r="J238" s="12"/>
      <c r="K238" s="12"/>
      <c r="L238" s="12"/>
      <c r="M238" s="13"/>
      <c r="N238" s="12"/>
      <c r="O238" s="12"/>
    </row>
    <row r="239" ht="15.75" customHeight="1">
      <c r="A239" s="12"/>
      <c r="B239" s="12"/>
      <c r="C239" s="12"/>
      <c r="D239" s="14"/>
      <c r="E239" s="14"/>
      <c r="F239" s="12"/>
      <c r="G239" s="12"/>
      <c r="H239" s="12"/>
      <c r="I239" s="12"/>
      <c r="J239" s="12"/>
      <c r="K239" s="12"/>
      <c r="L239" s="12"/>
      <c r="M239" s="13"/>
      <c r="N239" s="12"/>
      <c r="O239" s="12"/>
    </row>
    <row r="240" ht="15.75" customHeight="1">
      <c r="A240" s="12"/>
      <c r="B240" s="12"/>
      <c r="C240" s="12"/>
      <c r="D240" s="14"/>
      <c r="E240" s="14"/>
      <c r="F240" s="12"/>
      <c r="G240" s="12"/>
      <c r="H240" s="12"/>
      <c r="I240" s="12"/>
      <c r="J240" s="12"/>
      <c r="K240" s="12"/>
      <c r="L240" s="12"/>
      <c r="M240" s="13"/>
      <c r="N240" s="12"/>
      <c r="O240" s="12"/>
    </row>
    <row r="241" ht="15.75" customHeight="1">
      <c r="A241" s="12"/>
      <c r="B241" s="12"/>
      <c r="C241" s="12"/>
      <c r="D241" s="14"/>
      <c r="E241" s="14"/>
      <c r="F241" s="12"/>
      <c r="G241" s="12"/>
      <c r="H241" s="12"/>
      <c r="I241" s="12"/>
      <c r="J241" s="12"/>
      <c r="K241" s="12"/>
      <c r="L241" s="12"/>
      <c r="M241" s="13"/>
      <c r="N241" s="12"/>
      <c r="O241" s="12"/>
    </row>
    <row r="242" ht="15.75" customHeight="1">
      <c r="A242" s="12"/>
      <c r="B242" s="12"/>
      <c r="C242" s="12"/>
      <c r="D242" s="14"/>
      <c r="E242" s="14"/>
      <c r="F242" s="12"/>
      <c r="G242" s="12"/>
      <c r="H242" s="12"/>
      <c r="I242" s="12"/>
      <c r="J242" s="12"/>
      <c r="K242" s="12"/>
      <c r="L242" s="12"/>
      <c r="M242" s="13"/>
      <c r="N242" s="12"/>
      <c r="O242" s="12"/>
    </row>
    <row r="243" ht="15.75" customHeight="1">
      <c r="A243" s="12"/>
      <c r="B243" s="12"/>
      <c r="C243" s="12"/>
      <c r="D243" s="14"/>
      <c r="E243" s="14"/>
      <c r="F243" s="12"/>
      <c r="G243" s="12"/>
      <c r="H243" s="12"/>
      <c r="I243" s="12"/>
      <c r="J243" s="12"/>
      <c r="K243" s="12"/>
      <c r="L243" s="12"/>
      <c r="M243" s="13"/>
      <c r="N243" s="12"/>
      <c r="O243" s="12"/>
    </row>
    <row r="244" ht="15.75" customHeight="1">
      <c r="A244" s="12"/>
      <c r="B244" s="12"/>
      <c r="C244" s="12"/>
      <c r="D244" s="14"/>
      <c r="E244" s="14"/>
      <c r="F244" s="12"/>
      <c r="G244" s="12"/>
      <c r="H244" s="12"/>
      <c r="I244" s="12"/>
      <c r="J244" s="12"/>
      <c r="K244" s="12"/>
      <c r="L244" s="12"/>
      <c r="M244" s="13"/>
      <c r="N244" s="12"/>
      <c r="O244" s="12"/>
    </row>
    <row r="245" ht="15.75" customHeight="1">
      <c r="A245" s="12"/>
      <c r="B245" s="12"/>
      <c r="C245" s="12"/>
      <c r="D245" s="14"/>
      <c r="E245" s="14"/>
      <c r="F245" s="12"/>
      <c r="G245" s="12"/>
      <c r="H245" s="12"/>
      <c r="I245" s="12"/>
      <c r="J245" s="12"/>
      <c r="K245" s="12"/>
      <c r="L245" s="12"/>
      <c r="M245" s="13"/>
      <c r="N245" s="12"/>
      <c r="O245" s="12"/>
    </row>
    <row r="246" ht="15.75" customHeight="1">
      <c r="A246" s="12"/>
      <c r="B246" s="12"/>
      <c r="C246" s="12"/>
      <c r="D246" s="14"/>
      <c r="E246" s="14"/>
      <c r="F246" s="12"/>
      <c r="G246" s="12"/>
      <c r="H246" s="12"/>
      <c r="I246" s="12"/>
      <c r="J246" s="12"/>
      <c r="K246" s="12"/>
      <c r="L246" s="12"/>
      <c r="M246" s="13"/>
      <c r="N246" s="12"/>
      <c r="O246" s="12"/>
    </row>
    <row r="247" ht="15.75" customHeight="1">
      <c r="A247" s="12"/>
      <c r="B247" s="12"/>
      <c r="C247" s="12"/>
      <c r="D247" s="14"/>
      <c r="E247" s="14"/>
      <c r="F247" s="12"/>
      <c r="G247" s="12"/>
      <c r="H247" s="12"/>
      <c r="I247" s="12"/>
      <c r="J247" s="12"/>
      <c r="K247" s="12"/>
      <c r="L247" s="12"/>
      <c r="M247" s="13"/>
      <c r="N247" s="12"/>
      <c r="O247" s="12"/>
    </row>
    <row r="248" ht="15.75" customHeight="1">
      <c r="A248" s="12"/>
      <c r="B248" s="12"/>
      <c r="C248" s="12"/>
      <c r="D248" s="14"/>
      <c r="E248" s="14"/>
      <c r="F248" s="12"/>
      <c r="G248" s="12"/>
      <c r="H248" s="12"/>
      <c r="I248" s="12"/>
      <c r="J248" s="12"/>
      <c r="K248" s="12"/>
      <c r="L248" s="12"/>
      <c r="M248" s="13"/>
      <c r="N248" s="12"/>
      <c r="O248" s="12"/>
    </row>
    <row r="249" ht="15.75" customHeight="1">
      <c r="A249" s="12"/>
      <c r="B249" s="12"/>
      <c r="C249" s="12"/>
      <c r="D249" s="14"/>
      <c r="E249" s="14"/>
      <c r="F249" s="12"/>
      <c r="G249" s="12"/>
      <c r="H249" s="12"/>
      <c r="I249" s="12"/>
      <c r="J249" s="12"/>
      <c r="K249" s="12"/>
      <c r="L249" s="12"/>
      <c r="M249" s="13"/>
      <c r="N249" s="12"/>
      <c r="O249" s="12"/>
    </row>
    <row r="250" ht="15.75" customHeight="1">
      <c r="A250" s="12"/>
      <c r="B250" s="12"/>
      <c r="C250" s="12"/>
      <c r="D250" s="14"/>
      <c r="E250" s="14"/>
      <c r="F250" s="12"/>
      <c r="G250" s="12"/>
      <c r="H250" s="12"/>
      <c r="I250" s="12"/>
      <c r="J250" s="12"/>
      <c r="K250" s="12"/>
      <c r="L250" s="12"/>
      <c r="M250" s="13"/>
      <c r="N250" s="12"/>
      <c r="O250" s="12"/>
    </row>
    <row r="251" ht="15.75" customHeight="1">
      <c r="A251" s="12"/>
      <c r="B251" s="12"/>
      <c r="C251" s="12"/>
      <c r="D251" s="14"/>
      <c r="E251" s="14"/>
      <c r="F251" s="12"/>
      <c r="G251" s="12"/>
      <c r="H251" s="12"/>
      <c r="I251" s="12"/>
      <c r="J251" s="12"/>
      <c r="K251" s="12"/>
      <c r="L251" s="12"/>
      <c r="M251" s="13"/>
      <c r="N251" s="12"/>
      <c r="O251" s="12"/>
    </row>
    <row r="252" ht="15.75" customHeight="1">
      <c r="A252" s="12"/>
      <c r="B252" s="12"/>
      <c r="C252" s="12"/>
      <c r="D252" s="14"/>
      <c r="E252" s="14"/>
      <c r="F252" s="12"/>
      <c r="G252" s="12"/>
      <c r="H252" s="12"/>
      <c r="I252" s="12"/>
      <c r="J252" s="12"/>
      <c r="K252" s="12"/>
      <c r="L252" s="12"/>
      <c r="M252" s="13"/>
      <c r="N252" s="12"/>
      <c r="O252" s="12"/>
    </row>
    <row r="253" ht="15.75" customHeight="1">
      <c r="A253" s="12"/>
      <c r="B253" s="12"/>
      <c r="C253" s="12"/>
      <c r="D253" s="14"/>
      <c r="E253" s="14"/>
      <c r="F253" s="12"/>
      <c r="G253" s="12"/>
      <c r="H253" s="12"/>
      <c r="I253" s="12"/>
      <c r="J253" s="12"/>
      <c r="K253" s="12"/>
      <c r="L253" s="12"/>
      <c r="M253" s="13"/>
      <c r="N253" s="12"/>
      <c r="O253" s="12"/>
    </row>
    <row r="254" ht="15.75" customHeight="1">
      <c r="A254" s="12"/>
      <c r="B254" s="12"/>
      <c r="C254" s="12"/>
      <c r="D254" s="14"/>
      <c r="E254" s="14"/>
      <c r="F254" s="12"/>
      <c r="G254" s="12"/>
      <c r="H254" s="12"/>
      <c r="I254" s="12"/>
      <c r="J254" s="12"/>
      <c r="K254" s="12"/>
      <c r="L254" s="12"/>
      <c r="M254" s="13"/>
      <c r="N254" s="12"/>
      <c r="O254" s="12"/>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O1"/>
    <mergeCell ref="A2:O2"/>
  </mergeCells>
  <conditionalFormatting sqref="K5:K254">
    <cfRule type="expression" dxfId="4" priority="1">
      <formula>K5="Done"</formula>
    </cfRule>
  </conditionalFormatting>
  <conditionalFormatting sqref="K5:K254">
    <cfRule type="expression" dxfId="5" priority="2">
      <formula>K5="In Progress"</formula>
    </cfRule>
  </conditionalFormatting>
  <conditionalFormatting sqref="K5:K254">
    <cfRule type="expression" dxfId="6" priority="3">
      <formula>K5="Blocked"</formula>
    </cfRule>
  </conditionalFormatting>
  <conditionalFormatting sqref="K5:K254">
    <cfRule type="expression" dxfId="7" priority="4">
      <formula>K5="Needs Review"</formula>
    </cfRule>
  </conditionalFormatting>
  <conditionalFormatting sqref="K5:K254">
    <cfRule type="expression" dxfId="7" priority="5">
      <formula>K5="Needs Revalidation"</formula>
    </cfRule>
  </conditionalFormatting>
  <conditionalFormatting sqref="J5:J254">
    <cfRule type="expression" dxfId="6" priority="6">
      <formula>J5="Reject - spam risk"</formula>
    </cfRule>
  </conditionalFormatting>
  <conditionalFormatting sqref="J5:J254">
    <cfRule type="expression" dxfId="8" priority="7">
      <formula>J5="Reject - irrelevant"</formula>
    </cfRule>
  </conditionalFormatting>
  <dataValidations>
    <dataValidation type="list" allowBlank="1" sqref="G5:G254">
      <formula1>"Editorial contribution,Resource inclusion,Expert quote / HARO-style,Podcast / webinar,Partner page,Association / directory,Case study mention,Broken-link replacement,Unclear"</formula1>
    </dataValidation>
    <dataValidation type="list" allowBlank="1" sqref="L5:L254">
      <formula1>"Unassigned,Outreach,SEO Manager,Content Lead"</formula1>
    </dataValidation>
    <dataValidation type="list" allowBlank="1" sqref="J5:J254">
      <formula1>"Safe,Manual review required,Sponsored / nofollow required,Reject - irrelevant,Reject - spam risk"</formula1>
    </dataValidation>
    <dataValidation type="list" allowBlank="1" sqref="K5:K254">
      <formula1>"Unqualified,Qualified,Contact Found,Outreach Ready,Contacted,Follow-up,Won,Rejected"</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50.29"/>
    <col customWidth="1" min="3" max="3" width="48.0"/>
    <col customWidth="1" min="4" max="4" width="17.14"/>
    <col customWidth="1" min="5" max="5" width="16.0"/>
    <col customWidth="1" min="6" max="6" width="32.0"/>
    <col customWidth="1" min="7" max="7" width="14.86"/>
    <col customWidth="1" min="8" max="8" width="34.29"/>
    <col customWidth="1" min="9" max="9" width="22.86"/>
    <col customWidth="1" min="10" max="10" width="34.29"/>
    <col customWidth="1" min="11" max="11" width="18.29"/>
    <col customWidth="1" min="12" max="12" width="13.71"/>
    <col customWidth="1" min="13" max="13" width="45.71"/>
    <col customWidth="1" min="14" max="14" width="16.0"/>
    <col customWidth="1" min="15" max="15" width="17.14"/>
    <col customWidth="1" min="16" max="16" width="14.86"/>
    <col customWidth="1" min="17" max="18" width="32.0"/>
    <col customWidth="1" min="19" max="26" width="9.86"/>
  </cols>
  <sheetData>
    <row r="1" ht="33.75" customHeight="1">
      <c r="A1" s="1" t="s">
        <v>1071</v>
      </c>
    </row>
    <row r="2" ht="27.75" customHeight="1">
      <c r="A2" s="2" t="s">
        <v>1074</v>
      </c>
    </row>
    <row r="4" ht="30.0" customHeight="1">
      <c r="A4" s="6" t="s">
        <v>1077</v>
      </c>
      <c r="B4" s="7" t="s">
        <v>1078</v>
      </c>
      <c r="C4" s="7" t="s">
        <v>1079</v>
      </c>
      <c r="D4" s="7" t="s">
        <v>1080</v>
      </c>
      <c r="E4" s="7" t="s">
        <v>1081</v>
      </c>
      <c r="F4" s="7" t="s">
        <v>1082</v>
      </c>
      <c r="G4" s="7" t="s">
        <v>1084</v>
      </c>
      <c r="H4" s="7" t="s">
        <v>1086</v>
      </c>
      <c r="I4" s="7" t="s">
        <v>1087</v>
      </c>
      <c r="J4" s="7" t="s">
        <v>1088</v>
      </c>
      <c r="K4" s="7" t="s">
        <v>1089</v>
      </c>
      <c r="L4" s="7" t="s">
        <v>1090</v>
      </c>
      <c r="M4" s="7" t="s">
        <v>1091</v>
      </c>
      <c r="N4" s="7" t="s">
        <v>21</v>
      </c>
      <c r="O4" s="7" t="s">
        <v>22</v>
      </c>
      <c r="P4" s="7" t="s">
        <v>1092</v>
      </c>
      <c r="Q4" s="7" t="s">
        <v>217</v>
      </c>
      <c r="R4" s="11" t="s">
        <v>76</v>
      </c>
    </row>
    <row r="5">
      <c r="A5" s="12" t="s">
        <v>1095</v>
      </c>
      <c r="B5" s="12" t="s">
        <v>1096</v>
      </c>
      <c r="C5" s="12" t="s">
        <v>1097</v>
      </c>
      <c r="D5" s="12" t="s">
        <v>1098</v>
      </c>
      <c r="E5" s="13"/>
      <c r="F5" s="12" t="s">
        <v>222</v>
      </c>
      <c r="G5" s="12" t="s">
        <v>222</v>
      </c>
      <c r="H5" s="12"/>
      <c r="I5" s="12"/>
      <c r="J5" s="12"/>
      <c r="K5" s="12" t="s">
        <v>222</v>
      </c>
      <c r="L5" s="12" t="s">
        <v>1101</v>
      </c>
      <c r="M5" s="12"/>
      <c r="N5" s="12" t="s">
        <v>72</v>
      </c>
      <c r="O5" s="12" t="s">
        <v>1104</v>
      </c>
      <c r="P5" s="13"/>
      <c r="Q5" s="12"/>
      <c r="R5" s="12" t="s">
        <v>1105</v>
      </c>
    </row>
    <row r="6">
      <c r="A6" s="12" t="s">
        <v>1106</v>
      </c>
      <c r="B6" s="12" t="s">
        <v>1107</v>
      </c>
      <c r="C6" s="12" t="s">
        <v>1097</v>
      </c>
      <c r="D6" s="12" t="s">
        <v>1108</v>
      </c>
      <c r="E6" s="13"/>
      <c r="F6" s="12" t="s">
        <v>222</v>
      </c>
      <c r="G6" s="12" t="s">
        <v>222</v>
      </c>
      <c r="H6" s="12"/>
      <c r="I6" s="12"/>
      <c r="J6" s="12"/>
      <c r="K6" s="12" t="s">
        <v>222</v>
      </c>
      <c r="L6" s="12" t="s">
        <v>1101</v>
      </c>
      <c r="M6" s="12"/>
      <c r="N6" s="12" t="s">
        <v>72</v>
      </c>
      <c r="O6" s="12" t="s">
        <v>1104</v>
      </c>
      <c r="P6" s="13"/>
      <c r="Q6" s="12"/>
      <c r="R6" s="12" t="s">
        <v>1113</v>
      </c>
    </row>
    <row r="7">
      <c r="A7" s="12" t="s">
        <v>1114</v>
      </c>
      <c r="B7" s="12" t="s">
        <v>1115</v>
      </c>
      <c r="C7" s="12" t="s">
        <v>1097</v>
      </c>
      <c r="D7" s="12"/>
      <c r="E7" s="13"/>
      <c r="F7" s="12" t="s">
        <v>222</v>
      </c>
      <c r="G7" s="12" t="s">
        <v>222</v>
      </c>
      <c r="H7" s="12"/>
      <c r="I7" s="12"/>
      <c r="J7" s="12"/>
      <c r="K7" s="12" t="s">
        <v>222</v>
      </c>
      <c r="L7" s="12" t="s">
        <v>1101</v>
      </c>
      <c r="M7" s="12"/>
      <c r="N7" s="12" t="s">
        <v>72</v>
      </c>
      <c r="O7" s="12" t="s">
        <v>1104</v>
      </c>
      <c r="P7" s="13"/>
      <c r="Q7" s="12"/>
      <c r="R7" s="12" t="s">
        <v>1118</v>
      </c>
    </row>
    <row r="8">
      <c r="A8" s="12" t="s">
        <v>1119</v>
      </c>
      <c r="B8" s="12" t="s">
        <v>1120</v>
      </c>
      <c r="C8" s="12" t="s">
        <v>1097</v>
      </c>
      <c r="D8" s="12" t="s">
        <v>1121</v>
      </c>
      <c r="E8" s="13"/>
      <c r="F8" s="12" t="s">
        <v>222</v>
      </c>
      <c r="G8" s="12" t="s">
        <v>222</v>
      </c>
      <c r="H8" s="12"/>
      <c r="I8" s="12"/>
      <c r="J8" s="12"/>
      <c r="K8" s="12" t="s">
        <v>222</v>
      </c>
      <c r="L8" s="12" t="s">
        <v>1101</v>
      </c>
      <c r="M8" s="12"/>
      <c r="N8" s="12" t="s">
        <v>72</v>
      </c>
      <c r="O8" s="12" t="s">
        <v>1104</v>
      </c>
      <c r="P8" s="13"/>
      <c r="Q8" s="12"/>
      <c r="R8" s="12" t="s">
        <v>1124</v>
      </c>
    </row>
    <row r="9">
      <c r="A9" s="12" t="s">
        <v>1125</v>
      </c>
      <c r="B9" s="12" t="s">
        <v>1126</v>
      </c>
      <c r="C9" s="12" t="s">
        <v>1097</v>
      </c>
      <c r="D9" s="12" t="s">
        <v>1098</v>
      </c>
      <c r="E9" s="13"/>
      <c r="F9" s="12" t="s">
        <v>222</v>
      </c>
      <c r="G9" s="12" t="s">
        <v>222</v>
      </c>
      <c r="H9" s="12"/>
      <c r="I9" s="12"/>
      <c r="J9" s="12"/>
      <c r="K9" s="12" t="s">
        <v>222</v>
      </c>
      <c r="L9" s="12" t="s">
        <v>1101</v>
      </c>
      <c r="M9" s="12"/>
      <c r="N9" s="12" t="s">
        <v>72</v>
      </c>
      <c r="O9" s="12" t="s">
        <v>1104</v>
      </c>
      <c r="P9" s="13"/>
      <c r="Q9" s="12"/>
      <c r="R9" s="12" t="s">
        <v>1105</v>
      </c>
    </row>
    <row r="10">
      <c r="A10" s="12" t="s">
        <v>1131</v>
      </c>
      <c r="B10" s="12" t="s">
        <v>1132</v>
      </c>
      <c r="C10" s="12" t="s">
        <v>1097</v>
      </c>
      <c r="D10" s="12"/>
      <c r="E10" s="13"/>
      <c r="F10" s="12" t="s">
        <v>222</v>
      </c>
      <c r="G10" s="12" t="s">
        <v>222</v>
      </c>
      <c r="H10" s="12"/>
      <c r="I10" s="12"/>
      <c r="J10" s="12"/>
      <c r="K10" s="12" t="s">
        <v>222</v>
      </c>
      <c r="L10" s="12" t="s">
        <v>1101</v>
      </c>
      <c r="M10" s="12"/>
      <c r="N10" s="12" t="s">
        <v>72</v>
      </c>
      <c r="O10" s="12" t="s">
        <v>1104</v>
      </c>
      <c r="P10" s="13"/>
      <c r="Q10" s="12"/>
      <c r="R10" s="12" t="s">
        <v>1118</v>
      </c>
    </row>
    <row r="11">
      <c r="A11" s="12" t="s">
        <v>1135</v>
      </c>
      <c r="B11" s="12" t="s">
        <v>1136</v>
      </c>
      <c r="C11" s="12" t="s">
        <v>1097</v>
      </c>
      <c r="D11" s="12" t="s">
        <v>1098</v>
      </c>
      <c r="E11" s="13"/>
      <c r="F11" s="12" t="s">
        <v>222</v>
      </c>
      <c r="G11" s="12" t="s">
        <v>222</v>
      </c>
      <c r="H11" s="12"/>
      <c r="I11" s="12"/>
      <c r="J11" s="12"/>
      <c r="K11" s="12" t="s">
        <v>222</v>
      </c>
      <c r="L11" s="12" t="s">
        <v>1101</v>
      </c>
      <c r="M11" s="12"/>
      <c r="N11" s="12" t="s">
        <v>72</v>
      </c>
      <c r="O11" s="12" t="s">
        <v>1104</v>
      </c>
      <c r="P11" s="13"/>
      <c r="Q11" s="12"/>
      <c r="R11" s="12" t="s">
        <v>1105</v>
      </c>
    </row>
    <row r="12">
      <c r="A12" s="12" t="s">
        <v>1139</v>
      </c>
      <c r="B12" s="12" t="s">
        <v>1140</v>
      </c>
      <c r="C12" s="12" t="s">
        <v>1097</v>
      </c>
      <c r="D12" s="12" t="s">
        <v>1108</v>
      </c>
      <c r="E12" s="13"/>
      <c r="F12" s="12" t="s">
        <v>222</v>
      </c>
      <c r="G12" s="12" t="s">
        <v>222</v>
      </c>
      <c r="H12" s="12"/>
      <c r="I12" s="12"/>
      <c r="J12" s="12"/>
      <c r="K12" s="12" t="s">
        <v>222</v>
      </c>
      <c r="L12" s="12" t="s">
        <v>1101</v>
      </c>
      <c r="M12" s="12"/>
      <c r="N12" s="12" t="s">
        <v>72</v>
      </c>
      <c r="O12" s="12" t="s">
        <v>1104</v>
      </c>
      <c r="P12" s="13"/>
      <c r="Q12" s="12"/>
      <c r="R12" s="12" t="s">
        <v>1113</v>
      </c>
    </row>
    <row r="13">
      <c r="A13" s="12" t="s">
        <v>1145</v>
      </c>
      <c r="B13" s="12" t="s">
        <v>1146</v>
      </c>
      <c r="C13" s="12" t="s">
        <v>1097</v>
      </c>
      <c r="D13" s="12" t="s">
        <v>1121</v>
      </c>
      <c r="E13" s="13"/>
      <c r="F13" s="12" t="s">
        <v>222</v>
      </c>
      <c r="G13" s="12" t="s">
        <v>222</v>
      </c>
      <c r="H13" s="12"/>
      <c r="I13" s="12"/>
      <c r="J13" s="12"/>
      <c r="K13" s="12" t="s">
        <v>222</v>
      </c>
      <c r="L13" s="12" t="s">
        <v>1101</v>
      </c>
      <c r="M13" s="12"/>
      <c r="N13" s="12" t="s">
        <v>72</v>
      </c>
      <c r="O13" s="12" t="s">
        <v>1104</v>
      </c>
      <c r="P13" s="13"/>
      <c r="Q13" s="12"/>
      <c r="R13" s="12" t="s">
        <v>1124</v>
      </c>
    </row>
    <row r="14">
      <c r="A14" s="12" t="s">
        <v>1149</v>
      </c>
      <c r="B14" s="12" t="s">
        <v>1150</v>
      </c>
      <c r="C14" s="12" t="s">
        <v>1097</v>
      </c>
      <c r="D14" s="12" t="s">
        <v>1098</v>
      </c>
      <c r="E14" s="13"/>
      <c r="F14" s="12" t="s">
        <v>222</v>
      </c>
      <c r="G14" s="12" t="s">
        <v>222</v>
      </c>
      <c r="H14" s="12"/>
      <c r="I14" s="12"/>
      <c r="J14" s="12"/>
      <c r="K14" s="12" t="s">
        <v>222</v>
      </c>
      <c r="L14" s="12" t="s">
        <v>1101</v>
      </c>
      <c r="M14" s="12"/>
      <c r="N14" s="12" t="s">
        <v>72</v>
      </c>
      <c r="O14" s="12" t="s">
        <v>1104</v>
      </c>
      <c r="P14" s="13"/>
      <c r="Q14" s="12"/>
      <c r="R14" s="12" t="s">
        <v>1105</v>
      </c>
    </row>
    <row r="15">
      <c r="A15" s="12" t="s">
        <v>1155</v>
      </c>
      <c r="B15" s="12" t="s">
        <v>1156</v>
      </c>
      <c r="C15" s="12" t="s">
        <v>1097</v>
      </c>
      <c r="D15" s="12"/>
      <c r="E15" s="13"/>
      <c r="F15" s="12" t="s">
        <v>222</v>
      </c>
      <c r="G15" s="12" t="s">
        <v>222</v>
      </c>
      <c r="H15" s="12"/>
      <c r="I15" s="12"/>
      <c r="J15" s="12"/>
      <c r="K15" s="12" t="s">
        <v>222</v>
      </c>
      <c r="L15" s="12" t="s">
        <v>1101</v>
      </c>
      <c r="M15" s="12"/>
      <c r="N15" s="12" t="s">
        <v>72</v>
      </c>
      <c r="O15" s="12" t="s">
        <v>1104</v>
      </c>
      <c r="P15" s="13"/>
      <c r="Q15" s="12"/>
      <c r="R15" s="12" t="s">
        <v>1118</v>
      </c>
    </row>
    <row r="16">
      <c r="A16" s="12" t="s">
        <v>1159</v>
      </c>
      <c r="B16" s="12" t="s">
        <v>1160</v>
      </c>
      <c r="C16" s="12" t="s">
        <v>1097</v>
      </c>
      <c r="D16" s="12" t="s">
        <v>1098</v>
      </c>
      <c r="E16" s="13"/>
      <c r="F16" s="12" t="s">
        <v>222</v>
      </c>
      <c r="G16" s="12" t="s">
        <v>222</v>
      </c>
      <c r="H16" s="12"/>
      <c r="I16" s="12"/>
      <c r="J16" s="12"/>
      <c r="K16" s="12" t="s">
        <v>222</v>
      </c>
      <c r="L16" s="12" t="s">
        <v>1101</v>
      </c>
      <c r="M16" s="12"/>
      <c r="N16" s="12" t="s">
        <v>72</v>
      </c>
      <c r="O16" s="12" t="s">
        <v>1104</v>
      </c>
      <c r="P16" s="13"/>
      <c r="Q16" s="12"/>
      <c r="R16" s="12" t="s">
        <v>1105</v>
      </c>
    </row>
    <row r="17">
      <c r="A17" s="12" t="s">
        <v>1163</v>
      </c>
      <c r="B17" s="12" t="s">
        <v>1164</v>
      </c>
      <c r="C17" s="12" t="s">
        <v>1097</v>
      </c>
      <c r="D17" s="12" t="s">
        <v>1121</v>
      </c>
      <c r="E17" s="13"/>
      <c r="F17" s="12" t="s">
        <v>222</v>
      </c>
      <c r="G17" s="12" t="s">
        <v>222</v>
      </c>
      <c r="H17" s="12"/>
      <c r="I17" s="12"/>
      <c r="J17" s="12"/>
      <c r="K17" s="12" t="s">
        <v>222</v>
      </c>
      <c r="L17" s="12" t="s">
        <v>1101</v>
      </c>
      <c r="M17" s="12"/>
      <c r="N17" s="12" t="s">
        <v>72</v>
      </c>
      <c r="O17" s="12" t="s">
        <v>1104</v>
      </c>
      <c r="P17" s="13"/>
      <c r="Q17" s="12"/>
      <c r="R17" s="12" t="s">
        <v>1124</v>
      </c>
    </row>
    <row r="18">
      <c r="A18" s="12" t="s">
        <v>1167</v>
      </c>
      <c r="B18" s="12" t="s">
        <v>1168</v>
      </c>
      <c r="C18" s="12" t="s">
        <v>1097</v>
      </c>
      <c r="D18" s="12"/>
      <c r="E18" s="13"/>
      <c r="F18" s="12" t="s">
        <v>222</v>
      </c>
      <c r="G18" s="12" t="s">
        <v>222</v>
      </c>
      <c r="H18" s="12"/>
      <c r="I18" s="12"/>
      <c r="J18" s="12"/>
      <c r="K18" s="12" t="s">
        <v>222</v>
      </c>
      <c r="L18" s="12" t="s">
        <v>1101</v>
      </c>
      <c r="M18" s="12"/>
      <c r="N18" s="12" t="s">
        <v>72</v>
      </c>
      <c r="O18" s="12" t="s">
        <v>1104</v>
      </c>
      <c r="P18" s="13"/>
      <c r="Q18" s="12"/>
      <c r="R18" s="12" t="s">
        <v>1118</v>
      </c>
    </row>
    <row r="19">
      <c r="A19" s="12" t="s">
        <v>1173</v>
      </c>
      <c r="B19" s="12" t="s">
        <v>1174</v>
      </c>
      <c r="C19" s="12" t="s">
        <v>1097</v>
      </c>
      <c r="D19" s="12" t="s">
        <v>1098</v>
      </c>
      <c r="E19" s="13"/>
      <c r="F19" s="12" t="s">
        <v>222</v>
      </c>
      <c r="G19" s="12" t="s">
        <v>222</v>
      </c>
      <c r="H19" s="12"/>
      <c r="I19" s="12"/>
      <c r="J19" s="12"/>
      <c r="K19" s="12" t="s">
        <v>222</v>
      </c>
      <c r="L19" s="12" t="s">
        <v>1101</v>
      </c>
      <c r="M19" s="12"/>
      <c r="N19" s="12" t="s">
        <v>72</v>
      </c>
      <c r="O19" s="12" t="s">
        <v>1104</v>
      </c>
      <c r="P19" s="13"/>
      <c r="Q19" s="12"/>
      <c r="R19" s="12" t="s">
        <v>1105</v>
      </c>
    </row>
    <row r="20">
      <c r="A20" s="12" t="s">
        <v>1177</v>
      </c>
      <c r="B20" s="12" t="s">
        <v>1178</v>
      </c>
      <c r="C20" s="12" t="s">
        <v>1097</v>
      </c>
      <c r="D20" s="12" t="s">
        <v>1121</v>
      </c>
      <c r="E20" s="13"/>
      <c r="F20" s="12" t="s">
        <v>222</v>
      </c>
      <c r="G20" s="12" t="s">
        <v>222</v>
      </c>
      <c r="H20" s="12"/>
      <c r="I20" s="12"/>
      <c r="J20" s="12"/>
      <c r="K20" s="12" t="s">
        <v>222</v>
      </c>
      <c r="L20" s="12" t="s">
        <v>1101</v>
      </c>
      <c r="M20" s="12"/>
      <c r="N20" s="12" t="s">
        <v>72</v>
      </c>
      <c r="O20" s="12" t="s">
        <v>1104</v>
      </c>
      <c r="P20" s="13"/>
      <c r="Q20" s="12"/>
      <c r="R20" s="12" t="s">
        <v>1124</v>
      </c>
    </row>
    <row r="21" ht="15.75" customHeight="1">
      <c r="A21" s="12" t="s">
        <v>1181</v>
      </c>
      <c r="B21" s="12" t="s">
        <v>1182</v>
      </c>
      <c r="C21" s="12" t="s">
        <v>1097</v>
      </c>
      <c r="D21" s="12" t="s">
        <v>1098</v>
      </c>
      <c r="E21" s="13"/>
      <c r="F21" s="12" t="s">
        <v>222</v>
      </c>
      <c r="G21" s="12" t="s">
        <v>222</v>
      </c>
      <c r="H21" s="12"/>
      <c r="I21" s="12"/>
      <c r="J21" s="12"/>
      <c r="K21" s="12" t="s">
        <v>222</v>
      </c>
      <c r="L21" s="12" t="s">
        <v>1101</v>
      </c>
      <c r="M21" s="12"/>
      <c r="N21" s="12" t="s">
        <v>72</v>
      </c>
      <c r="O21" s="12" t="s">
        <v>1104</v>
      </c>
      <c r="P21" s="13"/>
      <c r="Q21" s="12"/>
      <c r="R21" s="12" t="s">
        <v>1105</v>
      </c>
    </row>
    <row r="22" ht="15.75" customHeight="1">
      <c r="A22" s="12" t="s">
        <v>1187</v>
      </c>
      <c r="B22" s="12" t="s">
        <v>1188</v>
      </c>
      <c r="C22" s="12" t="s">
        <v>1097</v>
      </c>
      <c r="D22" s="12"/>
      <c r="E22" s="13"/>
      <c r="F22" s="12" t="s">
        <v>222</v>
      </c>
      <c r="G22" s="12" t="s">
        <v>222</v>
      </c>
      <c r="H22" s="12"/>
      <c r="I22" s="12"/>
      <c r="J22" s="12"/>
      <c r="K22" s="12" t="s">
        <v>222</v>
      </c>
      <c r="L22" s="12" t="s">
        <v>1101</v>
      </c>
      <c r="M22" s="12"/>
      <c r="N22" s="12" t="s">
        <v>72</v>
      </c>
      <c r="O22" s="12" t="s">
        <v>1104</v>
      </c>
      <c r="P22" s="13"/>
      <c r="Q22" s="12"/>
      <c r="R22" s="12" t="s">
        <v>1118</v>
      </c>
    </row>
    <row r="23" ht="15.75" customHeight="1">
      <c r="A23" s="12" t="s">
        <v>1191</v>
      </c>
      <c r="B23" s="12" t="s">
        <v>1192</v>
      </c>
      <c r="C23" s="12" t="s">
        <v>1193</v>
      </c>
      <c r="D23" s="12" t="s">
        <v>1121</v>
      </c>
      <c r="E23" s="13"/>
      <c r="F23" s="12" t="s">
        <v>222</v>
      </c>
      <c r="G23" s="12" t="s">
        <v>222</v>
      </c>
      <c r="H23" s="12"/>
      <c r="I23" s="12"/>
      <c r="J23" s="12"/>
      <c r="K23" s="12" t="s">
        <v>222</v>
      </c>
      <c r="L23" s="12" t="s">
        <v>1101</v>
      </c>
      <c r="M23" s="12"/>
      <c r="N23" s="12" t="s">
        <v>72</v>
      </c>
      <c r="O23" s="12" t="s">
        <v>1104</v>
      </c>
      <c r="P23" s="13"/>
      <c r="Q23" s="12"/>
      <c r="R23" s="12" t="s">
        <v>1124</v>
      </c>
    </row>
    <row r="24" ht="15.75" customHeight="1">
      <c r="A24" s="12" t="s">
        <v>1198</v>
      </c>
      <c r="B24" s="12" t="s">
        <v>1199</v>
      </c>
      <c r="C24" s="12" t="s">
        <v>1193</v>
      </c>
      <c r="D24" s="12" t="s">
        <v>1121</v>
      </c>
      <c r="E24" s="13"/>
      <c r="F24" s="12" t="s">
        <v>222</v>
      </c>
      <c r="G24" s="12" t="s">
        <v>222</v>
      </c>
      <c r="H24" s="12"/>
      <c r="I24" s="12"/>
      <c r="J24" s="12"/>
      <c r="K24" s="12" t="s">
        <v>222</v>
      </c>
      <c r="L24" s="12" t="s">
        <v>1101</v>
      </c>
      <c r="M24" s="12"/>
      <c r="N24" s="12" t="s">
        <v>72</v>
      </c>
      <c r="O24" s="12" t="s">
        <v>1104</v>
      </c>
      <c r="P24" s="13"/>
      <c r="Q24" s="12"/>
      <c r="R24" s="12" t="s">
        <v>1124</v>
      </c>
    </row>
    <row r="25" ht="15.75" customHeight="1">
      <c r="A25" s="12" t="s">
        <v>1202</v>
      </c>
      <c r="B25" s="12" t="s">
        <v>1203</v>
      </c>
      <c r="C25" s="12" t="s">
        <v>1193</v>
      </c>
      <c r="D25" s="12" t="s">
        <v>1121</v>
      </c>
      <c r="E25" s="13"/>
      <c r="F25" s="12" t="s">
        <v>222</v>
      </c>
      <c r="G25" s="12" t="s">
        <v>222</v>
      </c>
      <c r="H25" s="12"/>
      <c r="I25" s="12"/>
      <c r="J25" s="12"/>
      <c r="K25" s="12" t="s">
        <v>222</v>
      </c>
      <c r="L25" s="12" t="s">
        <v>1101</v>
      </c>
      <c r="M25" s="12"/>
      <c r="N25" s="12" t="s">
        <v>72</v>
      </c>
      <c r="O25" s="12" t="s">
        <v>1104</v>
      </c>
      <c r="P25" s="13"/>
      <c r="Q25" s="12"/>
      <c r="R25" s="12" t="s">
        <v>1124</v>
      </c>
    </row>
    <row r="26" ht="15.75" customHeight="1">
      <c r="A26" s="12" t="s">
        <v>1206</v>
      </c>
      <c r="B26" s="12" t="s">
        <v>1207</v>
      </c>
      <c r="C26" s="12" t="s">
        <v>1193</v>
      </c>
      <c r="D26" s="12" t="s">
        <v>1098</v>
      </c>
      <c r="E26" s="13"/>
      <c r="F26" s="12" t="s">
        <v>222</v>
      </c>
      <c r="G26" s="12" t="s">
        <v>222</v>
      </c>
      <c r="H26" s="12"/>
      <c r="I26" s="12"/>
      <c r="J26" s="12"/>
      <c r="K26" s="12" t="s">
        <v>222</v>
      </c>
      <c r="L26" s="12" t="s">
        <v>1101</v>
      </c>
      <c r="M26" s="12"/>
      <c r="N26" s="12" t="s">
        <v>72</v>
      </c>
      <c r="O26" s="12" t="s">
        <v>1104</v>
      </c>
      <c r="P26" s="13"/>
      <c r="Q26" s="12"/>
      <c r="R26" s="12" t="s">
        <v>1105</v>
      </c>
    </row>
    <row r="27" ht="15.75" customHeight="1">
      <c r="A27" s="12" t="s">
        <v>1212</v>
      </c>
      <c r="B27" s="12" t="s">
        <v>1213</v>
      </c>
      <c r="C27" s="12" t="s">
        <v>1193</v>
      </c>
      <c r="D27" s="12"/>
      <c r="E27" s="13"/>
      <c r="F27" s="12" t="s">
        <v>222</v>
      </c>
      <c r="G27" s="12" t="s">
        <v>222</v>
      </c>
      <c r="H27" s="12"/>
      <c r="I27" s="12"/>
      <c r="J27" s="12"/>
      <c r="K27" s="12" t="s">
        <v>222</v>
      </c>
      <c r="L27" s="12" t="s">
        <v>1101</v>
      </c>
      <c r="M27" s="12"/>
      <c r="N27" s="12" t="s">
        <v>72</v>
      </c>
      <c r="O27" s="12" t="s">
        <v>1104</v>
      </c>
      <c r="P27" s="13"/>
      <c r="Q27" s="12"/>
      <c r="R27" s="12" t="s">
        <v>1118</v>
      </c>
    </row>
    <row r="28" ht="15.75" customHeight="1">
      <c r="A28" s="12" t="s">
        <v>1216</v>
      </c>
      <c r="B28" s="12" t="s">
        <v>1217</v>
      </c>
      <c r="C28" s="12" t="s">
        <v>1193</v>
      </c>
      <c r="D28" s="12" t="s">
        <v>1121</v>
      </c>
      <c r="E28" s="13"/>
      <c r="F28" s="12" t="s">
        <v>222</v>
      </c>
      <c r="G28" s="12" t="s">
        <v>222</v>
      </c>
      <c r="H28" s="12"/>
      <c r="I28" s="12"/>
      <c r="J28" s="12"/>
      <c r="K28" s="12" t="s">
        <v>222</v>
      </c>
      <c r="L28" s="12" t="s">
        <v>1101</v>
      </c>
      <c r="M28" s="12"/>
      <c r="N28" s="12" t="s">
        <v>72</v>
      </c>
      <c r="O28" s="12" t="s">
        <v>1104</v>
      </c>
      <c r="P28" s="13"/>
      <c r="Q28" s="12"/>
      <c r="R28" s="12" t="s">
        <v>1124</v>
      </c>
    </row>
    <row r="29" ht="15.75" customHeight="1">
      <c r="A29" s="12" t="s">
        <v>1220</v>
      </c>
      <c r="B29" s="12" t="s">
        <v>1223</v>
      </c>
      <c r="C29" s="12" t="s">
        <v>1193</v>
      </c>
      <c r="D29" s="12" t="s">
        <v>1098</v>
      </c>
      <c r="E29" s="13"/>
      <c r="F29" s="12" t="s">
        <v>222</v>
      </c>
      <c r="G29" s="12" t="s">
        <v>222</v>
      </c>
      <c r="H29" s="12"/>
      <c r="I29" s="12"/>
      <c r="J29" s="12"/>
      <c r="K29" s="12" t="s">
        <v>222</v>
      </c>
      <c r="L29" s="12" t="s">
        <v>1101</v>
      </c>
      <c r="M29" s="12"/>
      <c r="N29" s="12" t="s">
        <v>72</v>
      </c>
      <c r="O29" s="12" t="s">
        <v>1104</v>
      </c>
      <c r="P29" s="13"/>
      <c r="Q29" s="12"/>
      <c r="R29" s="12" t="s">
        <v>1105</v>
      </c>
    </row>
    <row r="30" ht="15.75" customHeight="1">
      <c r="A30" s="12" t="s">
        <v>1226</v>
      </c>
      <c r="B30" s="12" t="s">
        <v>1227</v>
      </c>
      <c r="C30" s="12" t="s">
        <v>1193</v>
      </c>
      <c r="D30" s="12" t="s">
        <v>1121</v>
      </c>
      <c r="E30" s="13"/>
      <c r="F30" s="12" t="s">
        <v>222</v>
      </c>
      <c r="G30" s="12" t="s">
        <v>222</v>
      </c>
      <c r="H30" s="12"/>
      <c r="I30" s="12"/>
      <c r="J30" s="12"/>
      <c r="K30" s="12" t="s">
        <v>222</v>
      </c>
      <c r="L30" s="12" t="s">
        <v>1101</v>
      </c>
      <c r="M30" s="12"/>
      <c r="N30" s="12" t="s">
        <v>72</v>
      </c>
      <c r="O30" s="12" t="s">
        <v>1104</v>
      </c>
      <c r="P30" s="13"/>
      <c r="Q30" s="12"/>
      <c r="R30" s="12" t="s">
        <v>1124</v>
      </c>
    </row>
    <row r="31" ht="15.75" customHeight="1">
      <c r="A31" s="12" t="s">
        <v>1230</v>
      </c>
      <c r="B31" s="12" t="s">
        <v>1231</v>
      </c>
      <c r="C31" s="12" t="s">
        <v>1193</v>
      </c>
      <c r="D31" s="12" t="s">
        <v>1098</v>
      </c>
      <c r="E31" s="13"/>
      <c r="F31" s="12" t="s">
        <v>222</v>
      </c>
      <c r="G31" s="12" t="s">
        <v>222</v>
      </c>
      <c r="H31" s="12"/>
      <c r="I31" s="12"/>
      <c r="J31" s="12"/>
      <c r="K31" s="12" t="s">
        <v>222</v>
      </c>
      <c r="L31" s="12" t="s">
        <v>1101</v>
      </c>
      <c r="M31" s="12"/>
      <c r="N31" s="12" t="s">
        <v>72</v>
      </c>
      <c r="O31" s="12" t="s">
        <v>1104</v>
      </c>
      <c r="P31" s="13"/>
      <c r="Q31" s="12"/>
      <c r="R31" s="12" t="s">
        <v>1105</v>
      </c>
    </row>
    <row r="32" ht="15.75" customHeight="1">
      <c r="A32" s="12" t="s">
        <v>1236</v>
      </c>
      <c r="B32" s="12" t="s">
        <v>1237</v>
      </c>
      <c r="C32" s="12" t="s">
        <v>1193</v>
      </c>
      <c r="D32" s="12" t="s">
        <v>1121</v>
      </c>
      <c r="E32" s="13"/>
      <c r="F32" s="12" t="s">
        <v>222</v>
      </c>
      <c r="G32" s="12" t="s">
        <v>222</v>
      </c>
      <c r="H32" s="12"/>
      <c r="I32" s="12"/>
      <c r="J32" s="12"/>
      <c r="K32" s="12" t="s">
        <v>222</v>
      </c>
      <c r="L32" s="12" t="s">
        <v>1101</v>
      </c>
      <c r="M32" s="12"/>
      <c r="N32" s="12" t="s">
        <v>72</v>
      </c>
      <c r="O32" s="12" t="s">
        <v>1104</v>
      </c>
      <c r="P32" s="13"/>
      <c r="Q32" s="12"/>
      <c r="R32" s="12" t="s">
        <v>1124</v>
      </c>
    </row>
    <row r="33" ht="15.75" customHeight="1">
      <c r="A33" s="12" t="s">
        <v>1240</v>
      </c>
      <c r="B33" s="12" t="s">
        <v>1241</v>
      </c>
      <c r="C33" s="12" t="s">
        <v>1193</v>
      </c>
      <c r="D33" s="12" t="s">
        <v>1121</v>
      </c>
      <c r="E33" s="13"/>
      <c r="F33" s="12" t="s">
        <v>222</v>
      </c>
      <c r="G33" s="12" t="s">
        <v>222</v>
      </c>
      <c r="H33" s="12"/>
      <c r="I33" s="12"/>
      <c r="J33" s="12"/>
      <c r="K33" s="12" t="s">
        <v>222</v>
      </c>
      <c r="L33" s="12" t="s">
        <v>1101</v>
      </c>
      <c r="M33" s="12"/>
      <c r="N33" s="12" t="s">
        <v>72</v>
      </c>
      <c r="O33" s="12" t="s">
        <v>1104</v>
      </c>
      <c r="P33" s="13"/>
      <c r="Q33" s="12"/>
      <c r="R33" s="12" t="s">
        <v>1124</v>
      </c>
    </row>
    <row r="34" ht="15.75" customHeight="1">
      <c r="A34" s="12" t="s">
        <v>1244</v>
      </c>
      <c r="B34" s="12" t="s">
        <v>1245</v>
      </c>
      <c r="C34" s="12" t="s">
        <v>1193</v>
      </c>
      <c r="D34" s="12" t="s">
        <v>1121</v>
      </c>
      <c r="E34" s="13"/>
      <c r="F34" s="12" t="s">
        <v>222</v>
      </c>
      <c r="G34" s="12" t="s">
        <v>222</v>
      </c>
      <c r="H34" s="12"/>
      <c r="I34" s="12"/>
      <c r="J34" s="12"/>
      <c r="K34" s="12" t="s">
        <v>222</v>
      </c>
      <c r="L34" s="12" t="s">
        <v>1101</v>
      </c>
      <c r="M34" s="12"/>
      <c r="N34" s="12" t="s">
        <v>72</v>
      </c>
      <c r="O34" s="12" t="s">
        <v>1104</v>
      </c>
      <c r="P34" s="13"/>
      <c r="Q34" s="12"/>
      <c r="R34" s="12" t="s">
        <v>1124</v>
      </c>
    </row>
    <row r="35" ht="15.75" customHeight="1">
      <c r="A35" s="12" t="s">
        <v>1250</v>
      </c>
      <c r="B35" s="12" t="s">
        <v>1251</v>
      </c>
      <c r="C35" s="12" t="s">
        <v>1193</v>
      </c>
      <c r="D35" s="12" t="s">
        <v>1121</v>
      </c>
      <c r="E35" s="13"/>
      <c r="F35" s="12" t="s">
        <v>222</v>
      </c>
      <c r="G35" s="12" t="s">
        <v>222</v>
      </c>
      <c r="H35" s="12"/>
      <c r="I35" s="12"/>
      <c r="J35" s="12"/>
      <c r="K35" s="12" t="s">
        <v>222</v>
      </c>
      <c r="L35" s="12" t="s">
        <v>1101</v>
      </c>
      <c r="M35" s="12"/>
      <c r="N35" s="12" t="s">
        <v>72</v>
      </c>
      <c r="O35" s="12" t="s">
        <v>1104</v>
      </c>
      <c r="P35" s="13"/>
      <c r="Q35" s="12"/>
      <c r="R35" s="12" t="s">
        <v>1124</v>
      </c>
    </row>
    <row r="36" ht="15.75" customHeight="1">
      <c r="A36" s="12" t="s">
        <v>1254</v>
      </c>
      <c r="B36" s="12" t="s">
        <v>1255</v>
      </c>
      <c r="C36" s="12" t="s">
        <v>1193</v>
      </c>
      <c r="D36" s="12" t="s">
        <v>1098</v>
      </c>
      <c r="E36" s="13"/>
      <c r="F36" s="12" t="s">
        <v>222</v>
      </c>
      <c r="G36" s="12" t="s">
        <v>222</v>
      </c>
      <c r="H36" s="12"/>
      <c r="I36" s="12"/>
      <c r="J36" s="12"/>
      <c r="K36" s="12" t="s">
        <v>222</v>
      </c>
      <c r="L36" s="12" t="s">
        <v>1101</v>
      </c>
      <c r="M36" s="12"/>
      <c r="N36" s="12" t="s">
        <v>72</v>
      </c>
      <c r="O36" s="12" t="s">
        <v>1104</v>
      </c>
      <c r="P36" s="13"/>
      <c r="Q36" s="12"/>
      <c r="R36" s="12" t="s">
        <v>1105</v>
      </c>
    </row>
    <row r="37" ht="15.75" customHeight="1">
      <c r="A37" s="12" t="s">
        <v>1258</v>
      </c>
      <c r="B37" s="12" t="s">
        <v>1259</v>
      </c>
      <c r="C37" s="12" t="s">
        <v>1193</v>
      </c>
      <c r="D37" s="12" t="s">
        <v>1121</v>
      </c>
      <c r="E37" s="13"/>
      <c r="F37" s="12" t="s">
        <v>222</v>
      </c>
      <c r="G37" s="12" t="s">
        <v>222</v>
      </c>
      <c r="H37" s="12"/>
      <c r="I37" s="12"/>
      <c r="J37" s="12"/>
      <c r="K37" s="12" t="s">
        <v>222</v>
      </c>
      <c r="L37" s="12" t="s">
        <v>1101</v>
      </c>
      <c r="M37" s="12"/>
      <c r="N37" s="12" t="s">
        <v>72</v>
      </c>
      <c r="O37" s="12" t="s">
        <v>1104</v>
      </c>
      <c r="P37" s="13"/>
      <c r="Q37" s="12"/>
      <c r="R37" s="12" t="s">
        <v>1124</v>
      </c>
    </row>
    <row r="38" ht="15.75" customHeight="1">
      <c r="A38" s="12" t="s">
        <v>1264</v>
      </c>
      <c r="B38" s="12" t="s">
        <v>1265</v>
      </c>
      <c r="C38" s="12" t="s">
        <v>1193</v>
      </c>
      <c r="D38" s="12" t="s">
        <v>1121</v>
      </c>
      <c r="E38" s="13"/>
      <c r="F38" s="12" t="s">
        <v>222</v>
      </c>
      <c r="G38" s="12" t="s">
        <v>222</v>
      </c>
      <c r="H38" s="12"/>
      <c r="I38" s="12"/>
      <c r="J38" s="12"/>
      <c r="K38" s="12" t="s">
        <v>222</v>
      </c>
      <c r="L38" s="12" t="s">
        <v>1101</v>
      </c>
      <c r="M38" s="12"/>
      <c r="N38" s="12" t="s">
        <v>72</v>
      </c>
      <c r="O38" s="12" t="s">
        <v>1104</v>
      </c>
      <c r="P38" s="13"/>
      <c r="Q38" s="12"/>
      <c r="R38" s="12" t="s">
        <v>1124</v>
      </c>
    </row>
    <row r="39" ht="15.75" customHeight="1">
      <c r="A39" s="12" t="s">
        <v>1268</v>
      </c>
      <c r="B39" s="12" t="s">
        <v>1269</v>
      </c>
      <c r="C39" s="12" t="s">
        <v>1193</v>
      </c>
      <c r="D39" s="12"/>
      <c r="E39" s="13"/>
      <c r="F39" s="12" t="s">
        <v>222</v>
      </c>
      <c r="G39" s="12" t="s">
        <v>222</v>
      </c>
      <c r="H39" s="12"/>
      <c r="I39" s="12"/>
      <c r="J39" s="12"/>
      <c r="K39" s="12" t="s">
        <v>222</v>
      </c>
      <c r="L39" s="12" t="s">
        <v>1101</v>
      </c>
      <c r="M39" s="12"/>
      <c r="N39" s="12" t="s">
        <v>72</v>
      </c>
      <c r="O39" s="12" t="s">
        <v>1104</v>
      </c>
      <c r="P39" s="13"/>
      <c r="Q39" s="12"/>
      <c r="R39" s="12" t="s">
        <v>1118</v>
      </c>
    </row>
    <row r="40" ht="15.75" customHeight="1">
      <c r="A40" s="12" t="s">
        <v>1272</v>
      </c>
      <c r="B40" s="12" t="s">
        <v>1273</v>
      </c>
      <c r="C40" s="12" t="s">
        <v>1193</v>
      </c>
      <c r="D40" s="12" t="s">
        <v>1098</v>
      </c>
      <c r="E40" s="13"/>
      <c r="F40" s="12" t="s">
        <v>222</v>
      </c>
      <c r="G40" s="12" t="s">
        <v>222</v>
      </c>
      <c r="H40" s="12"/>
      <c r="I40" s="12"/>
      <c r="J40" s="12"/>
      <c r="K40" s="12" t="s">
        <v>222</v>
      </c>
      <c r="L40" s="12" t="s">
        <v>1101</v>
      </c>
      <c r="M40" s="12"/>
      <c r="N40" s="12" t="s">
        <v>72</v>
      </c>
      <c r="O40" s="12" t="s">
        <v>1104</v>
      </c>
      <c r="P40" s="13"/>
      <c r="Q40" s="12"/>
      <c r="R40" s="12" t="s">
        <v>1105</v>
      </c>
    </row>
    <row r="41" ht="15.75" customHeight="1">
      <c r="A41" s="12" t="s">
        <v>1277</v>
      </c>
      <c r="B41" s="12" t="s">
        <v>1279</v>
      </c>
      <c r="C41" s="12" t="s">
        <v>1193</v>
      </c>
      <c r="D41" s="12" t="s">
        <v>1121</v>
      </c>
      <c r="E41" s="13"/>
      <c r="F41" s="12" t="s">
        <v>222</v>
      </c>
      <c r="G41" s="12" t="s">
        <v>222</v>
      </c>
      <c r="H41" s="12"/>
      <c r="I41" s="12"/>
      <c r="J41" s="12"/>
      <c r="K41" s="12" t="s">
        <v>222</v>
      </c>
      <c r="L41" s="12" t="s">
        <v>1101</v>
      </c>
      <c r="M41" s="12"/>
      <c r="N41" s="12" t="s">
        <v>72</v>
      </c>
      <c r="O41" s="12" t="s">
        <v>1104</v>
      </c>
      <c r="P41" s="13"/>
      <c r="Q41" s="12"/>
      <c r="R41" s="12" t="s">
        <v>1124</v>
      </c>
    </row>
    <row r="42" ht="15.75" customHeight="1">
      <c r="A42" s="12" t="s">
        <v>1282</v>
      </c>
      <c r="B42" s="12" t="s">
        <v>1283</v>
      </c>
      <c r="C42" s="12" t="s">
        <v>1193</v>
      </c>
      <c r="D42" s="12" t="s">
        <v>1108</v>
      </c>
      <c r="E42" s="13"/>
      <c r="F42" s="12" t="s">
        <v>222</v>
      </c>
      <c r="G42" s="12" t="s">
        <v>222</v>
      </c>
      <c r="H42" s="12"/>
      <c r="I42" s="12"/>
      <c r="J42" s="12"/>
      <c r="K42" s="12" t="s">
        <v>222</v>
      </c>
      <c r="L42" s="12" t="s">
        <v>1101</v>
      </c>
      <c r="M42" s="12"/>
      <c r="N42" s="12" t="s">
        <v>72</v>
      </c>
      <c r="O42" s="12" t="s">
        <v>1104</v>
      </c>
      <c r="P42" s="13"/>
      <c r="Q42" s="12"/>
      <c r="R42" s="12" t="s">
        <v>1113</v>
      </c>
    </row>
    <row r="43" ht="15.75" customHeight="1">
      <c r="A43" s="12" t="s">
        <v>1286</v>
      </c>
      <c r="B43" s="12" t="s">
        <v>1287</v>
      </c>
      <c r="C43" s="12" t="s">
        <v>1288</v>
      </c>
      <c r="D43" s="12" t="s">
        <v>1098</v>
      </c>
      <c r="E43" s="13"/>
      <c r="F43" s="12" t="s">
        <v>222</v>
      </c>
      <c r="G43" s="12" t="s">
        <v>222</v>
      </c>
      <c r="H43" s="12"/>
      <c r="I43" s="12"/>
      <c r="J43" s="12"/>
      <c r="K43" s="12" t="s">
        <v>222</v>
      </c>
      <c r="L43" s="12" t="s">
        <v>1101</v>
      </c>
      <c r="M43" s="12"/>
      <c r="N43" s="12" t="s">
        <v>72</v>
      </c>
      <c r="O43" s="12" t="s">
        <v>1104</v>
      </c>
      <c r="P43" s="13"/>
      <c r="Q43" s="12"/>
      <c r="R43" s="12" t="s">
        <v>1105</v>
      </c>
    </row>
    <row r="44" ht="15.75" customHeight="1">
      <c r="A44" s="12" t="s">
        <v>1293</v>
      </c>
      <c r="B44" s="12" t="s">
        <v>1294</v>
      </c>
      <c r="C44" s="12" t="s">
        <v>1288</v>
      </c>
      <c r="D44" s="12" t="s">
        <v>1108</v>
      </c>
      <c r="E44" s="13"/>
      <c r="F44" s="12" t="s">
        <v>222</v>
      </c>
      <c r="G44" s="12" t="s">
        <v>222</v>
      </c>
      <c r="H44" s="12"/>
      <c r="I44" s="12"/>
      <c r="J44" s="12"/>
      <c r="K44" s="12" t="s">
        <v>222</v>
      </c>
      <c r="L44" s="12" t="s">
        <v>1101</v>
      </c>
      <c r="M44" s="12"/>
      <c r="N44" s="12" t="s">
        <v>72</v>
      </c>
      <c r="O44" s="12" t="s">
        <v>1104</v>
      </c>
      <c r="P44" s="13"/>
      <c r="Q44" s="12"/>
      <c r="R44" s="12" t="s">
        <v>1113</v>
      </c>
    </row>
    <row r="45" ht="15.75" customHeight="1">
      <c r="A45" s="12" t="s">
        <v>1297</v>
      </c>
      <c r="B45" s="12" t="s">
        <v>1298</v>
      </c>
      <c r="C45" s="12" t="s">
        <v>1288</v>
      </c>
      <c r="D45" s="12" t="s">
        <v>1121</v>
      </c>
      <c r="E45" s="13"/>
      <c r="F45" s="12" t="s">
        <v>222</v>
      </c>
      <c r="G45" s="12" t="s">
        <v>222</v>
      </c>
      <c r="H45" s="12"/>
      <c r="I45" s="12"/>
      <c r="J45" s="12"/>
      <c r="K45" s="12" t="s">
        <v>222</v>
      </c>
      <c r="L45" s="12" t="s">
        <v>1101</v>
      </c>
      <c r="M45" s="12"/>
      <c r="N45" s="12" t="s">
        <v>72</v>
      </c>
      <c r="O45" s="12" t="s">
        <v>1104</v>
      </c>
      <c r="P45" s="13"/>
      <c r="Q45" s="12"/>
      <c r="R45" s="12" t="s">
        <v>1124</v>
      </c>
    </row>
    <row r="46" ht="15.75" customHeight="1">
      <c r="A46" s="12" t="s">
        <v>1301</v>
      </c>
      <c r="B46" s="12" t="s">
        <v>1302</v>
      </c>
      <c r="C46" s="12" t="s">
        <v>1288</v>
      </c>
      <c r="D46" s="12" t="s">
        <v>1098</v>
      </c>
      <c r="E46" s="13"/>
      <c r="F46" s="12" t="s">
        <v>222</v>
      </c>
      <c r="G46" s="12" t="s">
        <v>222</v>
      </c>
      <c r="H46" s="12"/>
      <c r="I46" s="12"/>
      <c r="J46" s="12"/>
      <c r="K46" s="12" t="s">
        <v>222</v>
      </c>
      <c r="L46" s="12" t="s">
        <v>1101</v>
      </c>
      <c r="M46" s="12"/>
      <c r="N46" s="12" t="s">
        <v>72</v>
      </c>
      <c r="O46" s="12" t="s">
        <v>1104</v>
      </c>
      <c r="P46" s="13"/>
      <c r="Q46" s="12"/>
      <c r="R46" s="12" t="s">
        <v>1105</v>
      </c>
    </row>
    <row r="47" ht="15.75" customHeight="1">
      <c r="A47" s="12" t="s">
        <v>1305</v>
      </c>
      <c r="B47" s="12" t="s">
        <v>1307</v>
      </c>
      <c r="C47" s="12" t="s">
        <v>1288</v>
      </c>
      <c r="D47" s="12"/>
      <c r="E47" s="13"/>
      <c r="F47" s="12" t="s">
        <v>222</v>
      </c>
      <c r="G47" s="12" t="s">
        <v>222</v>
      </c>
      <c r="H47" s="12"/>
      <c r="I47" s="12"/>
      <c r="J47" s="12"/>
      <c r="K47" s="12" t="s">
        <v>222</v>
      </c>
      <c r="L47" s="12" t="s">
        <v>1101</v>
      </c>
      <c r="M47" s="12"/>
      <c r="N47" s="12" t="s">
        <v>72</v>
      </c>
      <c r="O47" s="12" t="s">
        <v>1104</v>
      </c>
      <c r="P47" s="13"/>
      <c r="Q47" s="12"/>
      <c r="R47" s="12" t="s">
        <v>1118</v>
      </c>
    </row>
    <row r="48" ht="15.75" customHeight="1">
      <c r="A48" s="12" t="s">
        <v>1311</v>
      </c>
      <c r="B48" s="12" t="s">
        <v>1312</v>
      </c>
      <c r="C48" s="12" t="s">
        <v>1288</v>
      </c>
      <c r="D48" s="12" t="s">
        <v>1098</v>
      </c>
      <c r="E48" s="13"/>
      <c r="F48" s="12" t="s">
        <v>222</v>
      </c>
      <c r="G48" s="12" t="s">
        <v>222</v>
      </c>
      <c r="H48" s="12"/>
      <c r="I48" s="12"/>
      <c r="J48" s="12"/>
      <c r="K48" s="12" t="s">
        <v>222</v>
      </c>
      <c r="L48" s="12" t="s">
        <v>1101</v>
      </c>
      <c r="M48" s="12"/>
      <c r="N48" s="12" t="s">
        <v>72</v>
      </c>
      <c r="O48" s="12" t="s">
        <v>1104</v>
      </c>
      <c r="P48" s="13"/>
      <c r="Q48" s="12"/>
      <c r="R48" s="12" t="s">
        <v>1105</v>
      </c>
    </row>
    <row r="49" ht="15.75" customHeight="1">
      <c r="A49" s="12" t="s">
        <v>1315</v>
      </c>
      <c r="B49" s="12" t="s">
        <v>1316</v>
      </c>
      <c r="C49" s="12" t="s">
        <v>1288</v>
      </c>
      <c r="D49" s="12" t="s">
        <v>1121</v>
      </c>
      <c r="E49" s="13"/>
      <c r="F49" s="12" t="s">
        <v>222</v>
      </c>
      <c r="G49" s="12" t="s">
        <v>222</v>
      </c>
      <c r="H49" s="12"/>
      <c r="I49" s="12"/>
      <c r="J49" s="12"/>
      <c r="K49" s="12" t="s">
        <v>222</v>
      </c>
      <c r="L49" s="12" t="s">
        <v>1101</v>
      </c>
      <c r="M49" s="12"/>
      <c r="N49" s="12" t="s">
        <v>72</v>
      </c>
      <c r="O49" s="12" t="s">
        <v>1104</v>
      </c>
      <c r="P49" s="13"/>
      <c r="Q49" s="12"/>
      <c r="R49" s="12" t="s">
        <v>1124</v>
      </c>
    </row>
    <row r="50" ht="15.75" customHeight="1">
      <c r="A50" s="12" t="s">
        <v>1319</v>
      </c>
      <c r="B50" s="12" t="s">
        <v>1320</v>
      </c>
      <c r="C50" s="12" t="s">
        <v>1288</v>
      </c>
      <c r="D50" s="12"/>
      <c r="E50" s="13"/>
      <c r="F50" s="12" t="s">
        <v>222</v>
      </c>
      <c r="G50" s="12" t="s">
        <v>222</v>
      </c>
      <c r="H50" s="12"/>
      <c r="I50" s="12"/>
      <c r="J50" s="12"/>
      <c r="K50" s="12" t="s">
        <v>222</v>
      </c>
      <c r="L50" s="12" t="s">
        <v>1101</v>
      </c>
      <c r="M50" s="12"/>
      <c r="N50" s="12" t="s">
        <v>72</v>
      </c>
      <c r="O50" s="12" t="s">
        <v>1104</v>
      </c>
      <c r="P50" s="13"/>
      <c r="Q50" s="12"/>
      <c r="R50" s="12" t="s">
        <v>1118</v>
      </c>
    </row>
    <row r="51" ht="15.75" customHeight="1">
      <c r="A51" s="12" t="s">
        <v>1325</v>
      </c>
      <c r="B51" s="12" t="s">
        <v>1326</v>
      </c>
      <c r="C51" s="12" t="s">
        <v>1288</v>
      </c>
      <c r="D51" s="12" t="s">
        <v>1108</v>
      </c>
      <c r="E51" s="13"/>
      <c r="F51" s="12" t="s">
        <v>222</v>
      </c>
      <c r="G51" s="12" t="s">
        <v>222</v>
      </c>
      <c r="H51" s="12"/>
      <c r="I51" s="12"/>
      <c r="J51" s="12"/>
      <c r="K51" s="12" t="s">
        <v>222</v>
      </c>
      <c r="L51" s="12" t="s">
        <v>1101</v>
      </c>
      <c r="M51" s="12"/>
      <c r="N51" s="12" t="s">
        <v>72</v>
      </c>
      <c r="O51" s="12" t="s">
        <v>1104</v>
      </c>
      <c r="P51" s="13"/>
      <c r="Q51" s="12"/>
      <c r="R51" s="12" t="s">
        <v>1113</v>
      </c>
    </row>
    <row r="52" ht="15.75" customHeight="1">
      <c r="A52" s="12" t="s">
        <v>1329</v>
      </c>
      <c r="B52" s="12" t="s">
        <v>1330</v>
      </c>
      <c r="C52" s="12" t="s">
        <v>1288</v>
      </c>
      <c r="D52" s="12" t="s">
        <v>1098</v>
      </c>
      <c r="E52" s="13"/>
      <c r="F52" s="12" t="s">
        <v>222</v>
      </c>
      <c r="G52" s="12" t="s">
        <v>222</v>
      </c>
      <c r="H52" s="12"/>
      <c r="I52" s="12"/>
      <c r="J52" s="12"/>
      <c r="K52" s="12" t="s">
        <v>222</v>
      </c>
      <c r="L52" s="12" t="s">
        <v>1101</v>
      </c>
      <c r="M52" s="12"/>
      <c r="N52" s="12" t="s">
        <v>72</v>
      </c>
      <c r="O52" s="12" t="s">
        <v>1104</v>
      </c>
      <c r="P52" s="13"/>
      <c r="Q52" s="12"/>
      <c r="R52" s="12" t="s">
        <v>1105</v>
      </c>
    </row>
    <row r="53" ht="15.75" customHeight="1">
      <c r="A53" s="12" t="s">
        <v>1334</v>
      </c>
      <c r="B53" s="12" t="s">
        <v>1335</v>
      </c>
      <c r="C53" s="12" t="s">
        <v>1288</v>
      </c>
      <c r="D53" s="12" t="s">
        <v>1098</v>
      </c>
      <c r="E53" s="13"/>
      <c r="F53" s="12" t="s">
        <v>222</v>
      </c>
      <c r="G53" s="12" t="s">
        <v>222</v>
      </c>
      <c r="H53" s="12"/>
      <c r="I53" s="12"/>
      <c r="J53" s="12"/>
      <c r="K53" s="12" t="s">
        <v>222</v>
      </c>
      <c r="L53" s="12" t="s">
        <v>1101</v>
      </c>
      <c r="M53" s="12"/>
      <c r="N53" s="12" t="s">
        <v>72</v>
      </c>
      <c r="O53" s="12" t="s">
        <v>1104</v>
      </c>
      <c r="P53" s="13"/>
      <c r="Q53" s="12"/>
      <c r="R53" s="12" t="s">
        <v>1105</v>
      </c>
    </row>
    <row r="54" ht="15.75" customHeight="1">
      <c r="A54" s="12" t="s">
        <v>1343</v>
      </c>
      <c r="B54" s="12" t="s">
        <v>1344</v>
      </c>
      <c r="C54" s="12" t="s">
        <v>1288</v>
      </c>
      <c r="D54" s="12"/>
      <c r="E54" s="13"/>
      <c r="F54" s="12" t="s">
        <v>222</v>
      </c>
      <c r="G54" s="12" t="s">
        <v>222</v>
      </c>
      <c r="H54" s="12"/>
      <c r="I54" s="12"/>
      <c r="J54" s="12"/>
      <c r="K54" s="12" t="s">
        <v>222</v>
      </c>
      <c r="L54" s="12" t="s">
        <v>1101</v>
      </c>
      <c r="M54" s="12"/>
      <c r="N54" s="12" t="s">
        <v>72</v>
      </c>
      <c r="O54" s="12" t="s">
        <v>1104</v>
      </c>
      <c r="P54" s="13"/>
      <c r="Q54" s="12"/>
      <c r="R54" s="12" t="s">
        <v>1118</v>
      </c>
    </row>
    <row r="55" ht="15.75" customHeight="1">
      <c r="A55" s="12" t="s">
        <v>1354</v>
      </c>
      <c r="B55" s="12" t="s">
        <v>1356</v>
      </c>
      <c r="C55" s="12" t="s">
        <v>1358</v>
      </c>
      <c r="D55" s="12" t="s">
        <v>1098</v>
      </c>
      <c r="E55" s="13"/>
      <c r="F55" s="12" t="s">
        <v>222</v>
      </c>
      <c r="G55" s="12" t="s">
        <v>222</v>
      </c>
      <c r="H55" s="12"/>
      <c r="I55" s="12"/>
      <c r="J55" s="12"/>
      <c r="K55" s="12" t="s">
        <v>222</v>
      </c>
      <c r="L55" s="12" t="s">
        <v>1101</v>
      </c>
      <c r="M55" s="12"/>
      <c r="N55" s="12" t="s">
        <v>72</v>
      </c>
      <c r="O55" s="12" t="s">
        <v>1104</v>
      </c>
      <c r="P55" s="13"/>
      <c r="Q55" s="12"/>
      <c r="R55" s="12" t="s">
        <v>1105</v>
      </c>
    </row>
    <row r="56" ht="15.75" customHeight="1">
      <c r="A56" s="12" t="s">
        <v>1367</v>
      </c>
      <c r="B56" s="12" t="s">
        <v>1369</v>
      </c>
      <c r="C56" s="12" t="s">
        <v>1358</v>
      </c>
      <c r="D56" s="12" t="s">
        <v>1108</v>
      </c>
      <c r="E56" s="13"/>
      <c r="F56" s="12" t="s">
        <v>222</v>
      </c>
      <c r="G56" s="12" t="s">
        <v>222</v>
      </c>
      <c r="H56" s="12"/>
      <c r="I56" s="12"/>
      <c r="J56" s="12"/>
      <c r="K56" s="12" t="s">
        <v>222</v>
      </c>
      <c r="L56" s="12" t="s">
        <v>1101</v>
      </c>
      <c r="M56" s="12"/>
      <c r="N56" s="12" t="s">
        <v>72</v>
      </c>
      <c r="O56" s="12" t="s">
        <v>1104</v>
      </c>
      <c r="P56" s="13"/>
      <c r="Q56" s="12"/>
      <c r="R56" s="12" t="s">
        <v>1113</v>
      </c>
    </row>
    <row r="57" ht="15.75" customHeight="1">
      <c r="A57" s="12" t="s">
        <v>1383</v>
      </c>
      <c r="B57" s="12" t="s">
        <v>1385</v>
      </c>
      <c r="C57" s="12" t="s">
        <v>1358</v>
      </c>
      <c r="D57" s="12"/>
      <c r="E57" s="13"/>
      <c r="F57" s="12" t="s">
        <v>222</v>
      </c>
      <c r="G57" s="12" t="s">
        <v>222</v>
      </c>
      <c r="H57" s="12"/>
      <c r="I57" s="12"/>
      <c r="J57" s="12"/>
      <c r="K57" s="12" t="s">
        <v>222</v>
      </c>
      <c r="L57" s="12" t="s">
        <v>1101</v>
      </c>
      <c r="M57" s="12"/>
      <c r="N57" s="12" t="s">
        <v>72</v>
      </c>
      <c r="O57" s="12" t="s">
        <v>1104</v>
      </c>
      <c r="P57" s="13"/>
      <c r="Q57" s="12"/>
      <c r="R57" s="12" t="s">
        <v>1118</v>
      </c>
    </row>
    <row r="58" ht="15.75" customHeight="1">
      <c r="A58" s="12" t="s">
        <v>1403</v>
      </c>
      <c r="B58" s="12" t="s">
        <v>1404</v>
      </c>
      <c r="C58" s="12" t="s">
        <v>1358</v>
      </c>
      <c r="D58" s="12" t="s">
        <v>1121</v>
      </c>
      <c r="E58" s="13"/>
      <c r="F58" s="12" t="s">
        <v>222</v>
      </c>
      <c r="G58" s="12" t="s">
        <v>222</v>
      </c>
      <c r="H58" s="12"/>
      <c r="I58" s="12"/>
      <c r="J58" s="12"/>
      <c r="K58" s="12" t="s">
        <v>222</v>
      </c>
      <c r="L58" s="12" t="s">
        <v>1101</v>
      </c>
      <c r="M58" s="12"/>
      <c r="N58" s="12" t="s">
        <v>72</v>
      </c>
      <c r="O58" s="12" t="s">
        <v>1104</v>
      </c>
      <c r="P58" s="13"/>
      <c r="Q58" s="12"/>
      <c r="R58" s="12" t="s">
        <v>1124</v>
      </c>
    </row>
    <row r="59" ht="15.75" customHeight="1">
      <c r="A59" s="12" t="s">
        <v>1414</v>
      </c>
      <c r="B59" s="12" t="s">
        <v>1416</v>
      </c>
      <c r="C59" s="12" t="s">
        <v>1358</v>
      </c>
      <c r="D59" s="12"/>
      <c r="E59" s="13"/>
      <c r="F59" s="12" t="s">
        <v>222</v>
      </c>
      <c r="G59" s="12" t="s">
        <v>222</v>
      </c>
      <c r="H59" s="12"/>
      <c r="I59" s="12"/>
      <c r="J59" s="12"/>
      <c r="K59" s="12" t="s">
        <v>222</v>
      </c>
      <c r="L59" s="12" t="s">
        <v>1101</v>
      </c>
      <c r="M59" s="12"/>
      <c r="N59" s="12" t="s">
        <v>72</v>
      </c>
      <c r="O59" s="12" t="s">
        <v>1104</v>
      </c>
      <c r="P59" s="13"/>
      <c r="Q59" s="12"/>
      <c r="R59" s="12" t="s">
        <v>1118</v>
      </c>
    </row>
    <row r="60" ht="15.75" customHeight="1">
      <c r="A60" s="12" t="s">
        <v>1426</v>
      </c>
      <c r="B60" s="12" t="s">
        <v>1427</v>
      </c>
      <c r="C60" s="12" t="s">
        <v>1358</v>
      </c>
      <c r="D60" s="12" t="s">
        <v>1121</v>
      </c>
      <c r="E60" s="13"/>
      <c r="F60" s="12" t="s">
        <v>222</v>
      </c>
      <c r="G60" s="12" t="s">
        <v>222</v>
      </c>
      <c r="H60" s="12"/>
      <c r="I60" s="12"/>
      <c r="J60" s="12"/>
      <c r="K60" s="12" t="s">
        <v>222</v>
      </c>
      <c r="L60" s="12" t="s">
        <v>1101</v>
      </c>
      <c r="M60" s="12"/>
      <c r="N60" s="12" t="s">
        <v>72</v>
      </c>
      <c r="O60" s="12" t="s">
        <v>1104</v>
      </c>
      <c r="P60" s="13"/>
      <c r="Q60" s="12"/>
      <c r="R60" s="12" t="s">
        <v>1124</v>
      </c>
    </row>
    <row r="61" ht="15.75" customHeight="1">
      <c r="A61" s="12" t="s">
        <v>1441</v>
      </c>
      <c r="B61" s="12" t="s">
        <v>1442</v>
      </c>
      <c r="C61" s="12" t="s">
        <v>1358</v>
      </c>
      <c r="D61" s="12" t="s">
        <v>1098</v>
      </c>
      <c r="E61" s="13"/>
      <c r="F61" s="12" t="s">
        <v>222</v>
      </c>
      <c r="G61" s="12" t="s">
        <v>222</v>
      </c>
      <c r="H61" s="12"/>
      <c r="I61" s="12"/>
      <c r="J61" s="12"/>
      <c r="K61" s="12" t="s">
        <v>222</v>
      </c>
      <c r="L61" s="12" t="s">
        <v>1101</v>
      </c>
      <c r="M61" s="12"/>
      <c r="N61" s="12" t="s">
        <v>72</v>
      </c>
      <c r="O61" s="12" t="s">
        <v>1104</v>
      </c>
      <c r="P61" s="13"/>
      <c r="Q61" s="12"/>
      <c r="R61" s="12" t="s">
        <v>1105</v>
      </c>
    </row>
    <row r="62" ht="15.75" customHeight="1">
      <c r="A62" s="12" t="s">
        <v>1454</v>
      </c>
      <c r="B62" s="12" t="s">
        <v>1456</v>
      </c>
      <c r="C62" s="12" t="s">
        <v>1358</v>
      </c>
      <c r="D62" s="12" t="s">
        <v>1121</v>
      </c>
      <c r="E62" s="13"/>
      <c r="F62" s="12" t="s">
        <v>222</v>
      </c>
      <c r="G62" s="12" t="s">
        <v>222</v>
      </c>
      <c r="H62" s="12"/>
      <c r="I62" s="12"/>
      <c r="J62" s="12"/>
      <c r="K62" s="12" t="s">
        <v>222</v>
      </c>
      <c r="L62" s="12" t="s">
        <v>1101</v>
      </c>
      <c r="M62" s="12"/>
      <c r="N62" s="12" t="s">
        <v>72</v>
      </c>
      <c r="O62" s="12" t="s">
        <v>1104</v>
      </c>
      <c r="P62" s="13"/>
      <c r="Q62" s="12"/>
      <c r="R62" s="12" t="s">
        <v>1124</v>
      </c>
    </row>
    <row r="63" ht="15.75" customHeight="1">
      <c r="A63" s="12" t="s">
        <v>1471</v>
      </c>
      <c r="B63" s="12" t="s">
        <v>1472</v>
      </c>
      <c r="C63" s="12" t="s">
        <v>1358</v>
      </c>
      <c r="D63" s="12" t="s">
        <v>1108</v>
      </c>
      <c r="E63" s="13"/>
      <c r="F63" s="12" t="s">
        <v>222</v>
      </c>
      <c r="G63" s="12" t="s">
        <v>222</v>
      </c>
      <c r="H63" s="12"/>
      <c r="I63" s="12"/>
      <c r="J63" s="12"/>
      <c r="K63" s="12" t="s">
        <v>222</v>
      </c>
      <c r="L63" s="12" t="s">
        <v>1101</v>
      </c>
      <c r="M63" s="12"/>
      <c r="N63" s="12" t="s">
        <v>72</v>
      </c>
      <c r="O63" s="12" t="s">
        <v>1104</v>
      </c>
      <c r="P63" s="13"/>
      <c r="Q63" s="12"/>
      <c r="R63" s="12" t="s">
        <v>1113</v>
      </c>
    </row>
    <row r="64" ht="15.75" customHeight="1">
      <c r="A64" s="12" t="s">
        <v>1488</v>
      </c>
      <c r="B64" s="12" t="s">
        <v>1489</v>
      </c>
      <c r="C64" s="12" t="s">
        <v>1358</v>
      </c>
      <c r="D64" s="12"/>
      <c r="E64" s="13"/>
      <c r="F64" s="12" t="s">
        <v>222</v>
      </c>
      <c r="G64" s="12" t="s">
        <v>222</v>
      </c>
      <c r="H64" s="12"/>
      <c r="I64" s="12"/>
      <c r="J64" s="12"/>
      <c r="K64" s="12" t="s">
        <v>222</v>
      </c>
      <c r="L64" s="12" t="s">
        <v>1101</v>
      </c>
      <c r="M64" s="12"/>
      <c r="N64" s="12" t="s">
        <v>72</v>
      </c>
      <c r="O64" s="12" t="s">
        <v>1104</v>
      </c>
      <c r="P64" s="13"/>
      <c r="Q64" s="12"/>
      <c r="R64" s="12" t="s">
        <v>1118</v>
      </c>
    </row>
    <row r="65" ht="15.75" customHeight="1">
      <c r="A65" s="12" t="s">
        <v>1498</v>
      </c>
      <c r="B65" s="12" t="s">
        <v>1500</v>
      </c>
      <c r="C65" s="12" t="s">
        <v>1502</v>
      </c>
      <c r="D65" s="12"/>
      <c r="E65" s="13"/>
      <c r="F65" s="12" t="s">
        <v>222</v>
      </c>
      <c r="G65" s="12" t="s">
        <v>222</v>
      </c>
      <c r="H65" s="12"/>
      <c r="I65" s="12"/>
      <c r="J65" s="12"/>
      <c r="K65" s="12" t="s">
        <v>222</v>
      </c>
      <c r="L65" s="12" t="s">
        <v>1101</v>
      </c>
      <c r="M65" s="12"/>
      <c r="N65" s="12" t="s">
        <v>72</v>
      </c>
      <c r="O65" s="12" t="s">
        <v>1104</v>
      </c>
      <c r="P65" s="13"/>
      <c r="Q65" s="12"/>
      <c r="R65" s="12" t="s">
        <v>1118</v>
      </c>
    </row>
    <row r="66" ht="15.75" customHeight="1">
      <c r="A66" s="12" t="s">
        <v>1505</v>
      </c>
      <c r="B66" s="12" t="s">
        <v>1506</v>
      </c>
      <c r="C66" s="12" t="s">
        <v>1502</v>
      </c>
      <c r="D66" s="12" t="s">
        <v>1098</v>
      </c>
      <c r="E66" s="13"/>
      <c r="F66" s="12" t="s">
        <v>222</v>
      </c>
      <c r="G66" s="12" t="s">
        <v>222</v>
      </c>
      <c r="H66" s="12"/>
      <c r="I66" s="12"/>
      <c r="J66" s="12"/>
      <c r="K66" s="12" t="s">
        <v>222</v>
      </c>
      <c r="L66" s="12" t="s">
        <v>1101</v>
      </c>
      <c r="M66" s="12"/>
      <c r="N66" s="12" t="s">
        <v>72</v>
      </c>
      <c r="O66" s="12" t="s">
        <v>1104</v>
      </c>
      <c r="P66" s="13"/>
      <c r="Q66" s="12"/>
      <c r="R66" s="12" t="s">
        <v>1105</v>
      </c>
    </row>
    <row r="67" ht="15.75" customHeight="1">
      <c r="A67" s="12" t="s">
        <v>1509</v>
      </c>
      <c r="B67" s="12" t="s">
        <v>1510</v>
      </c>
      <c r="C67" s="12" t="s">
        <v>1502</v>
      </c>
      <c r="D67" s="12" t="s">
        <v>1108</v>
      </c>
      <c r="E67" s="13"/>
      <c r="F67" s="12" t="s">
        <v>222</v>
      </c>
      <c r="G67" s="12" t="s">
        <v>222</v>
      </c>
      <c r="H67" s="12"/>
      <c r="I67" s="12"/>
      <c r="J67" s="12"/>
      <c r="K67" s="12" t="s">
        <v>222</v>
      </c>
      <c r="L67" s="12" t="s">
        <v>1101</v>
      </c>
      <c r="M67" s="12"/>
      <c r="N67" s="12" t="s">
        <v>72</v>
      </c>
      <c r="O67" s="12" t="s">
        <v>1104</v>
      </c>
      <c r="P67" s="13"/>
      <c r="Q67" s="12"/>
      <c r="R67" s="12" t="s">
        <v>1113</v>
      </c>
    </row>
    <row r="68" ht="15.75" customHeight="1">
      <c r="A68" s="12" t="s">
        <v>1513</v>
      </c>
      <c r="B68" s="12" t="s">
        <v>1514</v>
      </c>
      <c r="C68" s="12" t="s">
        <v>1502</v>
      </c>
      <c r="D68" s="12" t="s">
        <v>1121</v>
      </c>
      <c r="E68" s="13"/>
      <c r="F68" s="12" t="s">
        <v>222</v>
      </c>
      <c r="G68" s="12" t="s">
        <v>222</v>
      </c>
      <c r="H68" s="12"/>
      <c r="I68" s="12"/>
      <c r="J68" s="12"/>
      <c r="K68" s="12" t="s">
        <v>222</v>
      </c>
      <c r="L68" s="12" t="s">
        <v>1101</v>
      </c>
      <c r="M68" s="12"/>
      <c r="N68" s="12" t="s">
        <v>72</v>
      </c>
      <c r="O68" s="12" t="s">
        <v>1104</v>
      </c>
      <c r="P68" s="13"/>
      <c r="Q68" s="12"/>
      <c r="R68" s="12" t="s">
        <v>1124</v>
      </c>
    </row>
    <row r="69" ht="15.75" customHeight="1">
      <c r="A69" s="12" t="s">
        <v>1517</v>
      </c>
      <c r="B69" s="12" t="s">
        <v>1518</v>
      </c>
      <c r="C69" s="12" t="s">
        <v>1502</v>
      </c>
      <c r="D69" s="12" t="s">
        <v>1121</v>
      </c>
      <c r="E69" s="13"/>
      <c r="F69" s="12" t="s">
        <v>222</v>
      </c>
      <c r="G69" s="12" t="s">
        <v>222</v>
      </c>
      <c r="H69" s="12"/>
      <c r="I69" s="12"/>
      <c r="J69" s="12"/>
      <c r="K69" s="12" t="s">
        <v>222</v>
      </c>
      <c r="L69" s="12" t="s">
        <v>1101</v>
      </c>
      <c r="M69" s="12"/>
      <c r="N69" s="12" t="s">
        <v>72</v>
      </c>
      <c r="O69" s="12" t="s">
        <v>1104</v>
      </c>
      <c r="P69" s="13"/>
      <c r="Q69" s="12"/>
      <c r="R69" s="12" t="s">
        <v>1124</v>
      </c>
    </row>
    <row r="70" ht="15.75" customHeight="1">
      <c r="A70" s="12" t="s">
        <v>1521</v>
      </c>
      <c r="B70" s="12" t="s">
        <v>1523</v>
      </c>
      <c r="C70" s="12" t="s">
        <v>1502</v>
      </c>
      <c r="D70" s="12" t="s">
        <v>1098</v>
      </c>
      <c r="E70" s="13"/>
      <c r="F70" s="12" t="s">
        <v>222</v>
      </c>
      <c r="G70" s="12" t="s">
        <v>222</v>
      </c>
      <c r="H70" s="12"/>
      <c r="I70" s="12"/>
      <c r="J70" s="12"/>
      <c r="K70" s="12" t="s">
        <v>222</v>
      </c>
      <c r="L70" s="12" t="s">
        <v>1101</v>
      </c>
      <c r="M70" s="12"/>
      <c r="N70" s="12" t="s">
        <v>72</v>
      </c>
      <c r="O70" s="12" t="s">
        <v>1104</v>
      </c>
      <c r="P70" s="13"/>
      <c r="Q70" s="12"/>
      <c r="R70" s="12" t="s">
        <v>1105</v>
      </c>
    </row>
    <row r="71" ht="15.75" customHeight="1">
      <c r="A71" s="12" t="s">
        <v>1528</v>
      </c>
      <c r="B71" s="12" t="s">
        <v>1529</v>
      </c>
      <c r="C71" s="12" t="s">
        <v>1502</v>
      </c>
      <c r="D71" s="12" t="s">
        <v>1108</v>
      </c>
      <c r="E71" s="13"/>
      <c r="F71" s="12" t="s">
        <v>222</v>
      </c>
      <c r="G71" s="12" t="s">
        <v>222</v>
      </c>
      <c r="H71" s="12"/>
      <c r="I71" s="12"/>
      <c r="J71" s="12"/>
      <c r="K71" s="12" t="s">
        <v>222</v>
      </c>
      <c r="L71" s="12" t="s">
        <v>1101</v>
      </c>
      <c r="M71" s="12"/>
      <c r="N71" s="12" t="s">
        <v>72</v>
      </c>
      <c r="O71" s="12" t="s">
        <v>1104</v>
      </c>
      <c r="P71" s="13"/>
      <c r="Q71" s="12"/>
      <c r="R71" s="12" t="s">
        <v>1113</v>
      </c>
    </row>
    <row r="72" ht="15.75" customHeight="1">
      <c r="A72" s="12" t="s">
        <v>1532</v>
      </c>
      <c r="B72" s="12" t="s">
        <v>1533</v>
      </c>
      <c r="C72" s="12" t="s">
        <v>1502</v>
      </c>
      <c r="D72" s="12"/>
      <c r="E72" s="13"/>
      <c r="F72" s="12" t="s">
        <v>222</v>
      </c>
      <c r="G72" s="12" t="s">
        <v>222</v>
      </c>
      <c r="H72" s="12"/>
      <c r="I72" s="12"/>
      <c r="J72" s="12"/>
      <c r="K72" s="12" t="s">
        <v>222</v>
      </c>
      <c r="L72" s="12" t="s">
        <v>1101</v>
      </c>
      <c r="M72" s="12"/>
      <c r="N72" s="12" t="s">
        <v>72</v>
      </c>
      <c r="O72" s="12" t="s">
        <v>1104</v>
      </c>
      <c r="P72" s="13"/>
      <c r="Q72" s="12"/>
      <c r="R72" s="12" t="s">
        <v>1118</v>
      </c>
    </row>
    <row r="73" ht="15.75" customHeight="1">
      <c r="A73" s="12" t="s">
        <v>1540</v>
      </c>
      <c r="B73" s="12" t="s">
        <v>1541</v>
      </c>
      <c r="C73" s="12" t="s">
        <v>1502</v>
      </c>
      <c r="D73" s="12"/>
      <c r="E73" s="13"/>
      <c r="F73" s="12" t="s">
        <v>222</v>
      </c>
      <c r="G73" s="12" t="s">
        <v>222</v>
      </c>
      <c r="H73" s="12"/>
      <c r="I73" s="12"/>
      <c r="J73" s="12"/>
      <c r="K73" s="12" t="s">
        <v>222</v>
      </c>
      <c r="L73" s="12" t="s">
        <v>1101</v>
      </c>
      <c r="M73" s="12"/>
      <c r="N73" s="12" t="s">
        <v>72</v>
      </c>
      <c r="O73" s="12" t="s">
        <v>1104</v>
      </c>
      <c r="P73" s="13"/>
      <c r="Q73" s="12"/>
      <c r="R73" s="12" t="s">
        <v>1118</v>
      </c>
    </row>
    <row r="74" ht="15.75" customHeight="1">
      <c r="A74" s="12" t="s">
        <v>1546</v>
      </c>
      <c r="B74" s="12" t="s">
        <v>1547</v>
      </c>
      <c r="C74" s="12" t="s">
        <v>1502</v>
      </c>
      <c r="D74" s="12" t="s">
        <v>1098</v>
      </c>
      <c r="E74" s="13"/>
      <c r="F74" s="12" t="s">
        <v>222</v>
      </c>
      <c r="G74" s="12" t="s">
        <v>222</v>
      </c>
      <c r="H74" s="12"/>
      <c r="I74" s="12"/>
      <c r="J74" s="12"/>
      <c r="K74" s="12" t="s">
        <v>222</v>
      </c>
      <c r="L74" s="12" t="s">
        <v>1101</v>
      </c>
      <c r="M74" s="12"/>
      <c r="N74" s="12" t="s">
        <v>72</v>
      </c>
      <c r="O74" s="12" t="s">
        <v>1104</v>
      </c>
      <c r="P74" s="13"/>
      <c r="Q74" s="12"/>
      <c r="R74" s="12" t="s">
        <v>1105</v>
      </c>
    </row>
    <row r="75" ht="15.75" customHeight="1">
      <c r="A75" s="12" t="s">
        <v>1552</v>
      </c>
      <c r="B75" s="12" t="s">
        <v>1553</v>
      </c>
      <c r="C75" s="12" t="s">
        <v>1555</v>
      </c>
      <c r="D75" s="12"/>
      <c r="E75" s="13"/>
      <c r="F75" s="12" t="s">
        <v>222</v>
      </c>
      <c r="G75" s="12" t="s">
        <v>222</v>
      </c>
      <c r="H75" s="12"/>
      <c r="I75" s="12"/>
      <c r="J75" s="12"/>
      <c r="K75" s="12" t="s">
        <v>222</v>
      </c>
      <c r="L75" s="12" t="s">
        <v>1101</v>
      </c>
      <c r="M75" s="12"/>
      <c r="N75" s="12" t="s">
        <v>72</v>
      </c>
      <c r="O75" s="12" t="s">
        <v>1104</v>
      </c>
      <c r="P75" s="13"/>
      <c r="Q75" s="12"/>
      <c r="R75" s="12" t="s">
        <v>1118</v>
      </c>
    </row>
    <row r="76" ht="15.75" customHeight="1">
      <c r="A76" s="12" t="s">
        <v>1569</v>
      </c>
      <c r="B76" s="12" t="s">
        <v>1571</v>
      </c>
      <c r="C76" s="12" t="s">
        <v>1555</v>
      </c>
      <c r="D76" s="12" t="s">
        <v>1098</v>
      </c>
      <c r="E76" s="13"/>
      <c r="F76" s="12" t="s">
        <v>222</v>
      </c>
      <c r="G76" s="12" t="s">
        <v>222</v>
      </c>
      <c r="H76" s="12"/>
      <c r="I76" s="12"/>
      <c r="J76" s="12"/>
      <c r="K76" s="12" t="s">
        <v>222</v>
      </c>
      <c r="L76" s="12" t="s">
        <v>1101</v>
      </c>
      <c r="M76" s="12"/>
      <c r="N76" s="12" t="s">
        <v>72</v>
      </c>
      <c r="O76" s="12" t="s">
        <v>1104</v>
      </c>
      <c r="P76" s="13"/>
      <c r="Q76" s="12"/>
      <c r="R76" s="12" t="s">
        <v>1105</v>
      </c>
    </row>
    <row r="77" ht="15.75" customHeight="1">
      <c r="A77" s="12" t="s">
        <v>1581</v>
      </c>
      <c r="B77" s="12" t="s">
        <v>1582</v>
      </c>
      <c r="C77" s="12" t="s">
        <v>1555</v>
      </c>
      <c r="D77" s="12" t="s">
        <v>1121</v>
      </c>
      <c r="E77" s="13"/>
      <c r="F77" s="12" t="s">
        <v>222</v>
      </c>
      <c r="G77" s="12" t="s">
        <v>222</v>
      </c>
      <c r="H77" s="12"/>
      <c r="I77" s="12"/>
      <c r="J77" s="12"/>
      <c r="K77" s="12" t="s">
        <v>222</v>
      </c>
      <c r="L77" s="12" t="s">
        <v>1101</v>
      </c>
      <c r="M77" s="12"/>
      <c r="N77" s="12" t="s">
        <v>72</v>
      </c>
      <c r="O77" s="12" t="s">
        <v>1104</v>
      </c>
      <c r="P77" s="13"/>
      <c r="Q77" s="12"/>
      <c r="R77" s="12" t="s">
        <v>1124</v>
      </c>
    </row>
    <row r="78" ht="15.75" customHeight="1">
      <c r="A78" s="12" t="s">
        <v>1585</v>
      </c>
      <c r="B78" s="12" t="s">
        <v>1586</v>
      </c>
      <c r="C78" s="12" t="s">
        <v>1555</v>
      </c>
      <c r="D78" s="12"/>
      <c r="E78" s="13"/>
      <c r="F78" s="12" t="s">
        <v>222</v>
      </c>
      <c r="G78" s="12" t="s">
        <v>222</v>
      </c>
      <c r="H78" s="12"/>
      <c r="I78" s="12"/>
      <c r="J78" s="12"/>
      <c r="K78" s="12" t="s">
        <v>222</v>
      </c>
      <c r="L78" s="12" t="s">
        <v>1101</v>
      </c>
      <c r="M78" s="12"/>
      <c r="N78" s="12" t="s">
        <v>72</v>
      </c>
      <c r="O78" s="12" t="s">
        <v>1104</v>
      </c>
      <c r="P78" s="13"/>
      <c r="Q78" s="12"/>
      <c r="R78" s="12" t="s">
        <v>1118</v>
      </c>
    </row>
    <row r="79" ht="15.75" customHeight="1">
      <c r="A79" s="12" t="s">
        <v>1599</v>
      </c>
      <c r="B79" s="12" t="s">
        <v>1601</v>
      </c>
      <c r="C79" s="12" t="s">
        <v>1555</v>
      </c>
      <c r="D79" s="12" t="s">
        <v>1108</v>
      </c>
      <c r="E79" s="13"/>
      <c r="F79" s="12" t="s">
        <v>222</v>
      </c>
      <c r="G79" s="12" t="s">
        <v>222</v>
      </c>
      <c r="H79" s="12"/>
      <c r="I79" s="12"/>
      <c r="J79" s="12"/>
      <c r="K79" s="12" t="s">
        <v>222</v>
      </c>
      <c r="L79" s="12" t="s">
        <v>1101</v>
      </c>
      <c r="M79" s="12"/>
      <c r="N79" s="12" t="s">
        <v>72</v>
      </c>
      <c r="O79" s="12" t="s">
        <v>1104</v>
      </c>
      <c r="P79" s="13"/>
      <c r="Q79" s="12"/>
      <c r="R79" s="12" t="s">
        <v>1113</v>
      </c>
    </row>
    <row r="80" ht="15.75" customHeight="1">
      <c r="A80" s="12" t="s">
        <v>1608</v>
      </c>
      <c r="B80" s="12" t="s">
        <v>1609</v>
      </c>
      <c r="C80" s="12" t="s">
        <v>1555</v>
      </c>
      <c r="D80" s="12" t="s">
        <v>1098</v>
      </c>
      <c r="E80" s="13"/>
      <c r="F80" s="12" t="s">
        <v>222</v>
      </c>
      <c r="G80" s="12" t="s">
        <v>222</v>
      </c>
      <c r="H80" s="12"/>
      <c r="I80" s="12"/>
      <c r="J80" s="12"/>
      <c r="K80" s="12" t="s">
        <v>222</v>
      </c>
      <c r="L80" s="12" t="s">
        <v>1101</v>
      </c>
      <c r="M80" s="12"/>
      <c r="N80" s="12" t="s">
        <v>72</v>
      </c>
      <c r="O80" s="12" t="s">
        <v>1104</v>
      </c>
      <c r="P80" s="13"/>
      <c r="Q80" s="12"/>
      <c r="R80" s="12" t="s">
        <v>1105</v>
      </c>
    </row>
    <row r="81" ht="15.75" customHeight="1">
      <c r="A81" s="12" t="s">
        <v>1619</v>
      </c>
      <c r="B81" s="12" t="s">
        <v>1621</v>
      </c>
      <c r="C81" s="12" t="s">
        <v>1555</v>
      </c>
      <c r="D81" s="12"/>
      <c r="E81" s="13"/>
      <c r="F81" s="12" t="s">
        <v>222</v>
      </c>
      <c r="G81" s="12" t="s">
        <v>222</v>
      </c>
      <c r="H81" s="12"/>
      <c r="I81" s="12"/>
      <c r="J81" s="12"/>
      <c r="K81" s="12" t="s">
        <v>222</v>
      </c>
      <c r="L81" s="12" t="s">
        <v>1101</v>
      </c>
      <c r="M81" s="12"/>
      <c r="N81" s="12" t="s">
        <v>72</v>
      </c>
      <c r="O81" s="12" t="s">
        <v>1104</v>
      </c>
      <c r="P81" s="13"/>
      <c r="Q81" s="12"/>
      <c r="R81" s="12" t="s">
        <v>1118</v>
      </c>
    </row>
    <row r="82" ht="15.75" customHeight="1">
      <c r="A82" s="12" t="s">
        <v>1630</v>
      </c>
      <c r="B82" s="12" t="s">
        <v>1631</v>
      </c>
      <c r="C82" s="12" t="s">
        <v>1555</v>
      </c>
      <c r="D82" s="12" t="s">
        <v>1098</v>
      </c>
      <c r="E82" s="13"/>
      <c r="F82" s="12" t="s">
        <v>222</v>
      </c>
      <c r="G82" s="12" t="s">
        <v>222</v>
      </c>
      <c r="H82" s="12"/>
      <c r="I82" s="12"/>
      <c r="J82" s="12"/>
      <c r="K82" s="12" t="s">
        <v>222</v>
      </c>
      <c r="L82" s="12" t="s">
        <v>1101</v>
      </c>
      <c r="M82" s="12"/>
      <c r="N82" s="12" t="s">
        <v>72</v>
      </c>
      <c r="O82" s="12" t="s">
        <v>1104</v>
      </c>
      <c r="P82" s="13"/>
      <c r="Q82" s="12"/>
      <c r="R82" s="12" t="s">
        <v>1105</v>
      </c>
    </row>
    <row r="83" ht="15.75" customHeight="1">
      <c r="A83" s="12" t="s">
        <v>1652</v>
      </c>
      <c r="B83" s="12" t="s">
        <v>1654</v>
      </c>
      <c r="C83" s="12" t="s">
        <v>1555</v>
      </c>
      <c r="D83" s="12" t="s">
        <v>1121</v>
      </c>
      <c r="E83" s="13"/>
      <c r="F83" s="12" t="s">
        <v>222</v>
      </c>
      <c r="G83" s="12" t="s">
        <v>222</v>
      </c>
      <c r="H83" s="12"/>
      <c r="I83" s="12"/>
      <c r="J83" s="12"/>
      <c r="K83" s="12" t="s">
        <v>222</v>
      </c>
      <c r="L83" s="12" t="s">
        <v>1101</v>
      </c>
      <c r="M83" s="12"/>
      <c r="N83" s="12" t="s">
        <v>72</v>
      </c>
      <c r="O83" s="12" t="s">
        <v>1104</v>
      </c>
      <c r="P83" s="13"/>
      <c r="Q83" s="12"/>
      <c r="R83" s="12" t="s">
        <v>1124</v>
      </c>
    </row>
    <row r="84" ht="15.75" customHeight="1">
      <c r="A84" s="12" t="s">
        <v>1666</v>
      </c>
      <c r="B84" s="12" t="s">
        <v>1667</v>
      </c>
      <c r="C84" s="12" t="s">
        <v>1555</v>
      </c>
      <c r="D84" s="12"/>
      <c r="E84" s="13"/>
      <c r="F84" s="12" t="s">
        <v>222</v>
      </c>
      <c r="G84" s="12" t="s">
        <v>222</v>
      </c>
      <c r="H84" s="12"/>
      <c r="I84" s="12"/>
      <c r="J84" s="12"/>
      <c r="K84" s="12" t="s">
        <v>222</v>
      </c>
      <c r="L84" s="12" t="s">
        <v>1101</v>
      </c>
      <c r="M84" s="12"/>
      <c r="N84" s="12" t="s">
        <v>72</v>
      </c>
      <c r="O84" s="12" t="s">
        <v>1104</v>
      </c>
      <c r="P84" s="13"/>
      <c r="Q84" s="12"/>
      <c r="R84" s="12" t="s">
        <v>1118</v>
      </c>
    </row>
    <row r="85" ht="15.75" customHeight="1">
      <c r="A85" s="12"/>
      <c r="B85" s="12"/>
      <c r="C85" s="12"/>
      <c r="D85" s="12"/>
      <c r="E85" s="13"/>
      <c r="F85" s="12"/>
      <c r="G85" s="12"/>
      <c r="H85" s="12"/>
      <c r="I85" s="12"/>
      <c r="J85" s="12"/>
      <c r="K85" s="12"/>
      <c r="L85" s="12"/>
      <c r="M85" s="12"/>
      <c r="N85" s="12"/>
      <c r="O85" s="12"/>
      <c r="P85" s="13"/>
      <c r="Q85" s="12"/>
      <c r="R85" s="12"/>
    </row>
    <row r="86" ht="15.75" customHeight="1">
      <c r="A86" s="12"/>
      <c r="B86" s="12"/>
      <c r="C86" s="12"/>
      <c r="D86" s="12"/>
      <c r="E86" s="13"/>
      <c r="F86" s="12"/>
      <c r="G86" s="12"/>
      <c r="H86" s="12"/>
      <c r="I86" s="12"/>
      <c r="J86" s="12"/>
      <c r="K86" s="12"/>
      <c r="L86" s="12"/>
      <c r="M86" s="12"/>
      <c r="N86" s="12"/>
      <c r="O86" s="12"/>
      <c r="P86" s="13"/>
      <c r="Q86" s="12"/>
      <c r="R86" s="12"/>
    </row>
    <row r="87" ht="15.75" customHeight="1">
      <c r="A87" s="12"/>
      <c r="B87" s="12"/>
      <c r="C87" s="12"/>
      <c r="D87" s="12"/>
      <c r="E87" s="13"/>
      <c r="F87" s="12"/>
      <c r="G87" s="12"/>
      <c r="H87" s="12"/>
      <c r="I87" s="12"/>
      <c r="J87" s="12"/>
      <c r="K87" s="12"/>
      <c r="L87" s="12"/>
      <c r="M87" s="12"/>
      <c r="N87" s="12"/>
      <c r="O87" s="12"/>
      <c r="P87" s="13"/>
      <c r="Q87" s="12"/>
      <c r="R87" s="12"/>
    </row>
    <row r="88" ht="15.75" customHeight="1">
      <c r="A88" s="12"/>
      <c r="B88" s="12"/>
      <c r="C88" s="12"/>
      <c r="D88" s="12"/>
      <c r="E88" s="13"/>
      <c r="F88" s="12"/>
      <c r="G88" s="12"/>
      <c r="H88" s="12"/>
      <c r="I88" s="12"/>
      <c r="J88" s="12"/>
      <c r="K88" s="12"/>
      <c r="L88" s="12"/>
      <c r="M88" s="12"/>
      <c r="N88" s="12"/>
      <c r="O88" s="12"/>
      <c r="P88" s="13"/>
      <c r="Q88" s="12"/>
      <c r="R88" s="12"/>
    </row>
    <row r="89" ht="15.75" customHeight="1">
      <c r="A89" s="12"/>
      <c r="B89" s="12"/>
      <c r="C89" s="12"/>
      <c r="D89" s="12"/>
      <c r="E89" s="13"/>
      <c r="F89" s="12"/>
      <c r="G89" s="12"/>
      <c r="H89" s="12"/>
      <c r="I89" s="12"/>
      <c r="J89" s="12"/>
      <c r="K89" s="12"/>
      <c r="L89" s="12"/>
      <c r="M89" s="12"/>
      <c r="N89" s="12"/>
      <c r="O89" s="12"/>
      <c r="P89" s="13"/>
      <c r="Q89" s="12"/>
      <c r="R89" s="12"/>
    </row>
    <row r="90" ht="15.75" customHeight="1">
      <c r="A90" s="12"/>
      <c r="B90" s="12"/>
      <c r="C90" s="12"/>
      <c r="D90" s="12"/>
      <c r="E90" s="13"/>
      <c r="F90" s="12"/>
      <c r="G90" s="12"/>
      <c r="H90" s="12"/>
      <c r="I90" s="12"/>
      <c r="J90" s="12"/>
      <c r="K90" s="12"/>
      <c r="L90" s="12"/>
      <c r="M90" s="12"/>
      <c r="N90" s="12"/>
      <c r="O90" s="12"/>
      <c r="P90" s="13"/>
      <c r="Q90" s="12"/>
      <c r="R90" s="12"/>
    </row>
    <row r="91" ht="15.75" customHeight="1">
      <c r="A91" s="12"/>
      <c r="B91" s="12"/>
      <c r="C91" s="12"/>
      <c r="D91" s="12"/>
      <c r="E91" s="13"/>
      <c r="F91" s="12"/>
      <c r="G91" s="12"/>
      <c r="H91" s="12"/>
      <c r="I91" s="12"/>
      <c r="J91" s="12"/>
      <c r="K91" s="12"/>
      <c r="L91" s="12"/>
      <c r="M91" s="12"/>
      <c r="N91" s="12"/>
      <c r="O91" s="12"/>
      <c r="P91" s="13"/>
      <c r="Q91" s="12"/>
      <c r="R91" s="12"/>
    </row>
    <row r="92" ht="15.75" customHeight="1">
      <c r="A92" s="12"/>
      <c r="B92" s="12"/>
      <c r="C92" s="12"/>
      <c r="D92" s="12"/>
      <c r="E92" s="13"/>
      <c r="F92" s="12"/>
      <c r="G92" s="12"/>
      <c r="H92" s="12"/>
      <c r="I92" s="12"/>
      <c r="J92" s="12"/>
      <c r="K92" s="12"/>
      <c r="L92" s="12"/>
      <c r="M92" s="12"/>
      <c r="N92" s="12"/>
      <c r="O92" s="12"/>
      <c r="P92" s="13"/>
      <c r="Q92" s="12"/>
      <c r="R92" s="12"/>
    </row>
    <row r="93" ht="15.75" customHeight="1">
      <c r="A93" s="12"/>
      <c r="B93" s="12"/>
      <c r="C93" s="12"/>
      <c r="D93" s="12"/>
      <c r="E93" s="13"/>
      <c r="F93" s="12"/>
      <c r="G93" s="12"/>
      <c r="H93" s="12"/>
      <c r="I93" s="12"/>
      <c r="J93" s="12"/>
      <c r="K93" s="12"/>
      <c r="L93" s="12"/>
      <c r="M93" s="12"/>
      <c r="N93" s="12"/>
      <c r="O93" s="12"/>
      <c r="P93" s="13"/>
      <c r="Q93" s="12"/>
      <c r="R93" s="12"/>
    </row>
    <row r="94" ht="15.75" customHeight="1">
      <c r="A94" s="12"/>
      <c r="B94" s="12"/>
      <c r="C94" s="12"/>
      <c r="D94" s="12"/>
      <c r="E94" s="13"/>
      <c r="F94" s="12"/>
      <c r="G94" s="12"/>
      <c r="H94" s="12"/>
      <c r="I94" s="12"/>
      <c r="J94" s="12"/>
      <c r="K94" s="12"/>
      <c r="L94" s="12"/>
      <c r="M94" s="12"/>
      <c r="N94" s="12"/>
      <c r="O94" s="12"/>
      <c r="P94" s="13"/>
      <c r="Q94" s="12"/>
      <c r="R94" s="12"/>
    </row>
    <row r="95" ht="15.75" customHeight="1">
      <c r="A95" s="12"/>
      <c r="B95" s="12"/>
      <c r="C95" s="12"/>
      <c r="D95" s="12"/>
      <c r="E95" s="13"/>
      <c r="F95" s="12"/>
      <c r="G95" s="12"/>
      <c r="H95" s="12"/>
      <c r="I95" s="12"/>
      <c r="J95" s="12"/>
      <c r="K95" s="12"/>
      <c r="L95" s="12"/>
      <c r="M95" s="12"/>
      <c r="N95" s="12"/>
      <c r="O95" s="12"/>
      <c r="P95" s="13"/>
      <c r="Q95" s="12"/>
      <c r="R95" s="12"/>
    </row>
    <row r="96" ht="15.75" customHeight="1">
      <c r="A96" s="12"/>
      <c r="B96" s="12"/>
      <c r="C96" s="12"/>
      <c r="D96" s="12"/>
      <c r="E96" s="13"/>
      <c r="F96" s="12"/>
      <c r="G96" s="12"/>
      <c r="H96" s="12"/>
      <c r="I96" s="12"/>
      <c r="J96" s="12"/>
      <c r="K96" s="12"/>
      <c r="L96" s="12"/>
      <c r="M96" s="12"/>
      <c r="N96" s="12"/>
      <c r="O96" s="12"/>
      <c r="P96" s="13"/>
      <c r="Q96" s="12"/>
      <c r="R96" s="12"/>
    </row>
    <row r="97" ht="15.75" customHeight="1">
      <c r="A97" s="12"/>
      <c r="B97" s="12"/>
      <c r="C97" s="12"/>
      <c r="D97" s="12"/>
      <c r="E97" s="13"/>
      <c r="F97" s="12"/>
      <c r="G97" s="12"/>
      <c r="H97" s="12"/>
      <c r="I97" s="12"/>
      <c r="J97" s="12"/>
      <c r="K97" s="12"/>
      <c r="L97" s="12"/>
      <c r="M97" s="12"/>
      <c r="N97" s="12"/>
      <c r="O97" s="12"/>
      <c r="P97" s="13"/>
      <c r="Q97" s="12"/>
      <c r="R97" s="12"/>
    </row>
    <row r="98" ht="15.75" customHeight="1">
      <c r="A98" s="12"/>
      <c r="B98" s="12"/>
      <c r="C98" s="12"/>
      <c r="D98" s="12"/>
      <c r="E98" s="13"/>
      <c r="F98" s="12"/>
      <c r="G98" s="12"/>
      <c r="H98" s="12"/>
      <c r="I98" s="12"/>
      <c r="J98" s="12"/>
      <c r="K98" s="12"/>
      <c r="L98" s="12"/>
      <c r="M98" s="12"/>
      <c r="N98" s="12"/>
      <c r="O98" s="12"/>
      <c r="P98" s="13"/>
      <c r="Q98" s="12"/>
      <c r="R98" s="12"/>
    </row>
    <row r="99" ht="15.75" customHeight="1">
      <c r="A99" s="12"/>
      <c r="B99" s="12"/>
      <c r="C99" s="12"/>
      <c r="D99" s="12"/>
      <c r="E99" s="13"/>
      <c r="F99" s="12"/>
      <c r="G99" s="12"/>
      <c r="H99" s="12"/>
      <c r="I99" s="12"/>
      <c r="J99" s="12"/>
      <c r="K99" s="12"/>
      <c r="L99" s="12"/>
      <c r="M99" s="12"/>
      <c r="N99" s="12"/>
      <c r="O99" s="12"/>
      <c r="P99" s="13"/>
      <c r="Q99" s="12"/>
      <c r="R99" s="12"/>
    </row>
    <row r="100" ht="15.75" customHeight="1">
      <c r="A100" s="12"/>
      <c r="B100" s="12"/>
      <c r="C100" s="12"/>
      <c r="D100" s="12"/>
      <c r="E100" s="13"/>
      <c r="F100" s="12"/>
      <c r="G100" s="12"/>
      <c r="H100" s="12"/>
      <c r="I100" s="12"/>
      <c r="J100" s="12"/>
      <c r="K100" s="12"/>
      <c r="L100" s="12"/>
      <c r="M100" s="12"/>
      <c r="N100" s="12"/>
      <c r="O100" s="12"/>
      <c r="P100" s="13"/>
      <c r="Q100" s="12"/>
      <c r="R100" s="12"/>
    </row>
    <row r="101" ht="15.75" customHeight="1">
      <c r="A101" s="12"/>
      <c r="B101" s="12"/>
      <c r="C101" s="12"/>
      <c r="D101" s="12"/>
      <c r="E101" s="13"/>
      <c r="F101" s="12"/>
      <c r="G101" s="12"/>
      <c r="H101" s="12"/>
      <c r="I101" s="12"/>
      <c r="J101" s="12"/>
      <c r="K101" s="12"/>
      <c r="L101" s="12"/>
      <c r="M101" s="12"/>
      <c r="N101" s="12"/>
      <c r="O101" s="12"/>
      <c r="P101" s="13"/>
      <c r="Q101" s="12"/>
      <c r="R101" s="12"/>
    </row>
    <row r="102" ht="15.75" customHeight="1">
      <c r="A102" s="12"/>
      <c r="B102" s="12"/>
      <c r="C102" s="12"/>
      <c r="D102" s="12"/>
      <c r="E102" s="13"/>
      <c r="F102" s="12"/>
      <c r="G102" s="12"/>
      <c r="H102" s="12"/>
      <c r="I102" s="12"/>
      <c r="J102" s="12"/>
      <c r="K102" s="12"/>
      <c r="L102" s="12"/>
      <c r="M102" s="12"/>
      <c r="N102" s="12"/>
      <c r="O102" s="12"/>
      <c r="P102" s="13"/>
      <c r="Q102" s="12"/>
      <c r="R102" s="12"/>
    </row>
    <row r="103" ht="15.75" customHeight="1">
      <c r="A103" s="12"/>
      <c r="B103" s="12"/>
      <c r="C103" s="12"/>
      <c r="D103" s="12"/>
      <c r="E103" s="13"/>
      <c r="F103" s="12"/>
      <c r="G103" s="12"/>
      <c r="H103" s="12"/>
      <c r="I103" s="12"/>
      <c r="J103" s="12"/>
      <c r="K103" s="12"/>
      <c r="L103" s="12"/>
      <c r="M103" s="12"/>
      <c r="N103" s="12"/>
      <c r="O103" s="12"/>
      <c r="P103" s="13"/>
      <c r="Q103" s="12"/>
      <c r="R103" s="12"/>
    </row>
    <row r="104" ht="15.75" customHeight="1">
      <c r="A104" s="12"/>
      <c r="B104" s="12"/>
      <c r="C104" s="12"/>
      <c r="D104" s="12"/>
      <c r="E104" s="13"/>
      <c r="F104" s="12"/>
      <c r="G104" s="12"/>
      <c r="H104" s="12"/>
      <c r="I104" s="12"/>
      <c r="J104" s="12"/>
      <c r="K104" s="12"/>
      <c r="L104" s="12"/>
      <c r="M104" s="12"/>
      <c r="N104" s="12"/>
      <c r="O104" s="12"/>
      <c r="P104" s="13"/>
      <c r="Q104" s="12"/>
      <c r="R104" s="12"/>
    </row>
    <row r="105" ht="15.75" customHeight="1"/>
    <row r="106" ht="15.75" customHeight="1"/>
    <row r="107" ht="15.75" customHeight="1"/>
    <row r="108" ht="24.0" customHeight="1">
      <c r="A108" s="3" t="s">
        <v>1831</v>
      </c>
    </row>
    <row r="109" ht="30.0" customHeight="1">
      <c r="A109" s="20" t="s">
        <v>841</v>
      </c>
      <c r="B109" s="21" t="s">
        <v>17</v>
      </c>
      <c r="C109" s="21" t="s">
        <v>1833</v>
      </c>
      <c r="D109" s="21" t="s">
        <v>22</v>
      </c>
      <c r="E109" s="21" t="s">
        <v>21</v>
      </c>
      <c r="F109" s="21" t="s">
        <v>217</v>
      </c>
      <c r="G109" s="21" t="s">
        <v>1834</v>
      </c>
      <c r="H109" s="22" t="s">
        <v>76</v>
      </c>
    </row>
    <row r="110" ht="15.75" customHeight="1">
      <c r="A110" s="24">
        <v>45985.0</v>
      </c>
      <c r="B110" s="23" t="s">
        <v>1835</v>
      </c>
      <c r="C110" s="23" t="s">
        <v>1836</v>
      </c>
      <c r="D110" s="23" t="s">
        <v>278</v>
      </c>
      <c r="E110" s="23" t="s">
        <v>72</v>
      </c>
      <c r="F110" s="23"/>
      <c r="G110" s="24"/>
      <c r="H110" s="23" t="s">
        <v>1837</v>
      </c>
    </row>
    <row r="111" ht="15.75" customHeight="1">
      <c r="A111" s="24">
        <v>45986.0</v>
      </c>
      <c r="B111" s="23" t="s">
        <v>1838</v>
      </c>
      <c r="C111" s="23" t="s">
        <v>1839</v>
      </c>
      <c r="D111" s="23" t="s">
        <v>278</v>
      </c>
      <c r="E111" s="23" t="s">
        <v>72</v>
      </c>
      <c r="F111" s="23"/>
      <c r="G111" s="24"/>
      <c r="H111" s="23" t="s">
        <v>1837</v>
      </c>
    </row>
    <row r="112" ht="15.75" customHeight="1">
      <c r="A112" s="24">
        <v>45987.0</v>
      </c>
      <c r="B112" s="23" t="s">
        <v>1842</v>
      </c>
      <c r="C112" s="23" t="s">
        <v>1843</v>
      </c>
      <c r="D112" s="23" t="s">
        <v>278</v>
      </c>
      <c r="E112" s="23" t="s">
        <v>72</v>
      </c>
      <c r="F112" s="23"/>
      <c r="G112" s="24"/>
      <c r="H112" s="23" t="s">
        <v>1837</v>
      </c>
    </row>
    <row r="113" ht="15.75" customHeight="1">
      <c r="A113" s="24">
        <v>45988.0</v>
      </c>
      <c r="B113" s="23" t="s">
        <v>1844</v>
      </c>
      <c r="C113" s="23" t="s">
        <v>1845</v>
      </c>
      <c r="D113" s="23" t="s">
        <v>278</v>
      </c>
      <c r="E113" s="23" t="s">
        <v>72</v>
      </c>
      <c r="F113" s="23"/>
      <c r="G113" s="24"/>
      <c r="H113" s="23" t="s">
        <v>1837</v>
      </c>
    </row>
    <row r="114" ht="15.75" customHeight="1">
      <c r="A114" s="24">
        <v>45989.0</v>
      </c>
      <c r="B114" s="23" t="s">
        <v>1846</v>
      </c>
      <c r="C114" s="23" t="s">
        <v>1847</v>
      </c>
      <c r="D114" s="23" t="s">
        <v>278</v>
      </c>
      <c r="E114" s="23" t="s">
        <v>72</v>
      </c>
      <c r="F114" s="23"/>
      <c r="G114" s="24"/>
      <c r="H114" s="23" t="s">
        <v>1837</v>
      </c>
    </row>
    <row r="115" ht="15.75" customHeight="1">
      <c r="A115" s="24">
        <v>45990.0</v>
      </c>
      <c r="B115" s="23" t="s">
        <v>1850</v>
      </c>
      <c r="C115" s="23" t="s">
        <v>1851</v>
      </c>
      <c r="D115" s="23" t="s">
        <v>278</v>
      </c>
      <c r="E115" s="23" t="s">
        <v>72</v>
      </c>
      <c r="F115" s="23"/>
      <c r="G115" s="24"/>
      <c r="H115" s="23" t="s">
        <v>1837</v>
      </c>
    </row>
    <row r="116" ht="15.75" customHeight="1">
      <c r="A116" s="24">
        <v>45992.0</v>
      </c>
      <c r="B116" s="23" t="s">
        <v>1853</v>
      </c>
      <c r="C116" s="23" t="s">
        <v>1855</v>
      </c>
      <c r="D116" s="23" t="s">
        <v>278</v>
      </c>
      <c r="E116" s="23" t="s">
        <v>72</v>
      </c>
      <c r="F116" s="23"/>
      <c r="G116" s="24"/>
      <c r="H116" s="23" t="s">
        <v>1837</v>
      </c>
    </row>
    <row r="117" ht="15.75" customHeight="1">
      <c r="A117" s="24">
        <v>45993.0</v>
      </c>
      <c r="B117" s="23" t="s">
        <v>1856</v>
      </c>
      <c r="C117" s="23" t="s">
        <v>1858</v>
      </c>
      <c r="D117" s="23" t="s">
        <v>278</v>
      </c>
      <c r="E117" s="23" t="s">
        <v>72</v>
      </c>
      <c r="F117" s="23"/>
      <c r="G117" s="24"/>
      <c r="H117" s="23" t="s">
        <v>1837</v>
      </c>
    </row>
    <row r="118" ht="15.75" customHeight="1">
      <c r="A118" s="24">
        <v>45994.0</v>
      </c>
      <c r="B118" s="23" t="s">
        <v>1860</v>
      </c>
      <c r="C118" s="23" t="s">
        <v>1861</v>
      </c>
      <c r="D118" s="23" t="s">
        <v>278</v>
      </c>
      <c r="E118" s="23" t="s">
        <v>72</v>
      </c>
      <c r="F118" s="23"/>
      <c r="G118" s="24"/>
      <c r="H118" s="23" t="s">
        <v>1837</v>
      </c>
    </row>
    <row r="119" ht="15.75" customHeight="1">
      <c r="A119" s="24">
        <v>45995.0</v>
      </c>
      <c r="B119" s="23" t="s">
        <v>1864</v>
      </c>
      <c r="C119" s="23" t="s">
        <v>1865</v>
      </c>
      <c r="D119" s="23" t="s">
        <v>278</v>
      </c>
      <c r="E119" s="23" t="s">
        <v>72</v>
      </c>
      <c r="F119" s="23"/>
      <c r="G119" s="24"/>
      <c r="H119" s="23" t="s">
        <v>1837</v>
      </c>
    </row>
    <row r="120" ht="15.75" customHeight="1">
      <c r="A120" s="24" t="s">
        <v>1866</v>
      </c>
      <c r="B120" s="23" t="s">
        <v>206</v>
      </c>
      <c r="C120" s="23" t="s">
        <v>1867</v>
      </c>
      <c r="D120" s="23" t="s">
        <v>278</v>
      </c>
      <c r="E120" s="23" t="s">
        <v>72</v>
      </c>
      <c r="F120" s="23"/>
      <c r="G120" s="24"/>
      <c r="H120" s="23" t="s">
        <v>1837</v>
      </c>
    </row>
    <row r="121" ht="15.75" customHeight="1">
      <c r="A121" s="24">
        <v>45996.0</v>
      </c>
      <c r="B121" s="23" t="s">
        <v>1870</v>
      </c>
      <c r="C121" s="23" t="s">
        <v>1871</v>
      </c>
      <c r="D121" s="23" t="s">
        <v>278</v>
      </c>
      <c r="E121" s="23" t="s">
        <v>72</v>
      </c>
      <c r="F121" s="23"/>
      <c r="G121" s="24"/>
      <c r="H121" s="23" t="s">
        <v>1837</v>
      </c>
    </row>
    <row r="122" ht="15.75" customHeight="1">
      <c r="A122" s="24"/>
      <c r="B122" s="23"/>
      <c r="C122" s="23"/>
      <c r="D122" s="23"/>
      <c r="E122" s="23"/>
      <c r="F122" s="23"/>
      <c r="G122" s="24"/>
      <c r="H122" s="23"/>
    </row>
    <row r="123" ht="15.75" customHeight="1">
      <c r="A123" s="24"/>
      <c r="B123" s="23"/>
      <c r="C123" s="23"/>
      <c r="D123" s="23"/>
      <c r="E123" s="23"/>
      <c r="F123" s="23"/>
      <c r="G123" s="24"/>
      <c r="H123" s="23"/>
    </row>
    <row r="124" ht="15.75" customHeight="1">
      <c r="A124" s="24"/>
      <c r="B124" s="23"/>
      <c r="C124" s="23"/>
      <c r="D124" s="23"/>
      <c r="E124" s="23"/>
      <c r="F124" s="23"/>
      <c r="G124" s="24"/>
      <c r="H124" s="23"/>
    </row>
    <row r="125" ht="15.75" customHeight="1">
      <c r="A125" s="24"/>
      <c r="B125" s="23"/>
      <c r="C125" s="23"/>
      <c r="D125" s="23"/>
      <c r="E125" s="23"/>
      <c r="F125" s="23"/>
      <c r="G125" s="24"/>
      <c r="H125" s="23"/>
    </row>
    <row r="126" ht="15.75" customHeight="1">
      <c r="A126" s="24"/>
      <c r="B126" s="23"/>
      <c r="C126" s="23"/>
      <c r="D126" s="23"/>
      <c r="E126" s="23"/>
      <c r="F126" s="23"/>
      <c r="G126" s="24"/>
      <c r="H126" s="23"/>
    </row>
    <row r="127" ht="15.75" customHeight="1">
      <c r="A127" s="24"/>
      <c r="B127" s="23"/>
      <c r="C127" s="23"/>
      <c r="D127" s="23"/>
      <c r="E127" s="23"/>
      <c r="F127" s="23"/>
      <c r="G127" s="24"/>
      <c r="H127" s="23"/>
    </row>
    <row r="128" ht="15.75" customHeight="1">
      <c r="A128" s="24"/>
      <c r="B128" s="23"/>
      <c r="C128" s="23"/>
      <c r="D128" s="23"/>
      <c r="E128" s="23"/>
      <c r="F128" s="23"/>
      <c r="G128" s="24"/>
      <c r="H128" s="23"/>
    </row>
    <row r="129" ht="15.75" customHeight="1">
      <c r="A129" s="24"/>
      <c r="B129" s="23"/>
      <c r="C129" s="23"/>
      <c r="D129" s="23"/>
      <c r="E129" s="23"/>
      <c r="F129" s="23"/>
      <c r="G129" s="24"/>
      <c r="H129" s="23"/>
    </row>
    <row r="130" ht="15.75" customHeight="1">
      <c r="A130" s="24"/>
      <c r="B130" s="23"/>
      <c r="C130" s="23"/>
      <c r="D130" s="23"/>
      <c r="E130" s="23"/>
      <c r="F130" s="23"/>
      <c r="G130" s="24"/>
      <c r="H130" s="23"/>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R1"/>
    <mergeCell ref="A2:R2"/>
    <mergeCell ref="A108:H108"/>
  </mergeCells>
  <conditionalFormatting sqref="O5:O104">
    <cfRule type="expression" dxfId="4" priority="1">
      <formula>O5="Done"</formula>
    </cfRule>
  </conditionalFormatting>
  <conditionalFormatting sqref="O5:O104">
    <cfRule type="expression" dxfId="5" priority="2">
      <formula>O5="In Progress"</formula>
    </cfRule>
  </conditionalFormatting>
  <conditionalFormatting sqref="O5:O104">
    <cfRule type="expression" dxfId="6" priority="3">
      <formula>O5="Blocked"</formula>
    </cfRule>
  </conditionalFormatting>
  <conditionalFormatting sqref="O5:O104">
    <cfRule type="expression" dxfId="7" priority="4">
      <formula>O5="Needs Review"</formula>
    </cfRule>
  </conditionalFormatting>
  <conditionalFormatting sqref="O5:O104">
    <cfRule type="expression" dxfId="7" priority="5">
      <formula>O5="Needs Revalidation"</formula>
    </cfRule>
  </conditionalFormatting>
  <conditionalFormatting sqref="D110:D130">
    <cfRule type="expression" dxfId="4" priority="6">
      <formula>D110="Done"</formula>
    </cfRule>
  </conditionalFormatting>
  <conditionalFormatting sqref="D110:D130">
    <cfRule type="expression" dxfId="5" priority="7">
      <formula>D110="In Progress"</formula>
    </cfRule>
  </conditionalFormatting>
  <conditionalFormatting sqref="D110:D130">
    <cfRule type="expression" dxfId="6" priority="8">
      <formula>D110="Blocked"</formula>
    </cfRule>
  </conditionalFormatting>
  <conditionalFormatting sqref="D110:D130">
    <cfRule type="expression" dxfId="7" priority="9">
      <formula>D110="Needs Review"</formula>
    </cfRule>
  </conditionalFormatting>
  <conditionalFormatting sqref="D110:D130">
    <cfRule type="expression" dxfId="7" priority="10">
      <formula>D110="Needs Revalidation"</formula>
    </cfRule>
  </conditionalFormatting>
  <dataValidations>
    <dataValidation type="list" allowBlank="1" sqref="D110:D130">
      <formula1>"Not Started,In Progress,Needs Review,Done,Monitor"</formula1>
    </dataValidation>
    <dataValidation type="list" allowBlank="1" sqref="O5:O104">
      <formula1>"Planned,Checked,Action Needed,Content Updated,Monitor"</formula1>
    </dataValidation>
    <dataValidation type="list" allowBlank="1" sqref="D5:D104">
      <formula1>"Google AI Overview / Mode,ChatGPT,Gemini,Perplexity,Claude,Bing / Copilot,Other"</formula1>
    </dataValidation>
    <dataValidation type="list" allowBlank="1" sqref="L5:L104">
      <formula1>"Positive,Neutral,Negative,Mixed"</formula1>
    </dataValidation>
    <dataValidation type="list" allowBlank="1" sqref="F5:G104">
      <formula1>"Not Checked,Yes,No,Partial"</formula1>
    </dataValidation>
    <dataValidation type="list" allowBlank="1" sqref="N5:N104">
      <formula1>"Unassigned,SEO Manager,Content Lead,Content Writer"</formula1>
    </dataValidation>
    <dataValidation type="list" allowBlank="1" sqref="I5:I104">
      <formula1>"Not Visible,Minor mention,Supporting citation,Prominent citation,Primary recommendation"</formula1>
    </dataValidation>
    <dataValidation type="list" allowBlank="1" sqref="K5:K104">
      <formula1>"Not Checked,Accurate,Partly Accurate,Inaccurate"</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18.29"/>
    <col customWidth="1" min="3" max="3" width="20.57"/>
    <col customWidth="1" min="4" max="4" width="54.86"/>
    <col customWidth="1" min="5" max="5" width="27.43"/>
    <col customWidth="1" min="6" max="6" width="18.29"/>
    <col customWidth="1" min="7" max="7" width="36.57"/>
    <col customWidth="1" min="8" max="8" width="38.86"/>
    <col customWidth="1" min="9" max="9" width="36.57"/>
    <col customWidth="1" min="10" max="10" width="32.0"/>
    <col customWidth="1" min="11" max="26" width="9.86"/>
  </cols>
  <sheetData>
    <row r="1" ht="33.75" customHeight="1">
      <c r="A1" s="1" t="s">
        <v>1333</v>
      </c>
    </row>
    <row r="2" ht="27.75" customHeight="1">
      <c r="A2" s="2" t="s">
        <v>1337</v>
      </c>
    </row>
    <row r="4" ht="30.0" customHeight="1">
      <c r="A4" s="6" t="s">
        <v>1339</v>
      </c>
      <c r="B4" s="7" t="s">
        <v>1340</v>
      </c>
      <c r="C4" s="7" t="s">
        <v>15</v>
      </c>
      <c r="D4" s="7" t="s">
        <v>1345</v>
      </c>
      <c r="E4" s="7" t="s">
        <v>1346</v>
      </c>
      <c r="F4" s="7" t="s">
        <v>1347</v>
      </c>
      <c r="G4" s="7" t="s">
        <v>1348</v>
      </c>
      <c r="H4" s="7" t="s">
        <v>1349</v>
      </c>
      <c r="I4" s="7" t="s">
        <v>1350</v>
      </c>
      <c r="J4" s="11" t="s">
        <v>76</v>
      </c>
    </row>
    <row r="5">
      <c r="A5" s="12" t="s">
        <v>1353</v>
      </c>
      <c r="B5" s="12" t="s">
        <v>1355</v>
      </c>
      <c r="C5" s="12" t="s">
        <v>1357</v>
      </c>
      <c r="D5" s="12" t="s">
        <v>1359</v>
      </c>
      <c r="E5" s="12" t="s">
        <v>1360</v>
      </c>
      <c r="F5" s="12" t="s">
        <v>72</v>
      </c>
      <c r="G5" s="12" t="s">
        <v>1361</v>
      </c>
      <c r="H5" s="12" t="s">
        <v>1363</v>
      </c>
      <c r="I5" s="12" t="s">
        <v>1365</v>
      </c>
      <c r="J5" s="12"/>
    </row>
    <row r="6">
      <c r="A6" s="12" t="s">
        <v>1353</v>
      </c>
      <c r="B6" s="12" t="s">
        <v>1366</v>
      </c>
      <c r="C6" s="12" t="s">
        <v>1357</v>
      </c>
      <c r="D6" s="12" t="s">
        <v>1368</v>
      </c>
      <c r="E6" s="12" t="s">
        <v>1360</v>
      </c>
      <c r="F6" s="12" t="s">
        <v>1370</v>
      </c>
      <c r="G6" s="12" t="s">
        <v>1371</v>
      </c>
      <c r="H6" s="12" t="s">
        <v>1372</v>
      </c>
      <c r="I6" s="12" t="s">
        <v>1373</v>
      </c>
      <c r="J6" s="12"/>
    </row>
    <row r="7">
      <c r="A7" s="12" t="s">
        <v>1353</v>
      </c>
      <c r="B7" s="12" t="s">
        <v>1374</v>
      </c>
      <c r="C7" s="12" t="s">
        <v>527</v>
      </c>
      <c r="D7" s="12" t="s">
        <v>1376</v>
      </c>
      <c r="E7" s="12" t="s">
        <v>1378</v>
      </c>
      <c r="F7" s="12" t="s">
        <v>72</v>
      </c>
      <c r="G7" s="12" t="s">
        <v>1379</v>
      </c>
      <c r="H7" s="12" t="s">
        <v>1380</v>
      </c>
      <c r="I7" s="12" t="s">
        <v>1381</v>
      </c>
      <c r="J7" s="12"/>
    </row>
    <row r="8">
      <c r="A8" s="12" t="s">
        <v>1382</v>
      </c>
      <c r="B8" s="12" t="s">
        <v>1384</v>
      </c>
      <c r="C8" s="12" t="s">
        <v>527</v>
      </c>
      <c r="D8" s="12" t="s">
        <v>1386</v>
      </c>
      <c r="E8" s="12" t="s">
        <v>1387</v>
      </c>
      <c r="F8" s="12" t="s">
        <v>61</v>
      </c>
      <c r="G8" s="12" t="s">
        <v>1388</v>
      </c>
      <c r="H8" s="12" t="s">
        <v>1390</v>
      </c>
      <c r="I8" s="12" t="s">
        <v>1392</v>
      </c>
      <c r="J8" s="12" t="s">
        <v>1393</v>
      </c>
    </row>
    <row r="9">
      <c r="A9" s="12" t="s">
        <v>1382</v>
      </c>
      <c r="B9" s="12" t="s">
        <v>1394</v>
      </c>
      <c r="C9" s="12" t="s">
        <v>1395</v>
      </c>
      <c r="D9" s="12" t="s">
        <v>1396</v>
      </c>
      <c r="E9" s="12" t="s">
        <v>1397</v>
      </c>
      <c r="F9" s="12" t="s">
        <v>135</v>
      </c>
      <c r="G9" s="12" t="s">
        <v>1398</v>
      </c>
      <c r="H9" s="12" t="s">
        <v>1399</v>
      </c>
      <c r="I9" s="12" t="s">
        <v>1400</v>
      </c>
      <c r="J9" s="12"/>
    </row>
    <row r="10">
      <c r="A10" s="12" t="s">
        <v>1382</v>
      </c>
      <c r="B10" s="12" t="s">
        <v>1394</v>
      </c>
      <c r="C10" s="12" t="s">
        <v>69</v>
      </c>
      <c r="D10" s="12" t="s">
        <v>1405</v>
      </c>
      <c r="E10" s="12" t="s">
        <v>305</v>
      </c>
      <c r="F10" s="12" t="s">
        <v>61</v>
      </c>
      <c r="G10" s="12" t="s">
        <v>1406</v>
      </c>
      <c r="H10" s="12" t="s">
        <v>1407</v>
      </c>
      <c r="I10" s="12" t="s">
        <v>1408</v>
      </c>
      <c r="J10" s="12"/>
    </row>
    <row r="11">
      <c r="A11" s="12" t="s">
        <v>165</v>
      </c>
      <c r="B11" s="12" t="s">
        <v>1411</v>
      </c>
      <c r="C11" s="12" t="s">
        <v>167</v>
      </c>
      <c r="D11" s="12" t="s">
        <v>1412</v>
      </c>
      <c r="E11" s="12" t="s">
        <v>1413</v>
      </c>
      <c r="F11" s="12" t="s">
        <v>72</v>
      </c>
      <c r="G11" s="12" t="s">
        <v>1415</v>
      </c>
      <c r="H11" s="12" t="s">
        <v>1417</v>
      </c>
      <c r="I11" s="12" t="s">
        <v>1418</v>
      </c>
      <c r="J11" s="12"/>
    </row>
    <row r="12">
      <c r="A12" s="12" t="s">
        <v>165</v>
      </c>
      <c r="B12" s="12" t="s">
        <v>1420</v>
      </c>
      <c r="C12" s="12" t="s">
        <v>188</v>
      </c>
      <c r="D12" s="12" t="s">
        <v>1422</v>
      </c>
      <c r="E12" s="12" t="s">
        <v>1413</v>
      </c>
      <c r="F12" s="12" t="s">
        <v>72</v>
      </c>
      <c r="G12" s="12" t="s">
        <v>1423</v>
      </c>
      <c r="H12" s="12" t="s">
        <v>1424</v>
      </c>
      <c r="I12" s="12" t="s">
        <v>1425</v>
      </c>
      <c r="J12" s="12"/>
    </row>
    <row r="13">
      <c r="A13" s="12" t="s">
        <v>165</v>
      </c>
      <c r="B13" s="12" t="s">
        <v>1428</v>
      </c>
      <c r="C13" s="12" t="s">
        <v>53</v>
      </c>
      <c r="D13" s="12" t="s">
        <v>1431</v>
      </c>
      <c r="E13" s="12" t="s">
        <v>1432</v>
      </c>
      <c r="F13" s="12" t="s">
        <v>72</v>
      </c>
      <c r="G13" s="12" t="s">
        <v>1433</v>
      </c>
      <c r="H13" s="12" t="s">
        <v>1434</v>
      </c>
      <c r="I13" s="12" t="s">
        <v>1435</v>
      </c>
      <c r="J13" s="12"/>
    </row>
    <row r="14">
      <c r="A14" s="12" t="s">
        <v>165</v>
      </c>
      <c r="B14" s="12" t="s">
        <v>1436</v>
      </c>
      <c r="C14" s="12" t="s">
        <v>206</v>
      </c>
      <c r="D14" s="12" t="s">
        <v>1438</v>
      </c>
      <c r="E14" s="12" t="s">
        <v>1440</v>
      </c>
      <c r="F14" s="12" t="s">
        <v>211</v>
      </c>
      <c r="G14" s="12" t="s">
        <v>1443</v>
      </c>
      <c r="H14" s="12" t="s">
        <v>1444</v>
      </c>
      <c r="I14" s="12" t="s">
        <v>1445</v>
      </c>
      <c r="J14" s="12"/>
    </row>
    <row r="15">
      <c r="A15" s="12" t="s">
        <v>165</v>
      </c>
      <c r="B15" s="12" t="s">
        <v>1446</v>
      </c>
      <c r="C15" s="12" t="s">
        <v>254</v>
      </c>
      <c r="D15" s="12" t="s">
        <v>1447</v>
      </c>
      <c r="E15" s="12" t="s">
        <v>1449</v>
      </c>
      <c r="F15" s="12" t="s">
        <v>262</v>
      </c>
      <c r="G15" s="12" t="s">
        <v>1451</v>
      </c>
      <c r="H15" s="12" t="s">
        <v>1452</v>
      </c>
      <c r="I15" s="12" t="s">
        <v>1453</v>
      </c>
      <c r="J15" s="12"/>
    </row>
    <row r="16">
      <c r="A16" s="12" t="s">
        <v>165</v>
      </c>
      <c r="B16" s="12" t="s">
        <v>1446</v>
      </c>
      <c r="C16" s="12" t="s">
        <v>237</v>
      </c>
      <c r="D16" s="12" t="s">
        <v>1455</v>
      </c>
      <c r="E16" s="12" t="s">
        <v>1457</v>
      </c>
      <c r="F16" s="12" t="s">
        <v>72</v>
      </c>
      <c r="G16" s="12" t="s">
        <v>1458</v>
      </c>
      <c r="H16" s="12" t="s">
        <v>1460</v>
      </c>
      <c r="I16" s="12" t="s">
        <v>1462</v>
      </c>
      <c r="J16" s="12"/>
    </row>
    <row r="17">
      <c r="A17" s="12" t="s">
        <v>266</v>
      </c>
      <c r="B17" s="12" t="s">
        <v>1463</v>
      </c>
      <c r="C17" s="12" t="s">
        <v>255</v>
      </c>
      <c r="D17" s="12" t="s">
        <v>1464</v>
      </c>
      <c r="E17" s="12" t="s">
        <v>1465</v>
      </c>
      <c r="F17" s="12" t="s">
        <v>72</v>
      </c>
      <c r="G17" s="12" t="s">
        <v>1466</v>
      </c>
      <c r="H17" s="12" t="s">
        <v>1467</v>
      </c>
      <c r="I17" s="12" t="s">
        <v>1468</v>
      </c>
      <c r="J17" s="12"/>
    </row>
    <row r="18">
      <c r="A18" s="12" t="s">
        <v>266</v>
      </c>
      <c r="B18" s="12" t="s">
        <v>1463</v>
      </c>
      <c r="C18" s="12" t="s">
        <v>1473</v>
      </c>
      <c r="D18" s="12" t="s">
        <v>1474</v>
      </c>
      <c r="E18" s="12" t="s">
        <v>1475</v>
      </c>
      <c r="F18" s="12" t="s">
        <v>72</v>
      </c>
      <c r="G18" s="12" t="s">
        <v>1476</v>
      </c>
      <c r="H18" s="12" t="s">
        <v>1477</v>
      </c>
      <c r="I18" s="12" t="s">
        <v>1478</v>
      </c>
      <c r="J18" s="12"/>
    </row>
    <row r="19">
      <c r="A19" s="12" t="s">
        <v>482</v>
      </c>
      <c r="B19" s="12" t="s">
        <v>1480</v>
      </c>
      <c r="C19" s="12" t="s">
        <v>1482</v>
      </c>
      <c r="D19" s="12" t="s">
        <v>1483</v>
      </c>
      <c r="E19" s="12" t="s">
        <v>1484</v>
      </c>
      <c r="F19" s="12" t="s">
        <v>135</v>
      </c>
      <c r="G19" s="12" t="s">
        <v>1485</v>
      </c>
      <c r="H19" s="12" t="s">
        <v>1486</v>
      </c>
      <c r="I19" s="12" t="s">
        <v>1487</v>
      </c>
      <c r="J19" s="12"/>
    </row>
    <row r="20">
      <c r="A20" s="12" t="s">
        <v>482</v>
      </c>
      <c r="B20" s="12" t="s">
        <v>1480</v>
      </c>
      <c r="C20" s="12" t="s">
        <v>1490</v>
      </c>
      <c r="D20" s="12" t="s">
        <v>1492</v>
      </c>
      <c r="E20" s="12" t="s">
        <v>1494</v>
      </c>
      <c r="F20" s="12" t="s">
        <v>72</v>
      </c>
      <c r="G20" s="12" t="s">
        <v>1495</v>
      </c>
      <c r="H20" s="12" t="s">
        <v>1496</v>
      </c>
      <c r="I20" s="12" t="s">
        <v>1497</v>
      </c>
      <c r="J20" s="12"/>
    </row>
    <row r="21" ht="15.75" customHeight="1">
      <c r="A21" s="12"/>
      <c r="B21" s="12"/>
      <c r="C21" s="12"/>
      <c r="D21" s="12"/>
      <c r="E21" s="12"/>
      <c r="F21" s="12"/>
      <c r="G21" s="12"/>
      <c r="H21" s="12"/>
      <c r="I21" s="12"/>
      <c r="J21" s="12"/>
    </row>
    <row r="22" ht="15.75" customHeight="1">
      <c r="A22" s="12"/>
      <c r="B22" s="12"/>
      <c r="C22" s="12"/>
      <c r="D22" s="12"/>
      <c r="E22" s="12"/>
      <c r="F22" s="12"/>
      <c r="G22" s="12"/>
      <c r="H22" s="12"/>
      <c r="I22" s="12"/>
      <c r="J22" s="12"/>
    </row>
    <row r="23" ht="15.75" customHeight="1">
      <c r="A23" s="12"/>
      <c r="B23" s="12"/>
      <c r="C23" s="12"/>
      <c r="D23" s="12"/>
      <c r="E23" s="12"/>
      <c r="F23" s="12"/>
      <c r="G23" s="12"/>
      <c r="H23" s="12"/>
      <c r="I23" s="12"/>
      <c r="J23" s="12"/>
    </row>
    <row r="24" ht="15.75" customHeight="1">
      <c r="A24" s="12"/>
      <c r="B24" s="12"/>
      <c r="C24" s="12"/>
      <c r="D24" s="12"/>
      <c r="E24" s="12"/>
      <c r="F24" s="12"/>
      <c r="G24" s="12"/>
      <c r="H24" s="12"/>
      <c r="I24" s="12"/>
      <c r="J24" s="12"/>
    </row>
    <row r="25" ht="15.75" customHeight="1">
      <c r="A25" s="12"/>
      <c r="B25" s="12"/>
      <c r="C25" s="12"/>
      <c r="D25" s="12"/>
      <c r="E25" s="12"/>
      <c r="F25" s="12"/>
      <c r="G25" s="12"/>
      <c r="H25" s="12"/>
      <c r="I25" s="12"/>
      <c r="J25" s="12"/>
    </row>
    <row r="26" ht="15.75" customHeight="1">
      <c r="A26" s="12"/>
      <c r="B26" s="12"/>
      <c r="C26" s="12"/>
      <c r="D26" s="12"/>
      <c r="E26" s="12"/>
      <c r="F26" s="12"/>
      <c r="G26" s="12"/>
      <c r="H26" s="12"/>
      <c r="I26" s="12"/>
      <c r="J26" s="12"/>
    </row>
    <row r="27" ht="15.75" customHeight="1">
      <c r="A27" s="12"/>
      <c r="B27" s="12"/>
      <c r="C27" s="12"/>
      <c r="D27" s="12"/>
      <c r="E27" s="12"/>
      <c r="F27" s="12"/>
      <c r="G27" s="12"/>
      <c r="H27" s="12"/>
      <c r="I27" s="12"/>
      <c r="J27" s="12"/>
    </row>
    <row r="28" ht="15.75" customHeight="1">
      <c r="A28" s="12"/>
      <c r="B28" s="12"/>
      <c r="C28" s="12"/>
      <c r="D28" s="12"/>
      <c r="E28" s="12"/>
      <c r="F28" s="12"/>
      <c r="G28" s="12"/>
      <c r="H28" s="12"/>
      <c r="I28" s="12"/>
      <c r="J28" s="12"/>
    </row>
    <row r="29" ht="15.75" customHeight="1">
      <c r="A29" s="12"/>
      <c r="B29" s="12"/>
      <c r="C29" s="12"/>
      <c r="D29" s="12"/>
      <c r="E29" s="12"/>
      <c r="F29" s="12"/>
      <c r="G29" s="12"/>
      <c r="H29" s="12"/>
      <c r="I29" s="12"/>
      <c r="J29" s="12"/>
    </row>
    <row r="30" ht="15.75" customHeight="1">
      <c r="A30" s="12"/>
      <c r="B30" s="12"/>
      <c r="C30" s="12"/>
      <c r="D30" s="12"/>
      <c r="E30" s="12"/>
      <c r="F30" s="12"/>
      <c r="G30" s="12"/>
      <c r="H30" s="12"/>
      <c r="I30" s="12"/>
      <c r="J30" s="12"/>
    </row>
    <row r="31" ht="15.75" customHeight="1">
      <c r="A31" s="12"/>
      <c r="B31" s="12"/>
      <c r="C31" s="12"/>
      <c r="D31" s="12"/>
      <c r="E31" s="12"/>
      <c r="F31" s="12"/>
      <c r="G31" s="12"/>
      <c r="H31" s="12"/>
      <c r="I31" s="12"/>
      <c r="J31" s="12"/>
    </row>
    <row r="32" ht="15.75" customHeight="1">
      <c r="A32" s="12"/>
      <c r="B32" s="12"/>
      <c r="C32" s="12"/>
      <c r="D32" s="12"/>
      <c r="E32" s="12"/>
      <c r="F32" s="12"/>
      <c r="G32" s="12"/>
      <c r="H32" s="12"/>
      <c r="I32" s="12"/>
      <c r="J32" s="12"/>
    </row>
    <row r="33" ht="15.75" customHeight="1">
      <c r="A33" s="12"/>
      <c r="B33" s="12"/>
      <c r="C33" s="12"/>
      <c r="D33" s="12"/>
      <c r="E33" s="12"/>
      <c r="F33" s="12"/>
      <c r="G33" s="12"/>
      <c r="H33" s="12"/>
      <c r="I33" s="12"/>
      <c r="J33" s="12"/>
    </row>
    <row r="34" ht="15.75" customHeight="1">
      <c r="A34" s="12"/>
      <c r="B34" s="12"/>
      <c r="C34" s="12"/>
      <c r="D34" s="12"/>
      <c r="E34" s="12"/>
      <c r="F34" s="12"/>
      <c r="G34" s="12"/>
      <c r="H34" s="12"/>
      <c r="I34" s="12"/>
      <c r="J34" s="12"/>
    </row>
    <row r="35" ht="15.75" customHeight="1">
      <c r="A35" s="12"/>
      <c r="B35" s="12"/>
      <c r="C35" s="12"/>
      <c r="D35" s="12"/>
      <c r="E35" s="12"/>
      <c r="F35" s="12"/>
      <c r="G35" s="12"/>
      <c r="H35" s="12"/>
      <c r="I35" s="12"/>
      <c r="J35" s="12"/>
    </row>
    <row r="36" ht="15.75" customHeight="1">
      <c r="A36" s="12"/>
      <c r="B36" s="12"/>
      <c r="C36" s="12"/>
      <c r="D36" s="12"/>
      <c r="E36" s="12"/>
      <c r="F36" s="12"/>
      <c r="G36" s="12"/>
      <c r="H36" s="12"/>
      <c r="I36" s="12"/>
      <c r="J36" s="12"/>
    </row>
    <row r="37" ht="15.75" customHeight="1">
      <c r="A37" s="12"/>
      <c r="B37" s="12"/>
      <c r="C37" s="12"/>
      <c r="D37" s="12"/>
      <c r="E37" s="12"/>
      <c r="F37" s="12"/>
      <c r="G37" s="12"/>
      <c r="H37" s="12"/>
      <c r="I37" s="12"/>
      <c r="J37" s="12"/>
    </row>
    <row r="38" ht="15.75" customHeight="1">
      <c r="A38" s="12"/>
      <c r="B38" s="12"/>
      <c r="C38" s="12"/>
      <c r="D38" s="12"/>
      <c r="E38" s="12"/>
      <c r="F38" s="12"/>
      <c r="G38" s="12"/>
      <c r="H38" s="12"/>
      <c r="I38" s="12"/>
      <c r="J38" s="12"/>
    </row>
    <row r="39" ht="15.75" customHeight="1">
      <c r="A39" s="12"/>
      <c r="B39" s="12"/>
      <c r="C39" s="12"/>
      <c r="D39" s="12"/>
      <c r="E39" s="12"/>
      <c r="F39" s="12"/>
      <c r="G39" s="12"/>
      <c r="H39" s="12"/>
      <c r="I39" s="12"/>
      <c r="J39" s="12"/>
    </row>
    <row r="40" ht="15.75" customHeight="1">
      <c r="A40" s="12"/>
      <c r="B40" s="12"/>
      <c r="C40" s="12"/>
      <c r="D40" s="12"/>
      <c r="E40" s="12"/>
      <c r="F40" s="12"/>
      <c r="G40" s="12"/>
      <c r="H40" s="12"/>
      <c r="I40" s="12"/>
      <c r="J40" s="12"/>
    </row>
    <row r="41" ht="15.75" customHeight="1">
      <c r="A41" s="12"/>
      <c r="B41" s="12"/>
      <c r="C41" s="12"/>
      <c r="D41" s="12"/>
      <c r="E41" s="12"/>
      <c r="F41" s="12"/>
      <c r="G41" s="12"/>
      <c r="H41" s="12"/>
      <c r="I41" s="12"/>
      <c r="J41" s="12"/>
    </row>
    <row r="42" ht="15.75" customHeight="1">
      <c r="A42" s="12"/>
      <c r="B42" s="12"/>
      <c r="C42" s="12"/>
      <c r="D42" s="12"/>
      <c r="E42" s="12"/>
      <c r="F42" s="12"/>
      <c r="G42" s="12"/>
      <c r="H42" s="12"/>
      <c r="I42" s="12"/>
      <c r="J42" s="12"/>
    </row>
    <row r="43" ht="15.75" customHeight="1">
      <c r="A43" s="12"/>
      <c r="B43" s="12"/>
      <c r="C43" s="12"/>
      <c r="D43" s="12"/>
      <c r="E43" s="12"/>
      <c r="F43" s="12"/>
      <c r="G43" s="12"/>
      <c r="H43" s="12"/>
      <c r="I43" s="12"/>
      <c r="J43" s="12"/>
    </row>
    <row r="44" ht="15.75" customHeight="1">
      <c r="A44" s="12"/>
      <c r="B44" s="12"/>
      <c r="C44" s="12"/>
      <c r="D44" s="12"/>
      <c r="E44" s="12"/>
      <c r="F44" s="12"/>
      <c r="G44" s="12"/>
      <c r="H44" s="12"/>
      <c r="I44" s="12"/>
      <c r="J44" s="12"/>
    </row>
    <row r="45" ht="15.75" customHeight="1">
      <c r="A45" s="12"/>
      <c r="B45" s="12"/>
      <c r="C45" s="12"/>
      <c r="D45" s="12"/>
      <c r="E45" s="12"/>
      <c r="F45" s="12"/>
      <c r="G45" s="12"/>
      <c r="H45" s="12"/>
      <c r="I45" s="12"/>
      <c r="J45" s="12"/>
    </row>
    <row r="46" ht="15.75" customHeight="1">
      <c r="A46" s="12"/>
      <c r="B46" s="12"/>
      <c r="C46" s="12"/>
      <c r="D46" s="12"/>
      <c r="E46" s="12"/>
      <c r="F46" s="12"/>
      <c r="G46" s="12"/>
      <c r="H46" s="12"/>
      <c r="I46" s="12"/>
      <c r="J46" s="12"/>
    </row>
    <row r="47" ht="15.75" customHeight="1">
      <c r="A47" s="12"/>
      <c r="B47" s="12"/>
      <c r="C47" s="12"/>
      <c r="D47" s="12"/>
      <c r="E47" s="12"/>
      <c r="F47" s="12"/>
      <c r="G47" s="12"/>
      <c r="H47" s="12"/>
      <c r="I47" s="12"/>
      <c r="J47" s="12"/>
    </row>
    <row r="48" ht="15.75" customHeight="1">
      <c r="A48" s="12"/>
      <c r="B48" s="12"/>
      <c r="C48" s="12"/>
      <c r="D48" s="12"/>
      <c r="E48" s="12"/>
      <c r="F48" s="12"/>
      <c r="G48" s="12"/>
      <c r="H48" s="12"/>
      <c r="I48" s="12"/>
      <c r="J48" s="12"/>
    </row>
    <row r="49" ht="15.75" customHeight="1">
      <c r="A49" s="12"/>
      <c r="B49" s="12"/>
      <c r="C49" s="12"/>
      <c r="D49" s="12"/>
      <c r="E49" s="12"/>
      <c r="F49" s="12"/>
      <c r="G49" s="12"/>
      <c r="H49" s="12"/>
      <c r="I49" s="12"/>
      <c r="J49" s="12"/>
    </row>
    <row r="50" ht="15.75" customHeight="1">
      <c r="A50" s="12"/>
      <c r="B50" s="12"/>
      <c r="C50" s="12"/>
      <c r="D50" s="12"/>
      <c r="E50" s="12"/>
      <c r="F50" s="12"/>
      <c r="G50" s="12"/>
      <c r="H50" s="12"/>
      <c r="I50" s="12"/>
      <c r="J50" s="12"/>
    </row>
    <row r="51" ht="15.75" customHeight="1">
      <c r="A51" s="12"/>
      <c r="B51" s="12"/>
      <c r="C51" s="12"/>
      <c r="D51" s="12"/>
      <c r="E51" s="12"/>
      <c r="F51" s="12"/>
      <c r="G51" s="12"/>
      <c r="H51" s="12"/>
      <c r="I51" s="12"/>
      <c r="J51" s="12"/>
    </row>
    <row r="52" ht="15.75" customHeight="1">
      <c r="A52" s="12"/>
      <c r="B52" s="12"/>
      <c r="C52" s="12"/>
      <c r="D52" s="12"/>
      <c r="E52" s="12"/>
      <c r="F52" s="12"/>
      <c r="G52" s="12"/>
      <c r="H52" s="12"/>
      <c r="I52" s="12"/>
      <c r="J52" s="12"/>
    </row>
    <row r="53" ht="15.75" customHeight="1">
      <c r="A53" s="12"/>
      <c r="B53" s="12"/>
      <c r="C53" s="12"/>
      <c r="D53" s="12"/>
      <c r="E53" s="12"/>
      <c r="F53" s="12"/>
      <c r="G53" s="12"/>
      <c r="H53" s="12"/>
      <c r="I53" s="12"/>
      <c r="J53" s="12"/>
    </row>
    <row r="54" ht="15.75" customHeight="1">
      <c r="A54" s="12"/>
      <c r="B54" s="12"/>
      <c r="C54" s="12"/>
      <c r="D54" s="12"/>
      <c r="E54" s="12"/>
      <c r="F54" s="12"/>
      <c r="G54" s="12"/>
      <c r="H54" s="12"/>
      <c r="I54" s="12"/>
      <c r="J54" s="12"/>
    </row>
    <row r="55" ht="15.75" customHeight="1">
      <c r="A55" s="12"/>
      <c r="B55" s="12"/>
      <c r="C55" s="12"/>
      <c r="D55" s="12"/>
      <c r="E55" s="12"/>
      <c r="F55" s="12"/>
      <c r="G55" s="12"/>
      <c r="H55" s="12"/>
      <c r="I55" s="12"/>
      <c r="J55" s="12"/>
    </row>
    <row r="56" ht="15.75" customHeight="1">
      <c r="A56" s="12"/>
      <c r="B56" s="12"/>
      <c r="C56" s="12"/>
      <c r="D56" s="12"/>
      <c r="E56" s="12"/>
      <c r="F56" s="12"/>
      <c r="G56" s="12"/>
      <c r="H56" s="12"/>
      <c r="I56" s="12"/>
      <c r="J56" s="12"/>
    </row>
    <row r="57" ht="15.75" customHeight="1">
      <c r="A57" s="12"/>
      <c r="B57" s="12"/>
      <c r="C57" s="12"/>
      <c r="D57" s="12"/>
      <c r="E57" s="12"/>
      <c r="F57" s="12"/>
      <c r="G57" s="12"/>
      <c r="H57" s="12"/>
      <c r="I57" s="12"/>
      <c r="J57" s="12"/>
    </row>
    <row r="58" ht="15.75" customHeight="1">
      <c r="A58" s="12"/>
      <c r="B58" s="12"/>
      <c r="C58" s="12"/>
      <c r="D58" s="12"/>
      <c r="E58" s="12"/>
      <c r="F58" s="12"/>
      <c r="G58" s="12"/>
      <c r="H58" s="12"/>
      <c r="I58" s="12"/>
      <c r="J58" s="12"/>
    </row>
    <row r="59" ht="15.75" customHeight="1">
      <c r="A59" s="12"/>
      <c r="B59" s="12"/>
      <c r="C59" s="12"/>
      <c r="D59" s="12"/>
      <c r="E59" s="12"/>
      <c r="F59" s="12"/>
      <c r="G59" s="12"/>
      <c r="H59" s="12"/>
      <c r="I59" s="12"/>
      <c r="J59" s="12"/>
    </row>
    <row r="60" ht="15.75" customHeight="1">
      <c r="A60" s="12"/>
      <c r="B60" s="12"/>
      <c r="C60" s="12"/>
      <c r="D60" s="12"/>
      <c r="E60" s="12"/>
      <c r="F60" s="12"/>
      <c r="G60" s="12"/>
      <c r="H60" s="12"/>
      <c r="I60" s="12"/>
      <c r="J60" s="12"/>
    </row>
    <row r="61" ht="15.75" customHeight="1">
      <c r="A61" s="12"/>
      <c r="B61" s="12"/>
      <c r="C61" s="12"/>
      <c r="D61" s="12"/>
      <c r="E61" s="12"/>
      <c r="F61" s="12"/>
      <c r="G61" s="12"/>
      <c r="H61" s="12"/>
      <c r="I61" s="12"/>
      <c r="J61" s="12"/>
    </row>
    <row r="62" ht="15.75" customHeight="1">
      <c r="A62" s="12"/>
      <c r="B62" s="12"/>
      <c r="C62" s="12"/>
      <c r="D62" s="12"/>
      <c r="E62" s="12"/>
      <c r="F62" s="12"/>
      <c r="G62" s="12"/>
      <c r="H62" s="12"/>
      <c r="I62" s="12"/>
      <c r="J62" s="12"/>
    </row>
    <row r="63" ht="15.75" customHeight="1">
      <c r="A63" s="12"/>
      <c r="B63" s="12"/>
      <c r="C63" s="12"/>
      <c r="D63" s="12"/>
      <c r="E63" s="12"/>
      <c r="F63" s="12"/>
      <c r="G63" s="12"/>
      <c r="H63" s="12"/>
      <c r="I63" s="12"/>
      <c r="J63" s="12"/>
    </row>
    <row r="64" ht="15.75" customHeight="1">
      <c r="A64" s="12"/>
      <c r="B64" s="12"/>
      <c r="C64" s="12"/>
      <c r="D64" s="12"/>
      <c r="E64" s="12"/>
      <c r="F64" s="12"/>
      <c r="G64" s="12"/>
      <c r="H64" s="12"/>
      <c r="I64" s="12"/>
      <c r="J64" s="12"/>
    </row>
    <row r="65" ht="15.75" customHeight="1">
      <c r="A65" s="12"/>
      <c r="B65" s="12"/>
      <c r="C65" s="12"/>
      <c r="D65" s="12"/>
      <c r="E65" s="12"/>
      <c r="F65" s="12"/>
      <c r="G65" s="12"/>
      <c r="H65" s="12"/>
      <c r="I65" s="12"/>
      <c r="J65" s="12"/>
    </row>
    <row r="66" ht="15.75" customHeight="1">
      <c r="A66" s="12"/>
      <c r="B66" s="12"/>
      <c r="C66" s="12"/>
      <c r="D66" s="12"/>
      <c r="E66" s="12"/>
      <c r="F66" s="12"/>
      <c r="G66" s="12"/>
      <c r="H66" s="12"/>
      <c r="I66" s="12"/>
      <c r="J66" s="12"/>
    </row>
    <row r="67" ht="15.75" customHeight="1">
      <c r="A67" s="12"/>
      <c r="B67" s="12"/>
      <c r="C67" s="12"/>
      <c r="D67" s="12"/>
      <c r="E67" s="12"/>
      <c r="F67" s="12"/>
      <c r="G67" s="12"/>
      <c r="H67" s="12"/>
      <c r="I67" s="12"/>
      <c r="J67" s="12"/>
    </row>
    <row r="68" ht="15.75" customHeight="1">
      <c r="A68" s="12"/>
      <c r="B68" s="12"/>
      <c r="C68" s="12"/>
      <c r="D68" s="12"/>
      <c r="E68" s="12"/>
      <c r="F68" s="12"/>
      <c r="G68" s="12"/>
      <c r="H68" s="12"/>
      <c r="I68" s="12"/>
      <c r="J68" s="12"/>
    </row>
    <row r="69" ht="15.75" customHeight="1">
      <c r="A69" s="12"/>
      <c r="B69" s="12"/>
      <c r="C69" s="12"/>
      <c r="D69" s="12"/>
      <c r="E69" s="12"/>
      <c r="F69" s="12"/>
      <c r="G69" s="12"/>
      <c r="H69" s="12"/>
      <c r="I69" s="12"/>
      <c r="J69" s="12"/>
    </row>
    <row r="70" ht="15.75" customHeight="1">
      <c r="A70" s="12"/>
      <c r="B70" s="12"/>
      <c r="C70" s="12"/>
      <c r="D70" s="12"/>
      <c r="E70" s="12"/>
      <c r="F70" s="12"/>
      <c r="G70" s="12"/>
      <c r="H70" s="12"/>
      <c r="I70" s="12"/>
      <c r="J70" s="12"/>
    </row>
    <row r="71" ht="15.75" customHeight="1">
      <c r="A71" s="12"/>
      <c r="B71" s="12"/>
      <c r="C71" s="12"/>
      <c r="D71" s="12"/>
      <c r="E71" s="12"/>
      <c r="F71" s="12"/>
      <c r="G71" s="12"/>
      <c r="H71" s="12"/>
      <c r="I71" s="12"/>
      <c r="J71" s="12"/>
    </row>
    <row r="72" ht="15.75" customHeight="1">
      <c r="A72" s="12"/>
      <c r="B72" s="12"/>
      <c r="C72" s="12"/>
      <c r="D72" s="12"/>
      <c r="E72" s="12"/>
      <c r="F72" s="12"/>
      <c r="G72" s="12"/>
      <c r="H72" s="12"/>
      <c r="I72" s="12"/>
      <c r="J72" s="12"/>
    </row>
    <row r="73" ht="15.75" customHeight="1">
      <c r="A73" s="12"/>
      <c r="B73" s="12"/>
      <c r="C73" s="12"/>
      <c r="D73" s="12"/>
      <c r="E73" s="12"/>
      <c r="F73" s="12"/>
      <c r="G73" s="12"/>
      <c r="H73" s="12"/>
      <c r="I73" s="12"/>
      <c r="J73" s="12"/>
    </row>
    <row r="74" ht="15.75" customHeight="1">
      <c r="A74" s="12"/>
      <c r="B74" s="12"/>
      <c r="C74" s="12"/>
      <c r="D74" s="12"/>
      <c r="E74" s="12"/>
      <c r="F74" s="12"/>
      <c r="G74" s="12"/>
      <c r="H74" s="12"/>
      <c r="I74" s="12"/>
      <c r="J74" s="12"/>
    </row>
    <row r="75" ht="15.75" customHeight="1">
      <c r="A75" s="12"/>
      <c r="B75" s="12"/>
      <c r="C75" s="12"/>
      <c r="D75" s="12"/>
      <c r="E75" s="12"/>
      <c r="F75" s="12"/>
      <c r="G75" s="12"/>
      <c r="H75" s="12"/>
      <c r="I75" s="12"/>
      <c r="J75" s="12"/>
    </row>
    <row r="76" ht="15.75" customHeight="1">
      <c r="A76" s="12"/>
      <c r="B76" s="12"/>
      <c r="C76" s="12"/>
      <c r="D76" s="12"/>
      <c r="E76" s="12"/>
      <c r="F76" s="12"/>
      <c r="G76" s="12"/>
      <c r="H76" s="12"/>
      <c r="I76" s="12"/>
      <c r="J76" s="12"/>
    </row>
    <row r="77" ht="15.75" customHeight="1">
      <c r="A77" s="12"/>
      <c r="B77" s="12"/>
      <c r="C77" s="12"/>
      <c r="D77" s="12"/>
      <c r="E77" s="12"/>
      <c r="F77" s="12"/>
      <c r="G77" s="12"/>
      <c r="H77" s="12"/>
      <c r="I77" s="12"/>
      <c r="J77" s="12"/>
    </row>
    <row r="78" ht="15.75" customHeight="1">
      <c r="A78" s="12"/>
      <c r="B78" s="12"/>
      <c r="C78" s="12"/>
      <c r="D78" s="12"/>
      <c r="E78" s="12"/>
      <c r="F78" s="12"/>
      <c r="G78" s="12"/>
      <c r="H78" s="12"/>
      <c r="I78" s="12"/>
      <c r="J78" s="12"/>
    </row>
    <row r="79" ht="15.75" customHeight="1">
      <c r="A79" s="12"/>
      <c r="B79" s="12"/>
      <c r="C79" s="12"/>
      <c r="D79" s="12"/>
      <c r="E79" s="12"/>
      <c r="F79" s="12"/>
      <c r="G79" s="12"/>
      <c r="H79" s="12"/>
      <c r="I79" s="12"/>
      <c r="J79" s="12"/>
    </row>
    <row r="80" ht="15.75" customHeight="1">
      <c r="A80" s="12"/>
      <c r="B80" s="12"/>
      <c r="C80" s="12"/>
      <c r="D80" s="12"/>
      <c r="E80" s="12"/>
      <c r="F80" s="12"/>
      <c r="G80" s="12"/>
      <c r="H80" s="12"/>
      <c r="I80" s="12"/>
      <c r="J80" s="12"/>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dataValidations>
    <dataValidation type="list" allowBlank="1" sqref="A5:A80">
      <formula1>"Daily,Weekly,Monthly,Quarterly,One-time,On publish,On update,On deploy"</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48.0"/>
    <col customWidth="1" min="3" max="3" width="34.0"/>
    <col customWidth="1" min="4" max="4" width="28.0"/>
    <col customWidth="1" min="5" max="5" width="24.0"/>
    <col customWidth="1" min="6" max="26" width="8.71"/>
  </cols>
  <sheetData>
    <row r="1">
      <c r="A1" s="28" t="s">
        <v>1525</v>
      </c>
    </row>
    <row r="3">
      <c r="A3" s="29" t="s">
        <v>1534</v>
      </c>
      <c r="B3" s="30"/>
      <c r="C3" s="30"/>
      <c r="D3" s="30"/>
      <c r="E3" s="31"/>
    </row>
    <row r="4">
      <c r="A4" s="32" t="s">
        <v>1537</v>
      </c>
      <c r="B4" s="32" t="s">
        <v>1544</v>
      </c>
      <c r="C4" s="32" t="s">
        <v>1545</v>
      </c>
      <c r="D4" s="32" t="s">
        <v>1548</v>
      </c>
    </row>
    <row r="5">
      <c r="A5" s="33" t="s">
        <v>1551</v>
      </c>
      <c r="B5" s="33" t="s">
        <v>1554</v>
      </c>
      <c r="C5" s="33" t="s">
        <v>1556</v>
      </c>
      <c r="D5" s="33" t="s">
        <v>1557</v>
      </c>
    </row>
    <row r="6">
      <c r="A6" s="33" t="s">
        <v>1558</v>
      </c>
      <c r="B6" s="33" t="s">
        <v>1559</v>
      </c>
      <c r="C6" s="33" t="s">
        <v>1560</v>
      </c>
      <c r="D6" s="33" t="s">
        <v>1562</v>
      </c>
    </row>
    <row r="7">
      <c r="A7" s="33" t="s">
        <v>1564</v>
      </c>
      <c r="B7" s="33" t="s">
        <v>1565</v>
      </c>
      <c r="C7" s="33" t="s">
        <v>1566</v>
      </c>
      <c r="D7" s="33" t="s">
        <v>1567</v>
      </c>
    </row>
    <row r="8">
      <c r="A8" s="33" t="s">
        <v>1568</v>
      </c>
      <c r="B8" s="33" t="s">
        <v>1570</v>
      </c>
      <c r="C8" s="33" t="s">
        <v>1572</v>
      </c>
      <c r="D8" s="33" t="s">
        <v>1573</v>
      </c>
    </row>
    <row r="9">
      <c r="A9" s="33" t="s">
        <v>1574</v>
      </c>
      <c r="B9" s="33" t="s">
        <v>1575</v>
      </c>
      <c r="C9" s="33" t="s">
        <v>1576</v>
      </c>
      <c r="D9" s="33" t="s">
        <v>1577</v>
      </c>
    </row>
    <row r="12">
      <c r="A12" s="29" t="s">
        <v>1580</v>
      </c>
      <c r="B12" s="30"/>
      <c r="C12" s="30"/>
      <c r="D12" s="30"/>
      <c r="E12" s="31"/>
    </row>
    <row r="13">
      <c r="A13" s="32" t="s">
        <v>17</v>
      </c>
      <c r="B13" s="32" t="s">
        <v>213</v>
      </c>
      <c r="C13" s="32" t="s">
        <v>21</v>
      </c>
      <c r="D13" s="32" t="s">
        <v>20</v>
      </c>
    </row>
    <row r="14">
      <c r="A14" s="33" t="s">
        <v>1587</v>
      </c>
      <c r="B14" s="33" t="s">
        <v>1589</v>
      </c>
      <c r="C14" s="33" t="s">
        <v>1591</v>
      </c>
      <c r="D14" s="33" t="s">
        <v>120</v>
      </c>
    </row>
    <row r="15">
      <c r="A15" s="33" t="s">
        <v>1592</v>
      </c>
      <c r="B15" s="33" t="s">
        <v>1593</v>
      </c>
      <c r="C15" s="33" t="s">
        <v>1594</v>
      </c>
      <c r="D15" s="33" t="s">
        <v>120</v>
      </c>
    </row>
    <row r="16">
      <c r="A16" s="33" t="s">
        <v>1595</v>
      </c>
      <c r="B16" s="33" t="s">
        <v>1596</v>
      </c>
      <c r="C16" s="33" t="s">
        <v>1591</v>
      </c>
      <c r="D16" s="33" t="s">
        <v>120</v>
      </c>
    </row>
    <row r="17">
      <c r="A17" s="33" t="s">
        <v>1600</v>
      </c>
      <c r="B17" s="33" t="s">
        <v>1602</v>
      </c>
      <c r="C17" s="33" t="s">
        <v>1591</v>
      </c>
      <c r="D17" s="33" t="s">
        <v>120</v>
      </c>
    </row>
    <row r="18">
      <c r="A18" s="33" t="s">
        <v>1603</v>
      </c>
      <c r="B18" s="33" t="s">
        <v>1604</v>
      </c>
      <c r="C18" s="33" t="s">
        <v>1594</v>
      </c>
      <c r="D18" s="33" t="s">
        <v>120</v>
      </c>
    </row>
    <row r="21" ht="15.75" customHeight="1">
      <c r="A21" s="29" t="s">
        <v>1607</v>
      </c>
      <c r="B21" s="30"/>
      <c r="C21" s="30"/>
      <c r="D21" s="30"/>
      <c r="E21" s="31"/>
    </row>
    <row r="22" ht="15.75" customHeight="1">
      <c r="A22" s="32" t="s">
        <v>1612</v>
      </c>
      <c r="B22" s="32" t="s">
        <v>213</v>
      </c>
      <c r="C22" s="32" t="s">
        <v>21</v>
      </c>
      <c r="D22" s="32" t="s">
        <v>20</v>
      </c>
    </row>
    <row r="23" ht="15.75" customHeight="1">
      <c r="A23" s="33" t="s">
        <v>1613</v>
      </c>
      <c r="B23" s="33" t="s">
        <v>1614</v>
      </c>
      <c r="C23" s="33" t="s">
        <v>1594</v>
      </c>
      <c r="D23" s="33" t="s">
        <v>120</v>
      </c>
    </row>
    <row r="24" ht="15.75" customHeight="1">
      <c r="A24" s="33" t="s">
        <v>1615</v>
      </c>
      <c r="B24" s="33" t="s">
        <v>1617</v>
      </c>
      <c r="C24" s="33" t="s">
        <v>1620</v>
      </c>
      <c r="D24" s="33" t="s">
        <v>120</v>
      </c>
    </row>
    <row r="25" ht="15.75" customHeight="1">
      <c r="A25" s="33" t="s">
        <v>536</v>
      </c>
      <c r="B25" s="33" t="s">
        <v>1622</v>
      </c>
      <c r="C25" s="33" t="s">
        <v>1594</v>
      </c>
      <c r="D25" s="33" t="s">
        <v>210</v>
      </c>
    </row>
    <row r="26" ht="15.75" customHeight="1">
      <c r="A26" s="33" t="s">
        <v>69</v>
      </c>
      <c r="B26" s="33" t="s">
        <v>1623</v>
      </c>
      <c r="C26" s="33" t="s">
        <v>1594</v>
      </c>
      <c r="D26" s="33" t="s">
        <v>210</v>
      </c>
    </row>
    <row r="27" ht="15.75" customHeight="1">
      <c r="A27" s="33" t="s">
        <v>1626</v>
      </c>
      <c r="B27" s="33" t="s">
        <v>1627</v>
      </c>
      <c r="C27" s="33" t="s">
        <v>1628</v>
      </c>
      <c r="D27" s="33" t="s">
        <v>210</v>
      </c>
    </row>
    <row r="28" ht="15.75" customHeight="1"/>
    <row r="29" ht="15.75" customHeight="1"/>
    <row r="30" ht="15.75" customHeight="1">
      <c r="A30" s="29" t="s">
        <v>1629</v>
      </c>
      <c r="B30" s="30"/>
      <c r="C30" s="30"/>
      <c r="D30" s="30"/>
      <c r="E30" s="31"/>
    </row>
    <row r="31" ht="15.75" customHeight="1">
      <c r="A31" s="32" t="s">
        <v>1634</v>
      </c>
      <c r="B31" s="32" t="s">
        <v>213</v>
      </c>
    </row>
    <row r="32" ht="15.75" customHeight="1">
      <c r="A32" s="33" t="s">
        <v>1637</v>
      </c>
      <c r="B32" s="33" t="s">
        <v>1638</v>
      </c>
    </row>
    <row r="33" ht="15.75" customHeight="1">
      <c r="A33" s="33" t="s">
        <v>1639</v>
      </c>
      <c r="B33" s="33" t="s">
        <v>1640</v>
      </c>
    </row>
    <row r="34" ht="15.75" customHeight="1">
      <c r="A34" s="33" t="s">
        <v>248</v>
      </c>
      <c r="B34" s="33" t="s">
        <v>1641</v>
      </c>
    </row>
    <row r="35" ht="15.75" customHeight="1">
      <c r="A35" s="33" t="s">
        <v>1615</v>
      </c>
      <c r="B35" s="33" t="s">
        <v>1644</v>
      </c>
    </row>
    <row r="36" ht="15.75" customHeight="1">
      <c r="A36" s="33" t="s">
        <v>1645</v>
      </c>
      <c r="B36" s="33" t="s">
        <v>1646</v>
      </c>
    </row>
    <row r="37" ht="15.75" customHeight="1">
      <c r="A37" s="33" t="s">
        <v>1647</v>
      </c>
      <c r="B37" s="33" t="s">
        <v>1648</v>
      </c>
    </row>
    <row r="38" ht="15.75" customHeight="1"/>
    <row r="39" ht="15.75" customHeight="1"/>
    <row r="40" ht="15.75" customHeight="1">
      <c r="A40" s="29" t="s">
        <v>1649</v>
      </c>
      <c r="B40" s="30"/>
      <c r="C40" s="30"/>
      <c r="D40" s="30"/>
      <c r="E40" s="31"/>
    </row>
    <row r="41" ht="15.75" customHeight="1">
      <c r="A41" s="32" t="s">
        <v>52</v>
      </c>
      <c r="B41" s="32" t="s">
        <v>1653</v>
      </c>
      <c r="C41" s="32" t="s">
        <v>45</v>
      </c>
    </row>
    <row r="42" ht="15.75" customHeight="1">
      <c r="A42" s="33" t="s">
        <v>1655</v>
      </c>
      <c r="B42" s="33" t="s">
        <v>1656</v>
      </c>
      <c r="C42" s="33" t="s">
        <v>87</v>
      </c>
    </row>
    <row r="43" ht="15.75" customHeight="1">
      <c r="A43" s="33" t="s">
        <v>1657</v>
      </c>
      <c r="B43" s="33" t="s">
        <v>1659</v>
      </c>
      <c r="C43" s="33" t="s">
        <v>91</v>
      </c>
    </row>
    <row r="44" ht="15.75" customHeight="1">
      <c r="A44" s="33" t="s">
        <v>1661</v>
      </c>
      <c r="B44" s="33" t="s">
        <v>1662</v>
      </c>
      <c r="C44" s="33" t="s">
        <v>1663</v>
      </c>
    </row>
    <row r="45" ht="15.75" customHeight="1">
      <c r="A45" s="33" t="s">
        <v>1664</v>
      </c>
      <c r="B45" s="33" t="s">
        <v>1665</v>
      </c>
      <c r="C45" s="33" t="s">
        <v>91</v>
      </c>
    </row>
    <row r="46" ht="15.75" customHeight="1"/>
    <row r="47" ht="15.75" customHeight="1"/>
    <row r="48" ht="15.75" customHeight="1">
      <c r="A48" s="29" t="s">
        <v>1668</v>
      </c>
      <c r="B48" s="30"/>
      <c r="C48" s="30"/>
      <c r="D48" s="30"/>
      <c r="E48" s="31"/>
    </row>
    <row r="49" ht="15.75" customHeight="1">
      <c r="A49" s="32" t="s">
        <v>1671</v>
      </c>
      <c r="B49" s="32" t="s">
        <v>213</v>
      </c>
      <c r="C49" s="32" t="s">
        <v>88</v>
      </c>
    </row>
    <row r="50" ht="15.75" customHeight="1">
      <c r="A50" s="33" t="s">
        <v>1674</v>
      </c>
      <c r="B50" s="33" t="s">
        <v>1675</v>
      </c>
      <c r="C50" s="33" t="s">
        <v>1676</v>
      </c>
    </row>
    <row r="51" ht="15.75" customHeight="1">
      <c r="A51" s="33" t="s">
        <v>1677</v>
      </c>
      <c r="B51" s="33" t="s">
        <v>1678</v>
      </c>
      <c r="C51" s="33" t="s">
        <v>1679</v>
      </c>
    </row>
    <row r="52" ht="15.75" customHeight="1">
      <c r="A52" s="33" t="s">
        <v>1680</v>
      </c>
      <c r="B52" s="33" t="s">
        <v>1681</v>
      </c>
      <c r="C52" s="33" t="s">
        <v>1682</v>
      </c>
    </row>
    <row r="53" ht="15.75" customHeight="1">
      <c r="A53" s="33" t="s">
        <v>1685</v>
      </c>
      <c r="B53" s="33" t="s">
        <v>1686</v>
      </c>
      <c r="C53" s="33" t="s">
        <v>1687</v>
      </c>
    </row>
    <row r="54" ht="15.75" customHeight="1">
      <c r="A54" s="33" t="s">
        <v>1688</v>
      </c>
      <c r="B54" s="33" t="s">
        <v>1689</v>
      </c>
      <c r="C54" s="33" t="s">
        <v>1687</v>
      </c>
    </row>
    <row r="55" ht="15.75" customHeight="1"/>
    <row r="56" ht="15.75" customHeight="1"/>
    <row r="57" ht="15.75" customHeight="1">
      <c r="A57" s="29" t="s">
        <v>1690</v>
      </c>
      <c r="B57" s="30"/>
      <c r="C57" s="30"/>
      <c r="D57" s="30"/>
      <c r="E57" s="31"/>
    </row>
    <row r="58" ht="15.75" customHeight="1">
      <c r="A58" s="32" t="s">
        <v>1693</v>
      </c>
      <c r="B58" s="32" t="s">
        <v>213</v>
      </c>
    </row>
    <row r="59" ht="15.75" customHeight="1">
      <c r="A59" s="33" t="s">
        <v>16</v>
      </c>
      <c r="B59" s="33" t="s">
        <v>1696</v>
      </c>
    </row>
    <row r="60" ht="15.75" customHeight="1">
      <c r="A60" s="33" t="s">
        <v>77</v>
      </c>
      <c r="B60" s="33" t="s">
        <v>1697</v>
      </c>
    </row>
    <row r="61" ht="15.75" customHeight="1">
      <c r="A61" s="33" t="s">
        <v>100</v>
      </c>
      <c r="B61" s="33" t="s">
        <v>1698</v>
      </c>
    </row>
    <row r="62" ht="15.75" customHeight="1">
      <c r="A62" s="33" t="s">
        <v>131</v>
      </c>
      <c r="B62" s="33" t="s">
        <v>1699</v>
      </c>
    </row>
    <row r="63" ht="15.75" customHeight="1">
      <c r="A63" s="33" t="s">
        <v>158</v>
      </c>
      <c r="B63" s="33" t="s">
        <v>1700</v>
      </c>
    </row>
    <row r="64" ht="15.75" customHeight="1">
      <c r="A64" s="33" t="s">
        <v>176</v>
      </c>
      <c r="B64" s="33" t="s">
        <v>1703</v>
      </c>
    </row>
    <row r="65" ht="15.75" customHeight="1"/>
    <row r="66" ht="15.75" customHeight="1"/>
    <row r="67" ht="15.75" customHeight="1">
      <c r="A67" s="29" t="s">
        <v>1704</v>
      </c>
      <c r="B67" s="30"/>
      <c r="C67" s="30"/>
      <c r="D67" s="30"/>
      <c r="E67" s="31"/>
    </row>
    <row r="68" ht="15.75" customHeight="1">
      <c r="A68" s="32" t="s">
        <v>67</v>
      </c>
      <c r="B68" s="32" t="s">
        <v>1707</v>
      </c>
      <c r="C68" s="32" t="s">
        <v>1708</v>
      </c>
    </row>
    <row r="69" ht="15.75" customHeight="1">
      <c r="A69" s="33" t="s">
        <v>1709</v>
      </c>
      <c r="B69" s="33" t="s">
        <v>1710</v>
      </c>
      <c r="C69" s="33" t="s">
        <v>1711</v>
      </c>
    </row>
    <row r="70" ht="15.75" customHeight="1">
      <c r="A70" s="33" t="s">
        <v>1714</v>
      </c>
      <c r="B70" s="33" t="s">
        <v>1715</v>
      </c>
      <c r="C70" s="33" t="s">
        <v>1716</v>
      </c>
    </row>
    <row r="71" ht="15.75" customHeight="1">
      <c r="A71" s="33" t="s">
        <v>1717</v>
      </c>
      <c r="B71" s="33" t="s">
        <v>1718</v>
      </c>
      <c r="C71" s="33" t="s">
        <v>1719</v>
      </c>
    </row>
    <row r="72" ht="15.75" customHeight="1">
      <c r="A72" s="33" t="s">
        <v>1720</v>
      </c>
      <c r="B72" s="33" t="s">
        <v>1721</v>
      </c>
      <c r="C72" s="33" t="s">
        <v>1722</v>
      </c>
    </row>
    <row r="73" ht="15.75" customHeight="1"/>
    <row r="74" ht="15.75" customHeight="1"/>
    <row r="75" ht="15.75" customHeight="1">
      <c r="A75" s="29" t="s">
        <v>1725</v>
      </c>
      <c r="B75" s="30"/>
      <c r="C75" s="30"/>
      <c r="D75" s="30"/>
      <c r="E75" s="31"/>
    </row>
    <row r="76" ht="15.75" customHeight="1">
      <c r="A76" s="32" t="s">
        <v>1728</v>
      </c>
      <c r="B76" s="32" t="s">
        <v>1708</v>
      </c>
      <c r="C76" s="32" t="s">
        <v>20</v>
      </c>
    </row>
    <row r="77" ht="15.75" customHeight="1">
      <c r="A77" s="33" t="s">
        <v>1729</v>
      </c>
      <c r="B77" s="33" t="s">
        <v>1730</v>
      </c>
      <c r="C77" s="33" t="s">
        <v>120</v>
      </c>
    </row>
    <row r="78" ht="15.75" customHeight="1">
      <c r="A78" s="33" t="s">
        <v>1731</v>
      </c>
      <c r="B78" s="33" t="s">
        <v>1732</v>
      </c>
      <c r="C78" s="33" t="s">
        <v>120</v>
      </c>
    </row>
    <row r="79" ht="15.75" customHeight="1">
      <c r="A79" s="33" t="s">
        <v>1733</v>
      </c>
      <c r="B79" s="33" t="s">
        <v>1735</v>
      </c>
      <c r="C79" s="33" t="s">
        <v>210</v>
      </c>
    </row>
    <row r="80" ht="15.75" customHeight="1">
      <c r="A80" s="33" t="s">
        <v>1737</v>
      </c>
      <c r="B80" s="33" t="s">
        <v>1738</v>
      </c>
      <c r="C80" s="33" t="s">
        <v>120</v>
      </c>
    </row>
    <row r="81" ht="15.75" customHeight="1">
      <c r="A81" s="33" t="s">
        <v>1739</v>
      </c>
      <c r="B81" s="33" t="s">
        <v>1740</v>
      </c>
      <c r="C81" s="33" t="s">
        <v>210</v>
      </c>
    </row>
    <row r="82" ht="15.75" customHeight="1"/>
    <row r="83" ht="15.75" customHeight="1"/>
    <row r="84" ht="15.75" customHeight="1">
      <c r="A84" s="29" t="s">
        <v>1741</v>
      </c>
      <c r="B84" s="30"/>
      <c r="C84" s="30"/>
      <c r="D84" s="30"/>
      <c r="E84" s="31"/>
    </row>
    <row r="85" ht="15.75" customHeight="1">
      <c r="A85" s="32" t="s">
        <v>1744</v>
      </c>
      <c r="B85" s="32" t="s">
        <v>213</v>
      </c>
    </row>
    <row r="86" ht="15.75" customHeight="1">
      <c r="A86" s="33" t="s">
        <v>1747</v>
      </c>
      <c r="B86" s="33" t="s">
        <v>1748</v>
      </c>
    </row>
    <row r="87" ht="15.75" customHeight="1">
      <c r="A87" s="33" t="s">
        <v>1749</v>
      </c>
      <c r="B87" s="33" t="s">
        <v>1750</v>
      </c>
    </row>
    <row r="88" ht="15.75" customHeight="1">
      <c r="A88" s="33" t="s">
        <v>1751</v>
      </c>
      <c r="B88" s="33" t="s">
        <v>1752</v>
      </c>
    </row>
    <row r="89" ht="15.75" customHeight="1">
      <c r="A89" s="33" t="s">
        <v>1753</v>
      </c>
      <c r="B89" s="33" t="s">
        <v>1755</v>
      </c>
    </row>
    <row r="90" ht="15.75" customHeight="1"/>
    <row r="91" ht="15.75" customHeight="1"/>
    <row r="92" ht="15.75" customHeight="1">
      <c r="A92" s="29" t="s">
        <v>1757</v>
      </c>
      <c r="B92" s="30"/>
      <c r="C92" s="30"/>
      <c r="D92" s="30"/>
      <c r="E92" s="31"/>
    </row>
    <row r="93" ht="15.75" customHeight="1">
      <c r="A93" s="32" t="s">
        <v>1760</v>
      </c>
      <c r="B93" s="32" t="s">
        <v>213</v>
      </c>
      <c r="C93" s="32" t="s">
        <v>20</v>
      </c>
    </row>
    <row r="94" ht="15.75" customHeight="1">
      <c r="A94" s="33" t="s">
        <v>1761</v>
      </c>
      <c r="B94" s="33" t="s">
        <v>1762</v>
      </c>
      <c r="C94" s="33" t="s">
        <v>120</v>
      </c>
    </row>
    <row r="95" ht="15.75" customHeight="1">
      <c r="A95" s="33" t="s">
        <v>1763</v>
      </c>
      <c r="B95" s="33" t="s">
        <v>1764</v>
      </c>
      <c r="C95" s="33" t="s">
        <v>120</v>
      </c>
    </row>
    <row r="96" ht="15.75" customHeight="1">
      <c r="A96" s="33" t="s">
        <v>1766</v>
      </c>
      <c r="B96" s="33" t="s">
        <v>1768</v>
      </c>
      <c r="C96" s="33" t="s">
        <v>120</v>
      </c>
    </row>
    <row r="97" ht="15.75" customHeight="1">
      <c r="A97" s="33" t="s">
        <v>1769</v>
      </c>
      <c r="B97" s="33" t="s">
        <v>1770</v>
      </c>
      <c r="C97" s="33" t="s">
        <v>120</v>
      </c>
    </row>
    <row r="98" ht="15.75" customHeight="1">
      <c r="A98" s="33" t="s">
        <v>1771</v>
      </c>
      <c r="B98" s="33" t="s">
        <v>1772</v>
      </c>
      <c r="C98" s="33" t="s">
        <v>210</v>
      </c>
    </row>
    <row r="99" ht="15.75" customHeight="1"/>
    <row r="100" ht="15.75" customHeight="1"/>
    <row r="101" ht="15.75" customHeight="1">
      <c r="A101" s="29" t="s">
        <v>1774</v>
      </c>
      <c r="B101" s="30"/>
      <c r="C101" s="30"/>
      <c r="D101" s="30"/>
      <c r="E101" s="31"/>
    </row>
    <row r="102" ht="15.75" customHeight="1">
      <c r="A102" s="32" t="s">
        <v>1671</v>
      </c>
      <c r="B102" s="32" t="s">
        <v>213</v>
      </c>
      <c r="C102" s="32" t="s">
        <v>13</v>
      </c>
    </row>
    <row r="103" ht="15.75" customHeight="1">
      <c r="A103" s="33" t="s">
        <v>1778</v>
      </c>
      <c r="B103" s="33" t="s">
        <v>1779</v>
      </c>
      <c r="C103" s="33" t="s">
        <v>165</v>
      </c>
    </row>
    <row r="104" ht="15.75" customHeight="1">
      <c r="A104" s="33" t="s">
        <v>1780</v>
      </c>
      <c r="B104" s="33" t="s">
        <v>1781</v>
      </c>
      <c r="C104" s="33" t="s">
        <v>165</v>
      </c>
    </row>
    <row r="105" ht="15.75" customHeight="1">
      <c r="A105" s="33" t="s">
        <v>1603</v>
      </c>
      <c r="B105" s="33" t="s">
        <v>1782</v>
      </c>
      <c r="C105" s="33" t="s">
        <v>165</v>
      </c>
    </row>
    <row r="106" ht="15.75" customHeight="1">
      <c r="A106" s="33" t="s">
        <v>1785</v>
      </c>
      <c r="B106" s="33" t="s">
        <v>1786</v>
      </c>
      <c r="C106" s="33" t="s">
        <v>165</v>
      </c>
    </row>
    <row r="107" ht="15.75" customHeight="1"/>
    <row r="108" ht="15.75" customHeight="1"/>
    <row r="109" ht="15.75" customHeight="1">
      <c r="A109" s="29" t="s">
        <v>1787</v>
      </c>
      <c r="B109" s="30"/>
      <c r="C109" s="30"/>
      <c r="D109" s="30"/>
      <c r="E109" s="31"/>
    </row>
    <row r="110" ht="15.75" customHeight="1">
      <c r="A110" s="32" t="s">
        <v>1790</v>
      </c>
      <c r="B110" s="32" t="s">
        <v>1791</v>
      </c>
      <c r="C110" s="32" t="s">
        <v>1792</v>
      </c>
    </row>
    <row r="111" ht="15.75" customHeight="1">
      <c r="A111" s="33" t="s">
        <v>1793</v>
      </c>
      <c r="B111" s="33" t="s">
        <v>1794</v>
      </c>
      <c r="C111" s="33" t="s">
        <v>1795</v>
      </c>
    </row>
    <row r="112" ht="15.75" customHeight="1">
      <c r="A112" s="33" t="s">
        <v>1796</v>
      </c>
      <c r="B112" s="33" t="s">
        <v>1797</v>
      </c>
      <c r="C112" s="33" t="s">
        <v>1798</v>
      </c>
    </row>
    <row r="113" ht="15.75" customHeight="1">
      <c r="A113" s="33" t="s">
        <v>1800</v>
      </c>
      <c r="B113" s="33" t="s">
        <v>1801</v>
      </c>
      <c r="C113" s="33" t="s">
        <v>1803</v>
      </c>
    </row>
    <row r="114" ht="15.75" customHeight="1">
      <c r="A114" s="33" t="s">
        <v>1804</v>
      </c>
      <c r="B114" s="33" t="s">
        <v>1805</v>
      </c>
      <c r="C114" s="33" t="s">
        <v>1806</v>
      </c>
    </row>
    <row r="115" ht="15.75" customHeight="1"/>
    <row r="116" ht="15.75" customHeight="1"/>
    <row r="117" ht="15.75" customHeight="1">
      <c r="A117" s="29" t="s">
        <v>1807</v>
      </c>
      <c r="B117" s="30"/>
      <c r="C117" s="30"/>
      <c r="D117" s="30"/>
      <c r="E117" s="31"/>
    </row>
    <row r="118" ht="15.75" customHeight="1">
      <c r="A118" s="32" t="s">
        <v>1809</v>
      </c>
      <c r="B118" s="32" t="s">
        <v>1811</v>
      </c>
    </row>
    <row r="119" ht="15.75" customHeight="1">
      <c r="A119" s="33" t="s">
        <v>1812</v>
      </c>
      <c r="B119" s="33" t="s">
        <v>1813</v>
      </c>
    </row>
    <row r="120" ht="15.75" customHeight="1">
      <c r="A120" s="33" t="s">
        <v>1814</v>
      </c>
      <c r="B120" s="33" t="s">
        <v>1815</v>
      </c>
    </row>
    <row r="121" ht="15.75" customHeight="1">
      <c r="A121" s="33" t="s">
        <v>1816</v>
      </c>
      <c r="B121" s="33" t="s">
        <v>1817</v>
      </c>
    </row>
    <row r="122" ht="15.75" customHeight="1">
      <c r="A122" s="33" t="s">
        <v>1818</v>
      </c>
      <c r="B122" s="33" t="s">
        <v>1819</v>
      </c>
    </row>
    <row r="123" ht="15.75" customHeight="1">
      <c r="A123" s="33" t="s">
        <v>1820</v>
      </c>
      <c r="B123" s="33" t="s">
        <v>1821</v>
      </c>
    </row>
    <row r="124" ht="15.75" customHeight="1">
      <c r="A124" s="33" t="s">
        <v>1677</v>
      </c>
      <c r="B124" s="33" t="s">
        <v>1822</v>
      </c>
    </row>
    <row r="125" ht="15.75" customHeight="1">
      <c r="A125" s="33" t="s">
        <v>254</v>
      </c>
      <c r="B125" s="33" t="s">
        <v>1825</v>
      </c>
    </row>
    <row r="126" ht="15.75" customHeight="1">
      <c r="A126" s="33" t="s">
        <v>1826</v>
      </c>
      <c r="B126" s="33" t="s">
        <v>1827</v>
      </c>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57:E57"/>
    <mergeCell ref="A67:E67"/>
    <mergeCell ref="A75:E75"/>
    <mergeCell ref="A84:E84"/>
    <mergeCell ref="A92:E92"/>
    <mergeCell ref="A101:E101"/>
    <mergeCell ref="A109:E109"/>
    <mergeCell ref="A117:E117"/>
    <mergeCell ref="A1:E1"/>
    <mergeCell ref="A3:E3"/>
    <mergeCell ref="A12:E12"/>
    <mergeCell ref="A21:E21"/>
    <mergeCell ref="A30:E30"/>
    <mergeCell ref="A40:E40"/>
    <mergeCell ref="A48:E48"/>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7.14"/>
    <col customWidth="1" min="3" max="3" width="41.14"/>
    <col customWidth="1" min="4" max="4" width="16.0"/>
    <col customWidth="1" min="5" max="5" width="41.14"/>
    <col customWidth="1" min="6" max="26" width="9.86"/>
  </cols>
  <sheetData>
    <row r="1">
      <c r="A1" s="34"/>
      <c r="B1" s="34"/>
      <c r="C1" s="34"/>
      <c r="D1" s="34"/>
      <c r="E1" s="34"/>
    </row>
    <row r="2">
      <c r="A2" s="35"/>
      <c r="B2" s="35"/>
      <c r="C2" s="35"/>
      <c r="D2" s="35"/>
      <c r="E2" s="35"/>
    </row>
    <row r="3">
      <c r="A3" s="35" t="s">
        <v>1874</v>
      </c>
      <c r="B3" s="35" t="s">
        <v>1875</v>
      </c>
      <c r="C3" s="35" t="s">
        <v>1876</v>
      </c>
      <c r="D3" s="35" t="s">
        <v>1877</v>
      </c>
      <c r="E3" s="35" t="s">
        <v>1878</v>
      </c>
    </row>
    <row r="4">
      <c r="A4" s="35" t="s">
        <v>1879</v>
      </c>
      <c r="B4" s="35"/>
      <c r="C4" s="35"/>
      <c r="D4" s="35"/>
      <c r="E4" s="35"/>
    </row>
    <row r="5">
      <c r="A5" s="35"/>
      <c r="B5" s="35" t="s">
        <v>1882</v>
      </c>
      <c r="C5" s="35" t="s">
        <v>1883</v>
      </c>
      <c r="D5" s="35" t="s">
        <v>98</v>
      </c>
      <c r="E5" s="35" t="s">
        <v>1884</v>
      </c>
    </row>
    <row r="6">
      <c r="A6" s="35" t="s">
        <v>1885</v>
      </c>
      <c r="B6" s="35"/>
      <c r="C6" s="35"/>
      <c r="D6" s="35"/>
      <c r="E6" s="35"/>
    </row>
    <row r="7">
      <c r="A7" s="35"/>
      <c r="B7" s="35" t="s">
        <v>1885</v>
      </c>
      <c r="C7" s="35" t="s">
        <v>1886</v>
      </c>
      <c r="D7" s="35" t="s">
        <v>98</v>
      </c>
      <c r="E7" s="35" t="s">
        <v>1887</v>
      </c>
    </row>
    <row r="8">
      <c r="A8" s="35" t="s">
        <v>1888</v>
      </c>
      <c r="B8" s="35"/>
      <c r="C8" s="35"/>
      <c r="D8" s="35"/>
      <c r="E8" s="35"/>
    </row>
    <row r="9">
      <c r="A9" s="35"/>
      <c r="B9" s="35" t="s">
        <v>1889</v>
      </c>
      <c r="C9" s="35" t="s">
        <v>1890</v>
      </c>
      <c r="D9" s="35" t="s">
        <v>98</v>
      </c>
      <c r="E9" s="35" t="s">
        <v>1887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7.71"/>
    <col customWidth="1" min="3" max="3" width="41.14"/>
    <col customWidth="1" min="4" max="4" width="16.0"/>
    <col customWidth="1" min="5" max="5" width="41.14"/>
    <col customWidth="1" min="6" max="26" width="9.86"/>
  </cols>
  <sheetData>
    <row r="1">
      <c r="A1" s="36" t="s">
        <v>1874</v>
      </c>
      <c r="B1" s="36" t="s">
        <v>1875</v>
      </c>
      <c r="C1" s="36" t="s">
        <v>1876</v>
      </c>
      <c r="D1" s="36" t="s">
        <v>1877</v>
      </c>
      <c r="E1" s="36" t="s">
        <v>445</v>
      </c>
      <c r="F1" s="37"/>
      <c r="G1" s="37"/>
      <c r="H1" s="37"/>
      <c r="I1" s="37"/>
      <c r="J1" s="37"/>
      <c r="K1" s="37"/>
      <c r="L1" s="37"/>
      <c r="M1" s="37"/>
      <c r="N1" s="37"/>
      <c r="O1" s="37"/>
      <c r="P1" s="37"/>
      <c r="Q1" s="37"/>
      <c r="R1" s="37"/>
      <c r="S1" s="37"/>
      <c r="T1" s="37"/>
      <c r="U1" s="37"/>
      <c r="V1" s="37"/>
      <c r="W1" s="37"/>
      <c r="X1" s="37"/>
      <c r="Y1" s="37"/>
      <c r="Z1" s="37"/>
    </row>
    <row r="2">
      <c r="A2" s="35"/>
      <c r="B2" s="35" t="s">
        <v>1895</v>
      </c>
      <c r="C2" s="35"/>
      <c r="D2" s="35"/>
      <c r="E2" s="35"/>
    </row>
    <row r="3">
      <c r="A3" s="35">
        <v>1.0</v>
      </c>
      <c r="B3" s="35" t="s">
        <v>1896</v>
      </c>
      <c r="C3" s="35" t="s">
        <v>465</v>
      </c>
      <c r="D3" s="35" t="s">
        <v>1897</v>
      </c>
      <c r="E3" s="35" t="s">
        <v>1898</v>
      </c>
    </row>
    <row r="4">
      <c r="A4" s="35">
        <v>2.0</v>
      </c>
      <c r="B4" s="35" t="s">
        <v>1899</v>
      </c>
      <c r="C4" s="35" t="s">
        <v>1900</v>
      </c>
      <c r="D4" s="35" t="s">
        <v>1897</v>
      </c>
      <c r="E4" s="35" t="s">
        <v>1898</v>
      </c>
    </row>
    <row r="5">
      <c r="A5" s="35">
        <v>3.0</v>
      </c>
      <c r="B5" s="35" t="s">
        <v>1901</v>
      </c>
      <c r="C5" s="35" t="s">
        <v>1902</v>
      </c>
      <c r="D5" s="35" t="s">
        <v>1897</v>
      </c>
      <c r="E5" s="35" t="s">
        <v>1898</v>
      </c>
    </row>
    <row r="6">
      <c r="A6" s="35"/>
      <c r="B6" s="35" t="s">
        <v>1879</v>
      </c>
      <c r="C6" s="35"/>
      <c r="D6" s="35"/>
      <c r="E6" s="35"/>
    </row>
    <row r="7">
      <c r="A7" s="35"/>
      <c r="B7" s="35" t="s">
        <v>1882</v>
      </c>
      <c r="C7" s="35" t="s">
        <v>1883</v>
      </c>
      <c r="D7" s="35" t="s">
        <v>98</v>
      </c>
      <c r="E7" s="35" t="s">
        <v>1884</v>
      </c>
    </row>
    <row r="8">
      <c r="A8" s="35"/>
      <c r="B8" s="35" t="s">
        <v>1885</v>
      </c>
      <c r="C8" s="35"/>
      <c r="D8" s="35"/>
      <c r="E8" s="35"/>
    </row>
    <row r="9">
      <c r="A9" s="35"/>
      <c r="B9" s="35" t="s">
        <v>1885</v>
      </c>
      <c r="C9" s="35" t="s">
        <v>1886</v>
      </c>
      <c r="D9" s="35" t="s">
        <v>98</v>
      </c>
      <c r="E9" s="35" t="s">
        <v>1887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14"/>
    <col customWidth="1" min="2" max="2" width="33.14"/>
    <col customWidth="1" min="3" max="3" width="41.14"/>
    <col customWidth="1" min="4" max="4" width="11.43"/>
    <col customWidth="1" min="5" max="5" width="17.14"/>
    <col customWidth="1" min="6" max="6" width="13.71"/>
    <col customWidth="1" min="7" max="7" width="29.71"/>
    <col customWidth="1" min="8" max="13" width="41.14"/>
    <col customWidth="1" min="14" max="26" width="9.86"/>
  </cols>
  <sheetData>
    <row r="1">
      <c r="A1" s="34"/>
      <c r="B1" s="34"/>
      <c r="C1" s="34"/>
      <c r="D1" s="34"/>
      <c r="E1" s="34"/>
      <c r="F1" s="34"/>
      <c r="G1" s="34"/>
      <c r="H1" s="34"/>
      <c r="I1" s="34"/>
      <c r="J1" s="34"/>
      <c r="K1" s="34"/>
      <c r="L1" s="34"/>
      <c r="M1" s="34"/>
    </row>
    <row r="2">
      <c r="A2" s="35"/>
      <c r="B2" s="35"/>
      <c r="C2" s="35"/>
      <c r="D2" s="35"/>
      <c r="E2" s="35"/>
      <c r="F2" s="35"/>
      <c r="G2" s="35"/>
      <c r="H2" s="35"/>
      <c r="I2" s="35"/>
      <c r="J2" s="35"/>
      <c r="K2" s="35"/>
      <c r="L2" s="35"/>
      <c r="M2" s="35"/>
    </row>
    <row r="3">
      <c r="A3" s="35" t="s">
        <v>1903</v>
      </c>
      <c r="B3" s="35"/>
      <c r="C3" s="35" t="s">
        <v>1904</v>
      </c>
      <c r="D3" s="35" t="s">
        <v>1905</v>
      </c>
      <c r="E3" s="35" t="s">
        <v>1906</v>
      </c>
      <c r="F3" s="35" t="s">
        <v>1907</v>
      </c>
      <c r="G3" s="35" t="s">
        <v>382</v>
      </c>
      <c r="H3" s="35" t="s">
        <v>1908</v>
      </c>
      <c r="I3" s="35" t="s">
        <v>384</v>
      </c>
      <c r="J3" s="35" t="s">
        <v>385</v>
      </c>
      <c r="K3" s="35" t="s">
        <v>1909</v>
      </c>
      <c r="L3" s="35" t="s">
        <v>1910</v>
      </c>
      <c r="M3" s="35"/>
    </row>
    <row r="4">
      <c r="A4" s="35">
        <v>1.0</v>
      </c>
      <c r="B4" s="35"/>
      <c r="C4" s="35" t="s">
        <v>83</v>
      </c>
      <c r="D4" s="35">
        <v>90.0</v>
      </c>
      <c r="E4" s="35" t="s">
        <v>1911</v>
      </c>
      <c r="F4" s="35">
        <v>22.0</v>
      </c>
      <c r="G4" s="35" t="s">
        <v>91</v>
      </c>
      <c r="H4" s="35" t="s">
        <v>92</v>
      </c>
      <c r="I4" s="35" t="s">
        <v>97</v>
      </c>
      <c r="J4" s="35" t="s">
        <v>182</v>
      </c>
      <c r="K4" s="35" t="s">
        <v>184</v>
      </c>
      <c r="L4" s="35"/>
      <c r="M4" s="35"/>
    </row>
    <row r="5">
      <c r="A5" s="35">
        <v>2.0</v>
      </c>
      <c r="B5" s="35"/>
      <c r="C5" s="35" t="s">
        <v>197</v>
      </c>
      <c r="D5" s="35">
        <v>40.0</v>
      </c>
      <c r="E5" s="35">
        <v>110.0</v>
      </c>
      <c r="F5" s="35">
        <v>23.0</v>
      </c>
      <c r="G5" s="35" t="s">
        <v>87</v>
      </c>
      <c r="H5" s="35" t="s">
        <v>92</v>
      </c>
      <c r="I5" s="35" t="s">
        <v>97</v>
      </c>
      <c r="J5" s="35"/>
      <c r="K5" s="35"/>
      <c r="L5" s="35"/>
      <c r="M5" s="35"/>
    </row>
    <row r="6">
      <c r="A6" s="35">
        <v>3.0</v>
      </c>
      <c r="B6" s="35"/>
      <c r="C6" s="35" t="s">
        <v>224</v>
      </c>
      <c r="D6" s="35">
        <v>40.0</v>
      </c>
      <c r="E6" s="35">
        <v>70.0</v>
      </c>
      <c r="F6" s="35">
        <v>15.0</v>
      </c>
      <c r="G6" s="35" t="s">
        <v>91</v>
      </c>
      <c r="H6" s="35" t="s">
        <v>92</v>
      </c>
      <c r="I6" s="35" t="s">
        <v>97</v>
      </c>
      <c r="J6" s="35"/>
      <c r="K6" s="35"/>
      <c r="L6" s="35"/>
      <c r="M6" s="35"/>
    </row>
    <row r="7">
      <c r="A7" s="35">
        <v>4.0</v>
      </c>
      <c r="B7" s="35"/>
      <c r="C7" s="35" t="s">
        <v>247</v>
      </c>
      <c r="D7" s="35">
        <v>50.0</v>
      </c>
      <c r="E7" s="35">
        <v>160.0</v>
      </c>
      <c r="F7" s="35">
        <v>18.0</v>
      </c>
      <c r="G7" s="35" t="s">
        <v>91</v>
      </c>
      <c r="H7" s="35" t="s">
        <v>92</v>
      </c>
      <c r="I7" s="35" t="s">
        <v>97</v>
      </c>
      <c r="J7" s="35"/>
      <c r="K7" s="35"/>
      <c r="L7" s="35"/>
      <c r="M7" s="35"/>
    </row>
    <row r="8">
      <c r="A8" s="35">
        <v>5.0</v>
      </c>
      <c r="B8" s="35"/>
      <c r="C8" s="35" t="s">
        <v>272</v>
      </c>
      <c r="D8" s="35">
        <v>70.0</v>
      </c>
      <c r="E8" s="35">
        <v>240.0</v>
      </c>
      <c r="F8" s="35">
        <v>15.0</v>
      </c>
      <c r="G8" s="35" t="s">
        <v>91</v>
      </c>
      <c r="H8" s="35" t="s">
        <v>92</v>
      </c>
      <c r="I8" s="35" t="s">
        <v>97</v>
      </c>
      <c r="J8" s="35"/>
      <c r="K8" s="35"/>
      <c r="L8" s="35"/>
      <c r="M8" s="35"/>
    </row>
    <row r="9">
      <c r="A9" s="35">
        <v>6.0</v>
      </c>
      <c r="B9" s="35"/>
      <c r="C9" s="35" t="s">
        <v>285</v>
      </c>
      <c r="D9" s="35">
        <v>30.0</v>
      </c>
      <c r="E9" s="35">
        <v>70.0</v>
      </c>
      <c r="F9" s="35">
        <v>18.0</v>
      </c>
      <c r="G9" s="35" t="s">
        <v>91</v>
      </c>
      <c r="H9" s="35" t="s">
        <v>92</v>
      </c>
      <c r="I9" s="35" t="s">
        <v>97</v>
      </c>
      <c r="J9" s="35"/>
      <c r="K9" s="35"/>
      <c r="L9" s="35"/>
      <c r="M9" s="35"/>
    </row>
    <row r="10">
      <c r="A10" s="35">
        <v>7.0</v>
      </c>
      <c r="B10" s="35"/>
      <c r="C10" s="35" t="s">
        <v>295</v>
      </c>
      <c r="D10" s="35">
        <v>70.0</v>
      </c>
      <c r="E10" s="35">
        <v>140.0</v>
      </c>
      <c r="F10" s="35">
        <v>7.0</v>
      </c>
      <c r="G10" s="35" t="s">
        <v>91</v>
      </c>
      <c r="H10" s="35" t="s">
        <v>92</v>
      </c>
      <c r="I10" s="35" t="s">
        <v>97</v>
      </c>
      <c r="J10" s="35"/>
      <c r="K10" s="35"/>
      <c r="L10" s="35"/>
      <c r="M10" s="35"/>
    </row>
    <row r="11">
      <c r="A11" s="35">
        <v>8.0</v>
      </c>
      <c r="B11" s="35"/>
      <c r="C11" s="35" t="s">
        <v>306</v>
      </c>
      <c r="D11" s="35">
        <v>90.0</v>
      </c>
      <c r="E11" s="35">
        <v>220.0</v>
      </c>
      <c r="F11" s="35">
        <v>32.0</v>
      </c>
      <c r="G11" s="35" t="s">
        <v>91</v>
      </c>
      <c r="H11" s="35" t="s">
        <v>92</v>
      </c>
      <c r="I11" s="35" t="s">
        <v>97</v>
      </c>
      <c r="J11" s="35"/>
      <c r="K11" s="35"/>
      <c r="L11" s="35"/>
      <c r="M11" s="35"/>
    </row>
    <row r="12">
      <c r="A12" s="35">
        <v>9.0</v>
      </c>
      <c r="B12" s="35"/>
      <c r="C12" s="35" t="s">
        <v>313</v>
      </c>
      <c r="D12" s="35">
        <v>70.0</v>
      </c>
      <c r="E12" s="35">
        <v>170.0</v>
      </c>
      <c r="F12" s="35">
        <v>0.0</v>
      </c>
      <c r="G12" s="35" t="s">
        <v>91</v>
      </c>
      <c r="H12" s="35" t="s">
        <v>92</v>
      </c>
      <c r="I12" s="35" t="s">
        <v>97</v>
      </c>
      <c r="J12" s="35"/>
      <c r="K12" s="35"/>
      <c r="L12" s="35"/>
      <c r="M12" s="35"/>
    </row>
    <row r="13">
      <c r="A13" s="35">
        <v>10.0</v>
      </c>
      <c r="B13" s="35"/>
      <c r="C13" s="35" t="s">
        <v>1912</v>
      </c>
      <c r="D13" s="35">
        <v>70.0</v>
      </c>
      <c r="E13" s="35">
        <v>270.0</v>
      </c>
      <c r="F13" s="35">
        <v>25.0</v>
      </c>
      <c r="G13" s="35" t="s">
        <v>87</v>
      </c>
      <c r="H13" s="35" t="s">
        <v>92</v>
      </c>
      <c r="I13" s="35" t="s">
        <v>44</v>
      </c>
      <c r="J13" s="35"/>
      <c r="K13" s="35"/>
      <c r="L13" s="35"/>
      <c r="M13" s="35"/>
    </row>
    <row r="14">
      <c r="A14" s="35">
        <v>11.0</v>
      </c>
      <c r="B14" s="35"/>
      <c r="C14" s="35" t="s">
        <v>1913</v>
      </c>
      <c r="D14" s="35">
        <v>40.0</v>
      </c>
      <c r="E14" s="35">
        <v>230.0</v>
      </c>
      <c r="F14" s="35">
        <v>27.0</v>
      </c>
      <c r="G14" s="35" t="s">
        <v>91</v>
      </c>
      <c r="H14" s="35" t="s">
        <v>92</v>
      </c>
      <c r="I14" s="35" t="s">
        <v>97</v>
      </c>
      <c r="J14" s="35"/>
      <c r="K14" s="35"/>
      <c r="L14" s="35"/>
      <c r="M14" s="35"/>
    </row>
    <row r="15">
      <c r="A15" s="35">
        <v>12.0</v>
      </c>
      <c r="B15" s="35"/>
      <c r="C15" s="35" t="s">
        <v>1914</v>
      </c>
      <c r="D15" s="35">
        <v>30.0</v>
      </c>
      <c r="E15" s="35">
        <v>100.0</v>
      </c>
      <c r="F15" s="35"/>
      <c r="G15" s="35"/>
      <c r="H15" s="35" t="s">
        <v>92</v>
      </c>
      <c r="I15" s="35" t="s">
        <v>97</v>
      </c>
      <c r="J15" s="35"/>
      <c r="K15" s="35"/>
      <c r="L15" s="35"/>
      <c r="M15" s="35"/>
    </row>
    <row r="16">
      <c r="A16" s="35">
        <v>13.0</v>
      </c>
      <c r="B16" s="35"/>
      <c r="C16" s="35" t="s">
        <v>339</v>
      </c>
      <c r="D16" s="35">
        <v>90.0</v>
      </c>
      <c r="E16" s="35">
        <v>250.0</v>
      </c>
      <c r="F16" s="35">
        <v>30.0</v>
      </c>
      <c r="G16" s="35" t="s">
        <v>91</v>
      </c>
      <c r="H16" s="35" t="s">
        <v>92</v>
      </c>
      <c r="I16" s="35" t="s">
        <v>97</v>
      </c>
      <c r="J16" s="35"/>
      <c r="K16" s="35"/>
      <c r="L16" s="35"/>
      <c r="M16" s="35"/>
    </row>
    <row r="17">
      <c r="A17" s="35"/>
      <c r="B17" s="35"/>
      <c r="C17" s="35"/>
      <c r="D17" s="35"/>
      <c r="E17" s="35"/>
      <c r="F17" s="35"/>
      <c r="G17" s="35"/>
      <c r="H17" s="35"/>
      <c r="I17" s="35"/>
      <c r="J17" s="35"/>
      <c r="K17" s="35"/>
      <c r="L17" s="35"/>
      <c r="M17" s="35"/>
    </row>
    <row r="18">
      <c r="A18" s="35">
        <v>14.0</v>
      </c>
      <c r="B18" s="35"/>
      <c r="C18" s="35" t="s">
        <v>344</v>
      </c>
      <c r="D18" s="35">
        <v>40.0</v>
      </c>
      <c r="E18" s="35">
        <v>70.0</v>
      </c>
      <c r="F18" s="35">
        <v>4.0</v>
      </c>
      <c r="G18" s="35" t="s">
        <v>91</v>
      </c>
      <c r="H18" s="35" t="s">
        <v>345</v>
      </c>
      <c r="I18" s="35"/>
      <c r="J18" s="35" t="s">
        <v>346</v>
      </c>
      <c r="K18" s="35" t="s">
        <v>348</v>
      </c>
      <c r="L18" s="35"/>
      <c r="M18" s="35"/>
    </row>
    <row r="19">
      <c r="A19" s="35">
        <v>15.0</v>
      </c>
      <c r="B19" s="35"/>
      <c r="C19" s="35" t="s">
        <v>351</v>
      </c>
      <c r="D19" s="35">
        <v>50.0</v>
      </c>
      <c r="E19" s="35">
        <v>80.0</v>
      </c>
      <c r="F19" s="35">
        <v>1.0</v>
      </c>
      <c r="G19" s="35" t="s">
        <v>353</v>
      </c>
      <c r="H19" s="35"/>
      <c r="I19" s="35"/>
      <c r="J19" s="35"/>
      <c r="K19" s="35"/>
      <c r="L19" s="35"/>
      <c r="M19" s="35"/>
    </row>
    <row r="20">
      <c r="A20" s="35">
        <v>16.0</v>
      </c>
      <c r="B20" s="35"/>
      <c r="C20" s="35" t="s">
        <v>1915</v>
      </c>
      <c r="D20" s="35">
        <v>0.0</v>
      </c>
      <c r="E20" s="35">
        <v>10.0</v>
      </c>
      <c r="F20" s="35"/>
      <c r="G20" s="35" t="s">
        <v>91</v>
      </c>
      <c r="H20" s="35"/>
      <c r="I20" s="35"/>
      <c r="J20" s="35"/>
      <c r="K20" s="35"/>
      <c r="L20" s="35"/>
      <c r="M20" s="35"/>
    </row>
    <row r="21" ht="15.75" customHeight="1">
      <c r="A21" s="35">
        <v>17.0</v>
      </c>
      <c r="B21" s="35"/>
      <c r="C21" s="35" t="s">
        <v>366</v>
      </c>
      <c r="D21" s="35">
        <v>0.0</v>
      </c>
      <c r="E21" s="35">
        <v>140.0</v>
      </c>
      <c r="F21" s="35">
        <v>9.0</v>
      </c>
      <c r="G21" s="35" t="s">
        <v>91</v>
      </c>
      <c r="H21" s="35"/>
      <c r="I21" s="35"/>
      <c r="J21" s="35"/>
      <c r="K21" s="35"/>
      <c r="L21" s="35"/>
      <c r="M21" s="35"/>
    </row>
    <row r="22" ht="15.75" customHeight="1">
      <c r="A22" s="35">
        <v>18.0</v>
      </c>
      <c r="B22" s="35"/>
      <c r="C22" s="35" t="s">
        <v>371</v>
      </c>
      <c r="D22" s="35">
        <v>70.0</v>
      </c>
      <c r="E22" s="35">
        <v>110.0</v>
      </c>
      <c r="F22" s="35">
        <v>6.0</v>
      </c>
      <c r="G22" s="35" t="s">
        <v>91</v>
      </c>
      <c r="H22" s="35"/>
      <c r="I22" s="35"/>
      <c r="J22" s="35"/>
      <c r="K22" s="35"/>
      <c r="L22" s="35"/>
      <c r="M22" s="35"/>
    </row>
    <row r="23" ht="15.75" customHeight="1">
      <c r="A23" s="35"/>
      <c r="B23" s="35"/>
      <c r="C23" s="35"/>
      <c r="D23" s="35"/>
      <c r="E23" s="35"/>
      <c r="F23" s="35"/>
      <c r="G23" s="35" t="s">
        <v>91</v>
      </c>
      <c r="H23" s="35"/>
      <c r="I23" s="35"/>
      <c r="J23" s="35"/>
      <c r="K23" s="35"/>
      <c r="L23" s="35"/>
      <c r="M23" s="35"/>
    </row>
    <row r="24" ht="15.75" customHeight="1">
      <c r="A24" s="35"/>
      <c r="B24" s="35"/>
      <c r="C24" s="35"/>
      <c r="D24" s="35"/>
      <c r="E24" s="35"/>
      <c r="F24" s="35"/>
      <c r="G24" s="35"/>
      <c r="H24" s="35"/>
      <c r="I24" s="35"/>
      <c r="J24" s="35"/>
      <c r="K24" s="35"/>
      <c r="L24" s="35"/>
      <c r="M24" s="35"/>
    </row>
    <row r="25" ht="15.75" customHeight="1">
      <c r="A25" s="35"/>
      <c r="B25" s="35"/>
      <c r="C25" s="35" t="s">
        <v>1916</v>
      </c>
      <c r="D25" s="35">
        <v>40.0</v>
      </c>
      <c r="E25" s="35">
        <v>250.0</v>
      </c>
      <c r="F25" s="35"/>
      <c r="G25" s="35" t="s">
        <v>91</v>
      </c>
      <c r="H25" s="35" t="s">
        <v>1917</v>
      </c>
      <c r="I25" s="35"/>
      <c r="J25" s="35" t="s">
        <v>1918</v>
      </c>
      <c r="K25" s="35" t="s">
        <v>1919</v>
      </c>
      <c r="L25" s="35"/>
      <c r="M25" s="35"/>
    </row>
    <row r="26" ht="15.75" customHeight="1">
      <c r="A26" s="35"/>
      <c r="B26" s="35"/>
      <c r="C26" s="35" t="s">
        <v>1920</v>
      </c>
      <c r="D26" s="35">
        <v>40.0</v>
      </c>
      <c r="E26" s="35">
        <v>800.0</v>
      </c>
      <c r="F26" s="35">
        <v>43.0</v>
      </c>
      <c r="G26" s="35" t="s">
        <v>87</v>
      </c>
      <c r="H26" s="35"/>
      <c r="I26" s="35"/>
      <c r="J26" s="35"/>
      <c r="K26" s="35"/>
      <c r="L26" s="35"/>
      <c r="M26" s="35"/>
    </row>
    <row r="27" ht="15.75" customHeight="1">
      <c r="A27" s="35"/>
      <c r="B27" s="35"/>
      <c r="C27" s="35" t="s">
        <v>1921</v>
      </c>
      <c r="D27" s="35">
        <v>30.0</v>
      </c>
      <c r="E27" s="35">
        <v>310.0</v>
      </c>
      <c r="F27" s="35">
        <v>23.0</v>
      </c>
      <c r="G27" s="35" t="s">
        <v>353</v>
      </c>
      <c r="H27" s="35"/>
      <c r="I27" s="35"/>
      <c r="J27" s="35"/>
      <c r="K27" s="35"/>
      <c r="L27" s="35"/>
      <c r="M27" s="35"/>
    </row>
    <row r="28" ht="15.75" customHeight="1">
      <c r="A28" s="35"/>
      <c r="B28" s="35"/>
      <c r="C28" s="35" t="s">
        <v>1922</v>
      </c>
      <c r="D28" s="35">
        <v>70.0</v>
      </c>
      <c r="E28" s="35" t="s">
        <v>1923</v>
      </c>
      <c r="F28" s="35">
        <v>17.0</v>
      </c>
      <c r="G28" s="35" t="s">
        <v>91</v>
      </c>
      <c r="H28" s="35"/>
      <c r="I28" s="35"/>
      <c r="J28" s="35"/>
      <c r="K28" s="35"/>
      <c r="L28" s="35"/>
      <c r="M28" s="35"/>
    </row>
    <row r="29" ht="15.75" customHeight="1">
      <c r="A29" s="35"/>
      <c r="B29" s="35"/>
      <c r="C29" s="35" t="s">
        <v>1924</v>
      </c>
      <c r="D29" s="35">
        <v>70.0</v>
      </c>
      <c r="E29" s="35" t="s">
        <v>1925</v>
      </c>
      <c r="F29" s="35"/>
      <c r="G29" s="35" t="s">
        <v>353</v>
      </c>
      <c r="H29" s="35"/>
      <c r="I29" s="35"/>
      <c r="J29" s="35"/>
      <c r="K29" s="35"/>
      <c r="L29" s="35"/>
      <c r="M29" s="35"/>
    </row>
    <row r="30" ht="15.75" customHeight="1">
      <c r="A30" s="35"/>
      <c r="B30" s="35"/>
      <c r="C30" s="35" t="s">
        <v>1926</v>
      </c>
      <c r="D30" s="35">
        <v>30.0</v>
      </c>
      <c r="E30" s="35">
        <v>190.0</v>
      </c>
      <c r="F30" s="35">
        <v>1.0</v>
      </c>
      <c r="G30" s="35" t="s">
        <v>91</v>
      </c>
      <c r="H30" s="35"/>
      <c r="I30" s="35"/>
      <c r="J30" s="35"/>
      <c r="K30" s="35"/>
      <c r="L30" s="35"/>
      <c r="M30" s="35"/>
    </row>
    <row r="31" ht="15.75" customHeight="1">
      <c r="A31" s="35"/>
      <c r="B31" s="35"/>
      <c r="C31" s="35"/>
      <c r="D31" s="35"/>
      <c r="E31" s="35"/>
      <c r="F31" s="35"/>
      <c r="G31" s="35" t="s">
        <v>353</v>
      </c>
      <c r="H31" s="35"/>
      <c r="I31" s="35"/>
      <c r="J31" s="35"/>
      <c r="K31" s="35"/>
      <c r="L31" s="35"/>
      <c r="M31" s="35"/>
    </row>
    <row r="32" ht="15.75" customHeight="1">
      <c r="A32" s="35"/>
      <c r="B32" s="35"/>
      <c r="C32" s="35"/>
      <c r="D32" s="35"/>
      <c r="E32" s="35"/>
      <c r="F32" s="35"/>
      <c r="G32" s="35" t="s">
        <v>353</v>
      </c>
      <c r="H32" s="35"/>
      <c r="I32" s="35"/>
      <c r="J32" s="35"/>
      <c r="K32" s="35"/>
      <c r="L32" s="35"/>
      <c r="M32" s="35"/>
    </row>
    <row r="33" ht="15.75" customHeight="1">
      <c r="A33" s="35"/>
      <c r="B33" s="35"/>
      <c r="C33" s="35"/>
      <c r="D33" s="35"/>
      <c r="E33" s="35"/>
      <c r="F33" s="35"/>
      <c r="G33" s="35" t="s">
        <v>353</v>
      </c>
      <c r="H33" s="35"/>
      <c r="I33" s="35"/>
      <c r="J33" s="35"/>
      <c r="K33" s="35"/>
      <c r="L33" s="35"/>
      <c r="M33" s="35"/>
    </row>
    <row r="34" ht="15.75" customHeight="1">
      <c r="A34" s="35"/>
      <c r="B34" s="35"/>
      <c r="C34" s="35"/>
      <c r="D34" s="35"/>
      <c r="E34" s="35"/>
      <c r="F34" s="35"/>
      <c r="G34" s="35"/>
      <c r="H34" s="35"/>
      <c r="I34" s="35"/>
      <c r="J34" s="35"/>
      <c r="K34" s="35"/>
      <c r="L34" s="35"/>
      <c r="M34" s="35"/>
    </row>
    <row r="35" ht="15.75" customHeight="1">
      <c r="A35" s="35" t="s">
        <v>1927</v>
      </c>
      <c r="B35" s="35"/>
      <c r="C35" s="35"/>
      <c r="D35" s="35"/>
      <c r="E35" s="35"/>
      <c r="F35" s="35"/>
      <c r="G35" s="35"/>
      <c r="H35" s="35"/>
      <c r="I35" s="35"/>
      <c r="J35" s="35"/>
      <c r="K35" s="35"/>
      <c r="L35" s="35"/>
      <c r="M35" s="35"/>
    </row>
    <row r="36" ht="15.75" customHeight="1">
      <c r="A36" s="35"/>
      <c r="B36" s="35"/>
      <c r="C36" s="35"/>
      <c r="D36" s="35"/>
      <c r="E36" s="35"/>
      <c r="F36" s="35"/>
      <c r="G36" s="35"/>
      <c r="H36" s="35"/>
      <c r="I36" s="35"/>
      <c r="J36" s="35"/>
      <c r="K36" s="35"/>
      <c r="L36" s="35"/>
      <c r="M36" s="35"/>
    </row>
    <row r="37" ht="15.75" customHeight="1">
      <c r="A37" s="35"/>
      <c r="B37" s="35"/>
      <c r="C37" s="35"/>
      <c r="D37" s="35"/>
      <c r="E37" s="35"/>
      <c r="F37" s="35"/>
      <c r="G37" s="35"/>
      <c r="H37" s="35"/>
      <c r="I37" s="35"/>
      <c r="J37" s="35"/>
      <c r="K37" s="35"/>
      <c r="L37" s="35"/>
      <c r="M37" s="35"/>
    </row>
    <row r="38" ht="15.75" customHeight="1">
      <c r="A38" s="35"/>
      <c r="B38" s="35"/>
      <c r="C38" s="35"/>
      <c r="D38" s="35"/>
      <c r="E38" s="35"/>
      <c r="F38" s="35"/>
      <c r="G38" s="35"/>
      <c r="H38" s="35"/>
      <c r="I38" s="35"/>
      <c r="J38" s="35"/>
      <c r="K38" s="35"/>
      <c r="L38" s="35"/>
      <c r="M38" s="35"/>
    </row>
    <row r="39" ht="15.75" customHeight="1">
      <c r="A39" s="35" t="s">
        <v>1903</v>
      </c>
      <c r="B39" s="35" t="s">
        <v>1908</v>
      </c>
      <c r="C39" s="35" t="s">
        <v>1904</v>
      </c>
      <c r="D39" s="35" t="s">
        <v>1905</v>
      </c>
      <c r="E39" s="35" t="s">
        <v>1906</v>
      </c>
      <c r="F39" s="35" t="s">
        <v>1907</v>
      </c>
      <c r="G39" s="35" t="s">
        <v>382</v>
      </c>
      <c r="H39" s="35" t="s">
        <v>384</v>
      </c>
      <c r="I39" s="35" t="s">
        <v>385</v>
      </c>
      <c r="J39" s="35" t="s">
        <v>1909</v>
      </c>
      <c r="K39" s="35" t="s">
        <v>390</v>
      </c>
      <c r="L39" s="35" t="s">
        <v>1928</v>
      </c>
      <c r="M39" s="35"/>
    </row>
    <row r="40" ht="15.75" customHeight="1">
      <c r="A40" s="35">
        <v>1.0</v>
      </c>
      <c r="B40" s="35" t="s">
        <v>420</v>
      </c>
      <c r="C40" s="35" t="s">
        <v>1929</v>
      </c>
      <c r="D40" s="35" t="s">
        <v>1930</v>
      </c>
      <c r="E40" s="35" t="s">
        <v>1930</v>
      </c>
      <c r="F40" s="35">
        <v>28.0</v>
      </c>
      <c r="G40" s="35" t="s">
        <v>91</v>
      </c>
      <c r="H40" s="35" t="s">
        <v>97</v>
      </c>
      <c r="I40" s="35"/>
      <c r="J40" s="35"/>
      <c r="K40" s="35"/>
      <c r="L40" s="35"/>
      <c r="M40" s="35"/>
    </row>
    <row r="41" ht="15.75" customHeight="1">
      <c r="A41" s="35"/>
      <c r="B41" s="35"/>
      <c r="C41" s="35" t="s">
        <v>397</v>
      </c>
      <c r="D41" s="35">
        <v>90.0</v>
      </c>
      <c r="E41" s="35">
        <v>310.0</v>
      </c>
      <c r="F41" s="35"/>
      <c r="G41" s="35" t="s">
        <v>91</v>
      </c>
      <c r="H41" s="35" t="s">
        <v>97</v>
      </c>
      <c r="I41" s="35" t="s">
        <v>398</v>
      </c>
      <c r="J41" s="35" t="s">
        <v>399</v>
      </c>
      <c r="K41" s="35" t="s">
        <v>400</v>
      </c>
      <c r="L41" s="35" t="s">
        <v>1931</v>
      </c>
      <c r="M41" s="35"/>
    </row>
    <row r="42" ht="15.75" customHeight="1">
      <c r="A42" s="35"/>
      <c r="B42" s="35"/>
      <c r="C42" s="35" t="s">
        <v>402</v>
      </c>
      <c r="D42" s="35"/>
      <c r="E42" s="35"/>
      <c r="F42" s="35"/>
      <c r="G42" s="35" t="s">
        <v>91</v>
      </c>
      <c r="H42" s="35" t="s">
        <v>97</v>
      </c>
      <c r="I42" s="35"/>
      <c r="J42" s="35"/>
      <c r="K42" s="35" t="s">
        <v>403</v>
      </c>
      <c r="L42" s="35" t="s">
        <v>1932</v>
      </c>
      <c r="M42" s="35" t="s">
        <v>1933</v>
      </c>
    </row>
    <row r="43" ht="15.75" customHeight="1">
      <c r="A43" s="35"/>
      <c r="B43" s="35"/>
      <c r="C43" s="35" t="s">
        <v>405</v>
      </c>
      <c r="D43" s="35"/>
      <c r="E43" s="35"/>
      <c r="F43" s="35"/>
      <c r="G43" s="35" t="s">
        <v>91</v>
      </c>
      <c r="H43" s="35" t="s">
        <v>97</v>
      </c>
      <c r="I43" s="35"/>
      <c r="J43" s="35"/>
      <c r="K43" s="35" t="s">
        <v>406</v>
      </c>
      <c r="L43" s="35" t="s">
        <v>1934</v>
      </c>
      <c r="M43" s="35" t="s">
        <v>1935</v>
      </c>
    </row>
    <row r="44" ht="15.75" customHeight="1">
      <c r="A44" s="35"/>
      <c r="B44" s="35"/>
      <c r="C44" s="35" t="s">
        <v>1936</v>
      </c>
      <c r="D44" s="35"/>
      <c r="E44" s="35"/>
      <c r="F44" s="35"/>
      <c r="G44" s="35" t="s">
        <v>91</v>
      </c>
      <c r="H44" s="35" t="s">
        <v>97</v>
      </c>
      <c r="I44" s="35"/>
      <c r="J44" s="35"/>
      <c r="K44" s="35" t="s">
        <v>409</v>
      </c>
      <c r="L44" s="35" t="s">
        <v>1937</v>
      </c>
      <c r="M44" s="35" t="s">
        <v>1938</v>
      </c>
    </row>
    <row r="45" ht="15.75" customHeight="1">
      <c r="A45" s="35"/>
      <c r="B45" s="35"/>
      <c r="C45" s="35" t="s">
        <v>1939</v>
      </c>
      <c r="D45" s="35">
        <v>20.0</v>
      </c>
      <c r="E45" s="35">
        <v>90.0</v>
      </c>
      <c r="F45" s="35"/>
      <c r="G45" s="35" t="s">
        <v>91</v>
      </c>
      <c r="H45" s="35" t="s">
        <v>97</v>
      </c>
      <c r="I45" s="35"/>
      <c r="J45" s="35"/>
      <c r="K45" s="35" t="s">
        <v>412</v>
      </c>
      <c r="L45" s="35" t="s">
        <v>1940</v>
      </c>
      <c r="M45" s="35" t="s">
        <v>1941</v>
      </c>
    </row>
    <row r="46" ht="15.75" customHeight="1">
      <c r="A46" s="35"/>
      <c r="B46" s="35"/>
      <c r="C46" s="35" t="s">
        <v>414</v>
      </c>
      <c r="D46" s="35">
        <v>30.0</v>
      </c>
      <c r="E46" s="35">
        <v>30.0</v>
      </c>
      <c r="F46" s="35"/>
      <c r="G46" s="35" t="s">
        <v>91</v>
      </c>
      <c r="H46" s="35" t="s">
        <v>97</v>
      </c>
      <c r="I46" s="35"/>
      <c r="J46" s="35"/>
      <c r="K46" s="35"/>
      <c r="L46" s="35"/>
      <c r="M46" s="35"/>
    </row>
    <row r="47" ht="15.75" customHeight="1">
      <c r="A47" s="35"/>
      <c r="B47" s="35"/>
      <c r="C47" s="35" t="s">
        <v>1942</v>
      </c>
      <c r="D47" s="35">
        <v>20.0</v>
      </c>
      <c r="E47" s="35">
        <v>100.0</v>
      </c>
      <c r="F47" s="35"/>
      <c r="G47" s="35" t="s">
        <v>91</v>
      </c>
      <c r="H47" s="35" t="s">
        <v>97</v>
      </c>
      <c r="I47" s="35"/>
      <c r="J47" s="35"/>
      <c r="K47" s="35"/>
      <c r="L47" s="35"/>
      <c r="M47" s="35"/>
    </row>
    <row r="48" ht="15.75" customHeight="1">
      <c r="A48" s="35"/>
      <c r="B48" s="35"/>
      <c r="C48" s="35" t="s">
        <v>418</v>
      </c>
      <c r="D48" s="35">
        <v>20.0</v>
      </c>
      <c r="E48" s="35">
        <v>30.0</v>
      </c>
      <c r="F48" s="35"/>
      <c r="G48" s="35" t="s">
        <v>91</v>
      </c>
      <c r="H48" s="35" t="s">
        <v>97</v>
      </c>
      <c r="I48" s="35"/>
      <c r="J48" s="35"/>
      <c r="K48" s="35"/>
      <c r="L48" s="35"/>
      <c r="M48" s="35"/>
    </row>
    <row r="49" ht="15.75" customHeight="1">
      <c r="A49" s="35"/>
      <c r="B49" s="35"/>
      <c r="C49" s="35" t="s">
        <v>420</v>
      </c>
      <c r="D49" s="35"/>
      <c r="E49" s="35"/>
      <c r="F49" s="35"/>
      <c r="G49" s="35"/>
      <c r="H49" s="35" t="s">
        <v>44</v>
      </c>
      <c r="I49" s="35"/>
      <c r="J49" s="35"/>
      <c r="K49" s="35"/>
      <c r="L49" s="35"/>
      <c r="M49" s="35"/>
    </row>
    <row r="50" ht="15.75" customHeight="1">
      <c r="A50" s="35"/>
      <c r="B50" s="35"/>
      <c r="C50" s="35" t="s">
        <v>118</v>
      </c>
      <c r="D50" s="35">
        <v>40.0</v>
      </c>
      <c r="E50" s="35">
        <v>70.0</v>
      </c>
      <c r="F50" s="35">
        <v>31.0</v>
      </c>
      <c r="G50" s="35" t="s">
        <v>154</v>
      </c>
      <c r="H50" s="35"/>
      <c r="I50" s="35"/>
      <c r="J50" s="35"/>
      <c r="K50" s="35"/>
      <c r="L50" s="35"/>
      <c r="M50" s="35"/>
    </row>
    <row r="51" ht="15.75" customHeight="1">
      <c r="A51" s="35"/>
      <c r="B51" s="35"/>
      <c r="C51" s="35"/>
      <c r="D51" s="35"/>
      <c r="E51" s="35"/>
      <c r="F51" s="35"/>
      <c r="G51" s="35"/>
      <c r="H51" s="35"/>
      <c r="I51" s="35"/>
      <c r="J51" s="35"/>
      <c r="K51" s="35"/>
      <c r="L51" s="35"/>
      <c r="M51" s="35"/>
    </row>
    <row r="52" ht="15.75" customHeight="1">
      <c r="A52" s="35"/>
      <c r="B52" s="35" t="s">
        <v>1943</v>
      </c>
      <c r="C52" s="35"/>
      <c r="D52" s="35"/>
      <c r="E52" s="35"/>
      <c r="F52" s="35"/>
      <c r="G52" s="35"/>
      <c r="H52" s="35"/>
      <c r="I52" s="35"/>
      <c r="J52" s="35"/>
      <c r="K52" s="35"/>
      <c r="L52" s="35"/>
      <c r="M52" s="35"/>
    </row>
    <row r="53" ht="15.75" customHeight="1">
      <c r="A53" s="35"/>
      <c r="B53" s="35"/>
      <c r="C53" s="35" t="s">
        <v>1944</v>
      </c>
      <c r="D53" s="35">
        <v>20.0</v>
      </c>
      <c r="E53" s="35">
        <v>220.0</v>
      </c>
      <c r="F53" s="35"/>
      <c r="G53" s="35" t="s">
        <v>91</v>
      </c>
      <c r="H53" s="35" t="s">
        <v>44</v>
      </c>
      <c r="I53" s="35" t="s">
        <v>424</v>
      </c>
      <c r="J53" s="35" t="s">
        <v>425</v>
      </c>
      <c r="K53" s="35" t="s">
        <v>426</v>
      </c>
      <c r="L53" s="35" t="s">
        <v>1945</v>
      </c>
      <c r="M53" s="35"/>
    </row>
    <row r="54" ht="15.75" customHeight="1">
      <c r="A54" s="35"/>
      <c r="B54" s="35"/>
      <c r="C54" s="35" t="s">
        <v>1946</v>
      </c>
      <c r="D54" s="35">
        <v>390.0</v>
      </c>
      <c r="E54" s="35">
        <v>820.0</v>
      </c>
      <c r="F54" s="35">
        <v>21.0</v>
      </c>
      <c r="G54" s="35" t="s">
        <v>154</v>
      </c>
      <c r="H54" s="35" t="s">
        <v>44</v>
      </c>
      <c r="I54" s="35"/>
      <c r="J54" s="35"/>
      <c r="K54" s="35" t="s">
        <v>426</v>
      </c>
      <c r="L54" s="35" t="s">
        <v>1947</v>
      </c>
      <c r="M54" s="35"/>
    </row>
    <row r="55" ht="15.75" customHeight="1">
      <c r="A55" s="35"/>
      <c r="B55" s="35"/>
      <c r="C55" s="35" t="s">
        <v>1948</v>
      </c>
      <c r="D55" s="35">
        <v>70.0</v>
      </c>
      <c r="E55" s="35">
        <v>70.0</v>
      </c>
      <c r="F55" s="35">
        <v>9.0</v>
      </c>
      <c r="G55" s="35" t="s">
        <v>87</v>
      </c>
      <c r="H55" s="35" t="s">
        <v>97</v>
      </c>
      <c r="I55" s="35"/>
      <c r="J55" s="35"/>
      <c r="K55" s="35"/>
      <c r="L55" s="35"/>
      <c r="M55" s="35"/>
    </row>
    <row r="56" ht="15.75" customHeight="1">
      <c r="A56" s="35"/>
      <c r="B56" s="35"/>
      <c r="C56" s="35" t="s">
        <v>432</v>
      </c>
      <c r="D56" s="35">
        <v>20.0</v>
      </c>
      <c r="E56" s="35">
        <v>70.0</v>
      </c>
      <c r="F56" s="35"/>
      <c r="G56" s="35" t="s">
        <v>91</v>
      </c>
      <c r="H56" s="35" t="s">
        <v>97</v>
      </c>
      <c r="I56" s="35"/>
      <c r="J56" s="35"/>
      <c r="K56" s="35"/>
      <c r="L56" s="35"/>
      <c r="M56" s="35"/>
    </row>
    <row r="57" ht="15.75" customHeight="1">
      <c r="A57" s="35"/>
      <c r="B57" s="35"/>
      <c r="C57" s="35" t="s">
        <v>1949</v>
      </c>
      <c r="D57" s="35"/>
      <c r="E57" s="35"/>
      <c r="F57" s="35"/>
      <c r="G57" s="35" t="s">
        <v>91</v>
      </c>
      <c r="H57" s="35" t="s">
        <v>97</v>
      </c>
      <c r="I57" s="35"/>
      <c r="J57" s="35"/>
      <c r="K57" s="35"/>
      <c r="L57" s="35"/>
      <c r="M57" s="35"/>
    </row>
    <row r="58" ht="15.75" customHeight="1">
      <c r="A58" s="35"/>
      <c r="B58" s="35"/>
      <c r="C58" s="35" t="s">
        <v>1944</v>
      </c>
      <c r="D58" s="35"/>
      <c r="E58" s="35"/>
      <c r="F58" s="35"/>
      <c r="G58" s="35" t="s">
        <v>91</v>
      </c>
      <c r="H58" s="35" t="s">
        <v>97</v>
      </c>
      <c r="I58" s="35"/>
      <c r="J58" s="35"/>
      <c r="K58" s="35"/>
      <c r="L58" s="35"/>
      <c r="M58" s="35"/>
    </row>
    <row r="59" ht="15.75" customHeight="1">
      <c r="A59" s="35"/>
      <c r="B59" s="35"/>
      <c r="C59" s="35" t="s">
        <v>1949</v>
      </c>
      <c r="D59" s="35"/>
      <c r="E59" s="35"/>
      <c r="F59" s="35"/>
      <c r="G59" s="35" t="s">
        <v>91</v>
      </c>
      <c r="H59" s="35" t="s">
        <v>97</v>
      </c>
      <c r="I59" s="35"/>
      <c r="J59" s="35"/>
      <c r="K59" s="35"/>
      <c r="L59" s="35"/>
      <c r="M59" s="35"/>
    </row>
    <row r="60" ht="15.75" customHeight="1">
      <c r="A60" s="35"/>
      <c r="B60" s="35"/>
      <c r="C60" s="35" t="s">
        <v>118</v>
      </c>
      <c r="D60" s="35">
        <v>40.0</v>
      </c>
      <c r="E60" s="35">
        <v>70.0</v>
      </c>
      <c r="F60" s="35">
        <v>31.0</v>
      </c>
      <c r="G60" s="35" t="s">
        <v>154</v>
      </c>
      <c r="H60" s="35"/>
      <c r="I60" s="35"/>
      <c r="J60" s="35"/>
      <c r="K60" s="35"/>
      <c r="L60" s="35"/>
      <c r="M60" s="35"/>
    </row>
    <row r="61" ht="15.75" customHeight="1">
      <c r="A61" s="35"/>
      <c r="B61" s="35"/>
      <c r="C61" s="35"/>
      <c r="D61" s="35"/>
      <c r="E61" s="35"/>
      <c r="F61" s="35"/>
      <c r="G61" s="35"/>
      <c r="H61" s="35"/>
      <c r="I61" s="35"/>
      <c r="J61" s="35"/>
      <c r="K61" s="35"/>
      <c r="L61" s="35"/>
      <c r="M61" s="35"/>
    </row>
    <row r="62" ht="15.75" customHeight="1">
      <c r="A62" s="35"/>
      <c r="B62" s="35" t="s">
        <v>1950</v>
      </c>
      <c r="C62" s="35" t="s">
        <v>439</v>
      </c>
      <c r="D62" s="35"/>
      <c r="E62" s="35"/>
      <c r="F62" s="35"/>
      <c r="G62" s="35"/>
      <c r="H62" s="35" t="s">
        <v>44</v>
      </c>
      <c r="I62" s="35" t="s">
        <v>444</v>
      </c>
      <c r="J62" s="35" t="s">
        <v>448</v>
      </c>
      <c r="K62" s="35"/>
      <c r="L62" s="35"/>
      <c r="M62" s="35"/>
    </row>
    <row r="63" ht="15.75" customHeight="1">
      <c r="A63" s="35"/>
      <c r="B63" s="35"/>
      <c r="C63" s="35" t="s">
        <v>1951</v>
      </c>
      <c r="D63" s="35"/>
      <c r="E63" s="35"/>
      <c r="F63" s="35"/>
      <c r="G63" s="35"/>
      <c r="H63" s="35" t="s">
        <v>97</v>
      </c>
      <c r="I63" s="35"/>
      <c r="J63" s="35"/>
      <c r="K63" s="35"/>
      <c r="L63" s="35"/>
      <c r="M63" s="35"/>
    </row>
    <row r="64" ht="15.75" customHeight="1">
      <c r="A64" s="35"/>
      <c r="B64" s="35"/>
      <c r="C64" s="35" t="s">
        <v>118</v>
      </c>
      <c r="D64" s="35">
        <v>40.0</v>
      </c>
      <c r="E64" s="35">
        <v>70.0</v>
      </c>
      <c r="F64" s="35">
        <v>31.0</v>
      </c>
      <c r="G64" s="35" t="s">
        <v>154</v>
      </c>
      <c r="H64" s="35" t="s">
        <v>97</v>
      </c>
      <c r="I64" s="35"/>
      <c r="J64" s="35"/>
      <c r="K64" s="35"/>
      <c r="L64" s="35"/>
      <c r="M64" s="35"/>
    </row>
    <row r="65" ht="15.75" customHeight="1">
      <c r="A65" s="35"/>
      <c r="B65" s="35"/>
      <c r="C65" s="35" t="s">
        <v>461</v>
      </c>
      <c r="D65" s="35">
        <v>50.0</v>
      </c>
      <c r="E65" s="35">
        <v>140.0</v>
      </c>
      <c r="F65" s="35">
        <v>19.0</v>
      </c>
      <c r="G65" s="35" t="s">
        <v>91</v>
      </c>
      <c r="H65" s="35" t="s">
        <v>97</v>
      </c>
      <c r="I65" s="35"/>
      <c r="J65" s="35"/>
      <c r="K65" s="35"/>
      <c r="L65" s="35"/>
      <c r="M65" s="35"/>
    </row>
    <row r="66" ht="15.75" customHeight="1">
      <c r="A66" s="35"/>
      <c r="B66" s="35"/>
      <c r="C66" s="35" t="s">
        <v>470</v>
      </c>
      <c r="D66" s="35">
        <v>110.0</v>
      </c>
      <c r="E66" s="35">
        <v>390.0</v>
      </c>
      <c r="F66" s="35">
        <v>20.0</v>
      </c>
      <c r="G66" s="35" t="s">
        <v>472</v>
      </c>
      <c r="H66" s="35" t="s">
        <v>97</v>
      </c>
      <c r="I66" s="35"/>
      <c r="J66" s="35"/>
      <c r="K66" s="35"/>
      <c r="L66" s="35"/>
      <c r="M66" s="35"/>
    </row>
    <row r="67" ht="15.75" customHeight="1">
      <c r="A67" s="35"/>
      <c r="B67" s="35"/>
      <c r="C67" s="35" t="s">
        <v>481</v>
      </c>
      <c r="D67" s="35">
        <v>140.0</v>
      </c>
      <c r="E67" s="35">
        <v>490.0</v>
      </c>
      <c r="F67" s="35">
        <v>17.0</v>
      </c>
      <c r="G67" s="35" t="s">
        <v>154</v>
      </c>
      <c r="H67" s="35" t="s">
        <v>97</v>
      </c>
      <c r="I67" s="35"/>
      <c r="J67" s="35"/>
      <c r="K67" s="35"/>
      <c r="L67" s="35"/>
      <c r="M67" s="35"/>
    </row>
    <row r="68" ht="15.75" customHeight="1">
      <c r="A68" s="35"/>
      <c r="B68" s="35"/>
      <c r="C68" s="35"/>
      <c r="D68" s="35"/>
      <c r="E68" s="35"/>
      <c r="F68" s="35"/>
      <c r="G68" s="35"/>
      <c r="H68" s="35"/>
      <c r="I68" s="35"/>
      <c r="J68" s="35"/>
      <c r="K68" s="35"/>
      <c r="L68" s="35"/>
      <c r="M68" s="35"/>
    </row>
    <row r="69" ht="15.75" customHeight="1">
      <c r="A69" s="35"/>
      <c r="B69" s="35"/>
      <c r="C69" s="35"/>
      <c r="D69" s="35"/>
      <c r="E69" s="35"/>
      <c r="F69" s="35"/>
      <c r="G69" s="35"/>
      <c r="H69" s="35"/>
      <c r="I69" s="35"/>
      <c r="J69" s="35"/>
      <c r="K69" s="35"/>
      <c r="L69" s="35"/>
      <c r="M69" s="35"/>
    </row>
    <row r="70" ht="15.75" customHeight="1">
      <c r="A70" s="35"/>
      <c r="B70" s="35"/>
      <c r="C70" s="35"/>
      <c r="D70" s="35"/>
      <c r="E70" s="35"/>
      <c r="F70" s="35"/>
      <c r="G70" s="35"/>
      <c r="H70" s="35"/>
      <c r="I70" s="35"/>
      <c r="J70" s="35"/>
      <c r="K70" s="35"/>
      <c r="L70" s="35"/>
      <c r="M70" s="35"/>
    </row>
    <row r="71" ht="15.75" customHeight="1">
      <c r="A71" s="35"/>
      <c r="B71" s="35" t="s">
        <v>518</v>
      </c>
      <c r="C71" s="35"/>
      <c r="D71" s="35"/>
      <c r="E71" s="35"/>
      <c r="F71" s="35"/>
      <c r="G71" s="35"/>
      <c r="H71" s="35"/>
      <c r="I71" s="35"/>
      <c r="J71" s="35"/>
      <c r="K71" s="35"/>
      <c r="L71" s="35"/>
      <c r="M71" s="35"/>
    </row>
    <row r="72" ht="15.75" customHeight="1">
      <c r="A72" s="35"/>
      <c r="B72" s="35"/>
      <c r="C72" s="35" t="s">
        <v>501</v>
      </c>
      <c r="D72" s="35">
        <v>20.0</v>
      </c>
      <c r="E72" s="35">
        <v>60.0</v>
      </c>
      <c r="F72" s="35"/>
      <c r="G72" s="35" t="s">
        <v>91</v>
      </c>
      <c r="H72" s="35" t="s">
        <v>97</v>
      </c>
      <c r="I72" s="35" t="s">
        <v>507</v>
      </c>
      <c r="J72" s="35" t="s">
        <v>514</v>
      </c>
      <c r="K72" s="35" t="s">
        <v>426</v>
      </c>
      <c r="L72" s="35" t="s">
        <v>1967</v>
      </c>
      <c r="M72" s="35"/>
    </row>
    <row r="73" ht="15.75" customHeight="1">
      <c r="A73" s="35"/>
      <c r="B73" s="35"/>
      <c r="C73" s="35" t="s">
        <v>518</v>
      </c>
      <c r="D73" s="35"/>
      <c r="E73" s="35"/>
      <c r="F73" s="35"/>
      <c r="G73" s="35"/>
      <c r="H73" s="35" t="s">
        <v>44</v>
      </c>
      <c r="I73" s="35"/>
      <c r="J73" s="35"/>
      <c r="K73" s="35"/>
      <c r="L73" s="35"/>
      <c r="M73" s="35"/>
    </row>
    <row r="74" ht="15.75" customHeight="1">
      <c r="A74" s="35"/>
      <c r="B74" s="35"/>
      <c r="C74" s="35" t="s">
        <v>1968</v>
      </c>
      <c r="D74" s="35">
        <v>10.0</v>
      </c>
      <c r="E74" s="35">
        <v>30.0</v>
      </c>
      <c r="F74" s="35"/>
      <c r="G74" s="35"/>
      <c r="H74" s="35" t="s">
        <v>97</v>
      </c>
      <c r="I74" s="35"/>
      <c r="J74" s="35"/>
      <c r="K74" s="35"/>
      <c r="L74" s="35"/>
      <c r="M74" s="35"/>
    </row>
    <row r="75" ht="15.75" customHeight="1">
      <c r="A75" s="35"/>
      <c r="B75" s="35"/>
      <c r="C75" s="35" t="s">
        <v>1969</v>
      </c>
      <c r="D75" s="35"/>
      <c r="E75" s="35"/>
      <c r="F75" s="35"/>
      <c r="G75" s="35"/>
      <c r="H75" s="35" t="s">
        <v>97</v>
      </c>
      <c r="I75" s="35"/>
      <c r="J75" s="35"/>
      <c r="K75" s="35"/>
      <c r="L75" s="35"/>
      <c r="M75" s="35"/>
    </row>
    <row r="76" ht="15.75" customHeight="1">
      <c r="A76" s="35"/>
      <c r="B76" s="35"/>
      <c r="C76" s="35" t="s">
        <v>1970</v>
      </c>
      <c r="D76" s="35">
        <v>20.0</v>
      </c>
      <c r="E76" s="35">
        <v>20.0</v>
      </c>
      <c r="F76" s="35"/>
      <c r="G76" s="35"/>
      <c r="H76" s="35" t="s">
        <v>97</v>
      </c>
      <c r="I76" s="35"/>
      <c r="J76" s="35"/>
      <c r="K76" s="35"/>
      <c r="L76" s="35"/>
      <c r="M76" s="35"/>
    </row>
    <row r="77" ht="15.75" customHeight="1">
      <c r="A77" s="35"/>
      <c r="B77" s="35"/>
      <c r="C77" s="35" t="s">
        <v>1971</v>
      </c>
      <c r="D77" s="35"/>
      <c r="E77" s="35"/>
      <c r="F77" s="35"/>
      <c r="G77" s="35"/>
      <c r="H77" s="35" t="s">
        <v>97</v>
      </c>
      <c r="I77" s="35"/>
      <c r="J77" s="35"/>
      <c r="K77" s="35"/>
      <c r="L77" s="35"/>
      <c r="M77" s="35"/>
    </row>
    <row r="78" ht="15.75" customHeight="1">
      <c r="A78" s="35"/>
      <c r="B78" s="35"/>
      <c r="C78" s="35" t="s">
        <v>1972</v>
      </c>
      <c r="D78" s="35"/>
      <c r="E78" s="35"/>
      <c r="F78" s="35"/>
      <c r="G78" s="35"/>
      <c r="H78" s="35" t="s">
        <v>97</v>
      </c>
      <c r="I78" s="35"/>
      <c r="J78" s="35"/>
      <c r="K78" s="35"/>
      <c r="L78" s="35"/>
      <c r="M78" s="35"/>
    </row>
    <row r="79" ht="15.75" customHeight="1">
      <c r="A79" s="35"/>
      <c r="B79" s="35"/>
      <c r="C79" s="35" t="s">
        <v>118</v>
      </c>
      <c r="D79" s="35">
        <v>40.0</v>
      </c>
      <c r="E79" s="35">
        <v>70.0</v>
      </c>
      <c r="F79" s="35">
        <v>31.0</v>
      </c>
      <c r="G79" s="35" t="s">
        <v>154</v>
      </c>
      <c r="H79" s="35" t="s">
        <v>97</v>
      </c>
      <c r="I79" s="35"/>
      <c r="J79" s="35"/>
      <c r="K79" s="35"/>
      <c r="L79" s="35"/>
      <c r="M79" s="35"/>
    </row>
    <row r="80" ht="15.75" customHeight="1">
      <c r="A80" s="35"/>
      <c r="B80" s="35"/>
      <c r="C80" s="35"/>
      <c r="D80" s="35"/>
      <c r="E80" s="35"/>
      <c r="F80" s="35"/>
      <c r="G80" s="35"/>
      <c r="H80" s="35"/>
      <c r="I80" s="35"/>
      <c r="J80" s="35"/>
      <c r="K80" s="35"/>
      <c r="L80" s="35"/>
      <c r="M80" s="35"/>
    </row>
    <row r="81" ht="15.75" customHeight="1">
      <c r="A81" s="35"/>
      <c r="B81" s="35" t="s">
        <v>1973</v>
      </c>
      <c r="C81" s="35"/>
      <c r="D81" s="35"/>
      <c r="E81" s="35"/>
      <c r="F81" s="35"/>
      <c r="G81" s="35"/>
      <c r="H81" s="35"/>
      <c r="I81" s="35"/>
      <c r="J81" s="35"/>
      <c r="K81" s="35"/>
      <c r="L81" s="35"/>
      <c r="M81" s="35"/>
    </row>
    <row r="82" ht="15.75" customHeight="1">
      <c r="A82" s="35"/>
      <c r="B82" s="35"/>
      <c r="C82" s="35" t="s">
        <v>551</v>
      </c>
      <c r="D82" s="35">
        <v>20.0</v>
      </c>
      <c r="E82" s="35">
        <v>110.0</v>
      </c>
      <c r="F82" s="35"/>
      <c r="G82" s="35"/>
      <c r="H82" s="35" t="s">
        <v>97</v>
      </c>
      <c r="I82" s="35" t="s">
        <v>552</v>
      </c>
      <c r="J82" s="35" t="s">
        <v>553</v>
      </c>
      <c r="K82" s="35"/>
      <c r="L82" s="35"/>
      <c r="M82" s="35"/>
    </row>
    <row r="83" ht="15.75" customHeight="1">
      <c r="A83" s="35"/>
      <c r="B83" s="35"/>
      <c r="C83" s="35" t="s">
        <v>118</v>
      </c>
      <c r="D83" s="35">
        <v>40.0</v>
      </c>
      <c r="E83" s="35">
        <v>70.0</v>
      </c>
      <c r="F83" s="35">
        <v>31.0</v>
      </c>
      <c r="G83" s="35" t="s">
        <v>154</v>
      </c>
      <c r="H83" s="35" t="s">
        <v>97</v>
      </c>
      <c r="I83" s="35"/>
      <c r="J83" s="35"/>
      <c r="K83" s="35"/>
      <c r="L83" s="35"/>
      <c r="M83" s="35"/>
    </row>
    <row r="84" ht="15.75" customHeight="1">
      <c r="A84" s="35"/>
      <c r="B84" s="35"/>
      <c r="C84" s="35" t="s">
        <v>555</v>
      </c>
      <c r="D84" s="35">
        <v>70.0</v>
      </c>
      <c r="E84" s="35">
        <v>100.0</v>
      </c>
      <c r="F84" s="35">
        <v>8.0</v>
      </c>
      <c r="G84" s="35" t="s">
        <v>87</v>
      </c>
      <c r="H84" s="35" t="s">
        <v>97</v>
      </c>
      <c r="I84" s="35"/>
      <c r="J84" s="35"/>
      <c r="K84" s="35"/>
      <c r="L84" s="35"/>
      <c r="M84" s="35"/>
    </row>
    <row r="85" ht="15.75" customHeight="1">
      <c r="A85" s="35"/>
      <c r="B85" s="35"/>
      <c r="C85" s="35" t="s">
        <v>557</v>
      </c>
      <c r="D85" s="35">
        <v>50.0</v>
      </c>
      <c r="E85" s="35">
        <v>50.0</v>
      </c>
      <c r="F85" s="35">
        <v>0.0</v>
      </c>
      <c r="G85" s="35" t="s">
        <v>154</v>
      </c>
      <c r="H85" s="35" t="s">
        <v>97</v>
      </c>
      <c r="I85" s="35"/>
      <c r="J85" s="35"/>
      <c r="K85" s="35"/>
      <c r="L85" s="35"/>
      <c r="M85" s="35"/>
    </row>
    <row r="86" ht="15.75" customHeight="1">
      <c r="A86" s="35"/>
      <c r="B86" s="35"/>
      <c r="C86" s="35" t="s">
        <v>1974</v>
      </c>
      <c r="D86" s="35">
        <v>20.0</v>
      </c>
      <c r="E86" s="35">
        <v>60.0</v>
      </c>
      <c r="F86" s="35"/>
      <c r="G86" s="35"/>
      <c r="H86" s="35" t="s">
        <v>97</v>
      </c>
      <c r="I86" s="35"/>
      <c r="J86" s="35"/>
      <c r="K86" s="35"/>
      <c r="L86" s="35"/>
      <c r="M86" s="35"/>
    </row>
    <row r="87" ht="15.75" customHeight="1">
      <c r="A87" s="35"/>
      <c r="B87" s="35"/>
      <c r="C87" s="35" t="s">
        <v>1975</v>
      </c>
      <c r="D87" s="35"/>
      <c r="E87" s="35"/>
      <c r="F87" s="35"/>
      <c r="G87" s="35"/>
      <c r="H87" s="35" t="s">
        <v>97</v>
      </c>
      <c r="I87" s="35"/>
      <c r="J87" s="35"/>
      <c r="K87" s="35"/>
      <c r="L87" s="35"/>
      <c r="M87" s="35"/>
    </row>
    <row r="88" ht="15.75" customHeight="1">
      <c r="A88" s="35"/>
      <c r="B88" s="35"/>
      <c r="C88" s="35" t="s">
        <v>563</v>
      </c>
      <c r="D88" s="35"/>
      <c r="E88" s="35"/>
      <c r="F88" s="35"/>
      <c r="G88" s="35"/>
      <c r="H88" s="35" t="s">
        <v>97</v>
      </c>
      <c r="I88" s="35"/>
      <c r="J88" s="35"/>
      <c r="K88" s="35"/>
      <c r="L88" s="35"/>
      <c r="M88" s="35"/>
    </row>
    <row r="89" ht="15.75" customHeight="1">
      <c r="A89" s="35"/>
      <c r="B89" s="35"/>
      <c r="C89" s="35" t="s">
        <v>1976</v>
      </c>
      <c r="D89" s="35"/>
      <c r="E89" s="35"/>
      <c r="F89" s="35"/>
      <c r="G89" s="35"/>
      <c r="H89" s="35" t="s">
        <v>97</v>
      </c>
      <c r="I89" s="35"/>
      <c r="J89" s="35"/>
      <c r="K89" s="35"/>
      <c r="L89" s="35"/>
      <c r="M89" s="35"/>
    </row>
    <row r="90" ht="15.75" customHeight="1">
      <c r="A90" s="35"/>
      <c r="B90" s="35"/>
      <c r="C90" s="35" t="s">
        <v>1977</v>
      </c>
      <c r="D90" s="35"/>
      <c r="E90" s="35"/>
      <c r="F90" s="35"/>
      <c r="G90" s="35"/>
      <c r="H90" s="35" t="s">
        <v>97</v>
      </c>
      <c r="I90" s="35"/>
      <c r="J90" s="35"/>
      <c r="K90" s="35"/>
      <c r="L90" s="35"/>
      <c r="M90" s="35"/>
    </row>
    <row r="91" ht="15.75" customHeight="1">
      <c r="A91" s="35"/>
      <c r="B91" s="35"/>
      <c r="C91" s="35" t="s">
        <v>1978</v>
      </c>
      <c r="D91" s="35"/>
      <c r="E91" s="35"/>
      <c r="F91" s="35"/>
      <c r="G91" s="35"/>
      <c r="H91" s="35" t="s">
        <v>97</v>
      </c>
      <c r="I91" s="35"/>
      <c r="J91" s="35"/>
      <c r="K91" s="35"/>
      <c r="L91" s="35"/>
      <c r="M91" s="35"/>
    </row>
    <row r="92" ht="15.75" customHeight="1">
      <c r="A92" s="35"/>
      <c r="B92" s="35"/>
      <c r="C92" s="35" t="s">
        <v>571</v>
      </c>
      <c r="D92" s="35"/>
      <c r="E92" s="35"/>
      <c r="F92" s="35"/>
      <c r="G92" s="35"/>
      <c r="H92" s="35" t="s">
        <v>44</v>
      </c>
      <c r="I92" s="35"/>
      <c r="J92" s="35"/>
      <c r="K92" s="35"/>
      <c r="L92" s="35"/>
      <c r="M92" s="35"/>
    </row>
    <row r="93" ht="15.75" customHeight="1">
      <c r="A93" s="35"/>
      <c r="B93" s="35"/>
      <c r="C93" s="35" t="s">
        <v>573</v>
      </c>
      <c r="D93" s="35"/>
      <c r="E93" s="35"/>
      <c r="F93" s="35"/>
      <c r="G93" s="35"/>
      <c r="H93" s="35" t="s">
        <v>44</v>
      </c>
      <c r="I93" s="35"/>
      <c r="J93" s="35"/>
      <c r="K93" s="35"/>
      <c r="L93" s="35"/>
      <c r="M93" s="35"/>
    </row>
    <row r="94" ht="15.75" customHeight="1">
      <c r="A94" s="35"/>
      <c r="B94" s="35"/>
      <c r="C94" s="35" t="s">
        <v>470</v>
      </c>
      <c r="D94" s="35">
        <v>110.0</v>
      </c>
      <c r="E94" s="35">
        <v>390.0</v>
      </c>
      <c r="F94" s="35">
        <v>20.0</v>
      </c>
      <c r="G94" s="35" t="s">
        <v>472</v>
      </c>
      <c r="H94" s="35" t="s">
        <v>97</v>
      </c>
      <c r="I94" s="35"/>
      <c r="J94" s="35"/>
      <c r="K94" s="35"/>
      <c r="L94" s="35"/>
      <c r="M94" s="35"/>
    </row>
    <row r="95" ht="15.75" customHeight="1">
      <c r="A95" s="35"/>
      <c r="B95" s="35"/>
      <c r="C95" s="35" t="s">
        <v>481</v>
      </c>
      <c r="D95" s="35">
        <v>140.0</v>
      </c>
      <c r="E95" s="35">
        <v>490.0</v>
      </c>
      <c r="F95" s="35">
        <v>17.0</v>
      </c>
      <c r="G95" s="35" t="s">
        <v>154</v>
      </c>
      <c r="H95" s="35" t="s">
        <v>97</v>
      </c>
      <c r="I95" s="35"/>
      <c r="J95" s="35"/>
      <c r="K95" s="35"/>
      <c r="L95" s="35"/>
      <c r="M95" s="35"/>
    </row>
    <row r="96" ht="15.75" customHeight="1">
      <c r="A96" s="35"/>
      <c r="B96" s="35"/>
      <c r="C96" s="35" t="s">
        <v>461</v>
      </c>
      <c r="D96" s="35">
        <v>50.0</v>
      </c>
      <c r="E96" s="35">
        <v>140.0</v>
      </c>
      <c r="F96" s="35">
        <v>19.0</v>
      </c>
      <c r="G96" s="35" t="s">
        <v>91</v>
      </c>
      <c r="H96" s="35" t="s">
        <v>97</v>
      </c>
      <c r="I96" s="35"/>
      <c r="J96" s="35"/>
      <c r="K96" s="35"/>
      <c r="L96" s="35"/>
      <c r="M96" s="35"/>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11.43"/>
    <col customWidth="1" min="3" max="3" width="13.71"/>
    <col customWidth="1" min="4" max="5" width="20.57"/>
    <col customWidth="1" min="6" max="6" width="16.0"/>
    <col customWidth="1" min="7" max="7" width="12.57"/>
    <col customWidth="1" min="8" max="8" width="13.71"/>
    <col customWidth="1" min="9" max="9" width="12.57"/>
    <col customWidth="1" min="10" max="10" width="16.0"/>
    <col customWidth="1" min="11" max="11" width="12.57"/>
    <col customWidth="1" min="12" max="12" width="16.0"/>
    <col customWidth="1" min="13" max="26" width="9.86"/>
  </cols>
  <sheetData>
    <row r="1">
      <c r="A1" s="34" t="s">
        <v>1952</v>
      </c>
      <c r="B1" s="34"/>
      <c r="C1" s="34"/>
      <c r="D1" s="34"/>
      <c r="E1" s="34"/>
      <c r="F1" s="34"/>
      <c r="G1" s="34"/>
      <c r="H1" s="34"/>
      <c r="I1" s="34"/>
      <c r="J1" s="34"/>
      <c r="K1" s="34"/>
      <c r="L1" s="34"/>
    </row>
    <row r="2">
      <c r="A2" s="35"/>
      <c r="B2" s="35"/>
      <c r="C2" s="35"/>
      <c r="D2" s="35"/>
      <c r="E2" s="35"/>
      <c r="F2" s="35"/>
      <c r="G2" s="35"/>
      <c r="H2" s="35"/>
      <c r="I2" s="35"/>
      <c r="J2" s="35"/>
      <c r="K2" s="35"/>
      <c r="L2" s="35"/>
    </row>
    <row r="3">
      <c r="A3" s="35" t="s">
        <v>1903</v>
      </c>
      <c r="B3" s="35" t="s">
        <v>1953</v>
      </c>
      <c r="C3" s="35" t="s">
        <v>1954</v>
      </c>
      <c r="D3" s="35" t="s">
        <v>1955</v>
      </c>
      <c r="E3" s="35" t="s">
        <v>1956</v>
      </c>
      <c r="F3" s="35" t="s">
        <v>1957</v>
      </c>
      <c r="G3" s="35" t="s">
        <v>1958</v>
      </c>
      <c r="H3" s="35" t="s">
        <v>1959</v>
      </c>
      <c r="I3" s="35" t="s">
        <v>1960</v>
      </c>
      <c r="J3" s="35" t="s">
        <v>1961</v>
      </c>
      <c r="K3" s="35" t="s">
        <v>1962</v>
      </c>
      <c r="L3" s="35" t="s">
        <v>1963</v>
      </c>
    </row>
    <row r="4">
      <c r="A4" s="35">
        <v>1.0</v>
      </c>
      <c r="B4" s="35">
        <v>46149.0</v>
      </c>
      <c r="C4" s="35">
        <v>8.0</v>
      </c>
      <c r="D4" s="35" t="s">
        <v>1964</v>
      </c>
      <c r="E4" s="35">
        <v>201.0</v>
      </c>
      <c r="F4" s="35">
        <v>107.0</v>
      </c>
      <c r="G4" s="35">
        <v>246.0</v>
      </c>
      <c r="H4" s="35">
        <v>205.0</v>
      </c>
      <c r="I4" s="35">
        <v>41.0</v>
      </c>
      <c r="J4" s="35">
        <v>14.0</v>
      </c>
      <c r="K4" s="35">
        <v>2.0</v>
      </c>
      <c r="L4" s="35">
        <v>51.0</v>
      </c>
    </row>
    <row r="5">
      <c r="A5" s="35">
        <v>2.0</v>
      </c>
      <c r="B5" s="35">
        <v>46167.0</v>
      </c>
      <c r="C5" s="35">
        <v>11.0</v>
      </c>
      <c r="D5" s="35" t="s">
        <v>1965</v>
      </c>
      <c r="E5" s="35">
        <v>223.0</v>
      </c>
      <c r="F5" s="35">
        <v>112.0</v>
      </c>
      <c r="G5" s="35">
        <v>256.0</v>
      </c>
      <c r="H5" s="35">
        <v>210.0</v>
      </c>
      <c r="I5" s="35">
        <v>46.0</v>
      </c>
      <c r="J5" s="35">
        <v>14.0</v>
      </c>
      <c r="K5" s="35">
        <v>2.0</v>
      </c>
      <c r="L5" s="35">
        <v>52.0</v>
      </c>
    </row>
    <row r="6">
      <c r="A6" s="35">
        <v>3.0</v>
      </c>
      <c r="B6" s="35">
        <v>46174.0</v>
      </c>
      <c r="C6" s="35">
        <v>11.0</v>
      </c>
      <c r="D6" s="35" t="s">
        <v>1966</v>
      </c>
      <c r="E6" s="35">
        <v>245.0</v>
      </c>
      <c r="F6" s="35">
        <v>113.0</v>
      </c>
      <c r="G6" s="35">
        <v>244.0</v>
      </c>
      <c r="H6" s="35">
        <v>198.0</v>
      </c>
      <c r="I6" s="35">
        <v>46.0</v>
      </c>
      <c r="J6" s="35">
        <v>14.0</v>
      </c>
      <c r="K6" s="35">
        <v>1.0</v>
      </c>
      <c r="L6" s="35">
        <v>53.0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86"/>
    <col customWidth="1" min="2" max="2" width="41.14"/>
    <col customWidth="1" min="3" max="3" width="20.57"/>
    <col customWidth="1" min="4" max="4" width="21.71"/>
    <col customWidth="1" min="5" max="5" width="12.57"/>
    <col customWidth="1" min="6" max="6" width="13.71"/>
    <col customWidth="1" min="7" max="7" width="17.14"/>
    <col customWidth="1" min="8" max="8" width="25.14"/>
    <col customWidth="1" min="9" max="9" width="11.43"/>
    <col customWidth="1" min="10" max="10" width="25.14"/>
    <col customWidth="1" min="11" max="11" width="40.0"/>
    <col customWidth="1" min="12" max="12" width="41.14"/>
    <col customWidth="1" min="13" max="13" width="37.71"/>
    <col customWidth="1" min="14" max="14" width="41.14"/>
    <col customWidth="1" min="15" max="15" width="40.0"/>
    <col customWidth="1" min="16" max="16" width="35.43"/>
    <col customWidth="1" min="17" max="26" width="9.86"/>
  </cols>
  <sheetData>
    <row r="1">
      <c r="A1" s="34" t="s">
        <v>1979</v>
      </c>
      <c r="B1" s="34"/>
      <c r="C1" s="34"/>
      <c r="D1" s="34"/>
      <c r="E1" s="34"/>
      <c r="F1" s="34"/>
      <c r="G1" s="34"/>
      <c r="H1" s="34"/>
      <c r="I1" s="34"/>
      <c r="J1" s="34" t="s">
        <v>1980</v>
      </c>
      <c r="K1" s="34"/>
      <c r="L1" s="34"/>
      <c r="M1" s="34"/>
      <c r="N1" s="34"/>
      <c r="O1" s="34"/>
      <c r="P1" s="34"/>
    </row>
    <row r="2">
      <c r="A2" s="35"/>
      <c r="B2" s="35"/>
      <c r="C2" s="35"/>
      <c r="D2" s="35"/>
      <c r="E2" s="35"/>
      <c r="F2" s="35"/>
      <c r="G2" s="35"/>
      <c r="H2" s="35"/>
      <c r="I2" s="35"/>
      <c r="J2" s="35"/>
      <c r="K2" s="35"/>
      <c r="L2" s="35"/>
      <c r="M2" s="35"/>
      <c r="N2" s="35"/>
      <c r="O2" s="35"/>
      <c r="P2" s="35"/>
    </row>
    <row r="3">
      <c r="A3" s="35"/>
      <c r="B3" s="35"/>
      <c r="C3" s="35"/>
      <c r="D3" s="35"/>
      <c r="E3" s="35"/>
      <c r="F3" s="35"/>
      <c r="G3" s="35"/>
      <c r="H3" s="35"/>
      <c r="I3" s="35"/>
      <c r="J3" s="35" t="s">
        <v>1903</v>
      </c>
      <c r="K3" s="35" t="s">
        <v>1981</v>
      </c>
      <c r="L3" s="35" t="s">
        <v>1982</v>
      </c>
      <c r="M3" s="35" t="s">
        <v>1983</v>
      </c>
      <c r="N3" s="35" t="s">
        <v>1984</v>
      </c>
      <c r="O3" s="35" t="s">
        <v>1985</v>
      </c>
      <c r="P3" s="35" t="s">
        <v>1986</v>
      </c>
    </row>
    <row r="4">
      <c r="A4" s="35" t="s">
        <v>1987</v>
      </c>
      <c r="B4" s="35" t="s">
        <v>1988</v>
      </c>
      <c r="C4" s="35" t="s">
        <v>1955</v>
      </c>
      <c r="D4" s="35" t="s">
        <v>1989</v>
      </c>
      <c r="E4" s="35" t="s">
        <v>1990</v>
      </c>
      <c r="F4" s="35" t="s">
        <v>1991</v>
      </c>
      <c r="G4" s="35" t="s">
        <v>1992</v>
      </c>
      <c r="H4" s="35" t="s">
        <v>1993</v>
      </c>
      <c r="I4" s="35"/>
      <c r="J4" s="35">
        <v>1.0</v>
      </c>
      <c r="K4" s="35" t="s">
        <v>880</v>
      </c>
      <c r="L4" s="35" t="s">
        <v>1994</v>
      </c>
      <c r="M4" s="35" t="s">
        <v>1995</v>
      </c>
      <c r="N4" s="35">
        <v>4.0</v>
      </c>
      <c r="O4" s="35">
        <v>100.0</v>
      </c>
      <c r="P4" s="35" t="s">
        <v>1996</v>
      </c>
    </row>
    <row r="5">
      <c r="A5" s="35">
        <v>1.0</v>
      </c>
      <c r="B5" s="35" t="s">
        <v>876</v>
      </c>
      <c r="C5" s="35">
        <v>325.0</v>
      </c>
      <c r="D5" s="35">
        <v>930.0</v>
      </c>
      <c r="E5" s="35">
        <v>43.0</v>
      </c>
      <c r="F5" s="35">
        <v>374.0</v>
      </c>
      <c r="G5" s="35">
        <v>19.0</v>
      </c>
      <c r="H5" s="35">
        <v>515.0</v>
      </c>
      <c r="I5" s="35"/>
      <c r="J5" s="35"/>
      <c r="K5" s="35"/>
      <c r="L5" s="35" t="s">
        <v>1997</v>
      </c>
      <c r="M5" s="35" t="s">
        <v>1995</v>
      </c>
      <c r="N5" s="35">
        <v>1.0</v>
      </c>
      <c r="O5" s="35">
        <v>72.0</v>
      </c>
      <c r="P5" s="35" t="s">
        <v>1998</v>
      </c>
    </row>
    <row r="6">
      <c r="A6" s="35">
        <v>2.0</v>
      </c>
      <c r="B6" s="35" t="s">
        <v>880</v>
      </c>
      <c r="C6" s="35">
        <v>763.0</v>
      </c>
      <c r="D6" s="35">
        <v>907.0</v>
      </c>
      <c r="E6" s="35">
        <v>22.0</v>
      </c>
      <c r="F6" s="35" t="s">
        <v>2000</v>
      </c>
      <c r="G6" s="35">
        <v>22.0</v>
      </c>
      <c r="H6" s="35">
        <v>32.0</v>
      </c>
      <c r="I6" s="35"/>
      <c r="J6" s="35"/>
      <c r="K6" s="35"/>
      <c r="L6" s="35" t="s">
        <v>2001</v>
      </c>
      <c r="M6" s="35" t="s">
        <v>2002</v>
      </c>
      <c r="N6" s="35">
        <v>4.0</v>
      </c>
      <c r="O6" s="35">
        <v>55.0</v>
      </c>
      <c r="P6" s="35" t="s">
        <v>2003</v>
      </c>
    </row>
    <row r="7">
      <c r="A7" s="35">
        <v>3.0</v>
      </c>
      <c r="B7" s="35" t="s">
        <v>882</v>
      </c>
      <c r="C7" s="35" t="s">
        <v>2004</v>
      </c>
      <c r="D7" s="35" t="s">
        <v>2005</v>
      </c>
      <c r="E7" s="35">
        <v>29.0</v>
      </c>
      <c r="F7" s="35" t="s">
        <v>2006</v>
      </c>
      <c r="G7" s="35">
        <v>21.0</v>
      </c>
      <c r="H7" s="35">
        <v>40.0</v>
      </c>
      <c r="I7" s="35"/>
      <c r="J7" s="35"/>
      <c r="K7" s="35"/>
      <c r="L7" s="35" t="s">
        <v>2007</v>
      </c>
      <c r="M7" s="35" t="s">
        <v>2002</v>
      </c>
      <c r="N7" s="35">
        <v>39.0</v>
      </c>
      <c r="O7" s="35">
        <v>54.0</v>
      </c>
      <c r="P7" s="35" t="s">
        <v>2008</v>
      </c>
    </row>
    <row r="8">
      <c r="A8" s="35">
        <v>4.0</v>
      </c>
      <c r="B8" s="35" t="s">
        <v>884</v>
      </c>
      <c r="C8" s="35">
        <v>906.0</v>
      </c>
      <c r="D8" s="35" t="s">
        <v>2009</v>
      </c>
      <c r="E8" s="35">
        <v>28.0</v>
      </c>
      <c r="F8" s="35" t="s">
        <v>2010</v>
      </c>
      <c r="G8" s="35">
        <v>15.0</v>
      </c>
      <c r="H8" s="35">
        <v>47.0</v>
      </c>
      <c r="I8" s="35"/>
      <c r="J8" s="35"/>
      <c r="K8" s="35"/>
      <c r="L8" s="35" t="s">
        <v>2012</v>
      </c>
      <c r="M8" s="35" t="s">
        <v>2013</v>
      </c>
      <c r="N8" s="35">
        <v>10.0</v>
      </c>
      <c r="O8" s="35">
        <v>53.0</v>
      </c>
      <c r="P8" s="35" t="s">
        <v>2014</v>
      </c>
    </row>
    <row r="9">
      <c r="A9" s="35">
        <v>5.0</v>
      </c>
      <c r="B9" s="35" t="s">
        <v>886</v>
      </c>
      <c r="C9" s="35">
        <v>575.0</v>
      </c>
      <c r="D9" s="35">
        <v>446.0</v>
      </c>
      <c r="E9" s="35">
        <v>25.0</v>
      </c>
      <c r="F9" s="35" t="s">
        <v>2018</v>
      </c>
      <c r="G9" s="35">
        <v>14.0</v>
      </c>
      <c r="H9" s="35">
        <v>3.0</v>
      </c>
      <c r="I9" s="35"/>
      <c r="J9" s="35"/>
      <c r="K9" s="35"/>
      <c r="L9" s="35"/>
      <c r="M9" s="35"/>
      <c r="N9" s="35"/>
      <c r="O9" s="35"/>
      <c r="P9" s="35"/>
    </row>
    <row r="10">
      <c r="A10" s="35">
        <v>6.0</v>
      </c>
      <c r="B10" s="35" t="s">
        <v>888</v>
      </c>
      <c r="C10" s="35" t="s">
        <v>2022</v>
      </c>
      <c r="D10" s="35" t="s">
        <v>2023</v>
      </c>
      <c r="E10" s="35">
        <v>31.0</v>
      </c>
      <c r="F10" s="35" t="s">
        <v>2024</v>
      </c>
      <c r="G10" s="35">
        <v>25.0</v>
      </c>
      <c r="H10" s="35">
        <v>34.0</v>
      </c>
      <c r="I10" s="35"/>
      <c r="J10" s="35">
        <v>2.0</v>
      </c>
      <c r="K10" s="35" t="s">
        <v>886</v>
      </c>
      <c r="L10" s="35" t="s">
        <v>1994</v>
      </c>
      <c r="M10" s="35" t="s">
        <v>1995</v>
      </c>
      <c r="N10" s="35">
        <v>2.0</v>
      </c>
      <c r="O10" s="35">
        <v>100.0</v>
      </c>
      <c r="P10" s="35" t="s">
        <v>1996</v>
      </c>
    </row>
    <row r="11">
      <c r="A11" s="35">
        <v>7.0</v>
      </c>
      <c r="B11" s="35" t="s">
        <v>890</v>
      </c>
      <c r="C11" s="35">
        <v>4.0</v>
      </c>
      <c r="D11" s="35">
        <v>39.0</v>
      </c>
      <c r="E11" s="35">
        <v>6.0</v>
      </c>
      <c r="F11" s="35">
        <v>257.0</v>
      </c>
      <c r="G11" s="35">
        <v>0.0</v>
      </c>
      <c r="H11" s="35">
        <v>0.0</v>
      </c>
      <c r="I11" s="35"/>
      <c r="J11" s="35"/>
      <c r="K11" s="35"/>
      <c r="L11" s="35" t="s">
        <v>2027</v>
      </c>
      <c r="M11" s="35" t="s">
        <v>2002</v>
      </c>
      <c r="N11" s="35">
        <v>1.0</v>
      </c>
      <c r="O11" s="35">
        <v>73.0</v>
      </c>
      <c r="P11" s="35" t="s">
        <v>2028</v>
      </c>
    </row>
    <row r="12">
      <c r="A12" s="35">
        <v>8.0</v>
      </c>
      <c r="B12" s="35" t="s">
        <v>892</v>
      </c>
      <c r="C12" s="35">
        <v>210.0</v>
      </c>
      <c r="D12" s="35">
        <v>225.0</v>
      </c>
      <c r="E12" s="35">
        <v>20.0</v>
      </c>
      <c r="F12" s="35">
        <v>848.0</v>
      </c>
      <c r="G12" s="35">
        <v>14.0</v>
      </c>
      <c r="H12" s="35">
        <v>0.0</v>
      </c>
      <c r="I12" s="35"/>
      <c r="J12" s="35"/>
      <c r="K12" s="35"/>
      <c r="L12" s="35" t="s">
        <v>2029</v>
      </c>
      <c r="M12" s="35" t="s">
        <v>1995</v>
      </c>
      <c r="N12" s="35">
        <v>1.0</v>
      </c>
      <c r="O12" s="35">
        <v>66.0</v>
      </c>
      <c r="P12" s="35" t="s">
        <v>2031</v>
      </c>
    </row>
    <row r="13">
      <c r="A13" s="35">
        <v>9.0</v>
      </c>
      <c r="B13" s="35" t="s">
        <v>894</v>
      </c>
      <c r="C13" s="35">
        <v>905.0</v>
      </c>
      <c r="D13" s="35" t="s">
        <v>2032</v>
      </c>
      <c r="E13" s="35">
        <v>22.0</v>
      </c>
      <c r="F13" s="35" t="s">
        <v>2033</v>
      </c>
      <c r="G13" s="35">
        <v>14.0</v>
      </c>
      <c r="H13" s="35">
        <v>2.0</v>
      </c>
      <c r="I13" s="35"/>
      <c r="J13" s="35"/>
      <c r="K13" s="35"/>
      <c r="L13" s="35"/>
      <c r="M13" s="35"/>
      <c r="N13" s="35"/>
      <c r="O13" s="35"/>
      <c r="P13" s="35"/>
    </row>
    <row r="14">
      <c r="A14" s="35">
        <v>10.0</v>
      </c>
      <c r="B14" s="35" t="s">
        <v>896</v>
      </c>
      <c r="C14" s="35" t="s">
        <v>2034</v>
      </c>
      <c r="D14" s="35" t="s">
        <v>2035</v>
      </c>
      <c r="E14" s="35">
        <v>31.0</v>
      </c>
      <c r="F14" s="35" t="s">
        <v>2036</v>
      </c>
      <c r="G14" s="35">
        <v>16.0</v>
      </c>
      <c r="H14" s="35">
        <v>19.0</v>
      </c>
      <c r="I14" s="35"/>
      <c r="J14" s="35"/>
      <c r="K14" s="35"/>
      <c r="L14" s="35"/>
      <c r="M14" s="35"/>
      <c r="N14" s="35"/>
      <c r="O14" s="35"/>
      <c r="P14" s="35"/>
    </row>
    <row r="15">
      <c r="A15" s="35">
        <v>11.0</v>
      </c>
      <c r="B15" s="35" t="s">
        <v>898</v>
      </c>
      <c r="C15" s="35" t="s">
        <v>2039</v>
      </c>
      <c r="D15" s="35" t="s">
        <v>2040</v>
      </c>
      <c r="E15" s="35">
        <v>27.0</v>
      </c>
      <c r="F15" s="35" t="s">
        <v>2040</v>
      </c>
      <c r="G15" s="35">
        <v>14.0</v>
      </c>
      <c r="H15" s="35">
        <v>21.0</v>
      </c>
      <c r="I15" s="35"/>
      <c r="J15" s="35">
        <v>3.0</v>
      </c>
      <c r="K15" s="35" t="s">
        <v>876</v>
      </c>
      <c r="L15" s="35" t="s">
        <v>2041</v>
      </c>
      <c r="M15" s="35" t="s">
        <v>2013</v>
      </c>
      <c r="N15" s="35">
        <v>1.0</v>
      </c>
      <c r="O15" s="35">
        <v>50.0</v>
      </c>
      <c r="P15" s="35" t="s">
        <v>2044</v>
      </c>
    </row>
    <row r="16">
      <c r="A16" s="35">
        <v>12.0</v>
      </c>
      <c r="B16" s="35" t="s">
        <v>900</v>
      </c>
      <c r="C16" s="35">
        <v>892.0</v>
      </c>
      <c r="D16" s="35" t="s">
        <v>2046</v>
      </c>
      <c r="E16" s="35">
        <v>28.0</v>
      </c>
      <c r="F16" s="35" t="s">
        <v>2047</v>
      </c>
      <c r="G16" s="35">
        <v>18.0</v>
      </c>
      <c r="H16" s="35">
        <v>37.0</v>
      </c>
      <c r="I16" s="35"/>
      <c r="J16" s="35"/>
      <c r="K16" s="35"/>
      <c r="L16" s="35" t="s">
        <v>2051</v>
      </c>
      <c r="M16" s="35" t="s">
        <v>2052</v>
      </c>
      <c r="N16" s="35">
        <v>1.0</v>
      </c>
      <c r="O16" s="35">
        <v>46.0</v>
      </c>
      <c r="P16" s="35" t="s">
        <v>2053</v>
      </c>
    </row>
    <row r="17">
      <c r="A17" s="35">
        <v>13.0</v>
      </c>
      <c r="B17" s="35" t="s">
        <v>902</v>
      </c>
      <c r="C17" s="35" t="s">
        <v>2055</v>
      </c>
      <c r="D17" s="35" t="s">
        <v>2043</v>
      </c>
      <c r="E17" s="35">
        <v>31.0</v>
      </c>
      <c r="F17" s="35" t="s">
        <v>2056</v>
      </c>
      <c r="G17" s="35">
        <v>21.0</v>
      </c>
      <c r="H17" s="35">
        <v>189.0</v>
      </c>
      <c r="I17" s="35"/>
      <c r="J17" s="35"/>
      <c r="K17" s="35"/>
      <c r="L17" s="35"/>
      <c r="M17" s="35"/>
      <c r="N17" s="35"/>
      <c r="O17" s="35"/>
      <c r="P17" s="35"/>
    </row>
    <row r="18">
      <c r="A18" s="35">
        <v>14.0</v>
      </c>
      <c r="B18" s="35" t="s">
        <v>904</v>
      </c>
      <c r="C18" s="35" t="s">
        <v>2059</v>
      </c>
      <c r="D18" s="35" t="s">
        <v>2060</v>
      </c>
      <c r="E18" s="35">
        <v>37.0</v>
      </c>
      <c r="F18" s="35" t="s">
        <v>2061</v>
      </c>
      <c r="G18" s="35">
        <v>18.0</v>
      </c>
      <c r="H18" s="35">
        <v>280.0</v>
      </c>
      <c r="I18" s="35"/>
      <c r="J18" s="35">
        <v>4.0</v>
      </c>
      <c r="K18" s="35" t="s">
        <v>896</v>
      </c>
      <c r="L18" s="35" t="s">
        <v>2063</v>
      </c>
      <c r="M18" s="35" t="s">
        <v>1995</v>
      </c>
      <c r="N18" s="35">
        <v>3.0</v>
      </c>
      <c r="O18" s="35">
        <v>100.0</v>
      </c>
      <c r="P18" s="35" t="s">
        <v>2064</v>
      </c>
    </row>
    <row r="19">
      <c r="A19" s="35">
        <v>15.0</v>
      </c>
      <c r="B19" s="35" t="s">
        <v>906</v>
      </c>
      <c r="C19" s="35" t="s">
        <v>2065</v>
      </c>
      <c r="D19" s="35" t="s">
        <v>2046</v>
      </c>
      <c r="E19" s="35">
        <v>27.0</v>
      </c>
      <c r="F19" s="35" t="s">
        <v>2066</v>
      </c>
      <c r="G19" s="35">
        <v>14.0</v>
      </c>
      <c r="H19" s="35">
        <v>22.0</v>
      </c>
      <c r="I19" s="35"/>
      <c r="J19" s="35"/>
      <c r="K19" s="35"/>
      <c r="L19" s="35" t="s">
        <v>2068</v>
      </c>
      <c r="M19" s="35" t="s">
        <v>2069</v>
      </c>
      <c r="N19" s="35">
        <v>1.0</v>
      </c>
      <c r="O19" s="35">
        <v>75.0</v>
      </c>
      <c r="P19" s="35" t="s">
        <v>2071</v>
      </c>
    </row>
    <row r="20">
      <c r="A20" s="35">
        <v>16.0</v>
      </c>
      <c r="B20" s="35" t="s">
        <v>908</v>
      </c>
      <c r="C20" s="35">
        <v>241.0</v>
      </c>
      <c r="D20" s="35">
        <v>28.0</v>
      </c>
      <c r="E20" s="35">
        <v>8.0</v>
      </c>
      <c r="F20" s="35">
        <v>503.0</v>
      </c>
      <c r="G20" s="35">
        <v>0.0</v>
      </c>
      <c r="H20" s="35">
        <v>0.0</v>
      </c>
      <c r="I20" s="35"/>
      <c r="J20" s="35"/>
      <c r="K20" s="35"/>
      <c r="L20" s="35" t="s">
        <v>2076</v>
      </c>
      <c r="M20" s="35" t="s">
        <v>2077</v>
      </c>
      <c r="N20" s="35">
        <v>1.0</v>
      </c>
      <c r="O20" s="35">
        <v>56.0</v>
      </c>
      <c r="P20" s="35" t="s">
        <v>2078</v>
      </c>
    </row>
    <row r="21" ht="15.75" customHeight="1">
      <c r="A21" s="35">
        <v>17.0</v>
      </c>
      <c r="B21" s="35" t="s">
        <v>910</v>
      </c>
      <c r="C21" s="35">
        <v>2.0</v>
      </c>
      <c r="D21" s="35">
        <v>4.0</v>
      </c>
      <c r="E21" s="35">
        <v>5.0</v>
      </c>
      <c r="F21" s="35" t="s">
        <v>2082</v>
      </c>
      <c r="G21" s="35">
        <v>0.0</v>
      </c>
      <c r="H21" s="35">
        <v>0.0</v>
      </c>
      <c r="I21" s="35"/>
      <c r="J21" s="35"/>
      <c r="K21" s="35"/>
      <c r="L21" s="35" t="s">
        <v>2084</v>
      </c>
      <c r="M21" s="35" t="s">
        <v>1995</v>
      </c>
      <c r="N21" s="35">
        <v>2.0</v>
      </c>
      <c r="O21" s="35">
        <v>59.0</v>
      </c>
      <c r="P21" s="35" t="s">
        <v>2085</v>
      </c>
    </row>
    <row r="22" ht="15.75" customHeight="1">
      <c r="A22" s="35">
        <v>18.0</v>
      </c>
      <c r="B22" s="35" t="s">
        <v>912</v>
      </c>
      <c r="C22" s="35">
        <v>0.0</v>
      </c>
      <c r="D22" s="35">
        <v>7.0</v>
      </c>
      <c r="E22" s="35">
        <v>2.0</v>
      </c>
      <c r="F22" s="35">
        <v>378.0</v>
      </c>
      <c r="G22" s="35">
        <v>14.0</v>
      </c>
      <c r="H22" s="35">
        <v>1.0</v>
      </c>
      <c r="I22" s="35"/>
      <c r="J22" s="35"/>
      <c r="K22" s="35"/>
      <c r="L22" s="35"/>
      <c r="M22" s="35"/>
      <c r="N22" s="35"/>
      <c r="O22" s="35"/>
      <c r="P22" s="35"/>
    </row>
    <row r="23" ht="15.75" customHeight="1">
      <c r="A23" s="35">
        <v>19.0</v>
      </c>
      <c r="B23" s="35" t="s">
        <v>914</v>
      </c>
      <c r="C23" s="35">
        <v>51.0</v>
      </c>
      <c r="D23" s="35">
        <v>19.0</v>
      </c>
      <c r="E23" s="35">
        <v>7.0</v>
      </c>
      <c r="F23" s="35">
        <v>206.0</v>
      </c>
      <c r="G23" s="35">
        <v>0.0</v>
      </c>
      <c r="H23" s="35">
        <v>0.0</v>
      </c>
      <c r="I23" s="35"/>
      <c r="J23" s="35">
        <v>5.0</v>
      </c>
      <c r="K23" s="35" t="s">
        <v>904</v>
      </c>
      <c r="L23" s="35" t="s">
        <v>2090</v>
      </c>
      <c r="M23" s="35" t="s">
        <v>1995</v>
      </c>
      <c r="N23" s="35">
        <v>1.0</v>
      </c>
      <c r="O23" s="35">
        <v>89.0</v>
      </c>
      <c r="P23" s="35" t="s">
        <v>2091</v>
      </c>
    </row>
    <row r="24" ht="15.75" customHeight="1">
      <c r="A24" s="35">
        <v>20.0</v>
      </c>
      <c r="B24" s="35" t="s">
        <v>916</v>
      </c>
      <c r="C24" s="35">
        <v>0.0</v>
      </c>
      <c r="D24" s="35">
        <v>1.0</v>
      </c>
      <c r="E24" s="35">
        <v>2.0</v>
      </c>
      <c r="F24" s="35">
        <v>170.0</v>
      </c>
      <c r="G24" s="35">
        <v>0.0</v>
      </c>
      <c r="H24" s="35">
        <v>0.0</v>
      </c>
      <c r="I24" s="35"/>
      <c r="J24" s="35"/>
      <c r="K24" s="35"/>
      <c r="L24" s="35" t="s">
        <v>2094</v>
      </c>
      <c r="M24" s="35" t="s">
        <v>2095</v>
      </c>
      <c r="N24" s="35">
        <v>1.0</v>
      </c>
      <c r="O24" s="35">
        <v>89.0</v>
      </c>
      <c r="P24" s="35" t="s">
        <v>2096</v>
      </c>
    </row>
    <row r="25" ht="15.75" customHeight="1">
      <c r="A25" s="35">
        <v>21.0</v>
      </c>
      <c r="B25" s="35" t="s">
        <v>918</v>
      </c>
      <c r="C25" s="35">
        <v>613.0</v>
      </c>
      <c r="D25" s="35">
        <v>14.0</v>
      </c>
      <c r="E25" s="35">
        <v>10.0</v>
      </c>
      <c r="F25" s="35">
        <v>570.0</v>
      </c>
      <c r="G25" s="35">
        <v>14.0</v>
      </c>
      <c r="H25" s="35">
        <v>1.0</v>
      </c>
      <c r="I25" s="35"/>
      <c r="J25" s="35"/>
      <c r="K25" s="35"/>
      <c r="L25" s="35" t="s">
        <v>2098</v>
      </c>
      <c r="M25" s="35" t="s">
        <v>2095</v>
      </c>
      <c r="N25" s="35">
        <v>6.0</v>
      </c>
      <c r="O25" s="35">
        <v>85.0</v>
      </c>
      <c r="P25" s="35" t="s">
        <v>2100</v>
      </c>
    </row>
    <row r="26" ht="15.75" customHeight="1">
      <c r="A26" s="35">
        <v>22.0</v>
      </c>
      <c r="B26" s="35" t="s">
        <v>920</v>
      </c>
      <c r="C26" s="35">
        <v>0.0</v>
      </c>
      <c r="D26" s="35">
        <v>1.0</v>
      </c>
      <c r="E26" s="35">
        <v>2.0</v>
      </c>
      <c r="F26" s="35">
        <v>138.0</v>
      </c>
      <c r="G26" s="35">
        <v>0.0</v>
      </c>
      <c r="H26" s="35">
        <v>0.0</v>
      </c>
      <c r="I26" s="35"/>
      <c r="J26" s="35"/>
      <c r="K26" s="35"/>
      <c r="L26" s="35" t="s">
        <v>2101</v>
      </c>
      <c r="M26" s="35" t="s">
        <v>1995</v>
      </c>
      <c r="N26" s="35">
        <v>1.0</v>
      </c>
      <c r="O26" s="35">
        <v>80.0</v>
      </c>
      <c r="P26" s="35" t="s">
        <v>2103</v>
      </c>
    </row>
    <row r="27" ht="15.75" customHeight="1">
      <c r="A27" s="35">
        <v>23.0</v>
      </c>
      <c r="B27" s="35" t="s">
        <v>922</v>
      </c>
      <c r="C27" s="35">
        <v>313.0</v>
      </c>
      <c r="D27" s="35">
        <v>14.0</v>
      </c>
      <c r="E27" s="35">
        <v>9.0</v>
      </c>
      <c r="F27" s="35" t="s">
        <v>2104</v>
      </c>
      <c r="G27" s="35">
        <v>14.0</v>
      </c>
      <c r="H27" s="35">
        <v>0.0</v>
      </c>
      <c r="I27" s="35"/>
      <c r="J27" s="35"/>
      <c r="K27" s="35"/>
      <c r="L27" s="35" t="s">
        <v>2105</v>
      </c>
      <c r="M27" s="35" t="s">
        <v>2069</v>
      </c>
      <c r="N27" s="35">
        <v>1.0</v>
      </c>
      <c r="O27" s="35">
        <v>80.0</v>
      </c>
      <c r="P27" s="35" t="s">
        <v>2107</v>
      </c>
    </row>
    <row r="28" ht="15.75" customHeight="1">
      <c r="A28" s="35">
        <v>24.0</v>
      </c>
      <c r="B28" s="35" t="s">
        <v>924</v>
      </c>
      <c r="C28" s="35">
        <v>0.0</v>
      </c>
      <c r="D28" s="35">
        <v>0.0</v>
      </c>
      <c r="E28" s="35">
        <v>2.0</v>
      </c>
      <c r="F28" s="35">
        <v>14.0</v>
      </c>
      <c r="G28" s="35">
        <v>14.0</v>
      </c>
      <c r="H28" s="35">
        <v>0.0</v>
      </c>
      <c r="I28" s="35"/>
      <c r="J28" s="35"/>
      <c r="K28" s="35"/>
      <c r="L28" s="35" t="s">
        <v>2108</v>
      </c>
      <c r="M28" s="35" t="s">
        <v>2013</v>
      </c>
      <c r="N28" s="35">
        <v>1.0</v>
      </c>
      <c r="O28" s="35">
        <v>79.0</v>
      </c>
      <c r="P28" s="35" t="s">
        <v>2109</v>
      </c>
    </row>
    <row r="29" ht="15.75" customHeight="1">
      <c r="A29" s="35">
        <v>25.0</v>
      </c>
      <c r="B29" s="35" t="s">
        <v>926</v>
      </c>
      <c r="C29" s="35">
        <v>0.0</v>
      </c>
      <c r="D29" s="35">
        <v>1.0</v>
      </c>
      <c r="E29" s="35">
        <v>2.0</v>
      </c>
      <c r="F29" s="35">
        <v>343.0</v>
      </c>
      <c r="G29" s="35">
        <v>0.0</v>
      </c>
      <c r="H29" s="35">
        <v>0.0</v>
      </c>
      <c r="I29" s="35"/>
      <c r="J29" s="35"/>
      <c r="K29" s="35"/>
      <c r="L29" s="35" t="s">
        <v>2111</v>
      </c>
      <c r="M29" s="35" t="s">
        <v>2077</v>
      </c>
      <c r="N29" s="35">
        <v>1.0</v>
      </c>
      <c r="O29" s="35">
        <v>79.0</v>
      </c>
      <c r="P29" s="35" t="s">
        <v>2113</v>
      </c>
    </row>
    <row r="30" ht="15.75" customHeight="1">
      <c r="A30" s="35">
        <v>26.0</v>
      </c>
      <c r="B30" s="35" t="s">
        <v>928</v>
      </c>
      <c r="C30" s="35">
        <v>51.0</v>
      </c>
      <c r="D30" s="35">
        <v>1.0</v>
      </c>
      <c r="E30" s="35">
        <v>7.0</v>
      </c>
      <c r="F30" s="35">
        <v>327.0</v>
      </c>
      <c r="G30" s="35">
        <v>0.0</v>
      </c>
      <c r="H30" s="35">
        <v>0.0</v>
      </c>
      <c r="I30" s="35"/>
      <c r="J30" s="35"/>
      <c r="K30" s="35"/>
      <c r="L30" s="35" t="s">
        <v>2114</v>
      </c>
      <c r="M30" s="35" t="s">
        <v>2069</v>
      </c>
      <c r="N30" s="35">
        <v>1.0</v>
      </c>
      <c r="O30" s="35">
        <v>77.0</v>
      </c>
      <c r="P30" s="35" t="s">
        <v>2078</v>
      </c>
    </row>
    <row r="31" ht="15.75" customHeight="1">
      <c r="A31" s="35">
        <v>27.0</v>
      </c>
      <c r="B31" s="35" t="s">
        <v>930</v>
      </c>
      <c r="C31" s="35">
        <v>80.0</v>
      </c>
      <c r="D31" s="35">
        <v>20.0</v>
      </c>
      <c r="E31" s="35">
        <v>8.0</v>
      </c>
      <c r="F31" s="35">
        <v>268.0</v>
      </c>
      <c r="G31" s="35">
        <v>14.0</v>
      </c>
      <c r="H31" s="35">
        <v>0.0</v>
      </c>
      <c r="I31" s="35"/>
      <c r="J31" s="35"/>
      <c r="K31" s="35"/>
      <c r="L31" s="35" t="s">
        <v>2116</v>
      </c>
      <c r="M31" s="35" t="s">
        <v>2002</v>
      </c>
      <c r="N31" s="35">
        <v>3.0</v>
      </c>
      <c r="O31" s="35">
        <v>76.0</v>
      </c>
      <c r="P31" s="35" t="s">
        <v>2117</v>
      </c>
    </row>
    <row r="32" ht="15.75" customHeight="1">
      <c r="A32" s="35">
        <v>28.0</v>
      </c>
      <c r="B32" s="35" t="s">
        <v>932</v>
      </c>
      <c r="C32" s="35">
        <v>473.0</v>
      </c>
      <c r="D32" s="35">
        <v>64.0</v>
      </c>
      <c r="E32" s="35">
        <v>10.0</v>
      </c>
      <c r="F32" s="35" t="s">
        <v>1965</v>
      </c>
      <c r="G32" s="35">
        <v>0.0</v>
      </c>
      <c r="H32" s="35">
        <v>0.0</v>
      </c>
      <c r="I32" s="35"/>
      <c r="J32" s="35"/>
      <c r="K32" s="35"/>
      <c r="L32" s="35" t="s">
        <v>2119</v>
      </c>
      <c r="M32" s="35" t="s">
        <v>2120</v>
      </c>
      <c r="N32" s="35">
        <v>1.0</v>
      </c>
      <c r="O32" s="35">
        <v>76.0</v>
      </c>
      <c r="P32" s="35" t="s">
        <v>2121</v>
      </c>
    </row>
    <row r="33" ht="15.75" customHeight="1">
      <c r="A33" s="35">
        <v>29.0</v>
      </c>
      <c r="B33" s="35" t="s">
        <v>934</v>
      </c>
      <c r="C33" s="35" t="s">
        <v>2122</v>
      </c>
      <c r="D33" s="35" t="s">
        <v>2123</v>
      </c>
      <c r="E33" s="35">
        <v>44.0</v>
      </c>
      <c r="F33" s="35" t="s">
        <v>2124</v>
      </c>
      <c r="G33" s="35">
        <v>26.0</v>
      </c>
      <c r="H33" s="35" t="s">
        <v>2089</v>
      </c>
      <c r="I33" s="35"/>
      <c r="J33" s="35"/>
      <c r="K33" s="35"/>
      <c r="L33" s="35"/>
      <c r="M33" s="35"/>
      <c r="N33" s="35"/>
      <c r="O33" s="35"/>
      <c r="P33" s="35"/>
    </row>
    <row r="34" ht="15.75" customHeight="1">
      <c r="A34" s="35">
        <v>30.0</v>
      </c>
      <c r="B34" s="35" t="s">
        <v>936</v>
      </c>
      <c r="C34" s="35">
        <v>0.0</v>
      </c>
      <c r="D34" s="35">
        <v>2.0</v>
      </c>
      <c r="E34" s="35">
        <v>2.0</v>
      </c>
      <c r="F34" s="35">
        <v>166.0</v>
      </c>
      <c r="G34" s="35">
        <v>0.0</v>
      </c>
      <c r="H34" s="35">
        <v>0.0</v>
      </c>
      <c r="I34" s="35"/>
      <c r="J34" s="35"/>
      <c r="K34" s="35"/>
      <c r="L34" s="35"/>
      <c r="M34" s="35"/>
      <c r="N34" s="35"/>
      <c r="O34" s="35"/>
      <c r="P34" s="35"/>
    </row>
    <row r="35" ht="15.75" customHeight="1">
      <c r="A35" s="35">
        <v>31.0</v>
      </c>
      <c r="B35" s="35" t="s">
        <v>938</v>
      </c>
      <c r="C35" s="35">
        <v>6.0</v>
      </c>
      <c r="D35" s="35">
        <v>3.0</v>
      </c>
      <c r="E35" s="35">
        <v>5.0</v>
      </c>
      <c r="F35" s="35">
        <v>36.0</v>
      </c>
      <c r="G35" s="35">
        <v>0.0</v>
      </c>
      <c r="H35" s="35">
        <v>0.0</v>
      </c>
      <c r="I35" s="35"/>
      <c r="J35" s="35"/>
      <c r="K35" s="35"/>
      <c r="L35" s="35"/>
      <c r="M35" s="35"/>
      <c r="N35" s="35"/>
      <c r="O35" s="35"/>
      <c r="P35" s="35"/>
    </row>
    <row r="36" ht="15.75" customHeight="1">
      <c r="A36" s="35">
        <v>32.0</v>
      </c>
      <c r="B36" s="35" t="s">
        <v>940</v>
      </c>
      <c r="C36" s="35">
        <v>3.0</v>
      </c>
      <c r="D36" s="35">
        <v>33.0</v>
      </c>
      <c r="E36" s="35">
        <v>5.0</v>
      </c>
      <c r="F36" s="35">
        <v>191.0</v>
      </c>
      <c r="G36" s="35">
        <v>14.0</v>
      </c>
      <c r="H36" s="35">
        <v>2.0</v>
      </c>
      <c r="I36" s="35"/>
      <c r="J36" s="35"/>
      <c r="K36" s="35"/>
      <c r="L36" s="35"/>
      <c r="M36" s="35"/>
      <c r="N36" s="35"/>
      <c r="O36" s="35"/>
      <c r="P36" s="35"/>
    </row>
    <row r="37" ht="15.75" customHeight="1">
      <c r="A37" s="35">
        <v>33.0</v>
      </c>
      <c r="B37" s="35" t="s">
        <v>942</v>
      </c>
      <c r="C37" s="35">
        <v>0.0</v>
      </c>
      <c r="D37" s="35">
        <v>75.0</v>
      </c>
      <c r="E37" s="35">
        <v>11.0</v>
      </c>
      <c r="F37" s="35" t="s">
        <v>2127</v>
      </c>
      <c r="G37" s="35">
        <v>14.0</v>
      </c>
      <c r="H37" s="35">
        <v>2.0</v>
      </c>
      <c r="I37" s="35"/>
      <c r="J37" s="35"/>
      <c r="K37" s="35"/>
      <c r="L37" s="35"/>
      <c r="M37" s="35"/>
      <c r="N37" s="35"/>
      <c r="O37" s="35"/>
      <c r="P37" s="35"/>
    </row>
    <row r="38" ht="15.75" customHeight="1">
      <c r="A38" s="35">
        <v>34.0</v>
      </c>
      <c r="B38" s="35" t="s">
        <v>944</v>
      </c>
      <c r="C38" s="35" t="s">
        <v>2130</v>
      </c>
      <c r="D38" s="35" t="s">
        <v>2131</v>
      </c>
      <c r="E38" s="35">
        <v>51.0</v>
      </c>
      <c r="F38" s="35" t="s">
        <v>2133</v>
      </c>
      <c r="G38" s="35">
        <v>32.0</v>
      </c>
      <c r="H38" s="35">
        <v>120.0</v>
      </c>
      <c r="I38" s="35"/>
      <c r="J38" s="35"/>
      <c r="K38" s="35"/>
      <c r="L38" s="35"/>
      <c r="M38" s="35"/>
      <c r="N38" s="35"/>
      <c r="O38" s="35"/>
      <c r="P38" s="35"/>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41.14"/>
    <col customWidth="1" min="3" max="3" width="11.43"/>
    <col customWidth="1" min="4" max="4" width="17.14"/>
    <col customWidth="1" min="5" max="5" width="13.71"/>
    <col customWidth="1" min="6" max="6" width="32.0"/>
    <col customWidth="1" min="7" max="7" width="41.14"/>
    <col customWidth="1" min="8" max="8" width="21.71"/>
    <col customWidth="1" min="9" max="26" width="9.86"/>
  </cols>
  <sheetData>
    <row r="1">
      <c r="A1" s="34" t="s">
        <v>1999</v>
      </c>
      <c r="B1" s="34"/>
      <c r="C1" s="34"/>
      <c r="D1" s="34"/>
      <c r="E1" s="34"/>
      <c r="F1" s="34"/>
      <c r="G1" s="34"/>
      <c r="H1" s="34"/>
    </row>
    <row r="2">
      <c r="A2" s="35"/>
      <c r="B2" s="35"/>
      <c r="C2" s="35"/>
      <c r="D2" s="35"/>
      <c r="E2" s="35"/>
      <c r="F2" s="35"/>
      <c r="G2" s="35"/>
      <c r="H2" s="35"/>
    </row>
    <row r="3">
      <c r="A3" s="35" t="s">
        <v>1903</v>
      </c>
      <c r="B3" s="35" t="s">
        <v>1904</v>
      </c>
      <c r="C3" s="35" t="s">
        <v>1905</v>
      </c>
      <c r="D3" s="35" t="s">
        <v>1906</v>
      </c>
      <c r="E3" s="35" t="s">
        <v>1907</v>
      </c>
      <c r="F3" s="35" t="s">
        <v>382</v>
      </c>
      <c r="G3" s="35" t="s">
        <v>1908</v>
      </c>
      <c r="H3" s="35" t="s">
        <v>384</v>
      </c>
    </row>
    <row r="4">
      <c r="A4" s="35">
        <v>1.0</v>
      </c>
      <c r="B4" s="35" t="s">
        <v>2011</v>
      </c>
      <c r="C4" s="35">
        <v>30.0</v>
      </c>
      <c r="D4" s="35">
        <v>70.0</v>
      </c>
      <c r="E4" s="35">
        <v>21.0</v>
      </c>
      <c r="F4" s="35" t="s">
        <v>87</v>
      </c>
      <c r="G4" s="35" t="s">
        <v>576</v>
      </c>
      <c r="H4" s="35" t="s">
        <v>97</v>
      </c>
    </row>
    <row r="5">
      <c r="A5" s="35">
        <v>2.0</v>
      </c>
      <c r="B5" s="35" t="s">
        <v>2015</v>
      </c>
      <c r="C5" s="35">
        <v>1300.0</v>
      </c>
      <c r="D5" s="35" t="s">
        <v>2016</v>
      </c>
      <c r="E5" s="35">
        <v>5.0</v>
      </c>
      <c r="F5" s="35" t="s">
        <v>91</v>
      </c>
      <c r="G5" s="35" t="s">
        <v>576</v>
      </c>
      <c r="H5" s="35" t="s">
        <v>44</v>
      </c>
    </row>
    <row r="6">
      <c r="A6" s="35">
        <v>3.0</v>
      </c>
      <c r="B6" s="35" t="s">
        <v>2017</v>
      </c>
      <c r="C6" s="35">
        <v>880.0</v>
      </c>
      <c r="D6" s="35" t="s">
        <v>2019</v>
      </c>
      <c r="E6" s="35">
        <v>32.0</v>
      </c>
      <c r="F6" s="35" t="s">
        <v>91</v>
      </c>
      <c r="G6" s="35" t="s">
        <v>576</v>
      </c>
      <c r="H6" s="35" t="s">
        <v>97</v>
      </c>
    </row>
    <row r="7">
      <c r="A7" s="35">
        <v>4.0</v>
      </c>
      <c r="B7" s="35" t="s">
        <v>2020</v>
      </c>
      <c r="C7" s="35">
        <v>880.0</v>
      </c>
      <c r="D7" s="35" t="s">
        <v>2021</v>
      </c>
      <c r="E7" s="35">
        <v>47.0</v>
      </c>
      <c r="F7" s="35" t="s">
        <v>91</v>
      </c>
      <c r="G7" s="35" t="s">
        <v>576</v>
      </c>
      <c r="H7" s="35" t="s">
        <v>97</v>
      </c>
    </row>
    <row r="8">
      <c r="A8" s="35">
        <v>5.0</v>
      </c>
      <c r="B8" s="35" t="s">
        <v>585</v>
      </c>
      <c r="C8" s="35">
        <v>390.0</v>
      </c>
      <c r="D8" s="35">
        <v>720.0</v>
      </c>
      <c r="E8" s="35">
        <v>25.0</v>
      </c>
      <c r="F8" s="35" t="s">
        <v>91</v>
      </c>
      <c r="G8" s="35" t="s">
        <v>576</v>
      </c>
      <c r="H8" s="35" t="s">
        <v>97</v>
      </c>
    </row>
    <row r="9">
      <c r="A9" s="35">
        <v>6.0</v>
      </c>
      <c r="B9" s="35" t="s">
        <v>2025</v>
      </c>
      <c r="C9" s="35">
        <v>590.0</v>
      </c>
      <c r="D9" s="35" t="s">
        <v>2018</v>
      </c>
      <c r="E9" s="35">
        <v>9.0</v>
      </c>
      <c r="F9" s="35" t="s">
        <v>91</v>
      </c>
      <c r="G9" s="35" t="s">
        <v>576</v>
      </c>
      <c r="H9" s="35" t="s">
        <v>97</v>
      </c>
    </row>
    <row r="10">
      <c r="A10" s="35">
        <v>7.0</v>
      </c>
      <c r="B10" s="35" t="s">
        <v>2026</v>
      </c>
      <c r="C10" s="35">
        <v>390.0</v>
      </c>
      <c r="D10" s="35">
        <v>730.0</v>
      </c>
      <c r="E10" s="35">
        <v>20.0</v>
      </c>
      <c r="F10" s="35" t="s">
        <v>91</v>
      </c>
      <c r="G10" s="35" t="s">
        <v>576</v>
      </c>
      <c r="H10" s="35" t="s">
        <v>97</v>
      </c>
    </row>
    <row r="11">
      <c r="A11" s="35">
        <v>8.0</v>
      </c>
      <c r="B11" s="35" t="s">
        <v>591</v>
      </c>
      <c r="C11" s="35">
        <v>320.0</v>
      </c>
      <c r="D11" s="35">
        <v>530.0</v>
      </c>
      <c r="E11" s="35">
        <v>6.0</v>
      </c>
      <c r="F11" s="35" t="s">
        <v>91</v>
      </c>
      <c r="G11" s="35" t="s">
        <v>576</v>
      </c>
      <c r="H11" s="35" t="s">
        <v>97</v>
      </c>
    </row>
    <row r="12">
      <c r="A12" s="35">
        <v>10.0</v>
      </c>
      <c r="B12" s="35" t="s">
        <v>2030</v>
      </c>
      <c r="C12" s="35">
        <v>390.0</v>
      </c>
      <c r="D12" s="35">
        <v>720.0</v>
      </c>
      <c r="E12" s="35">
        <v>25.0</v>
      </c>
      <c r="F12" s="35" t="s">
        <v>91</v>
      </c>
      <c r="G12" s="35" t="s">
        <v>576</v>
      </c>
      <c r="H12" s="35" t="s">
        <v>97</v>
      </c>
    </row>
    <row r="13">
      <c r="A13" s="35">
        <v>11.0</v>
      </c>
      <c r="B13" s="35" t="s">
        <v>2026</v>
      </c>
      <c r="C13" s="35">
        <v>390.0</v>
      </c>
      <c r="D13" s="35">
        <v>730.0</v>
      </c>
      <c r="E13" s="35">
        <v>20.0</v>
      </c>
      <c r="F13" s="35" t="s">
        <v>91</v>
      </c>
      <c r="G13" s="35" t="s">
        <v>576</v>
      </c>
      <c r="H13" s="35" t="s">
        <v>97</v>
      </c>
    </row>
    <row r="14">
      <c r="A14" s="35"/>
      <c r="B14" s="35" t="s">
        <v>595</v>
      </c>
      <c r="C14" s="35"/>
      <c r="D14" s="35"/>
      <c r="E14" s="35"/>
      <c r="F14" s="35"/>
      <c r="G14" s="35"/>
      <c r="H14" s="35"/>
    </row>
    <row r="15">
      <c r="A15" s="35">
        <v>12.0</v>
      </c>
      <c r="B15" s="35" t="s">
        <v>594</v>
      </c>
      <c r="C15" s="35">
        <v>20.0</v>
      </c>
      <c r="D15" s="35">
        <v>20.0</v>
      </c>
      <c r="E15" s="35">
        <v>0.0</v>
      </c>
      <c r="F15" s="35" t="s">
        <v>353</v>
      </c>
      <c r="G15" s="35" t="s">
        <v>595</v>
      </c>
      <c r="H15" s="35"/>
    </row>
    <row r="16">
      <c r="A16" s="35">
        <v>13.0</v>
      </c>
      <c r="B16" s="35" t="s">
        <v>2037</v>
      </c>
      <c r="C16" s="35">
        <v>480.0</v>
      </c>
      <c r="D16" s="35" t="s">
        <v>2038</v>
      </c>
      <c r="E16" s="35">
        <v>42.0</v>
      </c>
      <c r="F16" s="35" t="s">
        <v>91</v>
      </c>
      <c r="G16" s="35" t="s">
        <v>595</v>
      </c>
      <c r="H16" s="35"/>
    </row>
    <row r="17">
      <c r="A17" s="35"/>
      <c r="B17" s="35" t="s">
        <v>600</v>
      </c>
      <c r="C17" s="35"/>
      <c r="D17" s="35"/>
      <c r="E17" s="35"/>
      <c r="F17" s="35"/>
      <c r="G17" s="35"/>
      <c r="H17" s="35"/>
    </row>
    <row r="18">
      <c r="A18" s="35">
        <v>16.0</v>
      </c>
      <c r="B18" s="35" t="s">
        <v>2042</v>
      </c>
      <c r="C18" s="35" t="s">
        <v>2043</v>
      </c>
      <c r="D18" s="35" t="s">
        <v>2045</v>
      </c>
      <c r="E18" s="35">
        <v>24.0</v>
      </c>
      <c r="F18" s="35" t="s">
        <v>91</v>
      </c>
      <c r="G18" s="35" t="s">
        <v>600</v>
      </c>
      <c r="H18" s="35" t="s">
        <v>97</v>
      </c>
    </row>
    <row r="19">
      <c r="A19" s="35">
        <v>17.0</v>
      </c>
      <c r="B19" s="35" t="s">
        <v>2048</v>
      </c>
      <c r="C19" s="35" t="s">
        <v>2049</v>
      </c>
      <c r="D19" s="35" t="s">
        <v>2050</v>
      </c>
      <c r="E19" s="35">
        <v>17.0</v>
      </c>
      <c r="F19" s="35" t="s">
        <v>353</v>
      </c>
      <c r="G19" s="35" t="s">
        <v>600</v>
      </c>
      <c r="H19" s="35" t="s">
        <v>97</v>
      </c>
    </row>
    <row r="20">
      <c r="A20" s="35">
        <v>18.0</v>
      </c>
      <c r="B20" s="35" t="s">
        <v>2054</v>
      </c>
      <c r="C20" s="35">
        <v>590.0</v>
      </c>
      <c r="D20" s="35" t="s">
        <v>1923</v>
      </c>
      <c r="E20" s="35">
        <v>5.0</v>
      </c>
      <c r="F20" s="35" t="s">
        <v>91</v>
      </c>
      <c r="G20" s="35" t="s">
        <v>600</v>
      </c>
      <c r="H20" s="35" t="s">
        <v>44</v>
      </c>
    </row>
    <row r="21" ht="15.75" customHeight="1">
      <c r="A21" s="35">
        <v>20.0</v>
      </c>
      <c r="B21" s="35" t="s">
        <v>2057</v>
      </c>
      <c r="C21" s="35">
        <v>590.0</v>
      </c>
      <c r="D21" s="35" t="s">
        <v>1911</v>
      </c>
      <c r="E21" s="35">
        <v>27.0</v>
      </c>
      <c r="F21" s="35" t="s">
        <v>91</v>
      </c>
      <c r="G21" s="35" t="s">
        <v>600</v>
      </c>
      <c r="H21" s="35" t="s">
        <v>44</v>
      </c>
    </row>
    <row r="22" ht="15.75" customHeight="1">
      <c r="A22" s="35">
        <v>21.0</v>
      </c>
      <c r="B22" s="35" t="s">
        <v>2058</v>
      </c>
      <c r="C22" s="35">
        <v>260.0</v>
      </c>
      <c r="D22" s="35">
        <v>540.0</v>
      </c>
      <c r="E22" s="35">
        <v>23.0</v>
      </c>
      <c r="F22" s="35" t="s">
        <v>91</v>
      </c>
      <c r="G22" s="35" t="s">
        <v>600</v>
      </c>
      <c r="H22" s="35" t="s">
        <v>97</v>
      </c>
    </row>
    <row r="23" ht="15.75" customHeight="1">
      <c r="A23" s="35">
        <v>26.0</v>
      </c>
      <c r="B23" s="35" t="s">
        <v>2062</v>
      </c>
      <c r="C23" s="35">
        <v>320.0</v>
      </c>
      <c r="D23" s="35">
        <v>620.0</v>
      </c>
      <c r="E23" s="35">
        <v>18.0</v>
      </c>
      <c r="F23" s="35" t="s">
        <v>91</v>
      </c>
      <c r="G23" s="35" t="s">
        <v>600</v>
      </c>
      <c r="H23" s="35" t="s">
        <v>97</v>
      </c>
    </row>
    <row r="24" ht="15.75" customHeight="1">
      <c r="A24" s="35">
        <v>27.0</v>
      </c>
      <c r="B24" s="35" t="s">
        <v>612</v>
      </c>
      <c r="C24" s="35">
        <v>90.0</v>
      </c>
      <c r="D24" s="35">
        <v>120.0</v>
      </c>
      <c r="E24" s="35">
        <v>4.0</v>
      </c>
      <c r="F24" s="35" t="s">
        <v>91</v>
      </c>
      <c r="G24" s="35" t="s">
        <v>600</v>
      </c>
      <c r="H24" s="35" t="s">
        <v>97</v>
      </c>
    </row>
    <row r="25" ht="15.75" customHeight="1">
      <c r="A25" s="35"/>
      <c r="B25" s="35" t="s">
        <v>2067</v>
      </c>
      <c r="C25" s="35"/>
      <c r="D25" s="35"/>
      <c r="E25" s="35"/>
      <c r="F25" s="35"/>
      <c r="G25" s="35"/>
      <c r="H25" s="35"/>
    </row>
    <row r="26" ht="15.75" customHeight="1">
      <c r="A26" s="35">
        <v>29.0</v>
      </c>
      <c r="B26" s="35" t="s">
        <v>2070</v>
      </c>
      <c r="C26" s="35" t="s">
        <v>2072</v>
      </c>
      <c r="D26" s="35" t="s">
        <v>2073</v>
      </c>
      <c r="E26" s="35">
        <v>26.0</v>
      </c>
      <c r="F26" s="35" t="s">
        <v>91</v>
      </c>
      <c r="G26" s="35" t="s">
        <v>2067</v>
      </c>
      <c r="H26" s="35" t="s">
        <v>97</v>
      </c>
    </row>
    <row r="27" ht="15.75" customHeight="1">
      <c r="A27" s="35"/>
      <c r="B27" s="35" t="s">
        <v>2074</v>
      </c>
      <c r="C27" s="35">
        <v>480.0</v>
      </c>
      <c r="D27" s="35" t="s">
        <v>2075</v>
      </c>
      <c r="E27" s="35">
        <v>29.0</v>
      </c>
      <c r="F27" s="35" t="s">
        <v>91</v>
      </c>
      <c r="G27" s="35" t="s">
        <v>2067</v>
      </c>
      <c r="H27" s="35" t="s">
        <v>97</v>
      </c>
    </row>
    <row r="28" ht="15.75" customHeight="1">
      <c r="A28" s="35"/>
      <c r="B28" s="35" t="s">
        <v>2079</v>
      </c>
      <c r="C28" s="35" t="s">
        <v>2080</v>
      </c>
      <c r="D28" s="35" t="s">
        <v>2081</v>
      </c>
      <c r="E28" s="35">
        <v>23.0</v>
      </c>
      <c r="F28" s="35" t="s">
        <v>91</v>
      </c>
      <c r="G28" s="35" t="s">
        <v>2067</v>
      </c>
      <c r="H28" s="35" t="s">
        <v>97</v>
      </c>
    </row>
    <row r="29" ht="15.75" customHeight="1">
      <c r="A29" s="35"/>
      <c r="B29" s="35" t="s">
        <v>2083</v>
      </c>
      <c r="C29" s="35">
        <v>140.0</v>
      </c>
      <c r="D29" s="35">
        <v>260.0</v>
      </c>
      <c r="E29" s="35">
        <v>15.0</v>
      </c>
      <c r="F29" s="35" t="s">
        <v>91</v>
      </c>
      <c r="G29" s="35" t="s">
        <v>2067</v>
      </c>
      <c r="H29" s="35" t="s">
        <v>97</v>
      </c>
    </row>
    <row r="30" ht="15.75" customHeight="1">
      <c r="A30" s="35">
        <v>30.0</v>
      </c>
      <c r="B30" s="35" t="s">
        <v>2086</v>
      </c>
      <c r="C30" s="35">
        <v>140.0</v>
      </c>
      <c r="D30" s="35">
        <v>380.0</v>
      </c>
      <c r="E30" s="35">
        <v>26.0</v>
      </c>
      <c r="F30" s="35" t="s">
        <v>91</v>
      </c>
      <c r="G30" s="35" t="s">
        <v>2067</v>
      </c>
      <c r="H30" s="35" t="s">
        <v>97</v>
      </c>
    </row>
    <row r="31" ht="15.75" customHeight="1">
      <c r="A31" s="35">
        <v>31.0</v>
      </c>
      <c r="B31" s="35" t="s">
        <v>2087</v>
      </c>
      <c r="C31" s="35">
        <v>170.0</v>
      </c>
      <c r="D31" s="35">
        <v>960.0</v>
      </c>
      <c r="E31" s="35">
        <v>26.0</v>
      </c>
      <c r="F31" s="35" t="s">
        <v>91</v>
      </c>
      <c r="G31" s="35" t="s">
        <v>2067</v>
      </c>
      <c r="H31" s="35" t="s">
        <v>97</v>
      </c>
    </row>
    <row r="32" ht="15.75" customHeight="1">
      <c r="A32" s="35">
        <v>32.0</v>
      </c>
      <c r="B32" s="35" t="s">
        <v>2088</v>
      </c>
      <c r="C32" s="35">
        <v>90.0</v>
      </c>
      <c r="D32" s="35">
        <v>120.0</v>
      </c>
      <c r="E32" s="35">
        <v>19.0</v>
      </c>
      <c r="F32" s="35" t="s">
        <v>91</v>
      </c>
      <c r="G32" s="35" t="s">
        <v>2067</v>
      </c>
      <c r="H32" s="35" t="s">
        <v>44</v>
      </c>
    </row>
    <row r="33" ht="15.75" customHeight="1">
      <c r="A33" s="35"/>
      <c r="B33" s="35" t="s">
        <v>240</v>
      </c>
      <c r="C33" s="35"/>
      <c r="D33" s="35"/>
      <c r="E33" s="35"/>
      <c r="F33" s="35"/>
      <c r="G33" s="35"/>
      <c r="H33" s="35"/>
    </row>
    <row r="34" ht="15.75" customHeight="1">
      <c r="A34" s="35">
        <v>35.0</v>
      </c>
      <c r="B34" s="35" t="s">
        <v>614</v>
      </c>
      <c r="C34" s="35" t="s">
        <v>2089</v>
      </c>
      <c r="D34" s="35" t="s">
        <v>1966</v>
      </c>
      <c r="E34" s="35">
        <v>28.0</v>
      </c>
      <c r="F34" s="35" t="s">
        <v>91</v>
      </c>
      <c r="G34" s="35" t="s">
        <v>240</v>
      </c>
      <c r="H34" s="35" t="s">
        <v>97</v>
      </c>
    </row>
    <row r="35" ht="15.75" customHeight="1">
      <c r="A35" s="35">
        <v>36.0</v>
      </c>
      <c r="B35" s="35" t="s">
        <v>2092</v>
      </c>
      <c r="C35" s="35">
        <v>210.0</v>
      </c>
      <c r="D35" s="35">
        <v>590.0</v>
      </c>
      <c r="E35" s="35">
        <v>16.0</v>
      </c>
      <c r="F35" s="35" t="s">
        <v>91</v>
      </c>
      <c r="G35" s="35" t="s">
        <v>240</v>
      </c>
      <c r="H35" s="35" t="s">
        <v>97</v>
      </c>
    </row>
    <row r="36" ht="15.75" customHeight="1">
      <c r="A36" s="35">
        <v>38.0</v>
      </c>
      <c r="B36" s="35" t="s">
        <v>2093</v>
      </c>
      <c r="C36" s="35">
        <v>30.0</v>
      </c>
      <c r="D36" s="35">
        <v>150.0</v>
      </c>
      <c r="E36" s="35"/>
      <c r="F36" s="35" t="s">
        <v>91</v>
      </c>
      <c r="G36" s="35" t="s">
        <v>240</v>
      </c>
      <c r="H36" s="35" t="s">
        <v>97</v>
      </c>
    </row>
    <row r="37" ht="15.75" customHeight="1">
      <c r="A37" s="35">
        <v>39.0</v>
      </c>
      <c r="B37" s="35" t="s">
        <v>2097</v>
      </c>
      <c r="C37" s="35">
        <v>390.0</v>
      </c>
      <c r="D37" s="35">
        <v>580.0</v>
      </c>
      <c r="E37" s="35">
        <v>24.0</v>
      </c>
      <c r="F37" s="35" t="s">
        <v>91</v>
      </c>
      <c r="G37" s="35" t="s">
        <v>240</v>
      </c>
      <c r="H37" s="35" t="s">
        <v>97</v>
      </c>
    </row>
    <row r="38" ht="15.75" customHeight="1">
      <c r="A38" s="35">
        <v>40.0</v>
      </c>
      <c r="B38" s="35" t="s">
        <v>2099</v>
      </c>
      <c r="C38" s="35">
        <v>50.0</v>
      </c>
      <c r="D38" s="35">
        <v>90.0</v>
      </c>
      <c r="E38" s="35">
        <v>12.0</v>
      </c>
      <c r="F38" s="35" t="s">
        <v>623</v>
      </c>
      <c r="G38" s="35" t="s">
        <v>240</v>
      </c>
      <c r="H38" s="35" t="s">
        <v>97</v>
      </c>
    </row>
    <row r="39" ht="15.75" customHeight="1">
      <c r="A39" s="35">
        <v>41.0</v>
      </c>
      <c r="B39" s="35" t="s">
        <v>625</v>
      </c>
      <c r="C39" s="35"/>
      <c r="D39" s="35"/>
      <c r="E39" s="35"/>
      <c r="F39" s="35"/>
      <c r="G39" s="35" t="s">
        <v>240</v>
      </c>
      <c r="H39" s="35" t="s">
        <v>44</v>
      </c>
    </row>
    <row r="40" ht="15.75" customHeight="1">
      <c r="A40" s="35">
        <v>42.0</v>
      </c>
      <c r="B40" s="35" t="s">
        <v>2102</v>
      </c>
      <c r="C40" s="35">
        <v>20.0</v>
      </c>
      <c r="D40" s="35">
        <v>40.0</v>
      </c>
      <c r="E40" s="35"/>
      <c r="F40" s="35"/>
      <c r="G40" s="35" t="s">
        <v>240</v>
      </c>
      <c r="H40" s="35" t="s">
        <v>97</v>
      </c>
    </row>
    <row r="41" ht="15.75" customHeight="1">
      <c r="A41" s="35"/>
      <c r="B41" s="35" t="s">
        <v>630</v>
      </c>
      <c r="C41" s="35"/>
      <c r="D41" s="35"/>
      <c r="E41" s="35"/>
      <c r="F41" s="35"/>
      <c r="G41" s="35"/>
      <c r="H41" s="35"/>
    </row>
    <row r="42" ht="15.75" customHeight="1">
      <c r="A42" s="35">
        <v>43.0</v>
      </c>
      <c r="B42" s="35" t="s">
        <v>2106</v>
      </c>
      <c r="C42" s="35">
        <v>20.0</v>
      </c>
      <c r="D42" s="35">
        <v>20.0</v>
      </c>
      <c r="E42" s="35"/>
      <c r="F42" s="35"/>
      <c r="G42" s="35" t="s">
        <v>630</v>
      </c>
      <c r="H42" s="35" t="s">
        <v>97</v>
      </c>
    </row>
    <row r="43" ht="15.75" customHeight="1">
      <c r="A43" s="35">
        <v>44.0</v>
      </c>
      <c r="B43" s="35" t="s">
        <v>632</v>
      </c>
      <c r="C43" s="35">
        <v>20.0</v>
      </c>
      <c r="D43" s="35">
        <v>20.0</v>
      </c>
      <c r="E43" s="35"/>
      <c r="F43" s="35"/>
      <c r="G43" s="35" t="s">
        <v>630</v>
      </c>
      <c r="H43" s="35" t="s">
        <v>44</v>
      </c>
    </row>
    <row r="44" ht="15.75" customHeight="1">
      <c r="A44" s="35">
        <v>45.0</v>
      </c>
      <c r="B44" s="35" t="s">
        <v>634</v>
      </c>
      <c r="C44" s="35"/>
      <c r="D44" s="35"/>
      <c r="E44" s="35"/>
      <c r="F44" s="35" t="s">
        <v>91</v>
      </c>
      <c r="G44" s="35" t="s">
        <v>630</v>
      </c>
      <c r="H44" s="35" t="s">
        <v>97</v>
      </c>
    </row>
    <row r="45" ht="15.75" customHeight="1">
      <c r="A45" s="35">
        <v>46.0</v>
      </c>
      <c r="B45" s="35" t="s">
        <v>2110</v>
      </c>
      <c r="C45" s="35">
        <v>140.0</v>
      </c>
      <c r="D45" s="35">
        <v>770.0</v>
      </c>
      <c r="E45" s="35">
        <v>28.0</v>
      </c>
      <c r="F45" s="35" t="s">
        <v>91</v>
      </c>
      <c r="G45" s="35" t="s">
        <v>630</v>
      </c>
      <c r="H45" s="35" t="s">
        <v>97</v>
      </c>
    </row>
    <row r="46" ht="15.75" customHeight="1">
      <c r="A46" s="35">
        <v>47.0</v>
      </c>
      <c r="B46" s="35" t="s">
        <v>2112</v>
      </c>
      <c r="C46" s="35">
        <v>90.0</v>
      </c>
      <c r="D46" s="35">
        <v>220.0</v>
      </c>
      <c r="E46" s="35">
        <v>4.0</v>
      </c>
      <c r="F46" s="35" t="s">
        <v>91</v>
      </c>
      <c r="G46" s="35" t="s">
        <v>630</v>
      </c>
      <c r="H46" s="35" t="s">
        <v>97</v>
      </c>
    </row>
    <row r="47" ht="15.75" customHeight="1">
      <c r="A47" s="35">
        <v>48.0</v>
      </c>
      <c r="B47" s="35" t="s">
        <v>640</v>
      </c>
      <c r="C47" s="35">
        <v>40.0</v>
      </c>
      <c r="D47" s="35">
        <v>70.0</v>
      </c>
      <c r="E47" s="35">
        <v>21.0</v>
      </c>
      <c r="F47" s="35" t="s">
        <v>91</v>
      </c>
      <c r="G47" s="35" t="s">
        <v>630</v>
      </c>
      <c r="H47" s="35" t="s">
        <v>97</v>
      </c>
    </row>
    <row r="48" ht="15.75" customHeight="1">
      <c r="A48" s="35">
        <v>49.0</v>
      </c>
      <c r="B48" s="35" t="s">
        <v>642</v>
      </c>
      <c r="C48" s="35">
        <v>40.0</v>
      </c>
      <c r="D48" s="35">
        <v>710.0</v>
      </c>
      <c r="E48" s="35">
        <v>27.0</v>
      </c>
      <c r="F48" s="35" t="s">
        <v>91</v>
      </c>
      <c r="G48" s="35" t="s">
        <v>643</v>
      </c>
      <c r="H48" s="35" t="s">
        <v>97</v>
      </c>
    </row>
    <row r="49" ht="15.75" customHeight="1">
      <c r="A49" s="35">
        <v>50.0</v>
      </c>
      <c r="B49" s="35" t="s">
        <v>645</v>
      </c>
      <c r="C49" s="35"/>
      <c r="D49" s="35"/>
      <c r="E49" s="35"/>
      <c r="F49" s="35"/>
      <c r="G49" s="35" t="s">
        <v>643</v>
      </c>
      <c r="H49" s="35" t="s">
        <v>97</v>
      </c>
    </row>
    <row r="50" ht="15.75" customHeight="1">
      <c r="A50" s="35"/>
      <c r="B50" s="35" t="s">
        <v>300</v>
      </c>
      <c r="C50" s="35"/>
      <c r="D50" s="35"/>
      <c r="E50" s="35"/>
      <c r="F50" s="35"/>
      <c r="G50" s="35"/>
      <c r="H50" s="35"/>
    </row>
    <row r="51" ht="15.75" customHeight="1">
      <c r="A51" s="35">
        <v>51.0</v>
      </c>
      <c r="B51" s="35" t="s">
        <v>2118</v>
      </c>
      <c r="C51" s="35">
        <v>50.0</v>
      </c>
      <c r="D51" s="35">
        <v>610.0</v>
      </c>
      <c r="E51" s="35">
        <v>23.0</v>
      </c>
      <c r="F51" s="35" t="s">
        <v>353</v>
      </c>
      <c r="G51" s="35" t="s">
        <v>300</v>
      </c>
      <c r="H51" s="35" t="s">
        <v>97</v>
      </c>
    </row>
    <row r="52" ht="15.75" customHeight="1">
      <c r="A52" s="35">
        <v>52.0</v>
      </c>
      <c r="B52" s="35" t="s">
        <v>649</v>
      </c>
      <c r="C52" s="35">
        <v>30.0</v>
      </c>
      <c r="D52" s="35">
        <v>140.0</v>
      </c>
      <c r="E52" s="35">
        <v>26.0</v>
      </c>
      <c r="F52" s="35" t="s">
        <v>91</v>
      </c>
      <c r="G52" s="35" t="s">
        <v>300</v>
      </c>
      <c r="H52" s="35" t="s">
        <v>97</v>
      </c>
    </row>
    <row r="53" ht="15.75" customHeight="1">
      <c r="A53" s="35">
        <v>53.0</v>
      </c>
      <c r="B53" s="35" t="s">
        <v>651</v>
      </c>
      <c r="C53" s="35">
        <v>30.0</v>
      </c>
      <c r="D53" s="35">
        <v>550.0</v>
      </c>
      <c r="E53" s="35">
        <v>16.0</v>
      </c>
      <c r="F53" s="35" t="s">
        <v>91</v>
      </c>
      <c r="G53" s="35" t="s">
        <v>300</v>
      </c>
      <c r="H53" s="35" t="s">
        <v>97</v>
      </c>
    </row>
    <row r="54" ht="15.75" customHeight="1">
      <c r="A54" s="35">
        <v>54.0</v>
      </c>
      <c r="B54" s="35" t="s">
        <v>653</v>
      </c>
      <c r="C54" s="35">
        <v>390.0</v>
      </c>
      <c r="D54" s="35" t="s">
        <v>2089</v>
      </c>
      <c r="E54" s="35">
        <v>26.0</v>
      </c>
      <c r="F54" s="35" t="s">
        <v>91</v>
      </c>
      <c r="G54" s="35" t="s">
        <v>300</v>
      </c>
      <c r="H54" s="35" t="s">
        <v>97</v>
      </c>
    </row>
    <row r="55" ht="15.75" customHeight="1">
      <c r="A55" s="35">
        <v>55.0</v>
      </c>
      <c r="B55" s="35" t="s">
        <v>655</v>
      </c>
      <c r="C55" s="35">
        <v>110.0</v>
      </c>
      <c r="D55" s="35">
        <v>190.0</v>
      </c>
      <c r="E55" s="35">
        <v>26.0</v>
      </c>
      <c r="F55" s="35" t="s">
        <v>87</v>
      </c>
      <c r="G55" s="35" t="s">
        <v>300</v>
      </c>
      <c r="H55" s="35" t="s">
        <v>97</v>
      </c>
    </row>
    <row r="56" ht="15.75" customHeight="1">
      <c r="A56" s="35">
        <v>56.0</v>
      </c>
      <c r="B56" s="35" t="s">
        <v>657</v>
      </c>
      <c r="C56" s="35">
        <v>590.0</v>
      </c>
      <c r="D56" s="35" t="s">
        <v>2125</v>
      </c>
      <c r="E56" s="35">
        <v>21.0</v>
      </c>
      <c r="F56" s="35" t="s">
        <v>91</v>
      </c>
      <c r="G56" s="35" t="s">
        <v>300</v>
      </c>
      <c r="H56" s="35" t="s">
        <v>44</v>
      </c>
    </row>
    <row r="57" ht="15.75" customHeight="1">
      <c r="A57" s="35">
        <v>57.0</v>
      </c>
      <c r="B57" s="35" t="s">
        <v>2126</v>
      </c>
      <c r="C57" s="35"/>
      <c r="D57" s="35"/>
      <c r="E57" s="35"/>
      <c r="F57" s="35" t="s">
        <v>91</v>
      </c>
      <c r="G57" s="35" t="s">
        <v>300</v>
      </c>
      <c r="H57" s="35" t="s">
        <v>97</v>
      </c>
    </row>
    <row r="58" ht="15.75" customHeight="1">
      <c r="A58" s="35"/>
      <c r="B58" s="35" t="s">
        <v>662</v>
      </c>
      <c r="C58" s="35"/>
      <c r="D58" s="35"/>
      <c r="E58" s="35"/>
      <c r="F58" s="35"/>
      <c r="G58" s="35"/>
      <c r="H58" s="35"/>
    </row>
    <row r="59" ht="15.75" customHeight="1">
      <c r="A59" s="35">
        <v>58.0</v>
      </c>
      <c r="B59" s="35" t="s">
        <v>2128</v>
      </c>
      <c r="C59" s="35">
        <v>210.0</v>
      </c>
      <c r="D59" s="35" t="s">
        <v>2129</v>
      </c>
      <c r="E59" s="35">
        <v>18.0</v>
      </c>
      <c r="F59" s="35" t="s">
        <v>91</v>
      </c>
      <c r="G59" s="35" t="s">
        <v>662</v>
      </c>
      <c r="H59" s="35" t="s">
        <v>97</v>
      </c>
    </row>
    <row r="60" ht="15.75" customHeight="1">
      <c r="A60" s="35">
        <v>59.0</v>
      </c>
      <c r="B60" s="35" t="s">
        <v>664</v>
      </c>
      <c r="C60" s="35">
        <v>90.0</v>
      </c>
      <c r="D60" s="35">
        <v>300.0</v>
      </c>
      <c r="E60" s="35">
        <v>23.0</v>
      </c>
      <c r="F60" s="35" t="s">
        <v>91</v>
      </c>
      <c r="G60" s="35" t="s">
        <v>662</v>
      </c>
      <c r="H60" s="35" t="s">
        <v>97</v>
      </c>
    </row>
    <row r="61" ht="15.75" customHeight="1">
      <c r="A61" s="35">
        <v>60.0</v>
      </c>
      <c r="B61" s="35" t="s">
        <v>2134</v>
      </c>
      <c r="C61" s="35">
        <v>90.0</v>
      </c>
      <c r="D61" s="35">
        <v>200.0</v>
      </c>
      <c r="E61" s="35">
        <v>24.0</v>
      </c>
      <c r="F61" s="35" t="s">
        <v>91</v>
      </c>
      <c r="G61" s="35" t="s">
        <v>662</v>
      </c>
      <c r="H61" s="35" t="s">
        <v>97</v>
      </c>
    </row>
    <row r="62" ht="15.75" customHeight="1">
      <c r="A62" s="35">
        <v>61.0</v>
      </c>
      <c r="B62" s="35" t="s">
        <v>2137</v>
      </c>
      <c r="C62" s="35">
        <v>30.0</v>
      </c>
      <c r="D62" s="35">
        <v>130.0</v>
      </c>
      <c r="E62" s="35"/>
      <c r="F62" s="35"/>
      <c r="G62" s="35" t="s">
        <v>662</v>
      </c>
      <c r="H62" s="35" t="s">
        <v>97</v>
      </c>
    </row>
    <row r="63" ht="15.75" customHeight="1">
      <c r="A63" s="35">
        <v>62.0</v>
      </c>
      <c r="B63" s="35" t="s">
        <v>2138</v>
      </c>
      <c r="C63" s="35">
        <v>10.0</v>
      </c>
      <c r="D63" s="35">
        <v>10.0</v>
      </c>
      <c r="E63" s="35"/>
      <c r="F63" s="35"/>
      <c r="G63" s="35" t="s">
        <v>662</v>
      </c>
      <c r="H63" s="35" t="s">
        <v>97</v>
      </c>
    </row>
    <row r="64" ht="15.75" customHeight="1">
      <c r="A64" s="35">
        <v>63.0</v>
      </c>
      <c r="B64" s="35" t="s">
        <v>2140</v>
      </c>
      <c r="C64" s="35">
        <v>10.0</v>
      </c>
      <c r="D64" s="35">
        <v>40.0</v>
      </c>
      <c r="E64" s="35"/>
      <c r="F64" s="35"/>
      <c r="G64" s="35" t="s">
        <v>662</v>
      </c>
      <c r="H64" s="35" t="s">
        <v>97</v>
      </c>
    </row>
    <row r="65" ht="15.75" customHeight="1">
      <c r="A65" s="35">
        <v>64.0</v>
      </c>
      <c r="B65" s="35" t="s">
        <v>2142</v>
      </c>
      <c r="C65" s="35"/>
      <c r="D65" s="35"/>
      <c r="E65" s="35"/>
      <c r="F65" s="35"/>
      <c r="G65" s="35" t="s">
        <v>662</v>
      </c>
      <c r="H65" s="35" t="s">
        <v>97</v>
      </c>
    </row>
    <row r="66" ht="15.75" customHeight="1">
      <c r="A66" s="35">
        <v>65.0</v>
      </c>
      <c r="B66" s="35" t="s">
        <v>2145</v>
      </c>
      <c r="C66" s="35"/>
      <c r="D66" s="35"/>
      <c r="E66" s="35"/>
      <c r="F66" s="35" t="s">
        <v>91</v>
      </c>
      <c r="G66" s="35" t="s">
        <v>662</v>
      </c>
      <c r="H66" s="35" t="s">
        <v>44</v>
      </c>
    </row>
    <row r="67" ht="15.75" customHeight="1">
      <c r="A67" s="35"/>
      <c r="B67" s="35" t="s">
        <v>291</v>
      </c>
      <c r="C67" s="35"/>
      <c r="D67" s="35"/>
      <c r="E67" s="35"/>
      <c r="F67" s="35"/>
      <c r="G67" s="35"/>
      <c r="H67" s="35"/>
    </row>
    <row r="68" ht="15.75" customHeight="1">
      <c r="A68" s="35">
        <v>66.0</v>
      </c>
      <c r="B68" s="35" t="s">
        <v>2148</v>
      </c>
      <c r="C68" s="35">
        <v>50.0</v>
      </c>
      <c r="D68" s="35">
        <v>130.0</v>
      </c>
      <c r="E68" s="35">
        <v>7.0</v>
      </c>
      <c r="F68" s="35" t="s">
        <v>91</v>
      </c>
      <c r="G68" s="35" t="s">
        <v>291</v>
      </c>
      <c r="H68" s="35" t="s">
        <v>97</v>
      </c>
    </row>
    <row r="69" ht="15.75" customHeight="1">
      <c r="A69" s="35">
        <v>67.0</v>
      </c>
      <c r="B69" s="35" t="s">
        <v>2149</v>
      </c>
      <c r="C69" s="35">
        <v>20.0</v>
      </c>
      <c r="D69" s="35">
        <v>50.0</v>
      </c>
      <c r="E69" s="35"/>
      <c r="F69" s="35"/>
      <c r="G69" s="35" t="s">
        <v>291</v>
      </c>
      <c r="H69" s="35" t="s">
        <v>44</v>
      </c>
    </row>
    <row r="70" ht="15.75" customHeight="1">
      <c r="A70" s="35">
        <v>68.0</v>
      </c>
      <c r="B70" s="35" t="s">
        <v>2151</v>
      </c>
      <c r="C70" s="35">
        <v>20.0</v>
      </c>
      <c r="D70" s="35">
        <v>70.0</v>
      </c>
      <c r="E70" s="35"/>
      <c r="F70" s="35"/>
      <c r="G70" s="35" t="s">
        <v>291</v>
      </c>
      <c r="H70" s="35" t="s">
        <v>97</v>
      </c>
    </row>
    <row r="71" ht="15.75" customHeight="1">
      <c r="A71" s="35">
        <v>69.0</v>
      </c>
      <c r="B71" s="35" t="s">
        <v>2154</v>
      </c>
      <c r="C71" s="35"/>
      <c r="D71" s="35"/>
      <c r="E71" s="35"/>
      <c r="F71" s="35"/>
      <c r="G71" s="35" t="s">
        <v>291</v>
      </c>
      <c r="H71" s="35" t="s">
        <v>97</v>
      </c>
    </row>
    <row r="72" ht="15.75" customHeight="1">
      <c r="A72" s="35">
        <v>70.0</v>
      </c>
      <c r="B72" s="35" t="s">
        <v>2158</v>
      </c>
      <c r="C72" s="35">
        <v>40.0</v>
      </c>
      <c r="D72" s="35">
        <v>90.0</v>
      </c>
      <c r="E72" s="35"/>
      <c r="F72" s="35" t="s">
        <v>91</v>
      </c>
      <c r="G72" s="35" t="s">
        <v>291</v>
      </c>
      <c r="H72" s="35" t="s">
        <v>97</v>
      </c>
    </row>
    <row r="73" ht="15.75" customHeight="1">
      <c r="A73" s="35">
        <v>71.0</v>
      </c>
      <c r="B73" s="35" t="s">
        <v>2161</v>
      </c>
      <c r="C73" s="35">
        <v>210.0</v>
      </c>
      <c r="D73" s="35">
        <v>490.0</v>
      </c>
      <c r="E73" s="35">
        <v>20.0</v>
      </c>
      <c r="F73" s="35" t="s">
        <v>353</v>
      </c>
      <c r="G73" s="35" t="s">
        <v>291</v>
      </c>
      <c r="H73" s="35" t="s">
        <v>97</v>
      </c>
    </row>
    <row r="74" ht="15.75" customHeight="1">
      <c r="A74" s="35">
        <v>72.0</v>
      </c>
      <c r="B74" s="35" t="s">
        <v>2165</v>
      </c>
      <c r="C74" s="35">
        <v>20.0</v>
      </c>
      <c r="D74" s="35">
        <v>110.0</v>
      </c>
      <c r="E74" s="35"/>
      <c r="F74" s="35"/>
      <c r="G74" s="35" t="s">
        <v>291</v>
      </c>
      <c r="H74" s="35" t="s">
        <v>97</v>
      </c>
    </row>
    <row r="75" ht="15.75" customHeight="1">
      <c r="A75" s="35"/>
      <c r="B75" s="35" t="s">
        <v>2167</v>
      </c>
      <c r="C75" s="35"/>
      <c r="D75" s="35"/>
      <c r="E75" s="35"/>
      <c r="F75" s="35"/>
      <c r="G75" s="35"/>
      <c r="H75" s="35"/>
    </row>
    <row r="76" ht="15.75" customHeight="1">
      <c r="A76" s="35">
        <v>73.0</v>
      </c>
      <c r="B76" s="35" t="s">
        <v>2169</v>
      </c>
      <c r="C76" s="35">
        <v>210.0</v>
      </c>
      <c r="D76" s="35" t="s">
        <v>1923</v>
      </c>
      <c r="E76" s="35">
        <v>24.0</v>
      </c>
      <c r="F76" s="35" t="s">
        <v>91</v>
      </c>
      <c r="G76" s="35" t="s">
        <v>2167</v>
      </c>
      <c r="H76" s="35" t="s">
        <v>97</v>
      </c>
    </row>
    <row r="77" ht="15.75" customHeight="1">
      <c r="A77" s="35">
        <v>74.0</v>
      </c>
      <c r="B77" s="35" t="s">
        <v>2171</v>
      </c>
      <c r="C77" s="35">
        <v>170.0</v>
      </c>
      <c r="D77" s="35">
        <v>530.0</v>
      </c>
      <c r="E77" s="35">
        <v>22.0</v>
      </c>
      <c r="F77" s="35" t="s">
        <v>91</v>
      </c>
      <c r="G77" s="35" t="s">
        <v>2167</v>
      </c>
      <c r="H77" s="35" t="s">
        <v>97</v>
      </c>
    </row>
    <row r="78" ht="15.75" customHeight="1">
      <c r="A78" s="35">
        <v>75.0</v>
      </c>
      <c r="B78" s="35" t="s">
        <v>2172</v>
      </c>
      <c r="C78" s="35">
        <v>110.0</v>
      </c>
      <c r="D78" s="35">
        <v>910.0</v>
      </c>
      <c r="E78" s="35">
        <v>16.0</v>
      </c>
      <c r="F78" s="35" t="s">
        <v>91</v>
      </c>
      <c r="G78" s="35" t="s">
        <v>2167</v>
      </c>
      <c r="H78" s="35" t="s">
        <v>97</v>
      </c>
    </row>
    <row r="79" ht="15.75" customHeight="1">
      <c r="A79" s="35">
        <v>76.0</v>
      </c>
      <c r="B79" s="35" t="s">
        <v>2174</v>
      </c>
      <c r="C79" s="35"/>
      <c r="D79" s="35"/>
      <c r="E79" s="35"/>
      <c r="F79" s="35"/>
      <c r="G79" s="35" t="s">
        <v>2167</v>
      </c>
      <c r="H79" s="35" t="s">
        <v>44</v>
      </c>
    </row>
    <row r="80" ht="15.75" customHeight="1">
      <c r="A80" s="35">
        <v>77.0</v>
      </c>
      <c r="B80" s="35" t="s">
        <v>2176</v>
      </c>
      <c r="C80" s="35">
        <v>210.0</v>
      </c>
      <c r="D80" s="35">
        <v>980.0</v>
      </c>
      <c r="E80" s="35"/>
      <c r="F80" s="35" t="s">
        <v>91</v>
      </c>
      <c r="G80" s="35" t="s">
        <v>2167</v>
      </c>
      <c r="H80" s="35" t="s">
        <v>97</v>
      </c>
    </row>
    <row r="81" ht="15.75" customHeight="1">
      <c r="A81" s="35">
        <v>78.0</v>
      </c>
      <c r="B81" s="35" t="s">
        <v>2179</v>
      </c>
      <c r="C81" s="35">
        <v>140.0</v>
      </c>
      <c r="D81" s="35" t="s">
        <v>2180</v>
      </c>
      <c r="E81" s="35">
        <v>36.0</v>
      </c>
      <c r="F81" s="35" t="s">
        <v>91</v>
      </c>
      <c r="G81" s="35" t="s">
        <v>2167</v>
      </c>
      <c r="H81" s="35" t="s">
        <v>97</v>
      </c>
    </row>
    <row r="82" ht="15.75" customHeight="1">
      <c r="A82" s="35">
        <v>79.0</v>
      </c>
      <c r="B82" s="35" t="s">
        <v>2181</v>
      </c>
      <c r="C82" s="35">
        <v>40.0</v>
      </c>
      <c r="D82" s="35">
        <v>170.0</v>
      </c>
      <c r="E82" s="35">
        <v>30.0</v>
      </c>
      <c r="F82" s="35" t="s">
        <v>91</v>
      </c>
      <c r="G82" s="35" t="s">
        <v>2167</v>
      </c>
      <c r="H82" s="35" t="s">
        <v>97</v>
      </c>
    </row>
    <row r="83" ht="15.75" customHeight="1">
      <c r="A83" s="35"/>
      <c r="B83" s="35" t="s">
        <v>708</v>
      </c>
      <c r="C83" s="35"/>
      <c r="D83" s="35"/>
      <c r="E83" s="35"/>
      <c r="F83" s="35"/>
      <c r="G83" s="35"/>
      <c r="H83" s="35"/>
    </row>
    <row r="84" ht="15.75" customHeight="1">
      <c r="A84" s="35">
        <v>80.0</v>
      </c>
      <c r="B84" s="35" t="s">
        <v>2182</v>
      </c>
      <c r="C84" s="35">
        <v>320.0</v>
      </c>
      <c r="D84" s="35" t="s">
        <v>2082</v>
      </c>
      <c r="E84" s="35">
        <v>14.0</v>
      </c>
      <c r="F84" s="35" t="s">
        <v>91</v>
      </c>
      <c r="G84" s="35" t="s">
        <v>708</v>
      </c>
      <c r="H84" s="35" t="s">
        <v>97</v>
      </c>
    </row>
    <row r="85" ht="15.75" customHeight="1">
      <c r="A85" s="35">
        <v>81.0</v>
      </c>
      <c r="B85" s="35" t="s">
        <v>2183</v>
      </c>
      <c r="C85" s="35">
        <v>260.0</v>
      </c>
      <c r="D85" s="35" t="s">
        <v>2089</v>
      </c>
      <c r="E85" s="35">
        <v>6.0</v>
      </c>
      <c r="F85" s="35" t="s">
        <v>87</v>
      </c>
      <c r="G85" s="35" t="s">
        <v>708</v>
      </c>
      <c r="H85" s="35" t="s">
        <v>97</v>
      </c>
    </row>
    <row r="86" ht="15.75" customHeight="1">
      <c r="A86" s="35">
        <v>82.0</v>
      </c>
      <c r="B86" s="35" t="s">
        <v>2184</v>
      </c>
      <c r="C86" s="35">
        <v>210.0</v>
      </c>
      <c r="D86" s="35">
        <v>700.0</v>
      </c>
      <c r="E86" s="35">
        <v>10.0</v>
      </c>
      <c r="F86" s="35" t="s">
        <v>353</v>
      </c>
      <c r="G86" s="35" t="s">
        <v>708</v>
      </c>
      <c r="H86" s="35" t="s">
        <v>97</v>
      </c>
    </row>
    <row r="87" ht="15.75" customHeight="1">
      <c r="A87" s="35">
        <v>83.0</v>
      </c>
      <c r="B87" s="35" t="s">
        <v>714</v>
      </c>
      <c r="C87" s="35">
        <v>70.0</v>
      </c>
      <c r="D87" s="35">
        <v>190.0</v>
      </c>
      <c r="E87" s="35">
        <v>7.0</v>
      </c>
      <c r="F87" s="35" t="s">
        <v>91</v>
      </c>
      <c r="G87" s="35" t="s">
        <v>708</v>
      </c>
      <c r="H87" s="35" t="s">
        <v>44</v>
      </c>
    </row>
    <row r="88" ht="15.75" customHeight="1">
      <c r="A88" s="35">
        <v>84.0</v>
      </c>
      <c r="B88" s="35" t="s">
        <v>2185</v>
      </c>
      <c r="C88" s="35">
        <v>10.0</v>
      </c>
      <c r="D88" s="35">
        <v>10.0</v>
      </c>
      <c r="E88" s="35"/>
      <c r="F88" s="35"/>
      <c r="G88" s="35" t="s">
        <v>708</v>
      </c>
      <c r="H88" s="35" t="s">
        <v>97</v>
      </c>
    </row>
    <row r="89" ht="15.75" customHeight="1">
      <c r="A89" s="35">
        <v>85.0</v>
      </c>
      <c r="B89" s="35" t="s">
        <v>2186</v>
      </c>
      <c r="C89" s="35">
        <v>10.0</v>
      </c>
      <c r="D89" s="35">
        <v>10.0</v>
      </c>
      <c r="E89" s="35"/>
      <c r="F89" s="35"/>
      <c r="G89" s="35" t="s">
        <v>708</v>
      </c>
      <c r="H89" s="35" t="s">
        <v>97</v>
      </c>
    </row>
    <row r="90" ht="15.75" customHeight="1">
      <c r="A90" s="35">
        <v>86.0</v>
      </c>
      <c r="B90" s="35" t="s">
        <v>2187</v>
      </c>
      <c r="C90" s="35">
        <v>40.0</v>
      </c>
      <c r="D90" s="35">
        <v>60.0</v>
      </c>
      <c r="E90" s="35"/>
      <c r="F90" s="35"/>
      <c r="G90" s="35" t="s">
        <v>708</v>
      </c>
      <c r="H90" s="35" t="s">
        <v>97</v>
      </c>
    </row>
    <row r="91" ht="15.75" customHeight="1">
      <c r="A91" s="35">
        <v>87.0</v>
      </c>
      <c r="B91" s="35" t="s">
        <v>722</v>
      </c>
      <c r="C91" s="35">
        <v>50.0</v>
      </c>
      <c r="D91" s="35">
        <v>90.0</v>
      </c>
      <c r="E91" s="35">
        <v>28.0</v>
      </c>
      <c r="F91" s="35" t="s">
        <v>91</v>
      </c>
      <c r="G91" s="35" t="s">
        <v>708</v>
      </c>
      <c r="H91" s="35" t="s">
        <v>97</v>
      </c>
    </row>
    <row r="92" ht="15.75" customHeight="1">
      <c r="A92" s="35">
        <v>88.0</v>
      </c>
      <c r="B92" s="35" t="s">
        <v>2188</v>
      </c>
      <c r="C92" s="35">
        <v>70.0</v>
      </c>
      <c r="D92" s="35">
        <v>150.0</v>
      </c>
      <c r="E92" s="35">
        <v>32.0</v>
      </c>
      <c r="F92" s="35" t="s">
        <v>91</v>
      </c>
      <c r="G92" s="35" t="s">
        <v>708</v>
      </c>
      <c r="H92" s="35" t="s">
        <v>97</v>
      </c>
    </row>
    <row r="93" ht="15.75" customHeight="1">
      <c r="A93" s="35">
        <v>89.0</v>
      </c>
      <c r="B93" s="35" t="s">
        <v>2189</v>
      </c>
      <c r="C93" s="35">
        <v>70.0</v>
      </c>
      <c r="D93" s="35">
        <v>130.0</v>
      </c>
      <c r="E93" s="35">
        <v>7.0</v>
      </c>
      <c r="F93" s="35" t="s">
        <v>91</v>
      </c>
      <c r="G93" s="35" t="s">
        <v>708</v>
      </c>
      <c r="H93" s="35" t="s">
        <v>97</v>
      </c>
    </row>
    <row r="94" ht="15.75" customHeight="1">
      <c r="A94" s="35"/>
      <c r="B94" s="35" t="s">
        <v>592</v>
      </c>
      <c r="C94" s="35"/>
      <c r="D94" s="35"/>
      <c r="E94" s="35"/>
      <c r="F94" s="35"/>
      <c r="G94" s="35"/>
      <c r="H94" s="35"/>
    </row>
    <row r="95" ht="15.75" customHeight="1">
      <c r="A95" s="35">
        <v>90.0</v>
      </c>
      <c r="B95" s="35" t="s">
        <v>2190</v>
      </c>
      <c r="C95" s="35">
        <v>390.0</v>
      </c>
      <c r="D95" s="35">
        <v>600.0</v>
      </c>
      <c r="E95" s="35">
        <v>6.0</v>
      </c>
      <c r="F95" s="35" t="s">
        <v>91</v>
      </c>
      <c r="G95" s="35" t="s">
        <v>592</v>
      </c>
      <c r="H95" s="35" t="s">
        <v>44</v>
      </c>
    </row>
    <row r="96" ht="15.75" customHeight="1">
      <c r="A96" s="35">
        <v>91.0</v>
      </c>
      <c r="B96" s="35" t="s">
        <v>2191</v>
      </c>
      <c r="C96" s="35">
        <v>260.0</v>
      </c>
      <c r="D96" s="35">
        <v>710.0</v>
      </c>
      <c r="E96" s="35">
        <v>13.0</v>
      </c>
      <c r="F96" s="35" t="s">
        <v>91</v>
      </c>
      <c r="G96" s="35" t="s">
        <v>592</v>
      </c>
      <c r="H96" s="35" t="s">
        <v>97</v>
      </c>
    </row>
    <row r="97" ht="15.75" customHeight="1">
      <c r="A97" s="35">
        <v>92.0</v>
      </c>
      <c r="B97" s="35" t="s">
        <v>2192</v>
      </c>
      <c r="C97" s="35">
        <v>70.0</v>
      </c>
      <c r="D97" s="35">
        <v>130.0</v>
      </c>
      <c r="E97" s="35">
        <v>11.0</v>
      </c>
      <c r="F97" s="35" t="s">
        <v>91</v>
      </c>
      <c r="G97" s="35" t="s">
        <v>592</v>
      </c>
      <c r="H97" s="35" t="s">
        <v>97</v>
      </c>
    </row>
    <row r="98" ht="15.75" customHeight="1">
      <c r="A98" s="35">
        <v>93.0</v>
      </c>
      <c r="B98" s="35" t="s">
        <v>2193</v>
      </c>
      <c r="C98" s="35">
        <v>70.0</v>
      </c>
      <c r="D98" s="35">
        <v>110.0</v>
      </c>
      <c r="E98" s="35">
        <v>10.0</v>
      </c>
      <c r="F98" s="35" t="s">
        <v>91</v>
      </c>
      <c r="G98" s="35" t="s">
        <v>592</v>
      </c>
      <c r="H98" s="35" t="s">
        <v>97</v>
      </c>
    </row>
    <row r="99" ht="15.75" customHeight="1">
      <c r="A99" s="35">
        <v>94.0</v>
      </c>
      <c r="B99" s="35" t="s">
        <v>2194</v>
      </c>
      <c r="C99" s="35">
        <v>50.0</v>
      </c>
      <c r="D99" s="35">
        <v>50.0</v>
      </c>
      <c r="E99" s="35"/>
      <c r="F99" s="35"/>
      <c r="G99" s="35" t="s">
        <v>592</v>
      </c>
      <c r="H99" s="35" t="s">
        <v>97</v>
      </c>
    </row>
    <row r="100" ht="15.75" customHeight="1">
      <c r="A100" s="35">
        <v>95.0</v>
      </c>
      <c r="B100" s="35" t="s">
        <v>2195</v>
      </c>
      <c r="C100" s="35">
        <v>30.0</v>
      </c>
      <c r="D100" s="35">
        <v>100.0</v>
      </c>
      <c r="E100" s="35"/>
      <c r="F100" s="35"/>
      <c r="G100" s="35" t="s">
        <v>592</v>
      </c>
      <c r="H100" s="35" t="s">
        <v>97</v>
      </c>
    </row>
    <row r="101" ht="15.75" customHeight="1">
      <c r="A101" s="35">
        <v>96.0</v>
      </c>
      <c r="B101" s="35" t="s">
        <v>738</v>
      </c>
      <c r="C101" s="35">
        <v>90.0</v>
      </c>
      <c r="D101" s="35">
        <v>100.0</v>
      </c>
      <c r="E101" s="35">
        <v>12.0</v>
      </c>
      <c r="F101" s="35" t="s">
        <v>91</v>
      </c>
      <c r="G101" s="35" t="s">
        <v>592</v>
      </c>
      <c r="H101" s="35" t="s">
        <v>97</v>
      </c>
    </row>
    <row r="102" ht="15.75" customHeight="1">
      <c r="A102" s="35"/>
      <c r="B102" s="35" t="s">
        <v>308</v>
      </c>
      <c r="C102" s="35"/>
      <c r="D102" s="35"/>
      <c r="E102" s="35"/>
      <c r="F102" s="35"/>
      <c r="G102" s="35"/>
      <c r="H102" s="35"/>
    </row>
    <row r="103" ht="15.75" customHeight="1">
      <c r="A103" s="35">
        <v>97.0</v>
      </c>
      <c r="B103" s="35" t="s">
        <v>740</v>
      </c>
      <c r="C103" s="35">
        <v>30.0</v>
      </c>
      <c r="D103" s="35">
        <v>60.0</v>
      </c>
      <c r="E103" s="35"/>
      <c r="F103" s="35" t="s">
        <v>91</v>
      </c>
      <c r="G103" s="35" t="s">
        <v>308</v>
      </c>
      <c r="H103" s="35" t="s">
        <v>44</v>
      </c>
    </row>
    <row r="104" ht="15.75" customHeight="1">
      <c r="A104" s="35">
        <v>98.0</v>
      </c>
      <c r="B104" s="35" t="s">
        <v>742</v>
      </c>
      <c r="C104" s="35" t="s">
        <v>2196</v>
      </c>
      <c r="D104" s="35" t="s">
        <v>2197</v>
      </c>
      <c r="E104" s="35">
        <v>50.0</v>
      </c>
      <c r="F104" s="35" t="s">
        <v>91</v>
      </c>
      <c r="G104" s="35" t="s">
        <v>308</v>
      </c>
      <c r="H104" s="35" t="s">
        <v>97</v>
      </c>
    </row>
    <row r="105" ht="15.75" customHeight="1">
      <c r="A105" s="35">
        <v>99.0</v>
      </c>
      <c r="B105" s="35" t="s">
        <v>2198</v>
      </c>
      <c r="C105" s="35">
        <v>260.0</v>
      </c>
      <c r="D105" s="35">
        <v>320.0</v>
      </c>
      <c r="E105" s="35">
        <v>19.0</v>
      </c>
      <c r="F105" s="35" t="s">
        <v>91</v>
      </c>
      <c r="G105" s="35" t="s">
        <v>308</v>
      </c>
      <c r="H105" s="35" t="s">
        <v>97</v>
      </c>
    </row>
    <row r="106" ht="15.75" customHeight="1">
      <c r="A106" s="35">
        <v>100.0</v>
      </c>
      <c r="B106" s="35" t="s">
        <v>746</v>
      </c>
      <c r="C106" s="35">
        <v>260.0</v>
      </c>
      <c r="D106" s="35">
        <v>410.0</v>
      </c>
      <c r="E106" s="35">
        <v>32.0</v>
      </c>
      <c r="F106" s="35" t="s">
        <v>91</v>
      </c>
      <c r="G106" s="35" t="s">
        <v>308</v>
      </c>
      <c r="H106" s="35" t="s">
        <v>97</v>
      </c>
    </row>
    <row r="107" ht="15.75" customHeight="1">
      <c r="A107" s="35">
        <v>101.0</v>
      </c>
      <c r="B107" s="35" t="s">
        <v>2199</v>
      </c>
      <c r="C107" s="35">
        <v>40.0</v>
      </c>
      <c r="D107" s="35">
        <v>80.0</v>
      </c>
      <c r="E107" s="35">
        <v>9.0</v>
      </c>
      <c r="F107" s="35" t="s">
        <v>91</v>
      </c>
      <c r="G107" s="35" t="s">
        <v>308</v>
      </c>
      <c r="H107" s="35" t="s">
        <v>97</v>
      </c>
    </row>
    <row r="108" ht="15.75" customHeight="1">
      <c r="A108" s="35">
        <v>102.0</v>
      </c>
      <c r="B108" s="35" t="s">
        <v>2200</v>
      </c>
      <c r="C108" s="35">
        <v>140.0</v>
      </c>
      <c r="D108" s="35">
        <v>190.0</v>
      </c>
      <c r="E108" s="35">
        <v>18.0</v>
      </c>
      <c r="F108" s="35" t="s">
        <v>91</v>
      </c>
      <c r="G108" s="35" t="s">
        <v>308</v>
      </c>
      <c r="H108" s="35" t="s">
        <v>97</v>
      </c>
    </row>
    <row r="109" ht="15.75" customHeight="1">
      <c r="A109" s="35">
        <v>103.0</v>
      </c>
      <c r="B109" s="35" t="s">
        <v>752</v>
      </c>
      <c r="C109" s="35"/>
      <c r="D109" s="35"/>
      <c r="E109" s="35"/>
      <c r="F109" s="35" t="s">
        <v>91</v>
      </c>
      <c r="G109" s="35" t="s">
        <v>308</v>
      </c>
      <c r="H109" s="35" t="s">
        <v>97</v>
      </c>
    </row>
    <row r="110" ht="15.75" customHeight="1">
      <c r="A110" s="35">
        <v>104.0</v>
      </c>
      <c r="B110" s="35" t="s">
        <v>754</v>
      </c>
      <c r="C110" s="35">
        <v>110.0</v>
      </c>
      <c r="D110" s="35">
        <v>980.0</v>
      </c>
      <c r="E110" s="35">
        <v>28.0</v>
      </c>
      <c r="F110" s="35" t="s">
        <v>91</v>
      </c>
      <c r="G110" s="35" t="s">
        <v>308</v>
      </c>
      <c r="H110" s="35" t="s">
        <v>97</v>
      </c>
    </row>
    <row r="111" ht="15.75" customHeight="1">
      <c r="A111" s="35"/>
      <c r="B111" s="35" t="s">
        <v>2201</v>
      </c>
      <c r="C111" s="35"/>
      <c r="D111" s="35"/>
      <c r="E111" s="35"/>
      <c r="F111" s="35"/>
      <c r="G111" s="35"/>
      <c r="H111" s="35"/>
    </row>
    <row r="112" ht="15.75" customHeight="1">
      <c r="A112" s="35">
        <v>105.0</v>
      </c>
      <c r="B112" s="35" t="s">
        <v>2202</v>
      </c>
      <c r="C112" s="35">
        <v>880.0</v>
      </c>
      <c r="D112" s="35" t="s">
        <v>2203</v>
      </c>
      <c r="E112" s="35">
        <v>26.0</v>
      </c>
      <c r="F112" s="35" t="s">
        <v>91</v>
      </c>
      <c r="G112" s="35" t="s">
        <v>2201</v>
      </c>
      <c r="H112" s="35" t="s">
        <v>97</v>
      </c>
    </row>
    <row r="113" ht="15.75" customHeight="1">
      <c r="A113" s="35">
        <v>106.0</v>
      </c>
      <c r="B113" s="35" t="s">
        <v>2204</v>
      </c>
      <c r="C113" s="35">
        <v>590.0</v>
      </c>
      <c r="D113" s="35" t="s">
        <v>2205</v>
      </c>
      <c r="E113" s="35">
        <v>22.0</v>
      </c>
      <c r="F113" s="35" t="s">
        <v>91</v>
      </c>
      <c r="G113" s="35" t="s">
        <v>2201</v>
      </c>
      <c r="H113" s="35" t="s">
        <v>97</v>
      </c>
    </row>
    <row r="114" ht="15.75" customHeight="1">
      <c r="A114" s="35">
        <v>107.0</v>
      </c>
      <c r="B114" s="35" t="s">
        <v>761</v>
      </c>
      <c r="C114" s="35">
        <v>20.0</v>
      </c>
      <c r="D114" s="35">
        <v>30.0</v>
      </c>
      <c r="E114" s="35">
        <v>0.0</v>
      </c>
      <c r="F114" s="35" t="s">
        <v>91</v>
      </c>
      <c r="G114" s="35" t="s">
        <v>2201</v>
      </c>
      <c r="H114" s="35" t="s">
        <v>97</v>
      </c>
    </row>
    <row r="115" ht="15.75" customHeight="1">
      <c r="A115" s="35">
        <v>108.0</v>
      </c>
      <c r="B115" s="35" t="s">
        <v>2206</v>
      </c>
      <c r="C115" s="35">
        <v>40.0</v>
      </c>
      <c r="D115" s="35">
        <v>140.0</v>
      </c>
      <c r="E115" s="35">
        <v>9.0</v>
      </c>
      <c r="F115" s="35" t="s">
        <v>91</v>
      </c>
      <c r="G115" s="35" t="s">
        <v>2201</v>
      </c>
      <c r="H115" s="35" t="s">
        <v>97</v>
      </c>
    </row>
    <row r="116" ht="15.75" customHeight="1">
      <c r="A116" s="35">
        <v>109.0</v>
      </c>
      <c r="B116" s="35" t="s">
        <v>2209</v>
      </c>
      <c r="C116" s="35">
        <v>260.0</v>
      </c>
      <c r="D116" s="35">
        <v>440.0</v>
      </c>
      <c r="E116" s="35">
        <v>12.0</v>
      </c>
      <c r="F116" s="35" t="s">
        <v>353</v>
      </c>
      <c r="G116" s="35" t="s">
        <v>2201</v>
      </c>
      <c r="H116" s="35" t="s">
        <v>44</v>
      </c>
    </row>
    <row r="117" ht="15.75" customHeight="1">
      <c r="A117" s="35">
        <v>110.0</v>
      </c>
      <c r="B117" s="35" t="s">
        <v>2211</v>
      </c>
      <c r="C117" s="35">
        <v>70.0</v>
      </c>
      <c r="D117" s="35">
        <v>80.0</v>
      </c>
      <c r="E117" s="35">
        <v>8.0</v>
      </c>
      <c r="F117" s="35" t="s">
        <v>87</v>
      </c>
      <c r="G117" s="35" t="s">
        <v>2201</v>
      </c>
      <c r="H117" s="35" t="s">
        <v>97</v>
      </c>
    </row>
    <row r="118" ht="15.75" customHeight="1">
      <c r="A118" s="35">
        <v>111.0</v>
      </c>
      <c r="B118" s="35" t="s">
        <v>2212</v>
      </c>
      <c r="C118" s="35">
        <v>50.0</v>
      </c>
      <c r="D118" s="35">
        <v>150.0</v>
      </c>
      <c r="E118" s="35">
        <v>5.0</v>
      </c>
      <c r="F118" s="35" t="s">
        <v>91</v>
      </c>
      <c r="G118" s="35" t="s">
        <v>2201</v>
      </c>
      <c r="H118" s="35" t="s">
        <v>97</v>
      </c>
    </row>
    <row r="119" ht="15.75" customHeight="1">
      <c r="A119" s="35"/>
      <c r="B119" s="35" t="s">
        <v>2213</v>
      </c>
      <c r="C119" s="35"/>
      <c r="D119" s="35"/>
      <c r="E119" s="35"/>
      <c r="F119" s="35"/>
      <c r="G119" s="35"/>
      <c r="H119" s="35"/>
    </row>
    <row r="120" ht="15.75" customHeight="1">
      <c r="A120" s="35">
        <v>112.0</v>
      </c>
      <c r="B120" s="35" t="s">
        <v>2214</v>
      </c>
      <c r="C120" s="35">
        <v>110.0</v>
      </c>
      <c r="D120" s="35">
        <v>210.0</v>
      </c>
      <c r="E120" s="35">
        <v>9.0</v>
      </c>
      <c r="F120" s="35" t="s">
        <v>91</v>
      </c>
      <c r="G120" s="35" t="s">
        <v>337</v>
      </c>
      <c r="H120" s="35" t="s">
        <v>97</v>
      </c>
    </row>
    <row r="121" ht="15.75" customHeight="1">
      <c r="A121" s="35">
        <v>113.0</v>
      </c>
      <c r="B121" s="35" t="s">
        <v>2215</v>
      </c>
      <c r="C121" s="35">
        <v>90.0</v>
      </c>
      <c r="D121" s="35">
        <v>350.0</v>
      </c>
      <c r="E121" s="35">
        <v>15.0</v>
      </c>
      <c r="F121" s="35" t="s">
        <v>91</v>
      </c>
      <c r="G121" s="35" t="s">
        <v>337</v>
      </c>
      <c r="H121" s="35" t="s">
        <v>44</v>
      </c>
    </row>
    <row r="122" ht="15.75" customHeight="1">
      <c r="A122" s="35">
        <v>114.0</v>
      </c>
      <c r="B122" s="35" t="s">
        <v>2216</v>
      </c>
      <c r="C122" s="35">
        <v>90.0</v>
      </c>
      <c r="D122" s="35">
        <v>150.0</v>
      </c>
      <c r="E122" s="35">
        <v>15.0</v>
      </c>
      <c r="F122" s="35" t="s">
        <v>91</v>
      </c>
      <c r="G122" s="35" t="s">
        <v>337</v>
      </c>
      <c r="H122" s="35" t="s">
        <v>97</v>
      </c>
    </row>
    <row r="123" ht="15.75" customHeight="1">
      <c r="A123" s="35">
        <v>115.0</v>
      </c>
      <c r="B123" s="35" t="s">
        <v>2217</v>
      </c>
      <c r="C123" s="35">
        <v>10.0</v>
      </c>
      <c r="D123" s="35">
        <v>10.0</v>
      </c>
      <c r="E123" s="35"/>
      <c r="F123" s="35" t="s">
        <v>91</v>
      </c>
      <c r="G123" s="35" t="s">
        <v>337</v>
      </c>
      <c r="H123" s="35" t="s">
        <v>97</v>
      </c>
    </row>
    <row r="124" ht="15.75" customHeight="1">
      <c r="A124" s="35">
        <v>116.0</v>
      </c>
      <c r="B124" s="35" t="s">
        <v>2220</v>
      </c>
      <c r="C124" s="35"/>
      <c r="D124" s="35"/>
      <c r="E124" s="35"/>
      <c r="F124" s="35"/>
      <c r="G124" s="35" t="s">
        <v>337</v>
      </c>
      <c r="H124" s="35" t="s">
        <v>97</v>
      </c>
    </row>
    <row r="125" ht="15.75" customHeight="1">
      <c r="A125" s="35"/>
      <c r="B125" s="35" t="s">
        <v>2221</v>
      </c>
      <c r="C125" s="35"/>
      <c r="D125" s="35"/>
      <c r="E125" s="35"/>
      <c r="F125" s="35"/>
      <c r="G125" s="35"/>
      <c r="H125" s="35"/>
    </row>
    <row r="126" ht="15.75" customHeight="1">
      <c r="A126" s="35">
        <v>117.0</v>
      </c>
      <c r="B126" s="35" t="s">
        <v>2222</v>
      </c>
      <c r="C126" s="35">
        <v>320.0</v>
      </c>
      <c r="D126" s="35">
        <v>930.0</v>
      </c>
      <c r="E126" s="35">
        <v>15.0</v>
      </c>
      <c r="F126" s="35" t="s">
        <v>91</v>
      </c>
      <c r="G126" s="35" t="s">
        <v>316</v>
      </c>
      <c r="H126" s="35" t="s">
        <v>97</v>
      </c>
    </row>
    <row r="127" ht="15.75" customHeight="1">
      <c r="A127" s="35">
        <v>118.0</v>
      </c>
      <c r="B127" s="35" t="s">
        <v>2225</v>
      </c>
      <c r="C127" s="35">
        <v>140.0</v>
      </c>
      <c r="D127" s="35" t="s">
        <v>2089</v>
      </c>
      <c r="E127" s="35">
        <v>24.0</v>
      </c>
      <c r="F127" s="35" t="s">
        <v>91</v>
      </c>
      <c r="G127" s="35" t="s">
        <v>316</v>
      </c>
      <c r="H127" s="35" t="s">
        <v>44</v>
      </c>
    </row>
    <row r="128" ht="15.75" customHeight="1">
      <c r="A128" s="35">
        <v>119.0</v>
      </c>
      <c r="B128" s="35" t="s">
        <v>2226</v>
      </c>
      <c r="C128" s="35">
        <v>210.0</v>
      </c>
      <c r="D128" s="35" t="s">
        <v>1911</v>
      </c>
      <c r="E128" s="35">
        <v>30.0</v>
      </c>
      <c r="F128" s="35" t="s">
        <v>91</v>
      </c>
      <c r="G128" s="35" t="s">
        <v>316</v>
      </c>
      <c r="H128" s="35" t="s">
        <v>97</v>
      </c>
    </row>
    <row r="129" ht="15.75" customHeight="1">
      <c r="A129" s="35">
        <v>120.0</v>
      </c>
      <c r="B129" s="35" t="s">
        <v>787</v>
      </c>
      <c r="C129" s="35">
        <v>50.0</v>
      </c>
      <c r="D129" s="35">
        <v>240.0</v>
      </c>
      <c r="E129" s="35">
        <v>19.0</v>
      </c>
      <c r="F129" s="35" t="s">
        <v>91</v>
      </c>
      <c r="G129" s="35" t="s">
        <v>316</v>
      </c>
      <c r="H129" s="35" t="s">
        <v>97</v>
      </c>
    </row>
    <row r="130" ht="15.75" customHeight="1">
      <c r="A130" s="35">
        <v>121.0</v>
      </c>
      <c r="B130" s="35" t="s">
        <v>2229</v>
      </c>
      <c r="C130" s="35">
        <v>70.0</v>
      </c>
      <c r="D130" s="35">
        <v>540.0</v>
      </c>
      <c r="E130" s="35">
        <v>20.0</v>
      </c>
      <c r="F130" s="35" t="s">
        <v>91</v>
      </c>
      <c r="G130" s="35" t="s">
        <v>316</v>
      </c>
      <c r="H130" s="35" t="s">
        <v>97</v>
      </c>
    </row>
    <row r="131" ht="15.75" customHeight="1">
      <c r="A131" s="35">
        <v>122.0</v>
      </c>
      <c r="B131" s="35" t="s">
        <v>2230</v>
      </c>
      <c r="C131" s="35">
        <v>140.0</v>
      </c>
      <c r="D131" s="35">
        <v>520.0</v>
      </c>
      <c r="E131" s="35">
        <v>14.0</v>
      </c>
      <c r="F131" s="35" t="s">
        <v>91</v>
      </c>
      <c r="G131" s="35" t="s">
        <v>316</v>
      </c>
      <c r="H131" s="35" t="s">
        <v>97</v>
      </c>
    </row>
    <row r="132" ht="15.75" customHeight="1">
      <c r="A132" s="35">
        <v>123.0</v>
      </c>
      <c r="B132" s="35" t="s">
        <v>2232</v>
      </c>
      <c r="C132" s="35">
        <v>20.0</v>
      </c>
      <c r="D132" s="35">
        <v>50.0</v>
      </c>
      <c r="E132" s="35"/>
      <c r="F132" s="35"/>
      <c r="G132" s="35" t="s">
        <v>316</v>
      </c>
      <c r="H132" s="35" t="s">
        <v>97</v>
      </c>
    </row>
    <row r="133" ht="15.75" customHeight="1">
      <c r="A133" s="35"/>
      <c r="B133" s="35" t="s">
        <v>319</v>
      </c>
      <c r="C133" s="35"/>
      <c r="D133" s="35"/>
      <c r="E133" s="35"/>
      <c r="F133" s="35"/>
      <c r="G133" s="35"/>
      <c r="H133" s="35"/>
    </row>
    <row r="134" ht="15.75" customHeight="1">
      <c r="A134" s="35">
        <v>124.0</v>
      </c>
      <c r="B134" s="35" t="s">
        <v>2234</v>
      </c>
      <c r="C134" s="35">
        <v>20.0</v>
      </c>
      <c r="D134" s="35">
        <v>90.0</v>
      </c>
      <c r="E134" s="35"/>
      <c r="F134" s="35"/>
      <c r="G134" s="35" t="s">
        <v>319</v>
      </c>
      <c r="H134" s="35" t="s">
        <v>97</v>
      </c>
    </row>
    <row r="135" ht="15.75" customHeight="1">
      <c r="A135" s="35">
        <v>125.0</v>
      </c>
      <c r="B135" s="35" t="s">
        <v>2236</v>
      </c>
      <c r="C135" s="35">
        <v>10.0</v>
      </c>
      <c r="D135" s="35">
        <v>30.0</v>
      </c>
      <c r="E135" s="35"/>
      <c r="F135" s="35"/>
      <c r="G135" s="35" t="s">
        <v>319</v>
      </c>
      <c r="H135" s="35" t="s">
        <v>97</v>
      </c>
    </row>
    <row r="136" ht="15.75" customHeight="1">
      <c r="A136" s="35">
        <v>126.0</v>
      </c>
      <c r="B136" s="35" t="s">
        <v>2238</v>
      </c>
      <c r="C136" s="35">
        <v>140.0</v>
      </c>
      <c r="D136" s="35">
        <v>240.0</v>
      </c>
      <c r="E136" s="35">
        <v>29.0</v>
      </c>
      <c r="F136" s="35" t="s">
        <v>91</v>
      </c>
      <c r="G136" s="35" t="s">
        <v>319</v>
      </c>
      <c r="H136" s="35" t="s">
        <v>97</v>
      </c>
    </row>
    <row r="137" ht="15.75" customHeight="1">
      <c r="A137" s="35">
        <v>127.0</v>
      </c>
      <c r="B137" s="35" t="s">
        <v>2239</v>
      </c>
      <c r="C137" s="35">
        <v>40.0</v>
      </c>
      <c r="D137" s="35">
        <v>40.0</v>
      </c>
      <c r="E137" s="35">
        <v>13.0</v>
      </c>
      <c r="F137" s="35" t="s">
        <v>91</v>
      </c>
      <c r="G137" s="35" t="s">
        <v>319</v>
      </c>
      <c r="H137" s="35" t="s">
        <v>97</v>
      </c>
    </row>
    <row r="138" ht="15.75" customHeight="1">
      <c r="A138" s="35">
        <v>128.0</v>
      </c>
      <c r="B138" s="35" t="s">
        <v>2241</v>
      </c>
      <c r="C138" s="35">
        <v>50.0</v>
      </c>
      <c r="D138" s="35">
        <v>80.0</v>
      </c>
      <c r="E138" s="35">
        <v>14.0</v>
      </c>
      <c r="F138" s="35" t="s">
        <v>91</v>
      </c>
      <c r="G138" s="35" t="s">
        <v>319</v>
      </c>
      <c r="H138" s="35" t="s">
        <v>97</v>
      </c>
    </row>
    <row r="139" ht="15.75" customHeight="1">
      <c r="A139" s="35">
        <v>129.0</v>
      </c>
      <c r="B139" s="35" t="s">
        <v>2243</v>
      </c>
      <c r="C139" s="35"/>
      <c r="D139" s="35"/>
      <c r="E139" s="35"/>
      <c r="F139" s="35"/>
      <c r="G139" s="35" t="s">
        <v>319</v>
      </c>
      <c r="H139" s="35" t="s">
        <v>44</v>
      </c>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1.14"/>
    <col customWidth="1" min="3" max="3" width="11.43"/>
    <col customWidth="1" min="4" max="4" width="18.29"/>
    <col customWidth="1" min="5" max="5" width="13.71"/>
    <col customWidth="1" min="6" max="6" width="30.86"/>
    <col customWidth="1" min="7" max="8" width="41.14"/>
    <col customWidth="1" min="9" max="26" width="9.86"/>
  </cols>
  <sheetData>
    <row r="1">
      <c r="A1" s="34" t="s">
        <v>2115</v>
      </c>
      <c r="B1" s="34"/>
      <c r="C1" s="34"/>
      <c r="D1" s="34"/>
      <c r="E1" s="34"/>
      <c r="F1" s="34"/>
      <c r="G1" s="34"/>
      <c r="H1" s="34"/>
    </row>
    <row r="2">
      <c r="A2" s="35"/>
      <c r="B2" s="35"/>
      <c r="C2" s="35"/>
      <c r="D2" s="35"/>
      <c r="E2" s="35"/>
      <c r="F2" s="35"/>
      <c r="G2" s="35"/>
      <c r="H2" s="35"/>
    </row>
    <row r="3">
      <c r="A3" s="35" t="s">
        <v>1903</v>
      </c>
      <c r="B3" s="35" t="s">
        <v>1904</v>
      </c>
      <c r="C3" s="35" t="s">
        <v>1905</v>
      </c>
      <c r="D3" s="35" t="s">
        <v>1906</v>
      </c>
      <c r="E3" s="35" t="s">
        <v>1907</v>
      </c>
      <c r="F3" s="35" t="s">
        <v>382</v>
      </c>
      <c r="G3" s="35" t="s">
        <v>1908</v>
      </c>
      <c r="H3" s="35"/>
    </row>
    <row r="4">
      <c r="A4" s="35" t="s">
        <v>630</v>
      </c>
      <c r="B4" s="35"/>
      <c r="C4" s="35"/>
      <c r="D4" s="35"/>
      <c r="E4" s="35"/>
      <c r="F4" s="35"/>
      <c r="G4" s="35"/>
      <c r="H4" s="35"/>
    </row>
    <row r="5">
      <c r="A5" s="35">
        <v>1.0</v>
      </c>
      <c r="B5" s="35" t="s">
        <v>642</v>
      </c>
      <c r="C5" s="35">
        <v>40.0</v>
      </c>
      <c r="D5" s="35">
        <v>710.0</v>
      </c>
      <c r="E5" s="35">
        <v>27.0</v>
      </c>
      <c r="F5" s="35" t="s">
        <v>91</v>
      </c>
      <c r="G5" s="35" t="s">
        <v>630</v>
      </c>
      <c r="H5" s="35"/>
    </row>
    <row r="6">
      <c r="A6" s="35">
        <v>2.0</v>
      </c>
      <c r="B6" s="35" t="s">
        <v>645</v>
      </c>
      <c r="C6" s="35"/>
      <c r="D6" s="35"/>
      <c r="E6" s="35"/>
      <c r="F6" s="35" t="s">
        <v>91</v>
      </c>
      <c r="G6" s="35" t="s">
        <v>630</v>
      </c>
      <c r="H6" s="35"/>
    </row>
    <row r="7">
      <c r="A7" s="35" t="s">
        <v>240</v>
      </c>
      <c r="B7" s="35"/>
      <c r="C7" s="35"/>
      <c r="D7" s="35"/>
      <c r="E7" s="35"/>
      <c r="F7" s="35"/>
      <c r="G7" s="35"/>
      <c r="H7" s="35"/>
    </row>
    <row r="8">
      <c r="A8" s="35">
        <v>3.0</v>
      </c>
      <c r="B8" s="35" t="s">
        <v>807</v>
      </c>
      <c r="C8" s="35"/>
      <c r="D8" s="35"/>
      <c r="E8" s="35"/>
      <c r="F8" s="35" t="s">
        <v>91</v>
      </c>
      <c r="G8" s="35" t="s">
        <v>240</v>
      </c>
      <c r="H8" s="35"/>
    </row>
    <row r="9">
      <c r="A9" s="35">
        <v>4.0</v>
      </c>
      <c r="B9" s="35" t="s">
        <v>812</v>
      </c>
      <c r="C9" s="35"/>
      <c r="D9" s="35"/>
      <c r="E9" s="35"/>
      <c r="F9" s="35" t="s">
        <v>91</v>
      </c>
      <c r="G9" s="35" t="s">
        <v>240</v>
      </c>
      <c r="H9" s="35"/>
    </row>
    <row r="10">
      <c r="A10" s="35" t="s">
        <v>2067</v>
      </c>
      <c r="B10" s="35"/>
      <c r="C10" s="35"/>
      <c r="D10" s="35"/>
      <c r="E10" s="35"/>
      <c r="F10" s="35"/>
      <c r="G10" s="35"/>
      <c r="H10" s="35"/>
    </row>
    <row r="11">
      <c r="A11" s="35">
        <v>5.0</v>
      </c>
      <c r="B11" s="35" t="s">
        <v>2132</v>
      </c>
      <c r="C11" s="35">
        <v>590.0</v>
      </c>
      <c r="D11" s="35">
        <v>670.0</v>
      </c>
      <c r="E11" s="35">
        <v>26.0</v>
      </c>
      <c r="F11" s="35" t="s">
        <v>91</v>
      </c>
      <c r="G11" s="35" t="s">
        <v>2067</v>
      </c>
      <c r="H11" s="35"/>
    </row>
    <row r="12">
      <c r="A12" s="35">
        <v>6.0</v>
      </c>
      <c r="B12" s="35" t="s">
        <v>2135</v>
      </c>
      <c r="C12" s="35">
        <v>170.0</v>
      </c>
      <c r="D12" s="35" t="s">
        <v>2136</v>
      </c>
      <c r="E12" s="35">
        <v>28.0</v>
      </c>
      <c r="F12" s="35" t="s">
        <v>91</v>
      </c>
      <c r="G12" s="35" t="s">
        <v>2067</v>
      </c>
      <c r="H12" s="35"/>
    </row>
    <row r="13">
      <c r="A13" s="35" t="s">
        <v>600</v>
      </c>
      <c r="B13" s="35"/>
      <c r="C13" s="35"/>
      <c r="D13" s="35"/>
      <c r="E13" s="35"/>
      <c r="F13" s="35"/>
      <c r="G13" s="35"/>
      <c r="H13" s="35"/>
    </row>
    <row r="14">
      <c r="A14" s="35">
        <v>7.0</v>
      </c>
      <c r="B14" s="35" t="s">
        <v>2139</v>
      </c>
      <c r="C14" s="35">
        <v>70.0</v>
      </c>
      <c r="D14" s="35">
        <v>140.0</v>
      </c>
      <c r="E14" s="35">
        <v>12.0</v>
      </c>
      <c r="F14" s="35" t="s">
        <v>91</v>
      </c>
      <c r="G14" s="35" t="s">
        <v>600</v>
      </c>
      <c r="H14" s="35"/>
    </row>
    <row r="15">
      <c r="A15" s="35">
        <v>8.0</v>
      </c>
      <c r="B15" s="35" t="s">
        <v>2141</v>
      </c>
      <c r="C15" s="35">
        <v>390.0</v>
      </c>
      <c r="D15" s="35" t="s">
        <v>2129</v>
      </c>
      <c r="E15" s="35">
        <v>26.0</v>
      </c>
      <c r="F15" s="35" t="s">
        <v>91</v>
      </c>
      <c r="G15" s="35" t="s">
        <v>600</v>
      </c>
      <c r="H15" s="35"/>
    </row>
    <row r="16">
      <c r="A16" s="35">
        <v>9.0</v>
      </c>
      <c r="B16" s="35" t="s">
        <v>2143</v>
      </c>
      <c r="C16" s="35" t="s">
        <v>2144</v>
      </c>
      <c r="D16" s="35" t="s">
        <v>2146</v>
      </c>
      <c r="E16" s="35">
        <v>38.0</v>
      </c>
      <c r="F16" s="35" t="s">
        <v>91</v>
      </c>
      <c r="G16" s="35" t="s">
        <v>600</v>
      </c>
      <c r="H16" s="35"/>
    </row>
    <row r="17">
      <c r="A17" s="35">
        <v>10.0</v>
      </c>
      <c r="B17" s="35" t="s">
        <v>2147</v>
      </c>
      <c r="C17" s="35">
        <v>390.0</v>
      </c>
      <c r="D17" s="35">
        <v>510.0</v>
      </c>
      <c r="E17" s="35">
        <v>19.0</v>
      </c>
      <c r="F17" s="35" t="s">
        <v>91</v>
      </c>
      <c r="G17" s="35" t="s">
        <v>600</v>
      </c>
      <c r="H17" s="35"/>
    </row>
    <row r="18">
      <c r="A18" s="35"/>
      <c r="B18" s="35"/>
      <c r="C18" s="35"/>
      <c r="D18" s="35"/>
      <c r="E18" s="35"/>
      <c r="F18" s="35"/>
      <c r="G18" s="35"/>
      <c r="H18" s="35"/>
    </row>
    <row r="19">
      <c r="A19" s="35"/>
      <c r="B19" s="35"/>
      <c r="C19" s="35"/>
      <c r="D19" s="35"/>
      <c r="E19" s="35"/>
      <c r="F19" s="35"/>
      <c r="G19" s="35"/>
      <c r="H19" s="35"/>
    </row>
    <row r="20">
      <c r="A20" s="35" t="s">
        <v>2150</v>
      </c>
      <c r="B20" s="35"/>
      <c r="C20" s="35"/>
      <c r="D20" s="35"/>
      <c r="E20" s="35"/>
      <c r="F20" s="35"/>
      <c r="G20" s="35"/>
      <c r="H20" s="35"/>
    </row>
    <row r="21" ht="15.75" customHeight="1">
      <c r="A21" s="35"/>
      <c r="B21" s="35"/>
      <c r="C21" s="35"/>
      <c r="D21" s="35"/>
      <c r="E21" s="35"/>
      <c r="F21" s="35"/>
      <c r="G21" s="35"/>
      <c r="H21" s="35"/>
    </row>
    <row r="22" ht="15.75" customHeight="1">
      <c r="A22" s="35" t="s">
        <v>2152</v>
      </c>
      <c r="B22" s="35" t="s">
        <v>2153</v>
      </c>
      <c r="C22" s="35" t="s">
        <v>2155</v>
      </c>
      <c r="D22" s="35" t="s">
        <v>2156</v>
      </c>
      <c r="E22" s="35" t="s">
        <v>1907</v>
      </c>
      <c r="F22" s="35" t="s">
        <v>382</v>
      </c>
      <c r="G22" s="35" t="s">
        <v>2157</v>
      </c>
      <c r="H22" s="35" t="s">
        <v>1908</v>
      </c>
    </row>
    <row r="23" ht="15.75" customHeight="1">
      <c r="A23" s="35">
        <v>1.0</v>
      </c>
      <c r="B23" s="35" t="s">
        <v>822</v>
      </c>
      <c r="C23" s="35" t="s">
        <v>2159</v>
      </c>
      <c r="D23" s="35" t="s">
        <v>2160</v>
      </c>
      <c r="E23" s="35">
        <v>64.0</v>
      </c>
      <c r="F23" s="35" t="s">
        <v>823</v>
      </c>
      <c r="G23" s="35" t="s">
        <v>97</v>
      </c>
      <c r="H23" s="35" t="s">
        <v>2162</v>
      </c>
    </row>
    <row r="24" ht="15.75" customHeight="1">
      <c r="A24" s="35">
        <v>2.0</v>
      </c>
      <c r="B24" s="35" t="s">
        <v>2163</v>
      </c>
      <c r="C24" s="35" t="s">
        <v>2040</v>
      </c>
      <c r="D24" s="35" t="s">
        <v>2164</v>
      </c>
      <c r="E24" s="35">
        <v>37.0</v>
      </c>
      <c r="F24" s="35" t="s">
        <v>826</v>
      </c>
      <c r="G24" s="35" t="s">
        <v>97</v>
      </c>
      <c r="H24" s="35" t="s">
        <v>2162</v>
      </c>
    </row>
    <row r="25" ht="15.75" customHeight="1">
      <c r="A25" s="35">
        <v>3.0</v>
      </c>
      <c r="B25" s="35" t="s">
        <v>2166</v>
      </c>
      <c r="C25" s="35">
        <v>260.0</v>
      </c>
      <c r="D25" s="35">
        <v>840.0</v>
      </c>
      <c r="E25" s="35">
        <v>28.0</v>
      </c>
      <c r="F25" s="35" t="s">
        <v>87</v>
      </c>
      <c r="G25" s="35" t="s">
        <v>97</v>
      </c>
      <c r="H25" s="35" t="s">
        <v>2162</v>
      </c>
    </row>
    <row r="26" ht="15.75" customHeight="1">
      <c r="A26" s="35">
        <v>4.0</v>
      </c>
      <c r="B26" s="35" t="s">
        <v>2168</v>
      </c>
      <c r="C26" s="35">
        <v>390.0</v>
      </c>
      <c r="D26" s="35">
        <v>630.0</v>
      </c>
      <c r="E26" s="35">
        <v>24.0</v>
      </c>
      <c r="F26" s="35" t="s">
        <v>91</v>
      </c>
      <c r="G26" s="35" t="s">
        <v>97</v>
      </c>
      <c r="H26" s="35" t="s">
        <v>2162</v>
      </c>
    </row>
    <row r="27" ht="15.75" customHeight="1">
      <c r="A27" s="35">
        <v>5.0</v>
      </c>
      <c r="B27" s="35" t="s">
        <v>2170</v>
      </c>
      <c r="C27" s="35">
        <v>40.0</v>
      </c>
      <c r="D27" s="35">
        <v>120.0</v>
      </c>
      <c r="E27" s="35">
        <v>17.0</v>
      </c>
      <c r="F27" s="35" t="s">
        <v>91</v>
      </c>
      <c r="G27" s="35" t="s">
        <v>97</v>
      </c>
      <c r="H27" s="35" t="s">
        <v>2162</v>
      </c>
    </row>
    <row r="28" ht="15.75" customHeight="1">
      <c r="A28" s="35">
        <v>6.0</v>
      </c>
      <c r="B28" s="35" t="s">
        <v>834</v>
      </c>
      <c r="C28" s="35">
        <v>170.0</v>
      </c>
      <c r="D28" s="35">
        <v>240.0</v>
      </c>
      <c r="E28" s="35">
        <v>29.0</v>
      </c>
      <c r="F28" s="35" t="s">
        <v>91</v>
      </c>
      <c r="G28" s="35" t="s">
        <v>97</v>
      </c>
      <c r="H28" s="35" t="s">
        <v>2162</v>
      </c>
    </row>
    <row r="29" ht="15.75" customHeight="1">
      <c r="A29" s="35">
        <v>7.0</v>
      </c>
      <c r="B29" s="35" t="s">
        <v>2173</v>
      </c>
      <c r="C29" s="35">
        <v>40.0</v>
      </c>
      <c r="D29" s="35">
        <v>80.0</v>
      </c>
      <c r="E29" s="35">
        <v>19.0</v>
      </c>
      <c r="F29" s="35" t="s">
        <v>91</v>
      </c>
      <c r="G29" s="35" t="s">
        <v>97</v>
      </c>
      <c r="H29" s="35" t="s">
        <v>2162</v>
      </c>
    </row>
    <row r="30" ht="15.75" customHeight="1">
      <c r="A30" s="35">
        <v>8.0</v>
      </c>
      <c r="B30" s="35" t="s">
        <v>2175</v>
      </c>
      <c r="C30" s="35">
        <v>20.0</v>
      </c>
      <c r="D30" s="35">
        <v>40.0</v>
      </c>
      <c r="E30" s="35">
        <v>0.0</v>
      </c>
      <c r="F30" s="35" t="s">
        <v>91</v>
      </c>
      <c r="G30" s="35" t="s">
        <v>44</v>
      </c>
      <c r="H30" s="35" t="s">
        <v>2162</v>
      </c>
    </row>
    <row r="31" ht="15.75" customHeight="1">
      <c r="A31" s="35">
        <v>9.0</v>
      </c>
      <c r="B31" s="35" t="s">
        <v>2177</v>
      </c>
      <c r="C31" s="35">
        <v>210.0</v>
      </c>
      <c r="D31" s="35">
        <v>630.0</v>
      </c>
      <c r="E31" s="35">
        <v>11.0</v>
      </c>
      <c r="F31" s="35" t="s">
        <v>91</v>
      </c>
      <c r="G31" s="35" t="s">
        <v>97</v>
      </c>
      <c r="H31" s="35" t="s">
        <v>2162</v>
      </c>
    </row>
    <row r="32" ht="15.75" customHeight="1">
      <c r="A32" s="35">
        <v>10.0</v>
      </c>
      <c r="B32" s="35" t="s">
        <v>2178</v>
      </c>
      <c r="C32" s="35">
        <v>40.0</v>
      </c>
      <c r="D32" s="35">
        <v>850.0</v>
      </c>
      <c r="E32" s="35">
        <v>11.0</v>
      </c>
      <c r="F32" s="35" t="s">
        <v>353</v>
      </c>
      <c r="G32" s="35" t="s">
        <v>97</v>
      </c>
      <c r="H32" s="35" t="s">
        <v>2162</v>
      </c>
    </row>
    <row r="33" ht="15.75" customHeight="1">
      <c r="A33" s="35">
        <v>11.0</v>
      </c>
      <c r="B33" s="35" t="s">
        <v>2168</v>
      </c>
      <c r="C33" s="35">
        <v>390.0</v>
      </c>
      <c r="D33" s="35">
        <v>620.0</v>
      </c>
      <c r="E33" s="35">
        <v>24.0</v>
      </c>
      <c r="F33" s="35" t="s">
        <v>91</v>
      </c>
      <c r="G33" s="35" t="s">
        <v>97</v>
      </c>
      <c r="H33" s="35" t="s">
        <v>2162</v>
      </c>
    </row>
    <row r="34" ht="15.75" customHeight="1">
      <c r="A34" s="35"/>
      <c r="B34" s="35"/>
      <c r="C34" s="35"/>
      <c r="D34" s="35"/>
      <c r="E34" s="35"/>
      <c r="F34" s="35"/>
      <c r="G34" s="35"/>
      <c r="H34" s="35"/>
    </row>
    <row r="35" ht="15.75" customHeight="1">
      <c r="A35" s="35"/>
      <c r="B35" s="35"/>
      <c r="C35" s="35"/>
      <c r="D35" s="35"/>
      <c r="E35" s="35"/>
      <c r="F35" s="35"/>
      <c r="G35" s="35"/>
      <c r="H35" s="35"/>
    </row>
    <row r="36" ht="15.75" customHeight="1">
      <c r="A36" s="35">
        <v>1.0</v>
      </c>
      <c r="B36" s="35"/>
      <c r="C36" s="35"/>
      <c r="D36" s="35"/>
      <c r="E36" s="35"/>
      <c r="F36" s="35" t="s">
        <v>91</v>
      </c>
      <c r="G36" s="35" t="s">
        <v>97</v>
      </c>
      <c r="H36" s="35"/>
    </row>
    <row r="37" ht="15.75" customHeight="1">
      <c r="A37" s="35">
        <v>2.0</v>
      </c>
      <c r="B37" s="35"/>
      <c r="C37" s="35"/>
      <c r="D37" s="35"/>
      <c r="E37" s="35"/>
      <c r="F37" s="35" t="s">
        <v>91</v>
      </c>
      <c r="G37" s="35" t="s">
        <v>97</v>
      </c>
      <c r="H37" s="35"/>
    </row>
    <row r="38" ht="15.75" customHeight="1">
      <c r="A38" s="35">
        <v>3.0</v>
      </c>
      <c r="B38" s="35"/>
      <c r="C38" s="35"/>
      <c r="D38" s="35"/>
      <c r="E38" s="35"/>
      <c r="F38" s="35" t="s">
        <v>91</v>
      </c>
      <c r="G38" s="35" t="s">
        <v>97</v>
      </c>
      <c r="H38" s="35"/>
    </row>
    <row r="39" ht="15.75" customHeight="1">
      <c r="A39" s="35">
        <v>4.0</v>
      </c>
      <c r="B39" s="35"/>
      <c r="C39" s="35"/>
      <c r="D39" s="35"/>
      <c r="E39" s="35"/>
      <c r="F39" s="35" t="s">
        <v>91</v>
      </c>
      <c r="G39" s="35" t="s">
        <v>97</v>
      </c>
      <c r="H39" s="35"/>
    </row>
    <row r="40" ht="15.75" customHeight="1">
      <c r="A40" s="35">
        <v>5.0</v>
      </c>
      <c r="B40" s="35"/>
      <c r="C40" s="35"/>
      <c r="D40" s="35"/>
      <c r="E40" s="35"/>
      <c r="F40" s="35" t="s">
        <v>91</v>
      </c>
      <c r="G40" s="35" t="s">
        <v>97</v>
      </c>
      <c r="H40" s="35"/>
    </row>
    <row r="41" ht="15.75" customHeight="1">
      <c r="A41" s="35">
        <v>6.0</v>
      </c>
      <c r="B41" s="35"/>
      <c r="C41" s="35"/>
      <c r="D41" s="35"/>
      <c r="E41" s="35"/>
      <c r="F41" s="35" t="s">
        <v>91</v>
      </c>
      <c r="G41" s="35" t="s">
        <v>97</v>
      </c>
      <c r="H41" s="35"/>
    </row>
    <row r="42" ht="15.75" customHeight="1">
      <c r="A42" s="35">
        <v>7.0</v>
      </c>
      <c r="B42" s="35"/>
      <c r="C42" s="35"/>
      <c r="D42" s="35"/>
      <c r="E42" s="35"/>
      <c r="F42" s="35" t="s">
        <v>91</v>
      </c>
      <c r="G42" s="35" t="s">
        <v>97</v>
      </c>
      <c r="H42" s="35"/>
    </row>
    <row r="43" ht="15.75" customHeight="1">
      <c r="A43" s="35">
        <v>8.0</v>
      </c>
      <c r="B43" s="35"/>
      <c r="C43" s="35"/>
      <c r="D43" s="35"/>
      <c r="E43" s="35"/>
      <c r="F43" s="35" t="s">
        <v>91</v>
      </c>
      <c r="G43" s="35" t="s">
        <v>97</v>
      </c>
      <c r="H43" s="35"/>
    </row>
    <row r="44" ht="15.75" customHeight="1">
      <c r="A44" s="35">
        <v>9.0</v>
      </c>
      <c r="B44" s="35"/>
      <c r="C44" s="35"/>
      <c r="D44" s="35"/>
      <c r="E44" s="35"/>
      <c r="F44" s="35" t="s">
        <v>91</v>
      </c>
      <c r="G44" s="35" t="s">
        <v>97</v>
      </c>
      <c r="H44" s="35"/>
    </row>
    <row r="45" ht="15.75" customHeight="1">
      <c r="A45" s="35">
        <v>10.0</v>
      </c>
      <c r="B45" s="35"/>
      <c r="C45" s="35"/>
      <c r="D45" s="35"/>
      <c r="E45" s="35"/>
      <c r="F45" s="35" t="s">
        <v>91</v>
      </c>
      <c r="G45" s="35" t="s">
        <v>97</v>
      </c>
      <c r="H45" s="35"/>
    </row>
    <row r="46" ht="15.75" customHeight="1">
      <c r="A46" s="35">
        <v>11.0</v>
      </c>
      <c r="B46" s="35"/>
      <c r="C46" s="35"/>
      <c r="D46" s="35"/>
      <c r="E46" s="35"/>
      <c r="F46" s="35" t="s">
        <v>91</v>
      </c>
      <c r="G46" s="35" t="s">
        <v>97</v>
      </c>
      <c r="H46" s="35"/>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4" width="11.43"/>
    <col customWidth="1" min="5" max="5" width="41.14"/>
    <col customWidth="1" min="6" max="8" width="11.43"/>
    <col customWidth="1" min="9" max="9" width="41.14"/>
    <col customWidth="1" min="10" max="12" width="11.43"/>
    <col customWidth="1" min="13" max="13" width="17.14"/>
    <col customWidth="1" min="14" max="14" width="24.0"/>
    <col customWidth="1" min="15" max="16" width="11.43"/>
    <col customWidth="1" min="17" max="17" width="41.14"/>
    <col customWidth="1" min="18" max="18" width="17.14"/>
    <col customWidth="1" min="19" max="19" width="11.43"/>
    <col customWidth="1" min="20" max="20" width="33.14"/>
    <col customWidth="1" min="21" max="21" width="11.43"/>
    <col customWidth="1" min="22" max="22" width="41.14"/>
    <col customWidth="1" min="23" max="28" width="11.43"/>
  </cols>
  <sheetData>
    <row r="1">
      <c r="A1" s="34" t="s">
        <v>2207</v>
      </c>
      <c r="B1" s="34" t="s">
        <v>2208</v>
      </c>
      <c r="C1" s="34"/>
      <c r="D1" s="34"/>
      <c r="E1" s="34" t="s">
        <v>2210</v>
      </c>
      <c r="F1" s="34"/>
      <c r="G1" s="34"/>
      <c r="H1" s="34"/>
      <c r="I1" s="34"/>
      <c r="J1" s="34"/>
      <c r="K1" s="34"/>
      <c r="L1" s="34"/>
      <c r="M1" s="34"/>
      <c r="N1" s="34"/>
      <c r="O1" s="34"/>
      <c r="P1" s="34"/>
      <c r="Q1" s="34"/>
      <c r="R1" s="34"/>
      <c r="S1" s="34"/>
      <c r="T1" s="34"/>
      <c r="U1" s="34"/>
      <c r="V1" s="34"/>
      <c r="W1" s="34"/>
      <c r="X1" s="34"/>
      <c r="Y1" s="34"/>
      <c r="Z1" s="34"/>
      <c r="AA1" s="34"/>
      <c r="AB1" s="34"/>
    </row>
    <row r="2">
      <c r="A2" s="35" t="s">
        <v>2218</v>
      </c>
      <c r="B2" s="35">
        <v>1835.0</v>
      </c>
      <c r="C2" s="35"/>
      <c r="D2" s="35"/>
      <c r="E2" s="35" t="s">
        <v>2219</v>
      </c>
      <c r="F2" s="35"/>
      <c r="G2" s="35"/>
      <c r="H2" s="35"/>
      <c r="I2" s="35"/>
      <c r="J2" s="35"/>
      <c r="K2" s="35"/>
      <c r="L2" s="35"/>
      <c r="M2" s="35"/>
      <c r="N2" s="35"/>
      <c r="O2" s="35"/>
      <c r="P2" s="35"/>
      <c r="Q2" s="35"/>
      <c r="R2" s="35"/>
      <c r="S2" s="35"/>
      <c r="T2" s="35"/>
      <c r="U2" s="35"/>
      <c r="V2" s="35"/>
      <c r="W2" s="35"/>
      <c r="X2" s="35"/>
      <c r="Y2" s="35"/>
      <c r="Z2" s="35"/>
      <c r="AA2" s="35"/>
      <c r="AB2" s="35"/>
    </row>
    <row r="3">
      <c r="A3" s="35" t="s">
        <v>2223</v>
      </c>
      <c r="B3" s="35">
        <v>1776.0</v>
      </c>
      <c r="C3" s="35"/>
      <c r="D3" s="35"/>
      <c r="E3" s="35" t="s">
        <v>2224</v>
      </c>
      <c r="F3" s="35"/>
      <c r="G3" s="35"/>
      <c r="H3" s="35"/>
      <c r="I3" s="35"/>
      <c r="J3" s="35"/>
      <c r="K3" s="35"/>
      <c r="L3" s="35"/>
      <c r="M3" s="35"/>
      <c r="N3" s="35"/>
      <c r="O3" s="35"/>
      <c r="P3" s="35"/>
      <c r="Q3" s="35"/>
      <c r="R3" s="35"/>
      <c r="S3" s="35"/>
      <c r="T3" s="35"/>
      <c r="U3" s="35"/>
      <c r="V3" s="35"/>
      <c r="W3" s="35"/>
      <c r="X3" s="35"/>
      <c r="Y3" s="35"/>
      <c r="Z3" s="35"/>
      <c r="AA3" s="35"/>
      <c r="AB3" s="35"/>
    </row>
    <row r="4">
      <c r="A4" s="35" t="s">
        <v>2227</v>
      </c>
      <c r="B4" s="35">
        <v>1685.0</v>
      </c>
      <c r="C4" s="35"/>
      <c r="D4" s="35"/>
      <c r="E4" s="35" t="s">
        <v>2228</v>
      </c>
      <c r="F4" s="35"/>
      <c r="G4" s="35"/>
      <c r="H4" s="35"/>
      <c r="I4" s="35"/>
      <c r="J4" s="35"/>
      <c r="K4" s="35"/>
      <c r="L4" s="35"/>
      <c r="M4" s="35"/>
      <c r="N4" s="35"/>
      <c r="O4" s="35"/>
      <c r="P4" s="35"/>
      <c r="Q4" s="35"/>
      <c r="R4" s="35"/>
      <c r="S4" s="35"/>
      <c r="T4" s="35"/>
      <c r="U4" s="35"/>
      <c r="V4" s="35"/>
      <c r="W4" s="35"/>
      <c r="X4" s="35"/>
      <c r="Y4" s="35"/>
      <c r="Z4" s="35"/>
      <c r="AA4" s="35"/>
      <c r="AB4" s="35"/>
    </row>
    <row r="5">
      <c r="A5" s="35" t="s">
        <v>2231</v>
      </c>
      <c r="B5" s="35">
        <v>1327.0</v>
      </c>
      <c r="C5" s="35"/>
      <c r="D5" s="35"/>
      <c r="E5" s="35" t="s">
        <v>2233</v>
      </c>
      <c r="F5" s="35">
        <v>39.0</v>
      </c>
      <c r="G5" s="35"/>
      <c r="H5" s="35"/>
      <c r="I5" s="35"/>
      <c r="J5" s="35"/>
      <c r="K5" s="35"/>
      <c r="L5" s="35"/>
      <c r="M5" s="35"/>
      <c r="N5" s="35"/>
      <c r="O5" s="35"/>
      <c r="P5" s="35"/>
      <c r="Q5" s="35"/>
      <c r="R5" s="35"/>
      <c r="S5" s="35"/>
      <c r="T5" s="35"/>
      <c r="U5" s="35"/>
      <c r="V5" s="35"/>
      <c r="W5" s="35"/>
      <c r="X5" s="35"/>
      <c r="Y5" s="35"/>
      <c r="Z5" s="35"/>
      <c r="AA5" s="35"/>
      <c r="AB5" s="35"/>
    </row>
    <row r="6">
      <c r="A6" s="35" t="s">
        <v>2235</v>
      </c>
      <c r="B6" s="35">
        <v>1269.0</v>
      </c>
      <c r="C6" s="35"/>
      <c r="D6" s="35"/>
      <c r="E6" s="35" t="s">
        <v>2237</v>
      </c>
      <c r="F6" s="35">
        <v>23.0</v>
      </c>
      <c r="G6" s="35"/>
      <c r="H6" s="35"/>
      <c r="I6" s="35"/>
      <c r="J6" s="35"/>
      <c r="K6" s="35"/>
      <c r="L6" s="35"/>
      <c r="M6" s="35"/>
      <c r="N6" s="35"/>
      <c r="O6" s="35"/>
      <c r="P6" s="35"/>
      <c r="Q6" s="35"/>
      <c r="R6" s="35"/>
      <c r="S6" s="35"/>
      <c r="T6" s="35"/>
      <c r="U6" s="35"/>
      <c r="V6" s="35"/>
      <c r="W6" s="35"/>
      <c r="X6" s="35"/>
      <c r="Y6" s="35"/>
      <c r="Z6" s="35"/>
      <c r="AA6" s="35"/>
      <c r="AB6" s="35"/>
    </row>
    <row r="7">
      <c r="A7" s="35" t="s">
        <v>2240</v>
      </c>
      <c r="B7" s="35">
        <v>1252.0</v>
      </c>
      <c r="C7" s="35"/>
      <c r="D7" s="35"/>
      <c r="E7" s="35" t="s">
        <v>2242</v>
      </c>
      <c r="F7" s="35">
        <v>22.0</v>
      </c>
      <c r="G7" s="35"/>
      <c r="H7" s="35"/>
      <c r="I7" s="35"/>
      <c r="J7" s="35"/>
      <c r="K7" s="35"/>
      <c r="L7" s="35"/>
      <c r="M7" s="35"/>
      <c r="N7" s="35"/>
      <c r="O7" s="35"/>
      <c r="P7" s="35"/>
      <c r="Q7" s="35"/>
      <c r="R7" s="35"/>
      <c r="S7" s="35"/>
      <c r="T7" s="35"/>
      <c r="U7" s="35"/>
      <c r="V7" s="35"/>
      <c r="W7" s="35"/>
      <c r="X7" s="35"/>
      <c r="Y7" s="35"/>
      <c r="Z7" s="35"/>
      <c r="AA7" s="35"/>
      <c r="AB7" s="35"/>
    </row>
    <row r="8">
      <c r="A8" s="35" t="s">
        <v>2244</v>
      </c>
      <c r="B8" s="35">
        <v>1114.0</v>
      </c>
      <c r="C8" s="35"/>
      <c r="D8" s="35"/>
      <c r="E8" s="35" t="s">
        <v>2245</v>
      </c>
      <c r="F8" s="35">
        <v>16.0</v>
      </c>
      <c r="G8" s="35"/>
      <c r="H8" s="35"/>
      <c r="I8" s="35" t="s">
        <v>2246</v>
      </c>
      <c r="J8" s="35" t="s">
        <v>2247</v>
      </c>
      <c r="K8" s="35" t="s">
        <v>2248</v>
      </c>
      <c r="L8" s="35"/>
      <c r="M8" s="35" t="s">
        <v>2249</v>
      </c>
      <c r="N8" s="35"/>
      <c r="O8" s="35"/>
      <c r="P8" s="35"/>
      <c r="Q8" s="35"/>
      <c r="R8" s="35"/>
      <c r="S8" s="35"/>
      <c r="T8" s="35"/>
      <c r="U8" s="35"/>
      <c r="V8" s="35"/>
      <c r="W8" s="35"/>
      <c r="X8" s="35"/>
      <c r="Y8" s="35"/>
      <c r="Z8" s="35"/>
      <c r="AA8" s="35"/>
      <c r="AB8" s="35"/>
    </row>
    <row r="9">
      <c r="A9" s="35" t="s">
        <v>2250</v>
      </c>
      <c r="B9" s="35">
        <v>1096.0</v>
      </c>
      <c r="C9" s="35"/>
      <c r="D9" s="35"/>
      <c r="E9" s="35" t="s">
        <v>2251</v>
      </c>
      <c r="F9" s="35">
        <v>14.0</v>
      </c>
      <c r="G9" s="35"/>
      <c r="H9" s="35"/>
      <c r="I9" s="35"/>
      <c r="J9" s="35"/>
      <c r="K9" s="35"/>
      <c r="L9" s="35"/>
      <c r="M9" s="35"/>
      <c r="N9" s="35"/>
      <c r="O9" s="35"/>
      <c r="P9" s="35"/>
      <c r="Q9" s="35"/>
      <c r="R9" s="35"/>
      <c r="S9" s="35"/>
      <c r="T9" s="35"/>
      <c r="U9" s="35"/>
      <c r="V9" s="35"/>
      <c r="W9" s="35"/>
      <c r="X9" s="35"/>
      <c r="Y9" s="35"/>
      <c r="Z9" s="35"/>
      <c r="AA9" s="35"/>
      <c r="AB9" s="35"/>
    </row>
    <row r="10">
      <c r="A10" s="35"/>
      <c r="B10" s="35">
        <v>942.0</v>
      </c>
      <c r="C10" s="35"/>
      <c r="D10" s="35"/>
      <c r="E10" s="35" t="s">
        <v>2252</v>
      </c>
      <c r="F10" s="35">
        <v>8.0</v>
      </c>
      <c r="G10" s="35"/>
      <c r="H10" s="35"/>
      <c r="I10" s="35" t="s">
        <v>2253</v>
      </c>
      <c r="J10" s="35">
        <v>1000.0</v>
      </c>
      <c r="K10" s="35">
        <v>27.0</v>
      </c>
      <c r="L10" s="35"/>
      <c r="M10" s="35"/>
      <c r="N10" s="35"/>
      <c r="O10" s="35"/>
      <c r="P10" s="35"/>
      <c r="Q10" s="35" t="s">
        <v>38</v>
      </c>
      <c r="R10" s="35" t="s">
        <v>2254</v>
      </c>
      <c r="S10" s="35" t="s">
        <v>43</v>
      </c>
      <c r="T10" s="35" t="s">
        <v>45</v>
      </c>
      <c r="U10" s="35"/>
      <c r="V10" s="35"/>
      <c r="W10" s="35"/>
      <c r="X10" s="35"/>
      <c r="Y10" s="35"/>
      <c r="Z10" s="35"/>
      <c r="AA10" s="35"/>
      <c r="AB10" s="35"/>
    </row>
    <row r="11">
      <c r="A11" s="35" t="s">
        <v>2255</v>
      </c>
      <c r="B11" s="35">
        <v>929.0</v>
      </c>
      <c r="C11" s="35"/>
      <c r="D11" s="35"/>
      <c r="E11" s="35" t="s">
        <v>2256</v>
      </c>
      <c r="F11" s="35"/>
      <c r="G11" s="35"/>
      <c r="H11" s="35"/>
      <c r="I11" s="35" t="s">
        <v>2257</v>
      </c>
      <c r="J11" s="35">
        <v>880.0</v>
      </c>
      <c r="K11" s="35">
        <v>28.0</v>
      </c>
      <c r="L11" s="35"/>
      <c r="M11" s="35"/>
      <c r="N11" s="35"/>
      <c r="O11" s="35"/>
      <c r="P11" s="35"/>
      <c r="Q11" s="35" t="s">
        <v>2253</v>
      </c>
      <c r="R11" s="35">
        <v>1000.0</v>
      </c>
      <c r="S11" s="35">
        <v>27.0</v>
      </c>
      <c r="T11" s="35" t="s">
        <v>91</v>
      </c>
      <c r="U11" s="35"/>
      <c r="V11" s="35"/>
      <c r="W11" s="35"/>
      <c r="X11" s="35"/>
      <c r="Y11" s="35"/>
      <c r="Z11" s="35"/>
      <c r="AA11" s="35"/>
      <c r="AB11" s="35"/>
    </row>
    <row r="12">
      <c r="A12" s="35" t="s">
        <v>2069</v>
      </c>
      <c r="B12" s="35">
        <v>903.0</v>
      </c>
      <c r="C12" s="35"/>
      <c r="D12" s="35"/>
      <c r="E12" s="35" t="s">
        <v>2258</v>
      </c>
      <c r="F12" s="35">
        <v>7.0</v>
      </c>
      <c r="G12" s="35"/>
      <c r="H12" s="35"/>
      <c r="I12" s="35" t="s">
        <v>2259</v>
      </c>
      <c r="J12" s="35">
        <v>880.0</v>
      </c>
      <c r="K12" s="35">
        <v>22.0</v>
      </c>
      <c r="L12" s="35"/>
      <c r="M12" s="35"/>
      <c r="N12" s="35"/>
      <c r="O12" s="35"/>
      <c r="P12" s="35"/>
      <c r="Q12" s="35" t="s">
        <v>2259</v>
      </c>
      <c r="R12" s="35">
        <v>880.0</v>
      </c>
      <c r="S12" s="35">
        <v>22.0</v>
      </c>
      <c r="T12" s="35" t="s">
        <v>91</v>
      </c>
      <c r="U12" s="35"/>
      <c r="V12" s="35"/>
      <c r="W12" s="35"/>
      <c r="X12" s="35"/>
      <c r="Y12" s="35"/>
      <c r="Z12" s="35"/>
      <c r="AA12" s="35"/>
      <c r="AB12" s="35"/>
    </row>
    <row r="13">
      <c r="A13" s="35" t="s">
        <v>2260</v>
      </c>
      <c r="B13" s="35">
        <v>889.0</v>
      </c>
      <c r="C13" s="35"/>
      <c r="D13" s="35"/>
      <c r="E13" s="35" t="s">
        <v>2261</v>
      </c>
      <c r="F13" s="35">
        <v>4.0</v>
      </c>
      <c r="G13" s="35"/>
      <c r="H13" s="35"/>
      <c r="I13" s="35" t="s">
        <v>2262</v>
      </c>
      <c r="J13" s="35">
        <v>590.0</v>
      </c>
      <c r="K13" s="35">
        <v>16.0</v>
      </c>
      <c r="L13" s="35"/>
      <c r="M13" s="35"/>
      <c r="N13" s="35"/>
      <c r="O13" s="35"/>
      <c r="P13" s="35"/>
      <c r="Q13" s="35" t="s">
        <v>2263</v>
      </c>
      <c r="R13" s="35">
        <v>390.0</v>
      </c>
      <c r="S13" s="35">
        <v>23.0</v>
      </c>
      <c r="T13" s="35" t="s">
        <v>2264</v>
      </c>
      <c r="U13" s="35"/>
      <c r="V13" s="35"/>
      <c r="W13" s="35"/>
      <c r="X13" s="35"/>
      <c r="Y13" s="35"/>
      <c r="Z13" s="35"/>
      <c r="AA13" s="35"/>
      <c r="AB13" s="35"/>
    </row>
    <row r="14">
      <c r="A14" s="35" t="s">
        <v>2265</v>
      </c>
      <c r="B14" s="35">
        <v>825.0</v>
      </c>
      <c r="C14" s="35"/>
      <c r="D14" s="35"/>
      <c r="E14" s="35" t="s">
        <v>2266</v>
      </c>
      <c r="F14" s="35"/>
      <c r="G14" s="35"/>
      <c r="H14" s="35"/>
      <c r="I14" s="35" t="s">
        <v>2263</v>
      </c>
      <c r="J14" s="35">
        <v>390.0</v>
      </c>
      <c r="K14" s="35">
        <v>23.0</v>
      </c>
      <c r="L14" s="35"/>
      <c r="M14" s="35"/>
      <c r="N14" s="35"/>
      <c r="O14" s="35"/>
      <c r="P14" s="35"/>
      <c r="Q14" s="35" t="s">
        <v>2267</v>
      </c>
      <c r="R14" s="35">
        <v>390.0</v>
      </c>
      <c r="S14" s="35">
        <v>17.0</v>
      </c>
      <c r="T14" s="35" t="s">
        <v>91</v>
      </c>
      <c r="U14" s="35"/>
      <c r="V14" s="35"/>
      <c r="W14" s="35"/>
      <c r="X14" s="35"/>
      <c r="Y14" s="35"/>
      <c r="Z14" s="35"/>
      <c r="AA14" s="35"/>
      <c r="AB14" s="35"/>
    </row>
    <row r="15">
      <c r="A15" s="35" t="s">
        <v>2268</v>
      </c>
      <c r="B15" s="35">
        <v>823.0</v>
      </c>
      <c r="C15" s="35"/>
      <c r="D15" s="35"/>
      <c r="E15" s="35" t="s">
        <v>2269</v>
      </c>
      <c r="F15" s="35"/>
      <c r="G15" s="35"/>
      <c r="H15" s="35"/>
      <c r="I15" s="35" t="s">
        <v>2267</v>
      </c>
      <c r="J15" s="35">
        <v>390.0</v>
      </c>
      <c r="K15" s="35">
        <v>17.0</v>
      </c>
      <c r="L15" s="35"/>
      <c r="M15" s="35"/>
      <c r="N15" s="35"/>
      <c r="O15" s="35"/>
      <c r="P15" s="35"/>
      <c r="Q15" s="35" t="s">
        <v>2270</v>
      </c>
      <c r="R15" s="35">
        <v>320.0</v>
      </c>
      <c r="S15" s="35">
        <v>18.0</v>
      </c>
      <c r="T15" s="35" t="s">
        <v>91</v>
      </c>
      <c r="U15" s="35"/>
      <c r="V15" s="35"/>
      <c r="W15" s="35"/>
      <c r="X15" s="35"/>
      <c r="Y15" s="35"/>
      <c r="Z15" s="35"/>
      <c r="AA15" s="35"/>
      <c r="AB15" s="35"/>
    </row>
    <row r="16">
      <c r="A16" s="35" t="s">
        <v>117</v>
      </c>
      <c r="B16" s="35">
        <v>817.0</v>
      </c>
      <c r="C16" s="35"/>
      <c r="D16" s="35"/>
      <c r="E16" s="35" t="s">
        <v>2271</v>
      </c>
      <c r="F16" s="35"/>
      <c r="G16" s="35"/>
      <c r="H16" s="35"/>
      <c r="I16" s="35" t="s">
        <v>2270</v>
      </c>
      <c r="J16" s="35">
        <v>320.0</v>
      </c>
      <c r="K16" s="35">
        <v>18.0</v>
      </c>
      <c r="L16" s="35"/>
      <c r="M16" s="35"/>
      <c r="N16" s="35"/>
      <c r="O16" s="35"/>
      <c r="P16" s="35"/>
      <c r="Q16" s="35" t="s">
        <v>2272</v>
      </c>
      <c r="R16" s="35">
        <v>320.0</v>
      </c>
      <c r="S16" s="35">
        <v>25.0</v>
      </c>
      <c r="T16" s="35" t="s">
        <v>91</v>
      </c>
      <c r="U16" s="35"/>
      <c r="V16" s="35"/>
      <c r="W16" s="35"/>
      <c r="X16" s="35"/>
      <c r="Y16" s="35"/>
      <c r="Z16" s="35"/>
      <c r="AA16" s="35"/>
      <c r="AB16" s="35"/>
    </row>
    <row r="17">
      <c r="A17" s="35" t="s">
        <v>2273</v>
      </c>
      <c r="B17" s="35">
        <v>784.0</v>
      </c>
      <c r="C17" s="35"/>
      <c r="D17" s="35"/>
      <c r="E17" s="35" t="s">
        <v>2274</v>
      </c>
      <c r="F17" s="35">
        <v>1.0</v>
      </c>
      <c r="G17" s="35"/>
      <c r="H17" s="35"/>
      <c r="I17" s="35" t="s">
        <v>2272</v>
      </c>
      <c r="J17" s="35">
        <v>320.0</v>
      </c>
      <c r="K17" s="35">
        <v>25.0</v>
      </c>
      <c r="L17" s="35"/>
      <c r="M17" s="35"/>
      <c r="N17" s="35"/>
      <c r="O17" s="35"/>
      <c r="P17" s="35"/>
      <c r="Q17" s="35" t="s">
        <v>2275</v>
      </c>
      <c r="R17" s="35">
        <v>880.0</v>
      </c>
      <c r="S17" s="35">
        <v>17.0</v>
      </c>
      <c r="T17" s="35" t="s">
        <v>2276</v>
      </c>
      <c r="U17" s="35"/>
      <c r="V17" s="35"/>
      <c r="W17" s="35"/>
      <c r="X17" s="35"/>
      <c r="Y17" s="35"/>
      <c r="Z17" s="35"/>
      <c r="AA17" s="35"/>
      <c r="AB17" s="35"/>
    </row>
    <row r="18">
      <c r="A18" s="35" t="s">
        <v>2279</v>
      </c>
      <c r="B18" s="35">
        <v>750.0</v>
      </c>
      <c r="C18" s="35"/>
      <c r="D18" s="35"/>
      <c r="E18" s="35" t="s">
        <v>2281</v>
      </c>
      <c r="F18" s="35"/>
      <c r="G18" s="35"/>
      <c r="H18" s="35"/>
      <c r="I18" s="35" t="s">
        <v>2272</v>
      </c>
      <c r="J18" s="35">
        <v>320.0</v>
      </c>
      <c r="K18" s="35">
        <v>25.0</v>
      </c>
      <c r="L18" s="35"/>
      <c r="M18" s="35"/>
      <c r="N18" s="35"/>
      <c r="O18" s="35"/>
      <c r="P18" s="35"/>
      <c r="Q18" s="35" t="s">
        <v>2281</v>
      </c>
      <c r="R18" s="35">
        <v>110.0</v>
      </c>
      <c r="S18" s="35">
        <v>23.0</v>
      </c>
      <c r="T18" s="35" t="s">
        <v>87</v>
      </c>
      <c r="U18" s="35"/>
      <c r="V18" s="35"/>
      <c r="W18" s="35"/>
      <c r="X18" s="35"/>
      <c r="Y18" s="35"/>
      <c r="Z18" s="35"/>
      <c r="AA18" s="35"/>
      <c r="AB18" s="35"/>
    </row>
    <row r="19">
      <c r="A19" s="35" t="s">
        <v>2287</v>
      </c>
      <c r="B19" s="35">
        <v>730.0</v>
      </c>
      <c r="C19" s="35"/>
      <c r="D19" s="35"/>
      <c r="E19" s="35" t="s">
        <v>2289</v>
      </c>
      <c r="F19" s="35">
        <v>1.0</v>
      </c>
      <c r="G19" s="35"/>
      <c r="H19" s="35"/>
      <c r="I19" s="35" t="s">
        <v>2275</v>
      </c>
      <c r="J19" s="35">
        <v>880.0</v>
      </c>
      <c r="K19" s="35">
        <v>17.0</v>
      </c>
      <c r="L19" s="35"/>
      <c r="M19" s="35"/>
      <c r="N19" s="35"/>
      <c r="O19" s="35"/>
      <c r="P19" s="35"/>
      <c r="Q19" s="35" t="s">
        <v>587</v>
      </c>
      <c r="R19" s="35">
        <v>480.0</v>
      </c>
      <c r="S19" s="35">
        <v>15.0</v>
      </c>
      <c r="T19" s="35" t="s">
        <v>91</v>
      </c>
      <c r="U19" s="35"/>
      <c r="V19" s="35"/>
      <c r="W19" s="35"/>
      <c r="X19" s="35"/>
      <c r="Y19" s="35"/>
      <c r="Z19" s="35"/>
      <c r="AA19" s="35"/>
      <c r="AB19" s="35"/>
    </row>
    <row r="20">
      <c r="A20" s="35" t="s">
        <v>2294</v>
      </c>
      <c r="B20" s="35">
        <v>617.0</v>
      </c>
      <c r="C20" s="35"/>
      <c r="D20" s="35"/>
      <c r="E20" s="35" t="s">
        <v>2296</v>
      </c>
      <c r="F20" s="35">
        <v>2041.0</v>
      </c>
      <c r="G20" s="35"/>
      <c r="H20" s="35"/>
      <c r="I20" s="35" t="s">
        <v>2299</v>
      </c>
      <c r="J20" s="35">
        <v>140.0</v>
      </c>
      <c r="K20" s="35">
        <v>20.0</v>
      </c>
      <c r="L20" s="35"/>
      <c r="M20" s="35"/>
      <c r="N20" s="35"/>
      <c r="O20" s="35"/>
      <c r="P20" s="35"/>
      <c r="Q20" s="35" t="s">
        <v>2301</v>
      </c>
      <c r="R20" s="35">
        <v>590.0</v>
      </c>
      <c r="S20" s="35">
        <v>29.0</v>
      </c>
      <c r="T20" s="35" t="s">
        <v>91</v>
      </c>
      <c r="U20" s="35"/>
      <c r="V20" s="35"/>
      <c r="W20" s="35"/>
      <c r="X20" s="35"/>
      <c r="Y20" s="35"/>
      <c r="Z20" s="35"/>
      <c r="AA20" s="35"/>
      <c r="AB20" s="35"/>
    </row>
    <row r="21" ht="15.75" customHeight="1">
      <c r="A21" s="35" t="s">
        <v>2302</v>
      </c>
      <c r="B21" s="35">
        <v>610.0</v>
      </c>
      <c r="C21" s="35"/>
      <c r="D21" s="35"/>
      <c r="E21" s="35" t="s">
        <v>2305</v>
      </c>
      <c r="F21" s="35">
        <v>601.0</v>
      </c>
      <c r="G21" s="35"/>
      <c r="H21" s="35"/>
      <c r="I21" s="35" t="s">
        <v>2281</v>
      </c>
      <c r="J21" s="35">
        <v>110.0</v>
      </c>
      <c r="K21" s="35">
        <v>23.0</v>
      </c>
      <c r="L21" s="35"/>
      <c r="M21" s="35"/>
      <c r="N21" s="35"/>
      <c r="O21" s="35"/>
      <c r="P21" s="35"/>
      <c r="Q21" s="35" t="s">
        <v>2219</v>
      </c>
      <c r="R21" s="35">
        <v>390.0</v>
      </c>
      <c r="S21" s="35">
        <v>18.0</v>
      </c>
      <c r="T21" s="35" t="s">
        <v>2264</v>
      </c>
      <c r="U21" s="35"/>
      <c r="V21" s="35"/>
      <c r="W21" s="35"/>
      <c r="X21" s="35"/>
      <c r="Y21" s="35"/>
      <c r="Z21" s="35"/>
      <c r="AA21" s="35"/>
      <c r="AB21" s="35"/>
    </row>
    <row r="22" ht="15.75" customHeight="1">
      <c r="A22" s="35" t="s">
        <v>2311</v>
      </c>
      <c r="B22" s="35">
        <v>481.0</v>
      </c>
      <c r="C22" s="35"/>
      <c r="D22" s="35"/>
      <c r="E22" s="35" t="s">
        <v>2312</v>
      </c>
      <c r="F22" s="35"/>
      <c r="G22" s="35"/>
      <c r="H22" s="35"/>
      <c r="I22" s="35" t="s">
        <v>587</v>
      </c>
      <c r="J22" s="35">
        <v>480.0</v>
      </c>
      <c r="K22" s="35">
        <v>15.0</v>
      </c>
      <c r="L22" s="35"/>
      <c r="M22" s="35"/>
      <c r="N22" s="35"/>
      <c r="O22" s="35"/>
      <c r="P22" s="35"/>
      <c r="Q22" s="35" t="s">
        <v>2224</v>
      </c>
      <c r="R22" s="35">
        <v>260.0</v>
      </c>
      <c r="S22" s="35">
        <v>27.0</v>
      </c>
      <c r="T22" s="35" t="s">
        <v>91</v>
      </c>
      <c r="U22" s="35"/>
      <c r="V22" s="35"/>
      <c r="W22" s="35"/>
      <c r="X22" s="35"/>
      <c r="Y22" s="35"/>
      <c r="Z22" s="35"/>
      <c r="AA22" s="35"/>
      <c r="AB22" s="35"/>
    </row>
    <row r="23" ht="15.75" customHeight="1">
      <c r="A23" s="35" t="s">
        <v>2316</v>
      </c>
      <c r="B23" s="35">
        <v>436.0</v>
      </c>
      <c r="C23" s="35"/>
      <c r="D23" s="35"/>
      <c r="E23" s="35" t="s">
        <v>2318</v>
      </c>
      <c r="F23" s="35"/>
      <c r="G23" s="35"/>
      <c r="H23" s="35"/>
      <c r="I23" s="35" t="s">
        <v>2301</v>
      </c>
      <c r="J23" s="35">
        <v>590.0</v>
      </c>
      <c r="K23" s="35">
        <v>29.0</v>
      </c>
      <c r="L23" s="35"/>
      <c r="M23" s="35"/>
      <c r="N23" s="35"/>
      <c r="O23" s="35"/>
      <c r="P23" s="35"/>
      <c r="Q23" s="35" t="s">
        <v>2228</v>
      </c>
      <c r="R23" s="35">
        <v>1000.0</v>
      </c>
      <c r="S23" s="35">
        <v>31.0</v>
      </c>
      <c r="T23" s="35" t="s">
        <v>91</v>
      </c>
      <c r="U23" s="35"/>
      <c r="V23" s="35"/>
      <c r="W23" s="35"/>
      <c r="X23" s="35"/>
      <c r="Y23" s="35"/>
      <c r="Z23" s="35"/>
      <c r="AA23" s="35"/>
      <c r="AB23" s="35"/>
    </row>
    <row r="24" ht="15.75" customHeight="1">
      <c r="A24" s="35" t="s">
        <v>2324</v>
      </c>
      <c r="B24" s="35">
        <v>419.0</v>
      </c>
      <c r="C24" s="35"/>
      <c r="D24" s="35"/>
      <c r="E24" s="35" t="s">
        <v>2325</v>
      </c>
      <c r="F24" s="35"/>
      <c r="G24" s="35"/>
      <c r="H24" s="35"/>
      <c r="I24" s="35" t="s">
        <v>2219</v>
      </c>
      <c r="J24" s="35">
        <v>390.0</v>
      </c>
      <c r="K24" s="35">
        <v>18.0</v>
      </c>
      <c r="L24" s="35"/>
      <c r="M24" s="35"/>
      <c r="N24" s="35"/>
      <c r="O24" s="35"/>
      <c r="P24" s="35"/>
      <c r="Q24" s="35" t="s">
        <v>2329</v>
      </c>
      <c r="R24" s="35">
        <v>590.0</v>
      </c>
      <c r="S24" s="35">
        <v>25.0</v>
      </c>
      <c r="T24" s="35" t="s">
        <v>91</v>
      </c>
      <c r="U24" s="35"/>
      <c r="V24" s="35"/>
      <c r="W24" s="35"/>
      <c r="X24" s="35"/>
      <c r="Y24" s="35"/>
      <c r="Z24" s="35"/>
      <c r="AA24" s="35"/>
      <c r="AB24" s="35"/>
    </row>
    <row r="25" ht="15.75" customHeight="1">
      <c r="A25" s="35" t="s">
        <v>2331</v>
      </c>
      <c r="B25" s="35">
        <v>385.0</v>
      </c>
      <c r="C25" s="35"/>
      <c r="D25" s="35"/>
      <c r="E25" s="35" t="s">
        <v>2237</v>
      </c>
      <c r="F25" s="35"/>
      <c r="G25" s="35"/>
      <c r="H25" s="35"/>
      <c r="I25" s="35" t="s">
        <v>2335</v>
      </c>
      <c r="J25" s="35">
        <v>210.0</v>
      </c>
      <c r="K25" s="35">
        <v>22.0</v>
      </c>
      <c r="L25" s="35"/>
      <c r="M25" s="35"/>
      <c r="N25" s="35"/>
      <c r="O25" s="35"/>
      <c r="P25" s="35"/>
      <c r="Q25" s="35" t="s">
        <v>2337</v>
      </c>
      <c r="R25" s="35">
        <v>590.0</v>
      </c>
      <c r="S25" s="35">
        <v>9.0</v>
      </c>
      <c r="T25" s="35" t="s">
        <v>2264</v>
      </c>
      <c r="U25" s="35"/>
      <c r="V25" s="35"/>
      <c r="W25" s="35"/>
      <c r="X25" s="35"/>
      <c r="Y25" s="35"/>
      <c r="Z25" s="35"/>
      <c r="AA25" s="35"/>
      <c r="AB25" s="35"/>
    </row>
    <row r="26" ht="15.75" customHeight="1">
      <c r="A26" s="35" t="s">
        <v>2339</v>
      </c>
      <c r="B26" s="35">
        <v>370.0</v>
      </c>
      <c r="C26" s="35"/>
      <c r="D26" s="35"/>
      <c r="E26" s="35"/>
      <c r="F26" s="35">
        <v>524.0</v>
      </c>
      <c r="G26" s="35"/>
      <c r="H26" s="35"/>
      <c r="I26" s="35" t="s">
        <v>2341</v>
      </c>
      <c r="J26" s="35">
        <v>210.0</v>
      </c>
      <c r="K26" s="35">
        <v>16.0</v>
      </c>
      <c r="L26" s="35"/>
      <c r="M26" s="35"/>
      <c r="N26" s="35"/>
      <c r="O26" s="35"/>
      <c r="P26" s="35"/>
      <c r="Q26" s="35" t="s">
        <v>2343</v>
      </c>
      <c r="R26" s="35">
        <v>390.0</v>
      </c>
      <c r="S26" s="35">
        <v>28.0</v>
      </c>
      <c r="T26" s="35" t="s">
        <v>91</v>
      </c>
      <c r="U26" s="35"/>
      <c r="V26" s="35"/>
      <c r="W26" s="35"/>
      <c r="X26" s="35"/>
      <c r="Y26" s="35"/>
      <c r="Z26" s="35"/>
      <c r="AA26" s="35"/>
      <c r="AB26" s="35"/>
    </row>
    <row r="27" ht="15.75" customHeight="1">
      <c r="A27" s="35" t="s">
        <v>2344</v>
      </c>
      <c r="B27" s="35">
        <v>352.0</v>
      </c>
      <c r="C27" s="35"/>
      <c r="D27" s="35"/>
      <c r="E27" s="35" t="s">
        <v>2345</v>
      </c>
      <c r="F27" s="35">
        <v>488.0</v>
      </c>
      <c r="G27" s="35"/>
      <c r="H27" s="35"/>
      <c r="I27" s="35"/>
      <c r="J27" s="35"/>
      <c r="K27" s="35"/>
      <c r="L27" s="35"/>
      <c r="M27" s="35"/>
      <c r="N27" s="35"/>
      <c r="O27" s="35"/>
      <c r="P27" s="35"/>
      <c r="Q27" s="35" t="s">
        <v>2348</v>
      </c>
      <c r="R27" s="35">
        <v>320.0</v>
      </c>
      <c r="S27" s="35">
        <v>29.0</v>
      </c>
      <c r="T27" s="35" t="s">
        <v>91</v>
      </c>
      <c r="U27" s="35"/>
      <c r="V27" s="35"/>
      <c r="W27" s="35"/>
      <c r="X27" s="35"/>
      <c r="Y27" s="35"/>
      <c r="Z27" s="35"/>
      <c r="AA27" s="35"/>
      <c r="AB27" s="35"/>
    </row>
    <row r="28" ht="15.75" customHeight="1">
      <c r="A28" s="35" t="s">
        <v>2351</v>
      </c>
      <c r="B28" s="35">
        <v>343.0</v>
      </c>
      <c r="C28" s="35"/>
      <c r="D28" s="35"/>
      <c r="E28" s="35" t="s">
        <v>2352</v>
      </c>
      <c r="F28" s="35">
        <v>469.0</v>
      </c>
      <c r="G28" s="35"/>
      <c r="H28" s="35"/>
      <c r="I28" s="35" t="s">
        <v>589</v>
      </c>
      <c r="J28" s="35">
        <v>210.0</v>
      </c>
      <c r="K28" s="35">
        <v>30.0</v>
      </c>
      <c r="L28" s="35"/>
      <c r="M28" s="35"/>
      <c r="N28" s="35"/>
      <c r="O28" s="35"/>
      <c r="P28" s="35"/>
      <c r="Q28" s="35" t="s">
        <v>2354</v>
      </c>
      <c r="R28" s="35">
        <v>210.0</v>
      </c>
      <c r="S28" s="35">
        <v>24.0</v>
      </c>
      <c r="T28" s="35" t="s">
        <v>91</v>
      </c>
      <c r="U28" s="35"/>
      <c r="V28" s="35"/>
      <c r="W28" s="35"/>
      <c r="X28" s="35"/>
      <c r="Y28" s="35"/>
      <c r="Z28" s="35"/>
      <c r="AA28" s="35"/>
      <c r="AB28" s="35"/>
    </row>
    <row r="29" ht="15.75" customHeight="1">
      <c r="A29" s="35" t="s">
        <v>194</v>
      </c>
      <c r="B29" s="35">
        <v>327.0</v>
      </c>
      <c r="C29" s="35"/>
      <c r="D29" s="35"/>
      <c r="E29" s="35" t="s">
        <v>591</v>
      </c>
      <c r="F29" s="35">
        <v>340.0</v>
      </c>
      <c r="G29" s="35"/>
      <c r="H29" s="35"/>
      <c r="I29" s="35" t="s">
        <v>2224</v>
      </c>
      <c r="J29" s="35">
        <v>260.0</v>
      </c>
      <c r="K29" s="35">
        <v>27.0</v>
      </c>
      <c r="L29" s="35"/>
      <c r="M29" s="35"/>
      <c r="N29" s="35"/>
      <c r="O29" s="35"/>
      <c r="P29" s="35"/>
      <c r="Q29" s="35" t="s">
        <v>2359</v>
      </c>
      <c r="R29" s="35">
        <v>480.0</v>
      </c>
      <c r="S29" s="35">
        <v>25.0</v>
      </c>
      <c r="T29" s="35" t="s">
        <v>91</v>
      </c>
      <c r="U29" s="35"/>
      <c r="V29" s="35"/>
      <c r="W29" s="35"/>
      <c r="X29" s="35"/>
      <c r="Y29" s="35"/>
      <c r="Z29" s="35"/>
      <c r="AA29" s="35"/>
      <c r="AB29" s="35"/>
    </row>
    <row r="30" ht="15.75" customHeight="1">
      <c r="A30" s="35" t="s">
        <v>2365</v>
      </c>
      <c r="B30" s="35">
        <v>319.0</v>
      </c>
      <c r="C30" s="35"/>
      <c r="D30" s="35"/>
      <c r="E30" s="35" t="s">
        <v>2366</v>
      </c>
      <c r="F30" s="35">
        <v>319.0</v>
      </c>
      <c r="G30" s="35"/>
      <c r="H30" s="35"/>
      <c r="I30" s="35" t="s">
        <v>2271</v>
      </c>
      <c r="J30" s="35">
        <v>260.0</v>
      </c>
      <c r="K30" s="35">
        <v>30.0</v>
      </c>
      <c r="L30" s="35"/>
      <c r="M30" s="35"/>
      <c r="N30" s="35"/>
      <c r="O30" s="35"/>
      <c r="P30" s="35"/>
      <c r="Q30" s="35" t="s">
        <v>2369</v>
      </c>
      <c r="R30" s="35">
        <v>170.0</v>
      </c>
      <c r="S30" s="35">
        <v>21.0</v>
      </c>
      <c r="T30" s="35" t="s">
        <v>91</v>
      </c>
      <c r="U30" s="35"/>
      <c r="V30" s="35"/>
      <c r="W30" s="35"/>
      <c r="X30" s="35"/>
      <c r="Y30" s="35"/>
      <c r="Z30" s="35"/>
      <c r="AA30" s="35"/>
      <c r="AB30" s="35"/>
    </row>
    <row r="31" ht="15.75" customHeight="1">
      <c r="A31" s="35" t="s">
        <v>2371</v>
      </c>
      <c r="B31" s="35">
        <v>307.0</v>
      </c>
      <c r="C31" s="35"/>
      <c r="D31" s="35"/>
      <c r="E31" s="35" t="s">
        <v>2373</v>
      </c>
      <c r="F31" s="35"/>
      <c r="G31" s="35"/>
      <c r="H31" s="35"/>
      <c r="I31" s="35" t="s">
        <v>2375</v>
      </c>
      <c r="J31" s="35">
        <v>110.0</v>
      </c>
      <c r="K31" s="35">
        <v>29.0</v>
      </c>
      <c r="L31" s="35"/>
      <c r="M31" s="35"/>
      <c r="N31" s="35"/>
      <c r="O31" s="35"/>
      <c r="P31" s="35"/>
      <c r="Q31" s="35" t="s">
        <v>2377</v>
      </c>
      <c r="R31" s="35">
        <v>480.0</v>
      </c>
      <c r="S31" s="35">
        <v>29.0</v>
      </c>
      <c r="T31" s="35" t="s">
        <v>91</v>
      </c>
      <c r="U31" s="35"/>
      <c r="V31" s="35"/>
      <c r="W31" s="35"/>
      <c r="X31" s="35"/>
      <c r="Y31" s="35"/>
      <c r="Z31" s="35"/>
      <c r="AA31" s="35"/>
      <c r="AB31" s="35"/>
    </row>
    <row r="32" ht="15.75" customHeight="1">
      <c r="A32" s="35" t="s">
        <v>2379</v>
      </c>
      <c r="B32" s="35">
        <v>304.0</v>
      </c>
      <c r="C32" s="35"/>
      <c r="D32" s="35"/>
      <c r="E32" s="35" t="s">
        <v>2382</v>
      </c>
      <c r="F32" s="35">
        <v>280.0</v>
      </c>
      <c r="G32" s="35"/>
      <c r="H32" s="35"/>
      <c r="I32" s="35" t="s">
        <v>2228</v>
      </c>
      <c r="J32" s="35">
        <v>1000.0</v>
      </c>
      <c r="K32" s="35">
        <v>31.0</v>
      </c>
      <c r="L32" s="35"/>
      <c r="M32" s="35"/>
      <c r="N32" s="35"/>
      <c r="O32" s="35"/>
      <c r="P32" s="35"/>
      <c r="Q32" s="35" t="s">
        <v>2385</v>
      </c>
      <c r="R32" s="35">
        <v>110.0</v>
      </c>
      <c r="S32" s="35">
        <v>18.0</v>
      </c>
      <c r="T32" s="35" t="s">
        <v>91</v>
      </c>
      <c r="U32" s="35"/>
      <c r="V32" s="35"/>
      <c r="W32" s="35"/>
      <c r="X32" s="35"/>
      <c r="Y32" s="35"/>
      <c r="Z32" s="35"/>
      <c r="AA32" s="35"/>
      <c r="AB32" s="35"/>
    </row>
    <row r="33" ht="15.75" customHeight="1">
      <c r="A33" s="35" t="s">
        <v>2389</v>
      </c>
      <c r="B33" s="35">
        <v>300.0</v>
      </c>
      <c r="C33" s="35"/>
      <c r="D33" s="35"/>
      <c r="E33" s="35" t="s">
        <v>2390</v>
      </c>
      <c r="F33" s="35">
        <v>276.0</v>
      </c>
      <c r="G33" s="35"/>
      <c r="H33" s="35"/>
      <c r="I33" s="35" t="s">
        <v>2392</v>
      </c>
      <c r="J33" s="35">
        <v>210.0</v>
      </c>
      <c r="K33" s="35">
        <v>19.0</v>
      </c>
      <c r="L33" s="35"/>
      <c r="M33" s="35"/>
      <c r="N33" s="35"/>
      <c r="O33" s="35"/>
      <c r="P33" s="35"/>
      <c r="Q33" s="35" t="s">
        <v>2318</v>
      </c>
      <c r="R33" s="35">
        <v>1300.0</v>
      </c>
      <c r="S33" s="35">
        <v>15.0</v>
      </c>
      <c r="T33" s="35" t="s">
        <v>91</v>
      </c>
      <c r="U33" s="35"/>
      <c r="V33" s="35"/>
      <c r="W33" s="35"/>
      <c r="X33" s="35"/>
      <c r="Y33" s="35"/>
      <c r="Z33" s="35"/>
      <c r="AA33" s="35"/>
      <c r="AB33" s="35"/>
    </row>
    <row r="34" ht="15.75" customHeight="1">
      <c r="A34" s="35" t="s">
        <v>2398</v>
      </c>
      <c r="B34" s="35">
        <v>299.0</v>
      </c>
      <c r="C34" s="35"/>
      <c r="D34" s="35"/>
      <c r="E34" s="35" t="s">
        <v>2400</v>
      </c>
      <c r="F34" s="35">
        <v>267.0</v>
      </c>
      <c r="G34" s="35"/>
      <c r="H34" s="35"/>
      <c r="I34" s="35" t="s">
        <v>2401</v>
      </c>
      <c r="J34" s="35">
        <v>210.0</v>
      </c>
      <c r="K34" s="35">
        <v>28.0</v>
      </c>
      <c r="L34" s="35"/>
      <c r="M34" s="35"/>
      <c r="N34" s="35"/>
      <c r="O34" s="35"/>
      <c r="P34" s="35"/>
      <c r="Q34" s="35" t="s">
        <v>2404</v>
      </c>
      <c r="R34" s="35">
        <v>390.0</v>
      </c>
      <c r="S34" s="35">
        <v>21.0</v>
      </c>
      <c r="T34" s="35" t="s">
        <v>91</v>
      </c>
      <c r="U34" s="35"/>
      <c r="V34" s="35"/>
      <c r="W34" s="35"/>
      <c r="X34" s="35"/>
      <c r="Y34" s="35"/>
      <c r="Z34" s="35"/>
      <c r="AA34" s="35"/>
      <c r="AB34" s="35"/>
    </row>
    <row r="35" ht="15.75" customHeight="1">
      <c r="A35" s="35" t="s">
        <v>2409</v>
      </c>
      <c r="B35" s="35">
        <v>295.0</v>
      </c>
      <c r="C35" s="35"/>
      <c r="D35" s="35"/>
      <c r="E35" s="35" t="s">
        <v>2411</v>
      </c>
      <c r="F35" s="35"/>
      <c r="G35" s="35"/>
      <c r="H35" s="35"/>
      <c r="I35" s="35" t="s">
        <v>2359</v>
      </c>
      <c r="J35" s="35">
        <v>480.0</v>
      </c>
      <c r="K35" s="35">
        <v>25.0</v>
      </c>
      <c r="L35" s="35"/>
      <c r="M35" s="35"/>
      <c r="N35" s="35"/>
      <c r="O35" s="35"/>
      <c r="P35" s="35"/>
      <c r="Q35" s="35" t="s">
        <v>2237</v>
      </c>
      <c r="R35" s="35">
        <v>2400.0</v>
      </c>
      <c r="S35" s="35">
        <v>30.0</v>
      </c>
      <c r="T35" s="35" t="s">
        <v>91</v>
      </c>
      <c r="U35" s="35"/>
      <c r="V35" s="35"/>
      <c r="W35" s="35"/>
      <c r="X35" s="35"/>
      <c r="Y35" s="35"/>
      <c r="Z35" s="35"/>
      <c r="AA35" s="35"/>
      <c r="AB35" s="35"/>
    </row>
    <row r="36" ht="15.75" customHeight="1">
      <c r="A36" s="35" t="s">
        <v>2419</v>
      </c>
      <c r="B36" s="35">
        <v>290.0</v>
      </c>
      <c r="C36" s="35"/>
      <c r="D36" s="35"/>
      <c r="E36" s="35" t="s">
        <v>2312</v>
      </c>
      <c r="F36" s="35">
        <v>524.0</v>
      </c>
      <c r="G36" s="35"/>
      <c r="H36" s="35"/>
      <c r="I36" s="35" t="s">
        <v>2369</v>
      </c>
      <c r="J36" s="35">
        <v>170.0</v>
      </c>
      <c r="K36" s="35">
        <v>21.0</v>
      </c>
      <c r="L36" s="35"/>
      <c r="M36" s="35"/>
      <c r="N36" s="35"/>
      <c r="O36" s="35"/>
      <c r="P36" s="35"/>
      <c r="Q36" s="35" t="s">
        <v>2425</v>
      </c>
      <c r="R36" s="35">
        <v>390.0</v>
      </c>
      <c r="S36" s="35">
        <v>20.0</v>
      </c>
      <c r="T36" s="35" t="s">
        <v>91</v>
      </c>
      <c r="U36" s="35"/>
      <c r="V36" s="35"/>
      <c r="W36" s="35"/>
      <c r="X36" s="35"/>
      <c r="Y36" s="35"/>
      <c r="Z36" s="35"/>
      <c r="AA36" s="35"/>
      <c r="AB36" s="35"/>
    </row>
    <row r="37" ht="15.75" customHeight="1">
      <c r="A37" s="35" t="s">
        <v>2429</v>
      </c>
      <c r="B37" s="35">
        <v>275.0</v>
      </c>
      <c r="C37" s="35"/>
      <c r="D37" s="35"/>
      <c r="E37" s="35" t="s">
        <v>2345</v>
      </c>
      <c r="F37" s="35">
        <v>488.0</v>
      </c>
      <c r="G37" s="35"/>
      <c r="H37" s="35"/>
      <c r="I37" s="35" t="s">
        <v>2433</v>
      </c>
      <c r="J37" s="35">
        <v>110.0</v>
      </c>
      <c r="K37" s="35">
        <v>19.0</v>
      </c>
      <c r="L37" s="35"/>
      <c r="M37" s="35"/>
      <c r="N37" s="35"/>
      <c r="O37" s="35"/>
      <c r="P37" s="35"/>
      <c r="Q37" s="35" t="s">
        <v>2435</v>
      </c>
      <c r="R37" s="35">
        <v>210.0</v>
      </c>
      <c r="S37" s="35">
        <v>24.0</v>
      </c>
      <c r="T37" s="35" t="s">
        <v>91</v>
      </c>
      <c r="U37" s="35"/>
      <c r="V37" s="35"/>
      <c r="W37" s="35"/>
      <c r="X37" s="35"/>
      <c r="Y37" s="35"/>
      <c r="Z37" s="35"/>
      <c r="AA37" s="35"/>
      <c r="AB37" s="35"/>
    </row>
    <row r="38" ht="15.75" customHeight="1">
      <c r="A38" s="35" t="s">
        <v>2442</v>
      </c>
      <c r="B38" s="35">
        <v>266.0</v>
      </c>
      <c r="C38" s="35"/>
      <c r="D38" s="35"/>
      <c r="E38" s="35" t="s">
        <v>2352</v>
      </c>
      <c r="F38" s="35">
        <v>469.0</v>
      </c>
      <c r="G38" s="35"/>
      <c r="H38" s="35"/>
      <c r="I38" s="35" t="s">
        <v>2445</v>
      </c>
      <c r="J38" s="35">
        <v>90.0</v>
      </c>
      <c r="K38" s="35">
        <v>15.0</v>
      </c>
      <c r="L38" s="35"/>
      <c r="M38" s="35"/>
      <c r="N38" s="35"/>
      <c r="O38" s="35"/>
      <c r="P38" s="35"/>
      <c r="Q38" s="35" t="s">
        <v>2449</v>
      </c>
      <c r="R38" s="35">
        <v>140.0</v>
      </c>
      <c r="S38" s="35">
        <v>27.0</v>
      </c>
      <c r="T38" s="35" t="s">
        <v>91</v>
      </c>
      <c r="U38" s="35"/>
      <c r="V38" s="35"/>
      <c r="W38" s="35"/>
      <c r="X38" s="35"/>
      <c r="Y38" s="35"/>
      <c r="Z38" s="35"/>
      <c r="AA38" s="35"/>
      <c r="AB38" s="35"/>
    </row>
    <row r="39" ht="15.75" customHeight="1">
      <c r="A39" s="35" t="s">
        <v>2452</v>
      </c>
      <c r="B39" s="35">
        <v>262.0</v>
      </c>
      <c r="C39" s="35"/>
      <c r="D39" s="35"/>
      <c r="E39" s="35" t="s">
        <v>591</v>
      </c>
      <c r="F39" s="35">
        <v>340.0</v>
      </c>
      <c r="G39" s="35"/>
      <c r="H39" s="35"/>
      <c r="I39" s="35" t="s">
        <v>2385</v>
      </c>
      <c r="J39" s="35">
        <v>110.0</v>
      </c>
      <c r="K39" s="35">
        <v>18.0</v>
      </c>
      <c r="L39" s="35"/>
      <c r="M39" s="35"/>
      <c r="N39" s="35"/>
      <c r="O39" s="35"/>
      <c r="P39" s="35"/>
      <c r="Q39" s="35" t="s">
        <v>2457</v>
      </c>
      <c r="R39" s="35">
        <v>260.0</v>
      </c>
      <c r="S39" s="35">
        <v>29.0</v>
      </c>
      <c r="T39" s="35" t="s">
        <v>91</v>
      </c>
      <c r="U39" s="35"/>
      <c r="V39" s="35"/>
      <c r="W39" s="35"/>
      <c r="X39" s="35"/>
      <c r="Y39" s="35"/>
      <c r="Z39" s="35"/>
      <c r="AA39" s="35"/>
      <c r="AB39" s="35"/>
    </row>
    <row r="40" ht="15.75" customHeight="1">
      <c r="A40" s="35" t="s">
        <v>2462</v>
      </c>
      <c r="B40" s="35">
        <v>261.0</v>
      </c>
      <c r="C40" s="35"/>
      <c r="D40" s="35"/>
      <c r="E40" s="35" t="s">
        <v>2425</v>
      </c>
      <c r="F40" s="35"/>
      <c r="G40" s="35"/>
      <c r="H40" s="35"/>
      <c r="I40" s="35" t="s">
        <v>2329</v>
      </c>
      <c r="J40" s="35">
        <v>590.0</v>
      </c>
      <c r="K40" s="35">
        <v>25.0</v>
      </c>
      <c r="L40" s="35"/>
      <c r="M40" s="35"/>
      <c r="N40" s="35"/>
      <c r="O40" s="35"/>
      <c r="P40" s="35"/>
      <c r="Q40" s="35" t="s">
        <v>2468</v>
      </c>
      <c r="R40" s="35">
        <v>140.0</v>
      </c>
      <c r="S40" s="35">
        <v>18.0</v>
      </c>
      <c r="T40" s="35" t="s">
        <v>91</v>
      </c>
      <c r="U40" s="35"/>
      <c r="V40" s="35"/>
      <c r="W40" s="35"/>
      <c r="X40" s="35"/>
      <c r="Y40" s="35"/>
      <c r="Z40" s="35"/>
      <c r="AA40" s="35"/>
      <c r="AB40" s="35"/>
    </row>
    <row r="41" ht="15.75" customHeight="1">
      <c r="A41" s="35" t="s">
        <v>2472</v>
      </c>
      <c r="B41" s="35">
        <v>258.0</v>
      </c>
      <c r="C41" s="35"/>
      <c r="D41" s="35"/>
      <c r="E41" s="35" t="s">
        <v>2475</v>
      </c>
      <c r="F41" s="35"/>
      <c r="G41" s="35"/>
      <c r="H41" s="35"/>
      <c r="I41" s="35" t="s">
        <v>2337</v>
      </c>
      <c r="J41" s="35">
        <v>590.0</v>
      </c>
      <c r="K41" s="35">
        <v>9.0</v>
      </c>
      <c r="L41" s="35"/>
      <c r="M41" s="35"/>
      <c r="N41" s="35"/>
      <c r="O41" s="35"/>
      <c r="P41" s="35"/>
      <c r="Q41" s="35" t="s">
        <v>2478</v>
      </c>
      <c r="R41" s="35">
        <v>1300.0</v>
      </c>
      <c r="S41" s="35">
        <v>11.0</v>
      </c>
      <c r="T41" s="35" t="s">
        <v>91</v>
      </c>
      <c r="U41" s="35"/>
      <c r="V41" s="35"/>
      <c r="W41" s="35"/>
      <c r="X41" s="35"/>
      <c r="Y41" s="35"/>
      <c r="Z41" s="35"/>
      <c r="AA41" s="35"/>
      <c r="AB41" s="35"/>
    </row>
    <row r="42" ht="15.75" customHeight="1">
      <c r="A42" s="35" t="s">
        <v>2481</v>
      </c>
      <c r="B42" s="35">
        <v>255.0</v>
      </c>
      <c r="C42" s="35"/>
      <c r="D42" s="35"/>
      <c r="E42" s="35" t="s">
        <v>2382</v>
      </c>
      <c r="F42" s="35">
        <v>280.0</v>
      </c>
      <c r="G42" s="35"/>
      <c r="H42" s="35"/>
      <c r="I42" s="35" t="s">
        <v>2343</v>
      </c>
      <c r="J42" s="35">
        <v>390.0</v>
      </c>
      <c r="K42" s="35">
        <v>28.0</v>
      </c>
      <c r="L42" s="35"/>
      <c r="M42" s="35"/>
      <c r="N42" s="35"/>
      <c r="O42" s="35"/>
      <c r="P42" s="35"/>
      <c r="Q42" s="35" t="s">
        <v>2487</v>
      </c>
      <c r="R42" s="35">
        <v>320.0</v>
      </c>
      <c r="S42" s="35">
        <v>22.0</v>
      </c>
      <c r="T42" s="35" t="s">
        <v>91</v>
      </c>
      <c r="U42" s="35"/>
      <c r="V42" s="35"/>
      <c r="W42" s="35"/>
      <c r="X42" s="35"/>
      <c r="Y42" s="35"/>
      <c r="Z42" s="35"/>
      <c r="AA42" s="35"/>
      <c r="AB42" s="35"/>
    </row>
    <row r="43" ht="15.75" customHeight="1">
      <c r="A43" s="35" t="s">
        <v>2492</v>
      </c>
      <c r="B43" s="35">
        <v>253.0</v>
      </c>
      <c r="C43" s="35"/>
      <c r="D43" s="35"/>
      <c r="E43" s="35" t="s">
        <v>2390</v>
      </c>
      <c r="F43" s="35">
        <v>276.0</v>
      </c>
      <c r="G43" s="35"/>
      <c r="H43" s="35"/>
      <c r="I43" s="35" t="s">
        <v>2348</v>
      </c>
      <c r="J43" s="35">
        <v>320.0</v>
      </c>
      <c r="K43" s="35">
        <v>29.0</v>
      </c>
      <c r="L43" s="35"/>
      <c r="M43" s="35"/>
      <c r="N43" s="35"/>
      <c r="O43" s="35"/>
      <c r="P43" s="35"/>
      <c r="Q43" s="35"/>
      <c r="R43" s="35"/>
      <c r="S43" s="35"/>
      <c r="T43" s="35"/>
      <c r="U43" s="35"/>
      <c r="V43" s="35"/>
      <c r="W43" s="35"/>
      <c r="X43" s="35"/>
      <c r="Y43" s="35"/>
      <c r="Z43" s="35"/>
      <c r="AA43" s="35"/>
      <c r="AB43" s="35"/>
    </row>
    <row r="44" ht="15.75" customHeight="1">
      <c r="A44" s="35" t="s">
        <v>2502</v>
      </c>
      <c r="B44" s="35">
        <v>251.0</v>
      </c>
      <c r="C44" s="35"/>
      <c r="D44" s="35"/>
      <c r="E44" s="35" t="s">
        <v>2400</v>
      </c>
      <c r="F44" s="35">
        <v>267.0</v>
      </c>
      <c r="G44" s="35"/>
      <c r="H44" s="35"/>
      <c r="I44" s="35" t="s">
        <v>2354</v>
      </c>
      <c r="J44" s="35">
        <v>210.0</v>
      </c>
      <c r="K44" s="35">
        <v>24.0</v>
      </c>
      <c r="L44" s="35"/>
      <c r="M44" s="35"/>
      <c r="N44" s="35" t="s">
        <v>2506</v>
      </c>
      <c r="O44" s="35"/>
      <c r="P44" s="35"/>
      <c r="Q44" s="35"/>
      <c r="R44" s="35"/>
      <c r="S44" s="35"/>
      <c r="T44" s="35"/>
      <c r="U44" s="35"/>
      <c r="V44" s="35"/>
      <c r="W44" s="35"/>
      <c r="X44" s="35"/>
      <c r="Y44" s="35"/>
      <c r="Z44" s="35"/>
      <c r="AA44" s="35"/>
      <c r="AB44" s="35"/>
    </row>
    <row r="45" ht="15.75" customHeight="1">
      <c r="A45" s="35" t="s">
        <v>1080</v>
      </c>
      <c r="B45" s="35">
        <v>234.0</v>
      </c>
      <c r="C45" s="35"/>
      <c r="D45" s="35"/>
      <c r="E45" s="35" t="s">
        <v>2228</v>
      </c>
      <c r="F45" s="35"/>
      <c r="G45" s="35"/>
      <c r="H45" s="35"/>
      <c r="I45" s="35" t="s">
        <v>2513</v>
      </c>
      <c r="J45" s="35">
        <v>170.0</v>
      </c>
      <c r="K45" s="35">
        <v>28.0</v>
      </c>
      <c r="L45" s="35"/>
      <c r="M45" s="35"/>
      <c r="N45" s="35"/>
      <c r="O45" s="35"/>
      <c r="P45" s="35"/>
      <c r="Q45" s="35"/>
      <c r="R45" s="35"/>
      <c r="S45" s="35"/>
      <c r="T45" s="35"/>
      <c r="U45" s="35"/>
      <c r="V45" s="35"/>
      <c r="W45" s="35"/>
      <c r="X45" s="35"/>
      <c r="Y45" s="35"/>
      <c r="Z45" s="35"/>
      <c r="AA45" s="35"/>
      <c r="AB45" s="35"/>
    </row>
    <row r="46" ht="15.75" customHeight="1">
      <c r="A46" s="35" t="s">
        <v>2519</v>
      </c>
      <c r="B46" s="35">
        <v>231.0</v>
      </c>
      <c r="C46" s="35"/>
      <c r="D46" s="35"/>
      <c r="E46" s="35" t="s">
        <v>765</v>
      </c>
      <c r="F46" s="35"/>
      <c r="G46" s="35"/>
      <c r="H46" s="35"/>
      <c r="I46" s="35" t="s">
        <v>2377</v>
      </c>
      <c r="J46" s="35">
        <v>480.0</v>
      </c>
      <c r="K46" s="35">
        <v>29.0</v>
      </c>
      <c r="L46" s="35"/>
      <c r="M46" s="35"/>
      <c r="N46" s="35"/>
      <c r="O46" s="35"/>
      <c r="P46" s="35"/>
      <c r="Q46" s="35"/>
      <c r="R46" s="35"/>
      <c r="S46" s="35"/>
      <c r="T46" s="35"/>
      <c r="U46" s="35"/>
      <c r="V46" s="35"/>
      <c r="W46" s="35"/>
      <c r="X46" s="35"/>
      <c r="Y46" s="35"/>
      <c r="Z46" s="35"/>
      <c r="AA46" s="35"/>
      <c r="AB46" s="35"/>
    </row>
    <row r="47" ht="15.75" customHeight="1">
      <c r="A47" s="35" t="s">
        <v>2524</v>
      </c>
      <c r="B47" s="35">
        <v>229.0</v>
      </c>
      <c r="C47" s="35"/>
      <c r="D47" s="35"/>
      <c r="E47" s="35" t="s">
        <v>2527</v>
      </c>
      <c r="F47" s="35">
        <v>168.0</v>
      </c>
      <c r="G47" s="35"/>
      <c r="H47" s="35"/>
      <c r="I47" s="35" t="s">
        <v>2529</v>
      </c>
      <c r="J47" s="35">
        <v>260.0</v>
      </c>
      <c r="K47" s="35">
        <v>20.0</v>
      </c>
      <c r="L47" s="35"/>
      <c r="M47" s="35"/>
      <c r="N47" s="35"/>
      <c r="O47" s="35"/>
      <c r="P47" s="35"/>
      <c r="Q47" s="35"/>
      <c r="R47" s="35"/>
      <c r="S47" s="35"/>
      <c r="T47" s="35"/>
      <c r="U47" s="35"/>
      <c r="V47" s="35"/>
      <c r="W47" s="35"/>
      <c r="X47" s="35"/>
      <c r="Y47" s="35"/>
      <c r="Z47" s="35"/>
      <c r="AA47" s="35"/>
      <c r="AB47" s="35"/>
    </row>
    <row r="48" ht="15.75" customHeight="1">
      <c r="A48" s="35" t="s">
        <v>822</v>
      </c>
      <c r="B48" s="35">
        <v>229.0</v>
      </c>
      <c r="C48" s="35"/>
      <c r="D48" s="35"/>
      <c r="E48" s="35" t="s">
        <v>2536</v>
      </c>
      <c r="F48" s="35">
        <v>167.0</v>
      </c>
      <c r="G48" s="35"/>
      <c r="H48" s="35"/>
      <c r="I48" s="35" t="s">
        <v>2540</v>
      </c>
      <c r="J48" s="35">
        <v>170.0</v>
      </c>
      <c r="K48" s="35">
        <v>10.0</v>
      </c>
      <c r="L48" s="35"/>
      <c r="M48" s="35"/>
      <c r="N48" s="35"/>
      <c r="O48" s="35"/>
      <c r="P48" s="35"/>
      <c r="Q48" s="35"/>
      <c r="R48" s="35"/>
      <c r="S48" s="35"/>
      <c r="T48" s="35"/>
      <c r="U48" s="35"/>
      <c r="V48" s="35"/>
      <c r="W48" s="35"/>
      <c r="X48" s="35"/>
      <c r="Y48" s="35"/>
      <c r="Z48" s="35"/>
      <c r="AA48" s="35"/>
      <c r="AB48" s="35"/>
    </row>
    <row r="49" ht="15.75" customHeight="1">
      <c r="A49" s="35" t="s">
        <v>2548</v>
      </c>
      <c r="B49" s="35">
        <v>226.0</v>
      </c>
      <c r="C49" s="35"/>
      <c r="D49" s="35"/>
      <c r="E49" s="35" t="s">
        <v>2549</v>
      </c>
      <c r="F49" s="35">
        <v>159.0</v>
      </c>
      <c r="G49" s="35"/>
      <c r="H49" s="35"/>
      <c r="I49" s="35" t="s">
        <v>2318</v>
      </c>
      <c r="J49" s="35">
        <v>1300.0</v>
      </c>
      <c r="K49" s="35">
        <v>15.0</v>
      </c>
      <c r="L49" s="35"/>
      <c r="M49" s="35"/>
      <c r="N49" s="35"/>
      <c r="O49" s="35"/>
      <c r="P49" s="35"/>
      <c r="Q49" s="35"/>
      <c r="R49" s="35"/>
      <c r="S49" s="35"/>
      <c r="T49" s="35"/>
      <c r="U49" s="35"/>
      <c r="V49" s="35"/>
      <c r="W49" s="35"/>
      <c r="X49" s="35"/>
      <c r="Y49" s="35"/>
      <c r="Z49" s="35"/>
      <c r="AA49" s="35"/>
      <c r="AB49" s="35"/>
    </row>
    <row r="50" ht="15.75" customHeight="1">
      <c r="A50" s="35" t="s">
        <v>2557</v>
      </c>
      <c r="B50" s="35">
        <v>214.0</v>
      </c>
      <c r="C50" s="35"/>
      <c r="D50" s="35"/>
      <c r="E50" s="35" t="s">
        <v>2559</v>
      </c>
      <c r="F50" s="35"/>
      <c r="G50" s="35"/>
      <c r="H50" s="35"/>
      <c r="I50" s="35" t="s">
        <v>2564</v>
      </c>
      <c r="J50" s="35">
        <v>210.0</v>
      </c>
      <c r="K50" s="35">
        <v>24.0</v>
      </c>
      <c r="L50" s="35"/>
      <c r="M50" s="35"/>
      <c r="N50" s="35"/>
      <c r="O50" s="35"/>
      <c r="P50" s="35"/>
      <c r="Q50" s="35" t="s">
        <v>2567</v>
      </c>
      <c r="R50" s="35" t="s">
        <v>91</v>
      </c>
      <c r="S50" s="35">
        <v>1600.0</v>
      </c>
      <c r="T50" s="35">
        <v>32.0</v>
      </c>
      <c r="U50" s="35">
        <v>0.51</v>
      </c>
      <c r="V50" s="35" t="s">
        <v>2573</v>
      </c>
      <c r="W50" s="35" t="s">
        <v>2575</v>
      </c>
      <c r="X50" s="35"/>
      <c r="Y50" s="35"/>
      <c r="Z50" s="35"/>
      <c r="AA50" s="35"/>
      <c r="AB50" s="35"/>
    </row>
    <row r="51" ht="15.75" customHeight="1">
      <c r="A51" s="35" t="s">
        <v>2578</v>
      </c>
      <c r="B51" s="35">
        <v>200.0</v>
      </c>
      <c r="C51" s="35"/>
      <c r="D51" s="35"/>
      <c r="E51" s="35" t="s">
        <v>2581</v>
      </c>
      <c r="F51" s="35">
        <v>145.0</v>
      </c>
      <c r="G51" s="35"/>
      <c r="H51" s="35"/>
      <c r="I51" s="35" t="s">
        <v>2449</v>
      </c>
      <c r="J51" s="35">
        <v>140.0</v>
      </c>
      <c r="K51" s="35">
        <v>27.0</v>
      </c>
      <c r="L51" s="35"/>
      <c r="M51" s="35"/>
      <c r="N51" s="35"/>
      <c r="O51" s="35"/>
      <c r="P51" s="35"/>
      <c r="Q51" s="35" t="s">
        <v>2588</v>
      </c>
      <c r="R51" s="35" t="s">
        <v>91</v>
      </c>
      <c r="S51" s="35">
        <v>880.0</v>
      </c>
      <c r="T51" s="35">
        <v>31.0</v>
      </c>
      <c r="U51" s="35">
        <v>0.0</v>
      </c>
      <c r="V51" s="35" t="s">
        <v>2589</v>
      </c>
      <c r="W51" s="35" t="s">
        <v>2575</v>
      </c>
      <c r="X51" s="35"/>
      <c r="Y51" s="35"/>
      <c r="Z51" s="35"/>
      <c r="AA51" s="35"/>
      <c r="AB51" s="35"/>
    </row>
    <row r="52" ht="15.75" customHeight="1">
      <c r="A52" s="35" t="s">
        <v>2592</v>
      </c>
      <c r="B52" s="35">
        <v>195.0</v>
      </c>
      <c r="C52" s="35"/>
      <c r="D52" s="35"/>
      <c r="E52" s="35" t="s">
        <v>2594</v>
      </c>
      <c r="F52" s="35"/>
      <c r="G52" s="35"/>
      <c r="H52" s="35"/>
      <c r="I52" s="35" t="s">
        <v>2597</v>
      </c>
      <c r="J52" s="35">
        <v>110.0</v>
      </c>
      <c r="K52" s="35">
        <v>21.0</v>
      </c>
      <c r="L52" s="35"/>
      <c r="M52" s="35"/>
      <c r="N52" s="35"/>
      <c r="O52" s="35"/>
      <c r="P52" s="35"/>
      <c r="Q52" s="35" t="s">
        <v>2599</v>
      </c>
      <c r="R52" s="35" t="s">
        <v>91</v>
      </c>
      <c r="S52" s="35">
        <v>170.0</v>
      </c>
      <c r="T52" s="35">
        <v>30.0</v>
      </c>
      <c r="U52" s="35">
        <v>0.53</v>
      </c>
      <c r="V52" s="35" t="s">
        <v>2602</v>
      </c>
      <c r="W52" s="35" t="s">
        <v>2575</v>
      </c>
      <c r="X52" s="35"/>
      <c r="Y52" s="35"/>
      <c r="Z52" s="35"/>
      <c r="AA52" s="35"/>
      <c r="AB52" s="35"/>
    </row>
    <row r="53" ht="15.75" customHeight="1">
      <c r="A53" s="35" t="s">
        <v>2606</v>
      </c>
      <c r="B53" s="35">
        <v>194.0</v>
      </c>
      <c r="C53" s="35"/>
      <c r="D53" s="35"/>
      <c r="E53" s="35" t="s">
        <v>2506</v>
      </c>
      <c r="F53" s="35">
        <v>142.0</v>
      </c>
      <c r="G53" s="35"/>
      <c r="H53" s="35"/>
      <c r="I53" s="35" t="s">
        <v>2610</v>
      </c>
      <c r="J53" s="35">
        <v>720.0</v>
      </c>
      <c r="K53" s="35">
        <v>23.0</v>
      </c>
      <c r="L53" s="35"/>
      <c r="M53" s="35"/>
      <c r="N53" s="35"/>
      <c r="O53" s="35"/>
      <c r="P53" s="35"/>
      <c r="Q53" s="35" t="s">
        <v>2612</v>
      </c>
      <c r="R53" s="35" t="s">
        <v>91</v>
      </c>
      <c r="S53" s="35">
        <v>1000.0</v>
      </c>
      <c r="T53" s="35">
        <v>35.0</v>
      </c>
      <c r="U53" s="35"/>
      <c r="V53" s="35"/>
      <c r="W53" s="35"/>
      <c r="X53" s="35"/>
      <c r="Y53" s="35"/>
      <c r="Z53" s="35"/>
      <c r="AA53" s="35"/>
      <c r="AB53" s="35"/>
    </row>
    <row r="54" ht="15.75" customHeight="1">
      <c r="A54" s="35" t="s">
        <v>2616</v>
      </c>
      <c r="B54" s="35">
        <v>190.0</v>
      </c>
      <c r="C54" s="35"/>
      <c r="D54" s="35"/>
      <c r="E54" s="35" t="s">
        <v>2341</v>
      </c>
      <c r="F54" s="35"/>
      <c r="G54" s="35"/>
      <c r="H54" s="35"/>
      <c r="I54" s="35" t="s">
        <v>2621</v>
      </c>
      <c r="J54" s="35">
        <v>390.0</v>
      </c>
      <c r="K54" s="35">
        <v>21.0</v>
      </c>
      <c r="L54" s="35"/>
      <c r="M54" s="35"/>
      <c r="N54" s="35"/>
      <c r="O54" s="35"/>
      <c r="P54" s="35"/>
      <c r="Q54" s="35"/>
      <c r="R54" s="35"/>
      <c r="S54" s="35"/>
      <c r="T54" s="35"/>
      <c r="U54" s="35"/>
      <c r="V54" s="35"/>
      <c r="W54" s="35"/>
      <c r="X54" s="35"/>
      <c r="Y54" s="35"/>
      <c r="Z54" s="35"/>
      <c r="AA54" s="35"/>
      <c r="AB54" s="35"/>
    </row>
    <row r="55" ht="15.75" customHeight="1">
      <c r="A55" s="35" t="s">
        <v>2628</v>
      </c>
      <c r="B55" s="35">
        <v>189.0</v>
      </c>
      <c r="C55" s="35"/>
      <c r="D55" s="35"/>
      <c r="E55" s="35" t="s">
        <v>2540</v>
      </c>
      <c r="F55" s="35"/>
      <c r="G55" s="35"/>
      <c r="H55" s="35"/>
      <c r="I55" s="35"/>
      <c r="J55" s="35">
        <v>320.0</v>
      </c>
      <c r="K55" s="35">
        <v>15.0</v>
      </c>
      <c r="L55" s="35"/>
      <c r="M55" s="35"/>
      <c r="N55" s="35"/>
      <c r="O55" s="35"/>
      <c r="P55" s="35"/>
      <c r="Q55" s="35" t="s">
        <v>2633</v>
      </c>
      <c r="R55" s="35" t="s">
        <v>2635</v>
      </c>
      <c r="S55" s="35" t="s">
        <v>2636</v>
      </c>
      <c r="T55" s="35" t="s">
        <v>2638</v>
      </c>
      <c r="U55" s="35">
        <v>4.0</v>
      </c>
      <c r="V55" s="35">
        <v>100.0</v>
      </c>
      <c r="W55" s="35">
        <v>480.0</v>
      </c>
      <c r="X55" s="35">
        <v>42.0</v>
      </c>
      <c r="Y55" s="35" t="s">
        <v>2642</v>
      </c>
      <c r="Z55" s="35">
        <v>45938.0</v>
      </c>
      <c r="AA55" s="35"/>
      <c r="AB55" s="35"/>
    </row>
    <row r="56" ht="15.75" customHeight="1">
      <c r="A56" s="35" t="s">
        <v>2644</v>
      </c>
      <c r="B56" s="35">
        <v>172.0</v>
      </c>
      <c r="C56" s="35"/>
      <c r="D56" s="35"/>
      <c r="E56" s="35" t="s">
        <v>2271</v>
      </c>
      <c r="F56" s="35"/>
      <c r="G56" s="35"/>
      <c r="H56" s="35"/>
      <c r="I56" s="35" t="s">
        <v>2648</v>
      </c>
      <c r="J56" s="35">
        <v>260.0</v>
      </c>
      <c r="K56" s="35">
        <v>25.0</v>
      </c>
      <c r="L56" s="35"/>
      <c r="M56" s="35"/>
      <c r="N56" s="35"/>
      <c r="O56" s="35"/>
      <c r="P56" s="35"/>
      <c r="Q56" s="35" t="s">
        <v>2651</v>
      </c>
      <c r="R56" s="35" t="s">
        <v>2635</v>
      </c>
      <c r="S56" s="35">
        <v>5.0</v>
      </c>
      <c r="T56" s="35" t="s">
        <v>2653</v>
      </c>
      <c r="U56" s="35">
        <v>0.0</v>
      </c>
      <c r="V56" s="35">
        <v>0.0</v>
      </c>
      <c r="W56" s="35">
        <v>30.0</v>
      </c>
      <c r="X56" s="35">
        <v>10.0</v>
      </c>
      <c r="Y56" s="35" t="s">
        <v>2655</v>
      </c>
      <c r="Z56" s="35">
        <v>45906.0</v>
      </c>
      <c r="AA56" s="35"/>
      <c r="AB56" s="35"/>
    </row>
    <row r="57" ht="15.75" customHeight="1">
      <c r="A57" s="35" t="s">
        <v>2660</v>
      </c>
      <c r="B57" s="35">
        <v>169.0</v>
      </c>
      <c r="C57" s="35"/>
      <c r="D57" s="35"/>
      <c r="E57" s="35" t="s">
        <v>2662</v>
      </c>
      <c r="F57" s="35">
        <v>121.0</v>
      </c>
      <c r="G57" s="35"/>
      <c r="H57" s="35"/>
      <c r="I57" s="35" t="s">
        <v>2665</v>
      </c>
      <c r="J57" s="35">
        <v>260.0</v>
      </c>
      <c r="K57" s="35">
        <v>21.0</v>
      </c>
      <c r="L57" s="35"/>
      <c r="M57" s="35"/>
      <c r="N57" s="35"/>
      <c r="O57" s="35"/>
      <c r="P57" s="35"/>
      <c r="Q57" s="35" t="s">
        <v>2667</v>
      </c>
      <c r="R57" s="35" t="s">
        <v>2668</v>
      </c>
      <c r="S57" s="35">
        <v>3.0</v>
      </c>
      <c r="T57" s="35" t="s">
        <v>2671</v>
      </c>
      <c r="U57" s="35">
        <v>3.0</v>
      </c>
      <c r="V57" s="35">
        <v>60.0</v>
      </c>
      <c r="W57" s="35">
        <v>170.0</v>
      </c>
      <c r="X57" s="35">
        <v>25.0</v>
      </c>
      <c r="Y57" s="35" t="s">
        <v>2673</v>
      </c>
      <c r="Z57" s="35">
        <v>45895.0</v>
      </c>
      <c r="AA57" s="35"/>
      <c r="AB57" s="35"/>
    </row>
    <row r="58" ht="15.75" customHeight="1">
      <c r="A58" s="35" t="s">
        <v>2678</v>
      </c>
      <c r="B58" s="35">
        <v>169.0</v>
      </c>
      <c r="C58" s="35"/>
      <c r="D58" s="35"/>
      <c r="E58" s="35" t="s">
        <v>2681</v>
      </c>
      <c r="F58" s="35">
        <v>113.0</v>
      </c>
      <c r="G58" s="35"/>
      <c r="H58" s="35"/>
      <c r="I58" s="35" t="s">
        <v>2683</v>
      </c>
      <c r="J58" s="35">
        <v>260.0</v>
      </c>
      <c r="K58" s="35">
        <v>18.0</v>
      </c>
      <c r="L58" s="35"/>
      <c r="M58" s="35"/>
      <c r="N58" s="35"/>
      <c r="O58" s="35"/>
      <c r="P58" s="35"/>
      <c r="Q58" s="35" t="s">
        <v>2686</v>
      </c>
      <c r="R58" s="35"/>
      <c r="S58" s="35"/>
      <c r="T58" s="35"/>
      <c r="U58" s="35"/>
      <c r="V58" s="35"/>
      <c r="W58" s="35"/>
      <c r="X58" s="35"/>
      <c r="Y58" s="35"/>
      <c r="Z58" s="35"/>
      <c r="AA58" s="35"/>
      <c r="AB58" s="35"/>
    </row>
    <row r="59" ht="15.75" customHeight="1">
      <c r="A59" s="35" t="s">
        <v>2688</v>
      </c>
      <c r="B59" s="35">
        <v>167.0</v>
      </c>
      <c r="C59" s="35"/>
      <c r="D59" s="35"/>
      <c r="E59" s="35" t="s">
        <v>2690</v>
      </c>
      <c r="F59" s="35"/>
      <c r="G59" s="35"/>
      <c r="H59" s="35"/>
      <c r="I59" s="35" t="s">
        <v>2692</v>
      </c>
      <c r="J59" s="35">
        <v>210.0</v>
      </c>
      <c r="K59" s="35">
        <v>17.0</v>
      </c>
      <c r="L59" s="35"/>
      <c r="M59" s="35"/>
      <c r="N59" s="35"/>
      <c r="O59" s="35"/>
      <c r="P59" s="35"/>
      <c r="Q59" s="35" t="s">
        <v>2695</v>
      </c>
      <c r="R59" s="35"/>
      <c r="S59" s="35"/>
      <c r="T59" s="35"/>
      <c r="U59" s="35"/>
      <c r="V59" s="35"/>
      <c r="W59" s="35"/>
      <c r="X59" s="35"/>
      <c r="Y59" s="35"/>
      <c r="Z59" s="35"/>
      <c r="AA59" s="35"/>
      <c r="AB59" s="35"/>
    </row>
    <row r="60" ht="15.75" customHeight="1">
      <c r="A60" s="35" t="s">
        <v>2699</v>
      </c>
      <c r="B60" s="35">
        <v>167.0</v>
      </c>
      <c r="C60" s="35"/>
      <c r="D60" s="35"/>
      <c r="E60" s="35" t="s">
        <v>2269</v>
      </c>
      <c r="F60" s="35"/>
      <c r="G60" s="35"/>
      <c r="H60" s="35"/>
      <c r="I60" s="35" t="s">
        <v>2702</v>
      </c>
      <c r="J60" s="35">
        <v>210.0</v>
      </c>
      <c r="K60" s="35">
        <v>20.0</v>
      </c>
      <c r="L60" s="35"/>
      <c r="M60" s="35"/>
      <c r="N60" s="35"/>
      <c r="O60" s="35"/>
      <c r="P60" s="35"/>
      <c r="Q60" s="35"/>
      <c r="R60" s="35"/>
      <c r="S60" s="35"/>
      <c r="T60" s="35"/>
      <c r="U60" s="35"/>
      <c r="V60" s="35"/>
      <c r="W60" s="35"/>
      <c r="X60" s="35"/>
      <c r="Y60" s="35"/>
      <c r="Z60" s="35"/>
      <c r="AA60" s="35"/>
      <c r="AB60" s="35"/>
    </row>
    <row r="61" ht="15.75" customHeight="1">
      <c r="A61" s="35" t="s">
        <v>2705</v>
      </c>
      <c r="B61" s="35">
        <v>166.0</v>
      </c>
      <c r="C61" s="35"/>
      <c r="D61" s="35"/>
      <c r="E61" s="35" t="s">
        <v>2559</v>
      </c>
      <c r="F61" s="35"/>
      <c r="G61" s="35"/>
      <c r="H61" s="35"/>
      <c r="I61" s="35" t="s">
        <v>2710</v>
      </c>
      <c r="J61" s="35">
        <v>170.0</v>
      </c>
      <c r="K61" s="35">
        <v>10.0</v>
      </c>
      <c r="L61" s="35"/>
      <c r="M61" s="35"/>
      <c r="N61" s="35"/>
      <c r="O61" s="35"/>
      <c r="P61" s="35"/>
      <c r="Q61" s="35"/>
      <c r="R61" s="35"/>
      <c r="S61" s="35"/>
      <c r="T61" s="35"/>
      <c r="U61" s="35"/>
      <c r="V61" s="35"/>
      <c r="W61" s="35"/>
      <c r="X61" s="35"/>
      <c r="Y61" s="35"/>
      <c r="Z61" s="35"/>
      <c r="AA61" s="35"/>
      <c r="AB61" s="35"/>
    </row>
    <row r="62" ht="15.75" customHeight="1">
      <c r="A62" s="35" t="s">
        <v>2716</v>
      </c>
      <c r="B62" s="35">
        <v>163.0</v>
      </c>
      <c r="C62" s="35"/>
      <c r="D62" s="35"/>
      <c r="E62" s="35" t="s">
        <v>2683</v>
      </c>
      <c r="F62" s="35">
        <v>112.0</v>
      </c>
      <c r="G62" s="35"/>
      <c r="H62" s="35"/>
      <c r="I62" s="35" t="s">
        <v>2478</v>
      </c>
      <c r="J62" s="35">
        <v>1300.0</v>
      </c>
      <c r="K62" s="35">
        <v>11.0</v>
      </c>
      <c r="L62" s="35"/>
      <c r="M62" s="35"/>
      <c r="N62" s="35"/>
      <c r="O62" s="35"/>
      <c r="P62" s="35"/>
      <c r="Q62" s="35"/>
      <c r="R62" s="35"/>
      <c r="S62" s="35"/>
      <c r="T62" s="35"/>
      <c r="U62" s="35"/>
      <c r="V62" s="35"/>
      <c r="W62" s="35"/>
      <c r="X62" s="35"/>
      <c r="Y62" s="35"/>
      <c r="Z62" s="35"/>
      <c r="AA62" s="35"/>
      <c r="AB62" s="35"/>
    </row>
    <row r="63" ht="15.75" customHeight="1">
      <c r="A63" s="35" t="s">
        <v>2724</v>
      </c>
      <c r="B63" s="35">
        <v>162.0</v>
      </c>
      <c r="C63" s="35"/>
      <c r="D63" s="35"/>
      <c r="E63" s="35" t="s">
        <v>2727</v>
      </c>
      <c r="F63" s="35">
        <v>109.0</v>
      </c>
      <c r="G63" s="35"/>
      <c r="H63" s="35"/>
      <c r="I63" s="35" t="s">
        <v>2728</v>
      </c>
      <c r="J63" s="35">
        <v>720.0</v>
      </c>
      <c r="K63" s="35">
        <v>20.0</v>
      </c>
      <c r="L63" s="35"/>
      <c r="M63" s="35"/>
      <c r="N63" s="35"/>
      <c r="O63" s="35"/>
      <c r="P63" s="35"/>
      <c r="Q63" s="35"/>
      <c r="R63" s="35"/>
      <c r="S63" s="35"/>
      <c r="T63" s="35"/>
      <c r="U63" s="35"/>
      <c r="V63" s="35"/>
      <c r="W63" s="35"/>
      <c r="X63" s="35"/>
      <c r="Y63" s="35"/>
      <c r="Z63" s="35"/>
      <c r="AA63" s="35"/>
      <c r="AB63" s="35"/>
    </row>
    <row r="64" ht="15.75" customHeight="1">
      <c r="A64" s="35" t="s">
        <v>2734</v>
      </c>
      <c r="B64" s="35">
        <v>162.0</v>
      </c>
      <c r="C64" s="35"/>
      <c r="D64" s="35"/>
      <c r="E64" s="35" t="s">
        <v>2735</v>
      </c>
      <c r="F64" s="35">
        <v>109.0</v>
      </c>
      <c r="G64" s="35"/>
      <c r="H64" s="35"/>
      <c r="I64" s="35" t="s">
        <v>2487</v>
      </c>
      <c r="J64" s="35">
        <v>320.0</v>
      </c>
      <c r="K64" s="35">
        <v>22.0</v>
      </c>
      <c r="L64" s="35"/>
      <c r="M64" s="35"/>
      <c r="N64" s="35"/>
      <c r="O64" s="35"/>
      <c r="P64" s="35"/>
      <c r="Q64" s="35"/>
      <c r="R64" s="35"/>
      <c r="S64" s="35"/>
      <c r="T64" s="35"/>
      <c r="U64" s="35"/>
      <c r="V64" s="35"/>
      <c r="W64" s="35"/>
      <c r="X64" s="35"/>
      <c r="Y64" s="35"/>
      <c r="Z64" s="35"/>
      <c r="AA64" s="35"/>
      <c r="AB64" s="35"/>
    </row>
    <row r="65" ht="15.75" customHeight="1">
      <c r="A65" s="35" t="s">
        <v>2740</v>
      </c>
      <c r="B65" s="35">
        <v>158.0</v>
      </c>
      <c r="C65" s="35"/>
      <c r="D65" s="35"/>
      <c r="E65" s="35" t="s">
        <v>767</v>
      </c>
      <c r="F65" s="35">
        <v>107.0</v>
      </c>
      <c r="G65" s="35"/>
      <c r="H65" s="35"/>
      <c r="I65" s="35" t="s">
        <v>2594</v>
      </c>
      <c r="J65" s="35">
        <v>110.0</v>
      </c>
      <c r="K65" s="35">
        <v>0.0</v>
      </c>
      <c r="L65" s="35"/>
      <c r="M65" s="35"/>
      <c r="N65" s="35"/>
      <c r="O65" s="35"/>
      <c r="P65" s="35"/>
      <c r="Q65" s="35"/>
      <c r="R65" s="35"/>
      <c r="S65" s="35"/>
      <c r="T65" s="35"/>
      <c r="U65" s="35"/>
      <c r="V65" s="35"/>
      <c r="W65" s="35"/>
      <c r="X65" s="35"/>
      <c r="Y65" s="35"/>
      <c r="Z65" s="35"/>
      <c r="AA65" s="35"/>
      <c r="AB65" s="35"/>
    </row>
    <row r="66" ht="15.75" customHeight="1">
      <c r="A66" s="35" t="s">
        <v>2744</v>
      </c>
      <c r="B66" s="35">
        <v>155.0</v>
      </c>
      <c r="C66" s="35"/>
      <c r="D66" s="35"/>
      <c r="E66" s="35" t="s">
        <v>2746</v>
      </c>
      <c r="F66" s="35">
        <v>106.0</v>
      </c>
      <c r="G66" s="35"/>
      <c r="H66" s="35"/>
      <c r="I66" s="35" t="s">
        <v>2457</v>
      </c>
      <c r="J66" s="35">
        <v>260.0</v>
      </c>
      <c r="K66" s="35">
        <v>29.0</v>
      </c>
      <c r="L66" s="35"/>
      <c r="M66" s="35"/>
      <c r="N66" s="35"/>
      <c r="O66" s="35"/>
      <c r="P66" s="35"/>
      <c r="Q66" s="35"/>
      <c r="R66" s="35"/>
      <c r="S66" s="35"/>
      <c r="T66" s="35"/>
      <c r="U66" s="35"/>
      <c r="V66" s="35"/>
      <c r="W66" s="35"/>
      <c r="X66" s="35"/>
      <c r="Y66" s="35"/>
      <c r="Z66" s="35"/>
      <c r="AA66" s="35"/>
      <c r="AB66" s="35"/>
    </row>
    <row r="67" ht="15.75" customHeight="1">
      <c r="A67" s="35" t="s">
        <v>2754</v>
      </c>
      <c r="B67" s="35">
        <v>155.0</v>
      </c>
      <c r="C67" s="35"/>
      <c r="D67" s="35"/>
      <c r="E67" s="35" t="s">
        <v>2755</v>
      </c>
      <c r="F67" s="35">
        <v>105.0</v>
      </c>
      <c r="G67" s="35"/>
      <c r="H67" s="35"/>
      <c r="I67" s="35" t="s">
        <v>2757</v>
      </c>
      <c r="J67" s="35">
        <v>320.0</v>
      </c>
      <c r="K67" s="35">
        <v>20.0</v>
      </c>
      <c r="L67" s="35"/>
      <c r="M67" s="35"/>
      <c r="N67" s="35"/>
      <c r="O67" s="35"/>
      <c r="P67" s="35"/>
      <c r="Q67" s="35"/>
      <c r="R67" s="35"/>
      <c r="S67" s="35"/>
      <c r="T67" s="35"/>
      <c r="U67" s="35"/>
      <c r="V67" s="35"/>
      <c r="W67" s="35"/>
      <c r="X67" s="35"/>
      <c r="Y67" s="35"/>
      <c r="Z67" s="35"/>
      <c r="AA67" s="35"/>
      <c r="AB67" s="35"/>
    </row>
    <row r="68" ht="15.75" customHeight="1">
      <c r="A68" s="35" t="s">
        <v>2764</v>
      </c>
      <c r="B68" s="35">
        <v>149.0</v>
      </c>
      <c r="C68" s="35"/>
      <c r="D68" s="35"/>
      <c r="E68" s="35" t="s">
        <v>2765</v>
      </c>
      <c r="F68" s="35">
        <v>103.0</v>
      </c>
      <c r="G68" s="35"/>
      <c r="H68" s="35"/>
      <c r="I68" s="35" t="s">
        <v>2468</v>
      </c>
      <c r="J68" s="35">
        <v>140.0</v>
      </c>
      <c r="K68" s="35">
        <v>18.0</v>
      </c>
      <c r="L68" s="35"/>
      <c r="M68" s="35"/>
      <c r="N68" s="35"/>
      <c r="O68" s="35"/>
      <c r="P68" s="35"/>
      <c r="Q68" s="35"/>
      <c r="R68" s="35"/>
      <c r="S68" s="35"/>
      <c r="T68" s="35"/>
      <c r="U68" s="35"/>
      <c r="V68" s="35"/>
      <c r="W68" s="35"/>
      <c r="X68" s="35"/>
      <c r="Y68" s="35"/>
      <c r="Z68" s="35"/>
      <c r="AA68" s="35"/>
      <c r="AB68" s="35"/>
    </row>
    <row r="69" ht="15.75" customHeight="1">
      <c r="A69" s="35" t="s">
        <v>2771</v>
      </c>
      <c r="B69" s="35">
        <v>147.0</v>
      </c>
      <c r="C69" s="35"/>
      <c r="D69" s="35"/>
      <c r="E69" s="35" t="s">
        <v>585</v>
      </c>
      <c r="F69" s="35">
        <v>102.0</v>
      </c>
      <c r="G69" s="35"/>
      <c r="H69" s="35"/>
      <c r="I69" s="35" t="s">
        <v>2404</v>
      </c>
      <c r="J69" s="35">
        <v>390.0</v>
      </c>
      <c r="K69" s="35">
        <v>21.0</v>
      </c>
      <c r="L69" s="35"/>
      <c r="M69" s="35"/>
      <c r="N69" s="35"/>
      <c r="O69" s="35"/>
      <c r="P69" s="35"/>
      <c r="Q69" s="35"/>
      <c r="R69" s="35"/>
      <c r="S69" s="35"/>
      <c r="T69" s="35"/>
      <c r="U69" s="35"/>
      <c r="V69" s="35"/>
      <c r="W69" s="35"/>
      <c r="X69" s="35"/>
      <c r="Y69" s="35"/>
      <c r="Z69" s="35"/>
      <c r="AA69" s="35" t="s">
        <v>2777</v>
      </c>
      <c r="AB69" s="35"/>
    </row>
    <row r="70" ht="15.75" customHeight="1">
      <c r="A70" s="35" t="s">
        <v>2779</v>
      </c>
      <c r="B70" s="35">
        <v>144.0</v>
      </c>
      <c r="C70" s="35"/>
      <c r="D70" s="35"/>
      <c r="E70" s="35" t="s">
        <v>2781</v>
      </c>
      <c r="F70" s="35">
        <v>101.0</v>
      </c>
      <c r="G70" s="35"/>
      <c r="H70" s="35"/>
      <c r="I70" s="35" t="s">
        <v>2237</v>
      </c>
      <c r="J70" s="35">
        <v>2400.0</v>
      </c>
      <c r="K70" s="35">
        <v>30.0</v>
      </c>
      <c r="L70" s="35"/>
      <c r="M70" s="35"/>
      <c r="N70" s="35"/>
      <c r="O70" s="35"/>
      <c r="P70" s="35"/>
      <c r="Q70" s="35"/>
      <c r="R70" s="35"/>
      <c r="S70" s="35"/>
      <c r="T70" s="35"/>
      <c r="U70" s="35"/>
      <c r="V70" s="35"/>
      <c r="W70" s="35"/>
      <c r="X70" s="35"/>
      <c r="Y70" s="35"/>
      <c r="Z70" s="35"/>
      <c r="AA70" s="35" t="s">
        <v>2784</v>
      </c>
      <c r="AB70" s="35"/>
    </row>
    <row r="71" ht="15.75" customHeight="1">
      <c r="A71" s="35" t="s">
        <v>2786</v>
      </c>
      <c r="B71" s="35">
        <v>143.0</v>
      </c>
      <c r="C71" s="35"/>
      <c r="D71" s="35"/>
      <c r="E71" s="35" t="s">
        <v>2788</v>
      </c>
      <c r="F71" s="35">
        <v>98.0</v>
      </c>
      <c r="G71" s="35"/>
      <c r="H71" s="35"/>
      <c r="I71" s="35" t="s">
        <v>2789</v>
      </c>
      <c r="J71" s="35">
        <v>480.0</v>
      </c>
      <c r="K71" s="35">
        <v>27.0</v>
      </c>
      <c r="L71" s="35"/>
      <c r="M71" s="35"/>
      <c r="N71" s="35"/>
      <c r="O71" s="35"/>
      <c r="P71" s="35"/>
      <c r="Q71" s="35"/>
      <c r="R71" s="35"/>
      <c r="S71" s="35"/>
      <c r="T71" s="35"/>
      <c r="U71" s="35"/>
      <c r="V71" s="35"/>
      <c r="W71" s="35"/>
      <c r="X71" s="35"/>
      <c r="Y71" s="35"/>
      <c r="Z71" s="35"/>
      <c r="AA71" s="35"/>
      <c r="AB71" s="35"/>
    </row>
    <row r="72" ht="15.75" customHeight="1">
      <c r="A72" s="35" t="s">
        <v>2795</v>
      </c>
      <c r="B72" s="35">
        <v>143.0</v>
      </c>
      <c r="C72" s="35"/>
      <c r="D72" s="35"/>
      <c r="E72" s="35" t="s">
        <v>2796</v>
      </c>
      <c r="F72" s="35">
        <v>97.0</v>
      </c>
      <c r="G72" s="35"/>
      <c r="H72" s="35"/>
      <c r="I72" s="35" t="s">
        <v>2425</v>
      </c>
      <c r="J72" s="35">
        <v>390.0</v>
      </c>
      <c r="K72" s="35">
        <v>20.0</v>
      </c>
      <c r="L72" s="35"/>
      <c r="M72" s="35"/>
      <c r="N72" s="35"/>
      <c r="O72" s="35"/>
      <c r="P72" s="35"/>
      <c r="Q72" s="35"/>
      <c r="R72" s="35"/>
      <c r="S72" s="35"/>
      <c r="T72" s="35"/>
      <c r="U72" s="35"/>
      <c r="V72" s="35"/>
      <c r="W72" s="35"/>
      <c r="X72" s="35"/>
      <c r="Y72" s="35"/>
      <c r="Z72" s="35"/>
      <c r="AA72" s="35"/>
      <c r="AB72" s="35"/>
    </row>
    <row r="73" ht="15.75" customHeight="1">
      <c r="A73" s="35" t="s">
        <v>2805</v>
      </c>
      <c r="B73" s="35">
        <v>142.0</v>
      </c>
      <c r="C73" s="35"/>
      <c r="D73" s="35"/>
      <c r="E73" s="35" t="s">
        <v>2806</v>
      </c>
      <c r="F73" s="35">
        <v>97.0</v>
      </c>
      <c r="G73" s="35"/>
      <c r="H73" s="35"/>
      <c r="I73" s="35" t="s">
        <v>2435</v>
      </c>
      <c r="J73" s="35">
        <v>210.0</v>
      </c>
      <c r="K73" s="35">
        <v>24.0</v>
      </c>
      <c r="L73" s="35"/>
      <c r="M73" s="35"/>
      <c r="N73" s="35"/>
      <c r="O73" s="35"/>
      <c r="P73" s="35"/>
      <c r="Q73" s="35"/>
      <c r="R73" s="35"/>
      <c r="S73" s="35"/>
      <c r="T73" s="35"/>
      <c r="U73" s="35"/>
      <c r="V73" s="35"/>
      <c r="W73" s="35"/>
      <c r="X73" s="35"/>
      <c r="Y73" s="35"/>
      <c r="Z73" s="35"/>
      <c r="AA73" s="35"/>
      <c r="AB73" s="35"/>
    </row>
    <row r="74" ht="15.75" customHeight="1">
      <c r="A74" s="35" t="s">
        <v>2816</v>
      </c>
      <c r="B74" s="35">
        <v>138.0</v>
      </c>
      <c r="C74" s="35"/>
      <c r="D74" s="35"/>
      <c r="E74" s="35" t="s">
        <v>2819</v>
      </c>
      <c r="F74" s="35">
        <v>97.0</v>
      </c>
      <c r="G74" s="35"/>
      <c r="H74" s="35"/>
      <c r="I74" s="35" t="s">
        <v>2822</v>
      </c>
      <c r="J74" s="35">
        <v>140.0</v>
      </c>
      <c r="K74" s="35">
        <v>24.0</v>
      </c>
      <c r="L74" s="35"/>
      <c r="M74" s="35"/>
      <c r="N74" s="35"/>
      <c r="O74" s="35"/>
      <c r="P74" s="35"/>
      <c r="Q74" s="35"/>
      <c r="R74" s="35"/>
      <c r="S74" s="35"/>
      <c r="T74" s="35"/>
      <c r="U74" s="35"/>
      <c r="V74" s="35"/>
      <c r="W74" s="35"/>
      <c r="X74" s="35"/>
      <c r="Y74" s="35"/>
      <c r="Z74" s="35"/>
      <c r="AA74" s="35"/>
      <c r="AB74" s="35"/>
    </row>
    <row r="75" ht="15.75" customHeight="1">
      <c r="A75" s="35" t="s">
        <v>2829</v>
      </c>
      <c r="B75" s="35">
        <v>138.0</v>
      </c>
      <c r="C75" s="35"/>
      <c r="D75" s="35"/>
      <c r="E75" s="35" t="s">
        <v>2359</v>
      </c>
      <c r="F75" s="35"/>
      <c r="G75" s="35"/>
      <c r="H75" s="35"/>
      <c r="I75" s="35" t="s">
        <v>2832</v>
      </c>
      <c r="J75" s="35">
        <v>480.0</v>
      </c>
      <c r="K75" s="35">
        <v>21.0</v>
      </c>
      <c r="L75" s="35"/>
      <c r="M75" s="35"/>
      <c r="N75" s="35"/>
      <c r="O75" s="35"/>
      <c r="P75" s="35"/>
      <c r="Q75" s="35"/>
      <c r="R75" s="35"/>
      <c r="S75" s="35"/>
      <c r="T75" s="35"/>
      <c r="U75" s="35"/>
      <c r="V75" s="35"/>
      <c r="W75" s="35"/>
      <c r="X75" s="35"/>
      <c r="Y75" s="35"/>
      <c r="Z75" s="35"/>
      <c r="AA75" s="35"/>
      <c r="AB75" s="35"/>
    </row>
    <row r="76" ht="15.75" customHeight="1">
      <c r="A76" s="35" t="s">
        <v>2840</v>
      </c>
      <c r="B76" s="35">
        <v>131.0</v>
      </c>
      <c r="C76" s="35"/>
      <c r="D76" s="35"/>
      <c r="E76" s="35" t="s">
        <v>2842</v>
      </c>
      <c r="F76" s="35"/>
      <c r="G76" s="35"/>
      <c r="H76" s="35"/>
      <c r="I76" s="35" t="s">
        <v>2844</v>
      </c>
      <c r="J76" s="35">
        <v>70.0</v>
      </c>
      <c r="K76" s="35">
        <v>16.0</v>
      </c>
      <c r="L76" s="35"/>
      <c r="M76" s="35"/>
      <c r="N76" s="35"/>
      <c r="O76" s="35"/>
      <c r="P76" s="35"/>
      <c r="Q76" s="35"/>
      <c r="R76" s="35"/>
      <c r="S76" s="35"/>
      <c r="T76" s="35"/>
      <c r="U76" s="35"/>
      <c r="V76" s="35"/>
      <c r="W76" s="35"/>
      <c r="X76" s="35"/>
      <c r="Y76" s="35"/>
      <c r="Z76" s="35"/>
      <c r="AA76" s="35"/>
      <c r="AB76" s="35"/>
    </row>
    <row r="77" ht="15.75" customHeight="1">
      <c r="A77" s="35" t="s">
        <v>2851</v>
      </c>
      <c r="B77" s="35">
        <v>126.0</v>
      </c>
      <c r="C77" s="35"/>
      <c r="D77" s="35"/>
      <c r="E77" s="35"/>
      <c r="F77" s="35"/>
      <c r="G77" s="35"/>
      <c r="H77" s="35"/>
      <c r="I77" s="35" t="s">
        <v>2855</v>
      </c>
      <c r="J77" s="35">
        <v>590.0</v>
      </c>
      <c r="K77" s="35">
        <v>27.0</v>
      </c>
      <c r="L77" s="35"/>
      <c r="M77" s="35"/>
      <c r="N77" s="35"/>
      <c r="O77" s="35"/>
      <c r="P77" s="35"/>
      <c r="Q77" s="35"/>
      <c r="R77" s="35"/>
      <c r="S77" s="35"/>
      <c r="T77" s="35"/>
      <c r="U77" s="35"/>
      <c r="V77" s="35"/>
      <c r="W77" s="35"/>
      <c r="X77" s="35"/>
      <c r="Y77" s="35"/>
      <c r="Z77" s="35"/>
      <c r="AA77" s="35"/>
      <c r="AB77" s="35"/>
    </row>
    <row r="78" ht="15.75" customHeight="1">
      <c r="A78" s="35" t="s">
        <v>2863</v>
      </c>
      <c r="B78" s="35">
        <v>124.0</v>
      </c>
      <c r="C78" s="35"/>
      <c r="D78" s="35"/>
      <c r="E78" s="35"/>
      <c r="F78" s="35"/>
      <c r="G78" s="35"/>
      <c r="H78" s="35"/>
      <c r="I78" s="35" t="s">
        <v>2866</v>
      </c>
      <c r="J78" s="35">
        <v>590.0</v>
      </c>
      <c r="K78" s="35">
        <v>28.0</v>
      </c>
      <c r="L78" s="35"/>
      <c r="M78" s="35"/>
      <c r="N78" s="35"/>
      <c r="O78" s="35"/>
      <c r="P78" s="35"/>
      <c r="Q78" s="35"/>
      <c r="R78" s="35"/>
      <c r="S78" s="35"/>
      <c r="T78" s="35"/>
      <c r="U78" s="35"/>
      <c r="V78" s="35"/>
      <c r="W78" s="35"/>
      <c r="X78" s="35"/>
      <c r="Y78" s="35"/>
      <c r="Z78" s="35"/>
      <c r="AA78" s="35"/>
      <c r="AB78" s="35"/>
    </row>
    <row r="79" ht="15.75" customHeight="1">
      <c r="A79" s="35" t="s">
        <v>2871</v>
      </c>
      <c r="B79" s="35">
        <v>123.0</v>
      </c>
      <c r="C79" s="35"/>
      <c r="D79" s="35"/>
      <c r="E79" s="35"/>
      <c r="F79" s="35"/>
      <c r="G79" s="35"/>
      <c r="H79" s="35"/>
      <c r="I79" s="35" t="s">
        <v>2875</v>
      </c>
      <c r="J79" s="35">
        <v>480.0</v>
      </c>
      <c r="K79" s="35">
        <v>20.0</v>
      </c>
      <c r="L79" s="35"/>
      <c r="M79" s="35"/>
      <c r="N79" s="35"/>
      <c r="O79" s="35"/>
      <c r="P79" s="35"/>
      <c r="Q79" s="35"/>
      <c r="R79" s="35"/>
      <c r="S79" s="35"/>
      <c r="T79" s="35"/>
      <c r="U79" s="35"/>
      <c r="V79" s="35"/>
      <c r="W79" s="35"/>
      <c r="X79" s="35"/>
      <c r="Y79" s="35"/>
      <c r="Z79" s="35"/>
      <c r="AA79" s="35"/>
      <c r="AB79" s="35"/>
    </row>
    <row r="80" ht="15.75" customHeight="1">
      <c r="A80" s="35" t="s">
        <v>2879</v>
      </c>
      <c r="B80" s="35">
        <v>121.0</v>
      </c>
      <c r="C80" s="35"/>
      <c r="D80" s="35"/>
      <c r="E80" s="35"/>
      <c r="F80" s="35"/>
      <c r="G80" s="35"/>
      <c r="H80" s="35"/>
      <c r="I80" s="35" t="s">
        <v>2883</v>
      </c>
      <c r="J80" s="35">
        <v>170.0</v>
      </c>
      <c r="K80" s="35">
        <v>19.0</v>
      </c>
      <c r="L80" s="35"/>
      <c r="M80" s="35"/>
      <c r="N80" s="35"/>
      <c r="O80" s="35"/>
      <c r="P80" s="35"/>
      <c r="Q80" s="35"/>
      <c r="R80" s="35"/>
      <c r="S80" s="35"/>
      <c r="T80" s="35"/>
      <c r="U80" s="35"/>
      <c r="V80" s="35"/>
      <c r="W80" s="35"/>
      <c r="X80" s="35"/>
      <c r="Y80" s="35"/>
      <c r="Z80" s="35"/>
      <c r="AA80" s="35"/>
      <c r="AB80" s="35"/>
    </row>
    <row r="81" ht="15.75" customHeight="1">
      <c r="A81" s="35" t="s">
        <v>2888</v>
      </c>
      <c r="B81" s="35">
        <v>118.0</v>
      </c>
      <c r="C81" s="35"/>
      <c r="D81" s="35"/>
      <c r="E81" s="35"/>
      <c r="F81" s="35"/>
      <c r="G81" s="35"/>
      <c r="H81" s="35"/>
      <c r="I81" s="35" t="s">
        <v>2559</v>
      </c>
      <c r="J81" s="35">
        <v>320.0</v>
      </c>
      <c r="K81" s="35">
        <v>15.0</v>
      </c>
      <c r="L81" s="35"/>
      <c r="M81" s="35"/>
      <c r="N81" s="35"/>
      <c r="O81" s="35"/>
      <c r="P81" s="35"/>
      <c r="Q81" s="35"/>
      <c r="R81" s="35"/>
      <c r="S81" s="35"/>
      <c r="T81" s="35"/>
      <c r="U81" s="35"/>
      <c r="V81" s="35"/>
      <c r="W81" s="35"/>
      <c r="X81" s="35"/>
      <c r="Y81" s="35"/>
      <c r="Z81" s="35"/>
      <c r="AA81" s="35"/>
      <c r="AB81" s="35"/>
    </row>
    <row r="82" ht="15.75" customHeight="1">
      <c r="A82" s="35" t="s">
        <v>2895</v>
      </c>
      <c r="B82" s="35">
        <v>114.0</v>
      </c>
      <c r="C82" s="35"/>
      <c r="D82" s="35"/>
      <c r="E82" s="35"/>
      <c r="F82" s="35"/>
      <c r="G82" s="35"/>
      <c r="H82" s="35"/>
      <c r="I82" s="35" t="s">
        <v>2898</v>
      </c>
      <c r="J82" s="35">
        <v>880.0</v>
      </c>
      <c r="K82" s="35">
        <v>26.0</v>
      </c>
      <c r="L82" s="35"/>
      <c r="M82" s="35"/>
      <c r="N82" s="35"/>
      <c r="O82" s="35"/>
      <c r="P82" s="35"/>
      <c r="Q82" s="35"/>
      <c r="R82" s="35"/>
      <c r="S82" s="35"/>
      <c r="T82" s="35"/>
      <c r="U82" s="35"/>
      <c r="V82" s="35"/>
      <c r="W82" s="35"/>
      <c r="X82" s="35"/>
      <c r="Y82" s="35"/>
      <c r="Z82" s="35"/>
      <c r="AA82" s="35"/>
      <c r="AB82" s="35"/>
    </row>
    <row r="83" ht="15.75" customHeight="1">
      <c r="A83" s="35" t="s">
        <v>2905</v>
      </c>
      <c r="B83" s="35">
        <v>114.0</v>
      </c>
      <c r="C83" s="35"/>
      <c r="D83" s="35"/>
      <c r="E83" s="35"/>
      <c r="F83" s="35"/>
      <c r="G83" s="35"/>
      <c r="H83" s="35"/>
      <c r="I83" s="35" t="s">
        <v>2908</v>
      </c>
      <c r="J83" s="35">
        <v>170.0</v>
      </c>
      <c r="K83" s="35">
        <v>20.0</v>
      </c>
      <c r="L83" s="35"/>
      <c r="M83" s="35"/>
      <c r="N83" s="35"/>
      <c r="O83" s="35"/>
      <c r="P83" s="35"/>
      <c r="Q83" s="35"/>
      <c r="R83" s="35"/>
      <c r="S83" s="35"/>
      <c r="T83" s="35"/>
      <c r="U83" s="35"/>
      <c r="V83" s="35"/>
      <c r="W83" s="35"/>
      <c r="X83" s="35"/>
      <c r="Y83" s="35"/>
      <c r="Z83" s="35"/>
      <c r="AA83" s="35"/>
      <c r="AB83" s="35"/>
    </row>
    <row r="84" ht="15.75" customHeight="1">
      <c r="A84" s="35" t="s">
        <v>2913</v>
      </c>
      <c r="B84" s="35">
        <v>112.0</v>
      </c>
      <c r="C84" s="35"/>
      <c r="D84" s="35"/>
      <c r="E84" s="35"/>
      <c r="F84" s="35"/>
      <c r="G84" s="35"/>
      <c r="H84" s="35"/>
      <c r="I84" s="35" t="s">
        <v>2917</v>
      </c>
      <c r="J84" s="35">
        <v>260.0</v>
      </c>
      <c r="K84" s="35">
        <v>28.0</v>
      </c>
      <c r="L84" s="35"/>
      <c r="M84" s="35"/>
      <c r="N84" s="35"/>
      <c r="O84" s="35"/>
      <c r="P84" s="35"/>
      <c r="Q84" s="35"/>
      <c r="R84" s="35"/>
      <c r="S84" s="35"/>
      <c r="T84" s="35"/>
      <c r="U84" s="35"/>
      <c r="V84" s="35"/>
      <c r="W84" s="35"/>
      <c r="X84" s="35"/>
      <c r="Y84" s="35"/>
      <c r="Z84" s="35"/>
      <c r="AA84" s="35"/>
      <c r="AB84" s="35"/>
    </row>
    <row r="85" ht="15.75" customHeight="1">
      <c r="A85" s="35" t="s">
        <v>2923</v>
      </c>
      <c r="B85" s="35">
        <v>111.0</v>
      </c>
      <c r="C85" s="35"/>
      <c r="D85" s="35"/>
      <c r="E85" s="35"/>
      <c r="F85" s="35"/>
      <c r="G85" s="35"/>
      <c r="H85" s="35"/>
      <c r="I85" s="35" t="s">
        <v>2924</v>
      </c>
      <c r="J85" s="35">
        <v>390.0</v>
      </c>
      <c r="K85" s="35">
        <v>21.0</v>
      </c>
      <c r="L85" s="35"/>
      <c r="M85" s="35"/>
      <c r="N85" s="35"/>
      <c r="O85" s="35"/>
      <c r="P85" s="35"/>
      <c r="Q85" s="35"/>
      <c r="R85" s="35"/>
      <c r="S85" s="35"/>
      <c r="T85" s="35"/>
      <c r="U85" s="35"/>
      <c r="V85" s="35"/>
      <c r="W85" s="35"/>
      <c r="X85" s="35"/>
      <c r="Y85" s="35"/>
      <c r="Z85" s="35"/>
      <c r="AA85" s="35"/>
      <c r="AB85" s="35"/>
    </row>
    <row r="86" ht="15.75" customHeight="1">
      <c r="A86" s="35" t="s">
        <v>2930</v>
      </c>
      <c r="B86" s="35">
        <v>108.0</v>
      </c>
      <c r="C86" s="35"/>
      <c r="D86" s="35"/>
      <c r="E86" s="35"/>
      <c r="F86" s="35"/>
      <c r="G86" s="35"/>
      <c r="H86" s="35"/>
      <c r="I86" s="35" t="s">
        <v>2933</v>
      </c>
      <c r="J86" s="35"/>
      <c r="K86" s="35"/>
      <c r="L86" s="35"/>
      <c r="M86" s="35"/>
      <c r="N86" s="35"/>
      <c r="O86" s="35"/>
      <c r="P86" s="35"/>
      <c r="Q86" s="35"/>
      <c r="R86" s="35"/>
      <c r="S86" s="35"/>
      <c r="T86" s="35"/>
      <c r="U86" s="35"/>
      <c r="V86" s="35"/>
      <c r="W86" s="35"/>
      <c r="X86" s="35"/>
      <c r="Y86" s="35"/>
      <c r="Z86" s="35"/>
      <c r="AA86" s="35"/>
      <c r="AB86" s="35"/>
    </row>
    <row r="87" ht="15.75" customHeight="1">
      <c r="A87" s="35" t="s">
        <v>2939</v>
      </c>
      <c r="B87" s="35">
        <v>106.0</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row>
    <row r="88" ht="15.75" customHeight="1">
      <c r="A88" s="35" t="s">
        <v>2946</v>
      </c>
      <c r="B88" s="35">
        <v>106.0</v>
      </c>
      <c r="C88" s="35"/>
      <c r="D88" s="35"/>
      <c r="E88" s="35"/>
      <c r="F88" s="35"/>
      <c r="G88" s="35"/>
      <c r="H88" s="35"/>
      <c r="I88" s="35" t="s">
        <v>2855</v>
      </c>
      <c r="J88" s="35">
        <v>590.0</v>
      </c>
      <c r="K88" s="35">
        <v>27.0</v>
      </c>
      <c r="L88" s="35"/>
      <c r="M88" s="35"/>
      <c r="N88" s="35"/>
      <c r="O88" s="35"/>
      <c r="P88" s="35"/>
      <c r="Q88" s="35"/>
      <c r="R88" s="35"/>
      <c r="S88" s="35"/>
      <c r="T88" s="35"/>
      <c r="U88" s="35"/>
      <c r="V88" s="35"/>
      <c r="W88" s="35"/>
      <c r="X88" s="35"/>
      <c r="Y88" s="35"/>
      <c r="Z88" s="35"/>
      <c r="AA88" s="35"/>
      <c r="AB88" s="35"/>
    </row>
    <row r="89" ht="15.75" customHeight="1">
      <c r="A89" s="35" t="s">
        <v>2952</v>
      </c>
      <c r="B89" s="35">
        <v>105.0</v>
      </c>
      <c r="C89" s="35"/>
      <c r="D89" s="35"/>
      <c r="E89" s="35"/>
      <c r="F89" s="35"/>
      <c r="G89" s="35"/>
      <c r="H89" s="35"/>
      <c r="I89" s="35" t="s">
        <v>2866</v>
      </c>
      <c r="J89" s="35">
        <v>590.0</v>
      </c>
      <c r="K89" s="35">
        <v>28.0</v>
      </c>
      <c r="L89" s="35"/>
      <c r="M89" s="35"/>
      <c r="N89" s="35"/>
      <c r="O89" s="35"/>
      <c r="P89" s="35"/>
      <c r="Q89" s="35"/>
      <c r="R89" s="35"/>
      <c r="S89" s="35"/>
      <c r="T89" s="35"/>
      <c r="U89" s="35"/>
      <c r="V89" s="35"/>
      <c r="W89" s="35"/>
      <c r="X89" s="35"/>
      <c r="Y89" s="35"/>
      <c r="Z89" s="35"/>
      <c r="AA89" s="35"/>
      <c r="AB89" s="35"/>
    </row>
    <row r="90" ht="15.75" customHeight="1">
      <c r="A90" s="35" t="s">
        <v>2958</v>
      </c>
      <c r="B90" s="35">
        <v>101.0</v>
      </c>
      <c r="C90" s="35"/>
      <c r="D90" s="35"/>
      <c r="E90" s="35"/>
      <c r="F90" s="35"/>
      <c r="G90" s="35"/>
      <c r="H90" s="35"/>
      <c r="I90" s="35" t="s">
        <v>2875</v>
      </c>
      <c r="J90" s="35">
        <v>480.0</v>
      </c>
      <c r="K90" s="35">
        <v>20.0</v>
      </c>
      <c r="L90" s="35"/>
      <c r="M90" s="35"/>
      <c r="N90" s="35"/>
      <c r="O90" s="35"/>
      <c r="P90" s="35"/>
      <c r="Q90" s="35"/>
      <c r="R90" s="35"/>
      <c r="S90" s="35"/>
      <c r="T90" s="35"/>
      <c r="U90" s="35"/>
      <c r="V90" s="35"/>
      <c r="W90" s="35"/>
      <c r="X90" s="35"/>
      <c r="Y90" s="35"/>
      <c r="Z90" s="35"/>
      <c r="AA90" s="35"/>
      <c r="AB90" s="35"/>
    </row>
    <row r="91" ht="15.75" customHeight="1">
      <c r="A91" s="35" t="s">
        <v>2965</v>
      </c>
      <c r="B91" s="35">
        <v>97.0</v>
      </c>
      <c r="C91" s="35"/>
      <c r="D91" s="35"/>
      <c r="E91" s="35"/>
      <c r="F91" s="35"/>
      <c r="G91" s="35"/>
      <c r="H91" s="35"/>
      <c r="I91" s="35" t="s">
        <v>2883</v>
      </c>
      <c r="J91" s="35">
        <v>170.0</v>
      </c>
      <c r="K91" s="35">
        <v>19.0</v>
      </c>
      <c r="L91" s="35"/>
      <c r="M91" s="35"/>
      <c r="N91" s="35"/>
      <c r="O91" s="35"/>
      <c r="P91" s="35"/>
      <c r="Q91" s="35"/>
      <c r="R91" s="35"/>
      <c r="S91" s="35"/>
      <c r="T91" s="35"/>
      <c r="U91" s="35"/>
      <c r="V91" s="35"/>
      <c r="W91" s="35"/>
      <c r="X91" s="35"/>
      <c r="Y91" s="35"/>
      <c r="Z91" s="35"/>
      <c r="AA91" s="35"/>
      <c r="AB91" s="35"/>
    </row>
    <row r="92" ht="15.75" customHeight="1">
      <c r="A92" s="35" t="s">
        <v>2972</v>
      </c>
      <c r="B92" s="35">
        <v>96.0</v>
      </c>
      <c r="C92" s="35"/>
      <c r="D92" s="35"/>
      <c r="E92" s="35"/>
      <c r="F92" s="35"/>
      <c r="G92" s="35"/>
      <c r="H92" s="35"/>
      <c r="I92" s="35" t="s">
        <v>2559</v>
      </c>
      <c r="J92" s="35">
        <v>320.0</v>
      </c>
      <c r="K92" s="35">
        <v>15.0</v>
      </c>
      <c r="L92" s="35"/>
      <c r="M92" s="35"/>
      <c r="N92" s="35"/>
      <c r="O92" s="35"/>
      <c r="P92" s="35"/>
      <c r="Q92" s="35"/>
      <c r="R92" s="35"/>
      <c r="S92" s="35"/>
      <c r="T92" s="35"/>
      <c r="U92" s="35"/>
      <c r="V92" s="35"/>
      <c r="W92" s="35"/>
      <c r="X92" s="35"/>
      <c r="Y92" s="35"/>
      <c r="Z92" s="35"/>
      <c r="AA92" s="35"/>
      <c r="AB92" s="35"/>
    </row>
    <row r="93" ht="15.75" customHeight="1">
      <c r="A93" s="35" t="s">
        <v>2980</v>
      </c>
      <c r="B93" s="35">
        <v>95.0</v>
      </c>
      <c r="C93" s="35"/>
      <c r="D93" s="35"/>
      <c r="E93" s="35"/>
      <c r="F93" s="35"/>
      <c r="G93" s="35"/>
      <c r="H93" s="35"/>
      <c r="I93" s="35" t="s">
        <v>2898</v>
      </c>
      <c r="J93" s="35">
        <v>880.0</v>
      </c>
      <c r="K93" s="35">
        <v>26.0</v>
      </c>
      <c r="L93" s="35"/>
      <c r="M93" s="35"/>
      <c r="N93" s="35"/>
      <c r="O93" s="35"/>
      <c r="P93" s="35"/>
      <c r="Q93" s="35"/>
      <c r="R93" s="35"/>
      <c r="S93" s="35"/>
      <c r="T93" s="35"/>
      <c r="U93" s="35"/>
      <c r="V93" s="35"/>
      <c r="W93" s="35"/>
      <c r="X93" s="35"/>
      <c r="Y93" s="35"/>
      <c r="Z93" s="35"/>
      <c r="AA93" s="35"/>
      <c r="AB93" s="35"/>
    </row>
    <row r="94" ht="15.75" customHeight="1">
      <c r="A94" s="35" t="s">
        <v>2988</v>
      </c>
      <c r="B94" s="35">
        <v>94.0</v>
      </c>
      <c r="C94" s="35"/>
      <c r="D94" s="35"/>
      <c r="E94" s="35"/>
      <c r="F94" s="35"/>
      <c r="G94" s="35"/>
      <c r="H94" s="35"/>
      <c r="I94" s="35" t="s">
        <v>2908</v>
      </c>
      <c r="J94" s="35">
        <v>170.0</v>
      </c>
      <c r="K94" s="35">
        <v>20.0</v>
      </c>
      <c r="L94" s="35"/>
      <c r="M94" s="35"/>
      <c r="N94" s="35"/>
      <c r="O94" s="35"/>
      <c r="P94" s="35"/>
      <c r="Q94" s="35"/>
      <c r="R94" s="35"/>
      <c r="S94" s="35"/>
      <c r="T94" s="35"/>
      <c r="U94" s="35"/>
      <c r="V94" s="35"/>
      <c r="W94" s="35"/>
      <c r="X94" s="35"/>
      <c r="Y94" s="35"/>
      <c r="Z94" s="35"/>
      <c r="AA94" s="35"/>
      <c r="AB94" s="35"/>
    </row>
    <row r="95" ht="15.75" customHeight="1">
      <c r="A95" s="35" t="s">
        <v>2994</v>
      </c>
      <c r="B95" s="35">
        <v>93.0</v>
      </c>
      <c r="C95" s="35"/>
      <c r="D95" s="35"/>
      <c r="E95" s="35"/>
      <c r="F95" s="35"/>
      <c r="G95" s="35"/>
      <c r="H95" s="35"/>
      <c r="I95" s="35" t="s">
        <v>2917</v>
      </c>
      <c r="J95" s="35">
        <v>260.0</v>
      </c>
      <c r="K95" s="35">
        <v>28.0</v>
      </c>
      <c r="L95" s="35"/>
      <c r="M95" s="35"/>
      <c r="N95" s="35"/>
      <c r="O95" s="35"/>
      <c r="P95" s="35"/>
      <c r="Q95" s="35"/>
      <c r="R95" s="35"/>
      <c r="S95" s="35"/>
      <c r="T95" s="35"/>
      <c r="U95" s="35"/>
      <c r="V95" s="35"/>
      <c r="W95" s="35"/>
      <c r="X95" s="35"/>
      <c r="Y95" s="35"/>
      <c r="Z95" s="35"/>
      <c r="AA95" s="35"/>
      <c r="AB95" s="35"/>
    </row>
    <row r="96" ht="15.75" customHeight="1">
      <c r="A96" s="35" t="s">
        <v>3001</v>
      </c>
      <c r="B96" s="35">
        <v>90.0</v>
      </c>
      <c r="C96" s="35"/>
      <c r="D96" s="35"/>
      <c r="E96" s="35"/>
      <c r="F96" s="35"/>
      <c r="G96" s="35"/>
      <c r="H96" s="35"/>
      <c r="I96" s="35" t="s">
        <v>2924</v>
      </c>
      <c r="J96" s="35">
        <v>390.0</v>
      </c>
      <c r="K96" s="35">
        <v>21.0</v>
      </c>
      <c r="L96" s="35"/>
      <c r="M96" s="35"/>
      <c r="N96" s="35"/>
      <c r="O96" s="35"/>
      <c r="P96" s="35"/>
      <c r="Q96" s="35"/>
      <c r="R96" s="35"/>
      <c r="S96" s="35"/>
      <c r="T96" s="35"/>
      <c r="U96" s="35"/>
      <c r="V96" s="35"/>
      <c r="W96" s="35"/>
      <c r="X96" s="35"/>
      <c r="Y96" s="35"/>
      <c r="Z96" s="35"/>
      <c r="AA96" s="35"/>
      <c r="AB96" s="35"/>
    </row>
    <row r="97" ht="15.75" customHeight="1">
      <c r="A97" s="35" t="s">
        <v>3007</v>
      </c>
      <c r="B97" s="35">
        <v>90.0</v>
      </c>
      <c r="C97" s="35"/>
      <c r="D97" s="35"/>
      <c r="E97" s="35"/>
      <c r="F97" s="35"/>
      <c r="G97" s="35"/>
      <c r="H97" s="35"/>
      <c r="I97" s="35" t="s">
        <v>2933</v>
      </c>
      <c r="J97" s="35">
        <v>210.0</v>
      </c>
      <c r="K97" s="35">
        <v>25.0</v>
      </c>
      <c r="L97" s="35"/>
      <c r="M97" s="35"/>
      <c r="N97" s="35"/>
      <c r="O97" s="35"/>
      <c r="P97" s="35"/>
      <c r="Q97" s="35"/>
      <c r="R97" s="35"/>
      <c r="S97" s="35"/>
      <c r="T97" s="35"/>
      <c r="U97" s="35"/>
      <c r="V97" s="35"/>
      <c r="W97" s="35"/>
      <c r="X97" s="35"/>
      <c r="Y97" s="35"/>
      <c r="Z97" s="35"/>
      <c r="AA97" s="35"/>
      <c r="AB97" s="35"/>
    </row>
    <row r="98" ht="15.75" customHeight="1">
      <c r="A98" s="35" t="s">
        <v>3015</v>
      </c>
      <c r="B98" s="35">
        <v>89.0</v>
      </c>
      <c r="C98" s="35"/>
      <c r="D98" s="35"/>
      <c r="E98" s="35"/>
      <c r="F98" s="35"/>
      <c r="G98" s="35"/>
      <c r="H98" s="35"/>
      <c r="I98" s="35" t="s">
        <v>3017</v>
      </c>
      <c r="J98" s="35">
        <v>720.0</v>
      </c>
      <c r="K98" s="35">
        <v>22.0</v>
      </c>
      <c r="L98" s="35"/>
      <c r="M98" s="35"/>
      <c r="N98" s="35"/>
      <c r="O98" s="35"/>
      <c r="P98" s="35"/>
      <c r="Q98" s="35"/>
      <c r="R98" s="35"/>
      <c r="S98" s="35"/>
      <c r="T98" s="35"/>
      <c r="U98" s="35"/>
      <c r="V98" s="35"/>
      <c r="W98" s="35"/>
      <c r="X98" s="35"/>
      <c r="Y98" s="35"/>
      <c r="Z98" s="35"/>
      <c r="AA98" s="35"/>
      <c r="AB98" s="35"/>
    </row>
    <row r="99" ht="15.75" customHeight="1">
      <c r="A99" s="35" t="s">
        <v>3021</v>
      </c>
      <c r="B99" s="35">
        <v>86.0</v>
      </c>
      <c r="C99" s="35"/>
      <c r="D99" s="35"/>
      <c r="E99" s="35"/>
      <c r="F99" s="35"/>
      <c r="G99" s="35"/>
      <c r="H99" s="35"/>
      <c r="I99" s="35" t="s">
        <v>3024</v>
      </c>
      <c r="J99" s="35">
        <v>260.0</v>
      </c>
      <c r="K99" s="35">
        <v>3.0</v>
      </c>
      <c r="L99" s="35"/>
      <c r="M99" s="35"/>
      <c r="N99" s="35"/>
      <c r="O99" s="35"/>
      <c r="P99" s="35"/>
      <c r="Q99" s="35"/>
      <c r="R99" s="35"/>
      <c r="S99" s="35"/>
      <c r="T99" s="35"/>
      <c r="U99" s="35"/>
      <c r="V99" s="35"/>
      <c r="W99" s="35"/>
      <c r="X99" s="35"/>
      <c r="Y99" s="35"/>
      <c r="Z99" s="35"/>
      <c r="AA99" s="35"/>
      <c r="AB99" s="35"/>
    </row>
    <row r="100" ht="15.75" customHeight="1">
      <c r="A100" s="35" t="s">
        <v>3029</v>
      </c>
      <c r="B100" s="35">
        <v>86.0</v>
      </c>
      <c r="C100" s="35"/>
      <c r="D100" s="35"/>
      <c r="E100" s="35"/>
      <c r="F100" s="35"/>
      <c r="G100" s="35"/>
      <c r="H100" s="35"/>
      <c r="I100" s="35" t="s">
        <v>3031</v>
      </c>
      <c r="J100" s="35">
        <v>260.0</v>
      </c>
      <c r="K100" s="35">
        <v>16.0</v>
      </c>
      <c r="L100" s="35"/>
      <c r="M100" s="35"/>
      <c r="N100" s="35"/>
      <c r="O100" s="35"/>
      <c r="P100" s="35"/>
      <c r="Q100" s="35"/>
      <c r="R100" s="35"/>
      <c r="S100" s="35"/>
      <c r="T100" s="35"/>
      <c r="U100" s="35"/>
      <c r="V100" s="35"/>
      <c r="W100" s="35"/>
      <c r="X100" s="35"/>
      <c r="Y100" s="35"/>
      <c r="Z100" s="35"/>
      <c r="AA100" s="35"/>
      <c r="AB100" s="35"/>
    </row>
    <row r="101" ht="15.75" customHeight="1">
      <c r="A101" s="35" t="s">
        <v>3034</v>
      </c>
      <c r="B101" s="35">
        <v>84.0</v>
      </c>
      <c r="C101" s="35"/>
      <c r="D101" s="35"/>
      <c r="E101" s="35"/>
      <c r="F101" s="35"/>
      <c r="G101" s="35"/>
      <c r="H101" s="35"/>
      <c r="I101" s="35" t="s">
        <v>3036</v>
      </c>
      <c r="J101" s="35">
        <v>480.0</v>
      </c>
      <c r="K101" s="35">
        <v>25.0</v>
      </c>
      <c r="L101" s="35"/>
      <c r="M101" s="35"/>
      <c r="N101" s="35"/>
      <c r="O101" s="35"/>
      <c r="P101" s="35"/>
      <c r="Q101" s="35"/>
      <c r="R101" s="35"/>
      <c r="S101" s="35"/>
      <c r="T101" s="35"/>
      <c r="U101" s="35"/>
      <c r="V101" s="35"/>
      <c r="W101" s="35"/>
      <c r="X101" s="35"/>
      <c r="Y101" s="35"/>
      <c r="Z101" s="35"/>
      <c r="AA101" s="35"/>
      <c r="AB101" s="35"/>
    </row>
    <row r="102" ht="15.75" customHeight="1">
      <c r="A102" s="35" t="s">
        <v>3039</v>
      </c>
      <c r="B102" s="35">
        <v>83.0</v>
      </c>
      <c r="C102" s="35"/>
      <c r="D102" s="35"/>
      <c r="E102" s="35"/>
      <c r="F102" s="35"/>
      <c r="G102" s="35"/>
      <c r="H102" s="35"/>
      <c r="I102" s="35" t="s">
        <v>3041</v>
      </c>
      <c r="J102" s="35">
        <v>390.0</v>
      </c>
      <c r="K102" s="35">
        <v>21.0</v>
      </c>
      <c r="L102" s="35"/>
      <c r="M102" s="35"/>
      <c r="N102" s="35"/>
      <c r="O102" s="35"/>
      <c r="P102" s="35"/>
      <c r="Q102" s="35"/>
      <c r="R102" s="35"/>
      <c r="S102" s="35"/>
      <c r="T102" s="35"/>
      <c r="U102" s="35"/>
      <c r="V102" s="35" t="s">
        <v>3045</v>
      </c>
      <c r="W102" s="35"/>
      <c r="X102" s="35"/>
      <c r="Y102" s="35"/>
      <c r="Z102" s="35"/>
      <c r="AA102" s="35"/>
      <c r="AB102" s="35"/>
    </row>
    <row r="103" ht="15.75" customHeight="1">
      <c r="A103" s="35" t="s">
        <v>3049</v>
      </c>
      <c r="B103" s="35">
        <v>82.0</v>
      </c>
      <c r="C103" s="35"/>
      <c r="D103" s="35"/>
      <c r="E103" s="35"/>
      <c r="F103" s="35"/>
      <c r="G103" s="35"/>
      <c r="H103" s="35"/>
      <c r="I103" s="35" t="s">
        <v>3052</v>
      </c>
      <c r="J103" s="35">
        <v>210.0</v>
      </c>
      <c r="K103" s="35">
        <v>27.0</v>
      </c>
      <c r="L103" s="35"/>
      <c r="M103" s="35"/>
      <c r="N103" s="35"/>
      <c r="O103" s="35"/>
      <c r="P103" s="35"/>
      <c r="Q103" s="35"/>
      <c r="R103" s="35"/>
      <c r="S103" s="35"/>
      <c r="T103" s="35"/>
      <c r="U103" s="35"/>
      <c r="V103" s="35" t="s">
        <v>3056</v>
      </c>
      <c r="W103" s="35"/>
      <c r="X103" s="35"/>
      <c r="Y103" s="35"/>
      <c r="Z103" s="35"/>
      <c r="AA103" s="35"/>
      <c r="AB103" s="35"/>
    </row>
    <row r="104" ht="15.75" customHeight="1">
      <c r="A104" s="35" t="s">
        <v>3057</v>
      </c>
      <c r="B104" s="35">
        <v>82.0</v>
      </c>
      <c r="C104" s="35"/>
      <c r="D104" s="35"/>
      <c r="E104" s="35"/>
      <c r="F104" s="35"/>
      <c r="G104" s="35"/>
      <c r="H104" s="35"/>
      <c r="I104" s="35" t="s">
        <v>2690</v>
      </c>
      <c r="J104" s="35">
        <v>210.0</v>
      </c>
      <c r="K104" s="35">
        <v>25.0</v>
      </c>
      <c r="L104" s="35"/>
      <c r="M104" s="35"/>
      <c r="N104" s="35"/>
      <c r="O104" s="35"/>
      <c r="P104" s="35"/>
      <c r="Q104" s="35"/>
      <c r="R104" s="35"/>
      <c r="S104" s="35"/>
      <c r="T104" s="35"/>
      <c r="U104" s="35"/>
      <c r="V104" s="35" t="s">
        <v>3063</v>
      </c>
      <c r="W104" s="35"/>
      <c r="X104" s="35"/>
      <c r="Y104" s="35"/>
      <c r="Z104" s="35"/>
      <c r="AA104" s="35"/>
      <c r="AB104" s="35"/>
    </row>
    <row r="105" ht="15.75" customHeight="1">
      <c r="A105" s="35" t="s">
        <v>3065</v>
      </c>
      <c r="B105" s="35">
        <v>81.0</v>
      </c>
      <c r="C105" s="35"/>
      <c r="D105" s="35"/>
      <c r="E105" s="35"/>
      <c r="F105" s="35"/>
      <c r="G105" s="35"/>
      <c r="H105" s="35"/>
      <c r="I105" s="35" t="s">
        <v>3068</v>
      </c>
      <c r="J105" s="35">
        <v>480.0</v>
      </c>
      <c r="K105" s="35">
        <v>20.0</v>
      </c>
      <c r="L105" s="35"/>
      <c r="M105" s="35"/>
      <c r="N105" s="35"/>
      <c r="O105" s="35"/>
      <c r="P105" s="35"/>
      <c r="Q105" s="35"/>
      <c r="R105" s="35"/>
      <c r="S105" s="35"/>
      <c r="T105" s="35"/>
      <c r="U105" s="35"/>
      <c r="V105" s="35" t="s">
        <v>3071</v>
      </c>
      <c r="W105" s="35"/>
      <c r="X105" s="35"/>
      <c r="Y105" s="35"/>
      <c r="Z105" s="35"/>
      <c r="AA105" s="35"/>
      <c r="AB105" s="35"/>
    </row>
    <row r="106" ht="15.75" customHeight="1">
      <c r="A106" s="35" t="s">
        <v>3072</v>
      </c>
      <c r="B106" s="35">
        <v>80.0</v>
      </c>
      <c r="C106" s="35"/>
      <c r="D106" s="35"/>
      <c r="E106" s="35"/>
      <c r="F106" s="35"/>
      <c r="G106" s="35"/>
      <c r="H106" s="35"/>
      <c r="I106" s="35" t="s">
        <v>3073</v>
      </c>
      <c r="J106" s="35">
        <v>210.0</v>
      </c>
      <c r="K106" s="35">
        <v>15.0</v>
      </c>
      <c r="L106" s="35"/>
      <c r="M106" s="35"/>
      <c r="N106" s="35"/>
      <c r="O106" s="35"/>
      <c r="P106" s="35"/>
      <c r="Q106" s="35"/>
      <c r="R106" s="35"/>
      <c r="S106" s="35"/>
      <c r="T106" s="35"/>
      <c r="U106" s="35"/>
      <c r="V106" s="35" t="s">
        <v>3075</v>
      </c>
      <c r="W106" s="35"/>
      <c r="X106" s="35"/>
      <c r="Y106" s="35"/>
      <c r="Z106" s="35"/>
      <c r="AA106" s="35"/>
      <c r="AB106" s="35"/>
    </row>
    <row r="107" ht="15.75" customHeight="1">
      <c r="A107" s="35" t="s">
        <v>3076</v>
      </c>
      <c r="B107" s="35">
        <v>80.0</v>
      </c>
      <c r="C107" s="35"/>
      <c r="D107" s="35"/>
      <c r="E107" s="35"/>
      <c r="F107" s="35"/>
      <c r="G107" s="35"/>
      <c r="H107" s="35"/>
      <c r="I107" s="35" t="s">
        <v>2665</v>
      </c>
      <c r="J107" s="35">
        <v>260.0</v>
      </c>
      <c r="K107" s="35">
        <v>21.0</v>
      </c>
      <c r="L107" s="35"/>
      <c r="M107" s="35"/>
      <c r="N107" s="35"/>
      <c r="O107" s="35"/>
      <c r="P107" s="35"/>
      <c r="Q107" s="35"/>
      <c r="R107" s="35"/>
      <c r="S107" s="35"/>
      <c r="T107" s="35"/>
      <c r="U107" s="35"/>
      <c r="V107" s="35"/>
      <c r="W107" s="35"/>
      <c r="X107" s="35"/>
      <c r="Y107" s="35"/>
      <c r="Z107" s="35"/>
      <c r="AA107" s="35"/>
      <c r="AB107" s="35"/>
    </row>
    <row r="108" ht="15.75" customHeight="1">
      <c r="A108" s="35" t="s">
        <v>3079</v>
      </c>
      <c r="B108" s="35">
        <v>80.0</v>
      </c>
      <c r="C108" s="35"/>
      <c r="D108" s="35"/>
      <c r="E108" s="35"/>
      <c r="F108" s="35"/>
      <c r="G108" s="35"/>
      <c r="H108" s="35"/>
      <c r="I108" s="35" t="s">
        <v>428</v>
      </c>
      <c r="J108" s="35">
        <v>320.0</v>
      </c>
      <c r="K108" s="35">
        <v>22.0</v>
      </c>
      <c r="L108" s="35"/>
      <c r="M108" s="35"/>
      <c r="N108" s="35"/>
      <c r="O108" s="35"/>
      <c r="P108" s="35"/>
      <c r="Q108" s="35"/>
      <c r="R108" s="35"/>
      <c r="S108" s="35"/>
      <c r="T108" s="35"/>
      <c r="U108" s="35"/>
      <c r="V108" s="35" t="s">
        <v>2777</v>
      </c>
      <c r="W108" s="35"/>
      <c r="X108" s="35"/>
      <c r="Y108" s="35"/>
      <c r="Z108" s="35"/>
      <c r="AA108" s="35"/>
      <c r="AB108" s="35"/>
    </row>
    <row r="109" ht="15.75" customHeight="1">
      <c r="A109" s="35" t="s">
        <v>3087</v>
      </c>
      <c r="B109" s="35">
        <v>79.0</v>
      </c>
      <c r="C109" s="35"/>
      <c r="D109" s="35"/>
      <c r="E109" s="35"/>
      <c r="F109" s="35"/>
      <c r="G109" s="35"/>
      <c r="H109" s="35"/>
      <c r="I109" s="35" t="s">
        <v>3089</v>
      </c>
      <c r="J109" s="35">
        <v>390.0</v>
      </c>
      <c r="K109" s="35">
        <v>23.0</v>
      </c>
      <c r="L109" s="35"/>
      <c r="M109" s="35"/>
      <c r="N109" s="35"/>
      <c r="O109" s="35"/>
      <c r="P109" s="35"/>
      <c r="Q109" s="35"/>
      <c r="R109" s="35"/>
      <c r="S109" s="35"/>
      <c r="T109" s="35"/>
      <c r="U109" s="35"/>
      <c r="V109" s="35" t="s">
        <v>3091</v>
      </c>
      <c r="W109" s="35"/>
      <c r="X109" s="35"/>
      <c r="Y109" s="35"/>
      <c r="Z109" s="35"/>
      <c r="AA109" s="35"/>
      <c r="AB109" s="35"/>
    </row>
    <row r="110" ht="15.75" customHeight="1">
      <c r="A110" s="35" t="s">
        <v>3092</v>
      </c>
      <c r="B110" s="35">
        <v>77.0</v>
      </c>
      <c r="C110" s="35"/>
      <c r="D110" s="35"/>
      <c r="E110" s="35"/>
      <c r="F110" s="35"/>
      <c r="G110" s="35"/>
      <c r="H110" s="35"/>
      <c r="I110" s="35" t="s">
        <v>2683</v>
      </c>
      <c r="J110" s="35">
        <v>260.0</v>
      </c>
      <c r="K110" s="35">
        <v>18.0</v>
      </c>
      <c r="L110" s="35"/>
      <c r="M110" s="35"/>
      <c r="N110" s="35"/>
      <c r="O110" s="35"/>
      <c r="P110" s="35"/>
      <c r="Q110" s="35"/>
      <c r="R110" s="35"/>
      <c r="S110" s="35"/>
      <c r="T110" s="35"/>
      <c r="U110" s="35"/>
      <c r="V110" s="35" t="s">
        <v>3098</v>
      </c>
      <c r="W110" s="35"/>
      <c r="X110" s="35"/>
      <c r="Y110" s="35"/>
      <c r="Z110" s="35"/>
      <c r="AA110" s="35"/>
      <c r="AB110" s="35"/>
    </row>
    <row r="111" ht="15.75" customHeight="1">
      <c r="A111" s="35" t="s">
        <v>3101</v>
      </c>
      <c r="B111" s="35">
        <v>76.0</v>
      </c>
      <c r="C111" s="35"/>
      <c r="D111" s="35"/>
      <c r="E111" s="35"/>
      <c r="F111" s="35"/>
      <c r="G111" s="35"/>
      <c r="H111" s="35"/>
      <c r="I111" s="35" t="s">
        <v>2710</v>
      </c>
      <c r="J111" s="35">
        <v>170.0</v>
      </c>
      <c r="K111" s="35">
        <v>10.0</v>
      </c>
      <c r="L111" s="35"/>
      <c r="M111" s="35"/>
      <c r="N111" s="35"/>
      <c r="O111" s="35"/>
      <c r="P111" s="35"/>
      <c r="Q111" s="35"/>
      <c r="R111" s="35"/>
      <c r="S111" s="35"/>
      <c r="T111" s="35"/>
      <c r="U111" s="35"/>
      <c r="V111" s="35" t="s">
        <v>2784</v>
      </c>
      <c r="W111" s="35"/>
      <c r="X111" s="35"/>
      <c r="Y111" s="35"/>
      <c r="Z111" s="35"/>
      <c r="AA111" s="35"/>
      <c r="AB111" s="35"/>
    </row>
    <row r="112" ht="15.75" customHeight="1">
      <c r="A112" s="35" t="s">
        <v>3107</v>
      </c>
      <c r="B112" s="35">
        <v>76.0</v>
      </c>
      <c r="C112" s="35"/>
      <c r="D112" s="35"/>
      <c r="E112" s="35"/>
      <c r="F112" s="35"/>
      <c r="G112" s="35"/>
      <c r="H112" s="35"/>
      <c r="I112" s="35" t="s">
        <v>3109</v>
      </c>
      <c r="J112" s="35">
        <v>320.0</v>
      </c>
      <c r="K112" s="35">
        <v>19.0</v>
      </c>
      <c r="L112" s="35"/>
      <c r="M112" s="35"/>
      <c r="N112" s="35"/>
      <c r="O112" s="35"/>
      <c r="P112" s="35"/>
      <c r="Q112" s="35"/>
      <c r="R112" s="35"/>
      <c r="S112" s="35"/>
      <c r="T112" s="35"/>
      <c r="U112" s="35"/>
      <c r="V112" s="35"/>
      <c r="W112" s="35"/>
      <c r="X112" s="35"/>
      <c r="Y112" s="35"/>
      <c r="Z112" s="35"/>
      <c r="AA112" s="35"/>
      <c r="AB112" s="35"/>
    </row>
    <row r="113" ht="15.75" customHeight="1">
      <c r="A113" s="35" t="s">
        <v>3114</v>
      </c>
      <c r="B113" s="35">
        <v>74.0</v>
      </c>
      <c r="C113" s="35"/>
      <c r="D113" s="35"/>
      <c r="E113" s="35"/>
      <c r="F113" s="35"/>
      <c r="G113" s="35"/>
      <c r="H113" s="35"/>
      <c r="I113" s="35" t="s">
        <v>3116</v>
      </c>
      <c r="J113" s="35">
        <v>170.0</v>
      </c>
      <c r="K113" s="35">
        <v>18.0</v>
      </c>
      <c r="L113" s="35"/>
      <c r="M113" s="35"/>
      <c r="N113" s="35"/>
      <c r="O113" s="35"/>
      <c r="P113" s="35"/>
      <c r="Q113" s="35"/>
      <c r="R113" s="35"/>
      <c r="S113" s="35"/>
      <c r="T113" s="35"/>
      <c r="U113" s="35"/>
      <c r="V113" s="35"/>
      <c r="W113" s="35"/>
      <c r="X113" s="35"/>
      <c r="Y113" s="35"/>
      <c r="Z113" s="35"/>
      <c r="AA113" s="35"/>
      <c r="AB113" s="35"/>
    </row>
    <row r="114" ht="15.75" customHeight="1">
      <c r="A114" s="35" t="s">
        <v>3121</v>
      </c>
      <c r="B114" s="35">
        <v>74.0</v>
      </c>
      <c r="C114" s="35"/>
      <c r="D114" s="35"/>
      <c r="E114" s="35"/>
      <c r="F114" s="35"/>
      <c r="G114" s="35"/>
      <c r="H114" s="35"/>
      <c r="I114" s="35" t="s">
        <v>3125</v>
      </c>
      <c r="J114" s="35">
        <v>390.0</v>
      </c>
      <c r="K114" s="35">
        <v>26.0</v>
      </c>
      <c r="L114" s="35"/>
      <c r="M114" s="35"/>
      <c r="N114" s="35"/>
      <c r="O114" s="35"/>
      <c r="P114" s="35"/>
      <c r="Q114" s="35"/>
      <c r="R114" s="35"/>
      <c r="S114" s="35"/>
      <c r="T114" s="35"/>
      <c r="U114" s="35"/>
      <c r="V114" s="35" t="s">
        <v>3127</v>
      </c>
      <c r="W114" s="35"/>
      <c r="X114" s="35"/>
      <c r="Y114" s="35"/>
      <c r="Z114" s="35"/>
      <c r="AA114" s="35"/>
      <c r="AB114" s="35"/>
    </row>
    <row r="115" ht="15.75" customHeight="1">
      <c r="A115" s="35" t="s">
        <v>3130</v>
      </c>
      <c r="B115" s="35">
        <v>74.0</v>
      </c>
      <c r="C115" s="35"/>
      <c r="D115" s="35"/>
      <c r="E115" s="35"/>
      <c r="F115" s="35"/>
      <c r="G115" s="35"/>
      <c r="H115" s="35"/>
      <c r="I115" s="35" t="s">
        <v>3133</v>
      </c>
      <c r="J115" s="35">
        <v>480.0</v>
      </c>
      <c r="K115" s="35">
        <v>21.0</v>
      </c>
      <c r="L115" s="35"/>
      <c r="M115" s="35"/>
      <c r="N115" s="35"/>
      <c r="O115" s="35"/>
      <c r="P115" s="35"/>
      <c r="Q115" s="35"/>
      <c r="R115" s="35"/>
      <c r="S115" s="35"/>
      <c r="T115" s="35"/>
      <c r="U115" s="35"/>
      <c r="V115" s="35" t="s">
        <v>3137</v>
      </c>
      <c r="W115" s="35"/>
      <c r="X115" s="35"/>
      <c r="Y115" s="35"/>
      <c r="Z115" s="35"/>
      <c r="AA115" s="35"/>
      <c r="AB115" s="35"/>
    </row>
    <row r="116" ht="15.75" customHeight="1">
      <c r="A116" s="35" t="s">
        <v>3140</v>
      </c>
      <c r="B116" s="35">
        <v>72.0</v>
      </c>
      <c r="C116" s="35"/>
      <c r="D116" s="35"/>
      <c r="E116" s="35"/>
      <c r="F116" s="35"/>
      <c r="G116" s="35"/>
      <c r="H116" s="35"/>
      <c r="I116" s="35" t="s">
        <v>3143</v>
      </c>
      <c r="J116" s="35">
        <v>260.0</v>
      </c>
      <c r="K116" s="35">
        <v>13.0</v>
      </c>
      <c r="L116" s="35"/>
      <c r="M116" s="35"/>
      <c r="N116" s="35"/>
      <c r="O116" s="35"/>
      <c r="P116" s="35"/>
      <c r="Q116" s="35"/>
      <c r="R116" s="35"/>
      <c r="S116" s="35"/>
      <c r="T116" s="35"/>
      <c r="U116" s="35"/>
      <c r="V116" s="35"/>
      <c r="W116" s="35"/>
      <c r="X116" s="35"/>
      <c r="Y116" s="35"/>
      <c r="Z116" s="35"/>
      <c r="AA116" s="35"/>
      <c r="AB116" s="35"/>
    </row>
    <row r="117" ht="15.75" customHeight="1">
      <c r="A117" s="35" t="s">
        <v>3147</v>
      </c>
      <c r="B117" s="35">
        <v>72.0</v>
      </c>
      <c r="C117" s="35"/>
      <c r="D117" s="35"/>
      <c r="E117" s="35"/>
      <c r="F117" s="35"/>
      <c r="G117" s="35"/>
      <c r="H117" s="35"/>
      <c r="I117" s="35" t="s">
        <v>2312</v>
      </c>
      <c r="J117" s="35">
        <v>3600.0</v>
      </c>
      <c r="K117" s="35">
        <v>22.0</v>
      </c>
      <c r="L117" s="35"/>
      <c r="M117" s="35"/>
      <c r="N117" s="35"/>
      <c r="O117" s="35"/>
      <c r="P117" s="35"/>
      <c r="Q117" s="35"/>
      <c r="R117" s="35"/>
      <c r="S117" s="35"/>
      <c r="T117" s="35"/>
      <c r="U117" s="35"/>
      <c r="V117" s="35" t="s">
        <v>3152</v>
      </c>
      <c r="W117" s="35"/>
      <c r="X117" s="35"/>
      <c r="Y117" s="35"/>
      <c r="Z117" s="35"/>
      <c r="AA117" s="35"/>
      <c r="AB117" s="35" t="s">
        <v>3153</v>
      </c>
    </row>
    <row r="118" ht="15.75" customHeight="1">
      <c r="A118" s="35" t="s">
        <v>3155</v>
      </c>
      <c r="B118" s="35">
        <v>70.0</v>
      </c>
      <c r="C118" s="35"/>
      <c r="D118" s="35"/>
      <c r="E118" s="35"/>
      <c r="F118" s="35"/>
      <c r="G118" s="35"/>
      <c r="H118" s="35"/>
      <c r="I118" s="35" t="s">
        <v>2269</v>
      </c>
      <c r="J118" s="35">
        <v>260.0</v>
      </c>
      <c r="K118" s="35">
        <v>6.0</v>
      </c>
      <c r="L118" s="35"/>
      <c r="M118" s="35"/>
      <c r="N118" s="35"/>
      <c r="O118" s="35"/>
      <c r="P118" s="35"/>
      <c r="Q118" s="35"/>
      <c r="R118" s="35"/>
      <c r="S118" s="35"/>
      <c r="T118" s="35"/>
      <c r="U118" s="35"/>
      <c r="V118" s="35" t="s">
        <v>3159</v>
      </c>
      <c r="W118" s="35"/>
      <c r="X118" s="35"/>
      <c r="Y118" s="35"/>
      <c r="Z118" s="35"/>
      <c r="AA118" s="35"/>
      <c r="AB118" s="35"/>
    </row>
    <row r="119" ht="15.75" customHeight="1">
      <c r="A119" s="35" t="s">
        <v>3161</v>
      </c>
      <c r="B119" s="35">
        <v>70.0</v>
      </c>
      <c r="C119" s="35"/>
      <c r="D119" s="35"/>
      <c r="E119" s="35"/>
      <c r="F119" s="35"/>
      <c r="G119" s="35"/>
      <c r="H119" s="35"/>
      <c r="I119" s="35" t="s">
        <v>2325</v>
      </c>
      <c r="J119" s="35">
        <v>170.0</v>
      </c>
      <c r="K119" s="35">
        <v>21.0</v>
      </c>
      <c r="L119" s="35"/>
      <c r="M119" s="35"/>
      <c r="N119" s="35"/>
      <c r="O119" s="35"/>
      <c r="P119" s="35"/>
      <c r="Q119" s="35"/>
      <c r="R119" s="35"/>
      <c r="S119" s="35"/>
      <c r="T119" s="35"/>
      <c r="U119" s="35"/>
      <c r="V119" s="35"/>
      <c r="W119" s="35"/>
      <c r="X119" s="35"/>
      <c r="Y119" s="35"/>
      <c r="Z119" s="35"/>
      <c r="AA119" s="35"/>
      <c r="AB119" s="35"/>
    </row>
    <row r="120" ht="15.75" customHeight="1">
      <c r="A120" s="35" t="s">
        <v>3167</v>
      </c>
      <c r="B120" s="35">
        <v>70.0</v>
      </c>
      <c r="C120" s="35"/>
      <c r="D120" s="35"/>
      <c r="E120" s="35"/>
      <c r="F120" s="35"/>
      <c r="G120" s="35"/>
      <c r="H120" s="35"/>
      <c r="I120" s="35" t="s">
        <v>2266</v>
      </c>
      <c r="J120" s="35">
        <v>2400.0</v>
      </c>
      <c r="K120" s="35">
        <v>6.0</v>
      </c>
      <c r="L120" s="35"/>
      <c r="M120" s="35"/>
      <c r="N120" s="35"/>
      <c r="O120" s="35"/>
      <c r="P120" s="35"/>
      <c r="Q120" s="35"/>
      <c r="R120" s="35"/>
      <c r="S120" s="35"/>
      <c r="T120" s="35"/>
      <c r="U120" s="35"/>
      <c r="V120" s="35"/>
      <c r="W120" s="35"/>
      <c r="X120" s="35"/>
      <c r="Y120" s="35"/>
      <c r="Z120" s="35"/>
      <c r="AA120" s="35"/>
      <c r="AB120" s="35"/>
    </row>
    <row r="121" ht="15.75" customHeight="1">
      <c r="A121" s="35" t="s">
        <v>3169</v>
      </c>
      <c r="B121" s="35">
        <v>70.0</v>
      </c>
      <c r="C121" s="35"/>
      <c r="D121" s="35"/>
      <c r="E121" s="35"/>
      <c r="F121" s="35"/>
      <c r="G121" s="35"/>
      <c r="H121" s="35"/>
      <c r="I121" s="35" t="s">
        <v>3170</v>
      </c>
      <c r="J121" s="35">
        <v>170.0</v>
      </c>
      <c r="K121" s="35">
        <v>17.0</v>
      </c>
      <c r="L121" s="35"/>
      <c r="M121" s="35"/>
      <c r="N121" s="35"/>
      <c r="O121" s="35"/>
      <c r="P121" s="35"/>
      <c r="Q121" s="35"/>
      <c r="R121" s="35"/>
      <c r="S121" s="35"/>
      <c r="T121" s="35"/>
      <c r="U121" s="35"/>
      <c r="V121" s="35"/>
      <c r="W121" s="35"/>
      <c r="X121" s="35"/>
      <c r="Y121" s="35"/>
      <c r="Z121" s="35"/>
      <c r="AA121" s="35"/>
      <c r="AB121" s="35"/>
    </row>
    <row r="122" ht="15.75" customHeight="1">
      <c r="A122" s="35" t="s">
        <v>3174</v>
      </c>
      <c r="B122" s="35">
        <v>69.0</v>
      </c>
      <c r="C122" s="35"/>
      <c r="D122" s="35"/>
      <c r="E122" s="35"/>
      <c r="F122" s="35"/>
      <c r="G122" s="35"/>
      <c r="H122" s="35"/>
      <c r="I122" s="35" t="s">
        <v>830</v>
      </c>
      <c r="J122" s="35">
        <v>210.0</v>
      </c>
      <c r="K122" s="35">
        <v>24.0</v>
      </c>
      <c r="L122" s="35"/>
      <c r="M122" s="35"/>
      <c r="N122" s="35"/>
      <c r="O122" s="35"/>
      <c r="P122" s="35"/>
      <c r="Q122" s="35"/>
      <c r="R122" s="35"/>
      <c r="S122" s="35"/>
      <c r="T122" s="35"/>
      <c r="U122" s="35"/>
      <c r="V122" s="35"/>
      <c r="W122" s="35"/>
      <c r="X122" s="35"/>
      <c r="Y122" s="35"/>
      <c r="Z122" s="35"/>
      <c r="AA122" s="35"/>
      <c r="AB122" s="35"/>
    </row>
    <row r="123" ht="15.75" customHeight="1">
      <c r="A123" s="35" t="s">
        <v>3177</v>
      </c>
      <c r="B123" s="35">
        <v>69.0</v>
      </c>
      <c r="C123" s="35"/>
      <c r="D123" s="35"/>
      <c r="E123" s="35"/>
      <c r="F123" s="35"/>
      <c r="G123" s="35"/>
      <c r="H123" s="35"/>
      <c r="I123" s="35" t="s">
        <v>3180</v>
      </c>
      <c r="J123" s="35">
        <v>210.0</v>
      </c>
      <c r="K123" s="35">
        <v>19.0</v>
      </c>
      <c r="L123" s="35"/>
      <c r="M123" s="35"/>
      <c r="N123" s="35"/>
      <c r="O123" s="35"/>
      <c r="P123" s="35"/>
      <c r="Q123" s="35"/>
      <c r="R123" s="35"/>
      <c r="S123" s="35"/>
      <c r="T123" s="35"/>
      <c r="U123" s="35"/>
      <c r="V123" s="35"/>
      <c r="W123" s="35"/>
      <c r="X123" s="35"/>
      <c r="Y123" s="35"/>
      <c r="Z123" s="35"/>
      <c r="AA123" s="35"/>
      <c r="AB123" s="35"/>
    </row>
    <row r="124" ht="15.75" customHeight="1">
      <c r="A124" s="35" t="s">
        <v>3183</v>
      </c>
      <c r="B124" s="35">
        <v>68.0</v>
      </c>
      <c r="C124" s="35"/>
      <c r="D124" s="35"/>
      <c r="E124" s="35"/>
      <c r="F124" s="35"/>
      <c r="G124" s="35"/>
      <c r="H124" s="35"/>
      <c r="I124" s="35" t="s">
        <v>3185</v>
      </c>
      <c r="J124" s="35">
        <v>320.0</v>
      </c>
      <c r="K124" s="35">
        <v>29.0</v>
      </c>
      <c r="L124" s="35"/>
      <c r="M124" s="35"/>
      <c r="N124" s="35"/>
      <c r="O124" s="35"/>
      <c r="P124" s="35"/>
      <c r="Q124" s="35"/>
      <c r="R124" s="35"/>
      <c r="S124" s="35"/>
      <c r="T124" s="35"/>
      <c r="U124" s="35"/>
      <c r="V124" s="35"/>
      <c r="W124" s="35"/>
      <c r="X124" s="35"/>
      <c r="Y124" s="35"/>
      <c r="Z124" s="35"/>
      <c r="AA124" s="35"/>
      <c r="AB124" s="35"/>
    </row>
    <row r="125" ht="15.75" customHeight="1">
      <c r="A125" s="35" t="s">
        <v>3188</v>
      </c>
      <c r="B125" s="35">
        <v>67.0</v>
      </c>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row>
    <row r="126" ht="15.75" customHeight="1">
      <c r="A126" s="35" t="s">
        <v>3192</v>
      </c>
      <c r="B126" s="35">
        <v>67.0</v>
      </c>
      <c r="C126" s="35"/>
      <c r="D126" s="35"/>
      <c r="E126" s="35"/>
      <c r="F126" s="35"/>
      <c r="G126" s="35"/>
      <c r="H126" s="35"/>
      <c r="I126" s="35" t="s">
        <v>2253</v>
      </c>
      <c r="J126" s="35">
        <v>1000.0</v>
      </c>
      <c r="K126" s="35">
        <v>27.0</v>
      </c>
      <c r="L126" s="35"/>
      <c r="M126" s="35"/>
      <c r="N126" s="35"/>
      <c r="O126" s="35"/>
      <c r="P126" s="35"/>
      <c r="Q126" s="35"/>
      <c r="R126" s="35"/>
      <c r="S126" s="35"/>
      <c r="T126" s="35"/>
      <c r="U126" s="35"/>
      <c r="V126" s="35"/>
      <c r="W126" s="35"/>
      <c r="X126" s="35"/>
      <c r="Y126" s="35"/>
      <c r="Z126" s="35"/>
      <c r="AA126" s="35"/>
      <c r="AB126" s="35"/>
    </row>
    <row r="127" ht="15.75" customHeight="1">
      <c r="A127" s="35" t="s">
        <v>3197</v>
      </c>
      <c r="B127" s="35">
        <v>65.0</v>
      </c>
      <c r="C127" s="35"/>
      <c r="D127" s="35"/>
      <c r="E127" s="35"/>
      <c r="F127" s="35"/>
      <c r="G127" s="35"/>
      <c r="H127" s="35"/>
      <c r="I127" s="35" t="s">
        <v>2259</v>
      </c>
      <c r="J127" s="35">
        <v>880.0</v>
      </c>
      <c r="K127" s="35">
        <v>22.0</v>
      </c>
      <c r="L127" s="35"/>
      <c r="M127" s="35"/>
      <c r="N127" s="35"/>
      <c r="O127" s="35"/>
      <c r="P127" s="35"/>
      <c r="Q127" s="35"/>
      <c r="R127" s="35"/>
      <c r="S127" s="35"/>
      <c r="T127" s="35"/>
      <c r="U127" s="35"/>
      <c r="V127" s="35"/>
      <c r="W127" s="35"/>
      <c r="X127" s="35"/>
      <c r="Y127" s="35"/>
      <c r="Z127" s="35"/>
      <c r="AA127" s="35"/>
      <c r="AB127" s="35"/>
    </row>
    <row r="128" ht="15.75" customHeight="1">
      <c r="A128" s="35" t="s">
        <v>3202</v>
      </c>
      <c r="B128" s="35">
        <v>65.0</v>
      </c>
      <c r="C128" s="35"/>
      <c r="D128" s="35"/>
      <c r="E128" s="35"/>
      <c r="F128" s="35"/>
      <c r="G128" s="35"/>
      <c r="H128" s="35"/>
      <c r="I128" s="35" t="s">
        <v>2263</v>
      </c>
      <c r="J128" s="35">
        <v>390.0</v>
      </c>
      <c r="K128" s="35">
        <v>23.0</v>
      </c>
      <c r="L128" s="35"/>
      <c r="M128" s="35"/>
      <c r="N128" s="35"/>
      <c r="O128" s="35"/>
      <c r="P128" s="35"/>
      <c r="Q128" s="35"/>
      <c r="R128" s="35"/>
      <c r="S128" s="35"/>
      <c r="T128" s="35"/>
      <c r="U128" s="35"/>
      <c r="V128" s="35"/>
      <c r="W128" s="35"/>
      <c r="X128" s="35"/>
      <c r="Y128" s="35"/>
      <c r="Z128" s="35"/>
      <c r="AA128" s="35"/>
      <c r="AB128" s="35"/>
    </row>
    <row r="129" ht="15.75" customHeight="1">
      <c r="A129" s="35" t="s">
        <v>3207</v>
      </c>
      <c r="B129" s="35">
        <v>64.0</v>
      </c>
      <c r="C129" s="35"/>
      <c r="D129" s="35"/>
      <c r="E129" s="35"/>
      <c r="F129" s="35"/>
      <c r="G129" s="35"/>
      <c r="H129" s="35"/>
      <c r="I129" s="35" t="s">
        <v>2267</v>
      </c>
      <c r="J129" s="35">
        <v>390.0</v>
      </c>
      <c r="K129" s="35">
        <v>17.0</v>
      </c>
      <c r="L129" s="35"/>
      <c r="M129" s="35"/>
      <c r="N129" s="35"/>
      <c r="O129" s="35"/>
      <c r="P129" s="35"/>
      <c r="Q129" s="35"/>
      <c r="R129" s="35"/>
      <c r="S129" s="35"/>
      <c r="T129" s="35"/>
      <c r="U129" s="35"/>
      <c r="V129" s="35"/>
      <c r="W129" s="35"/>
      <c r="X129" s="35"/>
      <c r="Y129" s="35"/>
      <c r="Z129" s="35"/>
      <c r="AA129" s="35"/>
      <c r="AB129" s="35"/>
    </row>
    <row r="130" ht="15.75" customHeight="1">
      <c r="A130" s="35" t="s">
        <v>3212</v>
      </c>
      <c r="B130" s="35">
        <v>64.0</v>
      </c>
      <c r="C130" s="35"/>
      <c r="D130" s="35"/>
      <c r="E130" s="35"/>
      <c r="F130" s="35"/>
      <c r="G130" s="35"/>
      <c r="H130" s="35"/>
      <c r="I130" s="35" t="s">
        <v>2270</v>
      </c>
      <c r="J130" s="35">
        <v>320.0</v>
      </c>
      <c r="K130" s="35">
        <v>18.0</v>
      </c>
      <c r="L130" s="35"/>
      <c r="M130" s="35"/>
      <c r="N130" s="35"/>
      <c r="O130" s="35"/>
      <c r="P130" s="35"/>
      <c r="Q130" s="35"/>
      <c r="R130" s="35"/>
      <c r="S130" s="35"/>
      <c r="T130" s="35"/>
      <c r="U130" s="35"/>
      <c r="V130" s="35"/>
      <c r="W130" s="35"/>
      <c r="X130" s="35"/>
      <c r="Y130" s="35"/>
      <c r="Z130" s="35"/>
      <c r="AA130" s="35"/>
      <c r="AB130" s="35"/>
    </row>
    <row r="131" ht="15.75" customHeight="1">
      <c r="A131" s="35" t="s">
        <v>3219</v>
      </c>
      <c r="B131" s="35">
        <v>62.0</v>
      </c>
      <c r="C131" s="35"/>
      <c r="D131" s="35"/>
      <c r="E131" s="35"/>
      <c r="F131" s="35"/>
      <c r="G131" s="35"/>
      <c r="H131" s="35"/>
      <c r="I131" s="35" t="s">
        <v>2272</v>
      </c>
      <c r="J131" s="35">
        <v>320.0</v>
      </c>
      <c r="K131" s="35">
        <v>25.0</v>
      </c>
      <c r="L131" s="35"/>
      <c r="M131" s="35"/>
      <c r="N131" s="35"/>
      <c r="O131" s="35"/>
      <c r="P131" s="35"/>
      <c r="Q131" s="35"/>
      <c r="R131" s="35"/>
      <c r="S131" s="35"/>
      <c r="T131" s="35"/>
      <c r="U131" s="35"/>
      <c r="V131" s="35"/>
      <c r="W131" s="35"/>
      <c r="X131" s="35"/>
      <c r="Y131" s="35"/>
      <c r="Z131" s="35"/>
      <c r="AA131" s="35"/>
      <c r="AB131" s="35"/>
    </row>
    <row r="132" ht="15.75" customHeight="1">
      <c r="A132" s="35" t="s">
        <v>3226</v>
      </c>
      <c r="B132" s="35">
        <v>62.0</v>
      </c>
      <c r="C132" s="35"/>
      <c r="D132" s="35"/>
      <c r="E132" s="35"/>
      <c r="F132" s="35"/>
      <c r="G132" s="35"/>
      <c r="H132" s="35"/>
      <c r="I132" s="35" t="s">
        <v>2275</v>
      </c>
      <c r="J132" s="35">
        <v>880.0</v>
      </c>
      <c r="K132" s="35">
        <v>17.0</v>
      </c>
      <c r="L132" s="35"/>
      <c r="M132" s="35"/>
      <c r="N132" s="35"/>
      <c r="O132" s="35"/>
      <c r="P132" s="35"/>
      <c r="Q132" s="35"/>
      <c r="R132" s="35"/>
      <c r="S132" s="35"/>
      <c r="T132" s="35"/>
      <c r="U132" s="35"/>
      <c r="V132" s="35"/>
      <c r="W132" s="35"/>
      <c r="X132" s="35"/>
      <c r="Y132" s="35"/>
      <c r="Z132" s="35"/>
      <c r="AA132" s="35"/>
      <c r="AB132" s="35"/>
    </row>
    <row r="133" ht="15.75" customHeight="1">
      <c r="A133" s="35" t="s">
        <v>3232</v>
      </c>
      <c r="B133" s="35">
        <v>60.0</v>
      </c>
      <c r="C133" s="35"/>
      <c r="D133" s="35"/>
      <c r="E133" s="35"/>
      <c r="F133" s="35"/>
      <c r="G133" s="35"/>
      <c r="H133" s="35"/>
      <c r="I133" s="35" t="s">
        <v>2281</v>
      </c>
      <c r="J133" s="35">
        <v>110.0</v>
      </c>
      <c r="K133" s="35">
        <v>23.0</v>
      </c>
      <c r="L133" s="35"/>
      <c r="M133" s="35"/>
      <c r="N133" s="35"/>
      <c r="O133" s="35"/>
      <c r="P133" s="35"/>
      <c r="Q133" s="35"/>
      <c r="R133" s="35"/>
      <c r="S133" s="35"/>
      <c r="T133" s="35"/>
      <c r="U133" s="35"/>
      <c r="V133" s="35"/>
      <c r="W133" s="35"/>
      <c r="X133" s="35"/>
      <c r="Y133" s="35"/>
      <c r="Z133" s="35"/>
      <c r="AA133" s="35"/>
      <c r="AB133" s="35"/>
    </row>
    <row r="134" ht="15.75" customHeight="1">
      <c r="A134" s="35" t="s">
        <v>3238</v>
      </c>
      <c r="B134" s="35">
        <v>59.0</v>
      </c>
      <c r="C134" s="35"/>
      <c r="D134" s="35"/>
      <c r="E134" s="35"/>
      <c r="F134" s="35"/>
      <c r="G134" s="35"/>
      <c r="H134" s="35"/>
      <c r="I134" s="35" t="s">
        <v>587</v>
      </c>
      <c r="J134" s="35">
        <v>480.0</v>
      </c>
      <c r="K134" s="35">
        <v>15.0</v>
      </c>
      <c r="L134" s="35"/>
      <c r="M134" s="35"/>
      <c r="N134" s="35"/>
      <c r="O134" s="35"/>
      <c r="P134" s="35"/>
      <c r="Q134" s="35"/>
      <c r="R134" s="35"/>
      <c r="S134" s="35"/>
      <c r="T134" s="35"/>
      <c r="U134" s="35"/>
      <c r="V134" s="35"/>
      <c r="W134" s="35"/>
      <c r="X134" s="35"/>
      <c r="Y134" s="35"/>
      <c r="Z134" s="35"/>
      <c r="AA134" s="35"/>
      <c r="AB134" s="35"/>
    </row>
    <row r="135" ht="15.75" customHeight="1">
      <c r="A135" s="35" t="s">
        <v>3244</v>
      </c>
      <c r="B135" s="35">
        <v>59.0</v>
      </c>
      <c r="C135" s="35"/>
      <c r="D135" s="35"/>
      <c r="E135" s="35"/>
      <c r="F135" s="35"/>
      <c r="G135" s="35"/>
      <c r="H135" s="35"/>
      <c r="I135" s="35" t="s">
        <v>2301</v>
      </c>
      <c r="J135" s="35">
        <v>590.0</v>
      </c>
      <c r="K135" s="35">
        <v>29.0</v>
      </c>
      <c r="L135" s="35"/>
      <c r="M135" s="35"/>
      <c r="N135" s="35"/>
      <c r="O135" s="35"/>
      <c r="P135" s="35"/>
      <c r="Q135" s="35"/>
      <c r="R135" s="35"/>
      <c r="S135" s="35"/>
      <c r="T135" s="35"/>
      <c r="U135" s="35"/>
      <c r="V135" s="35"/>
      <c r="W135" s="35"/>
      <c r="X135" s="35"/>
      <c r="Y135" s="35"/>
      <c r="Z135" s="35"/>
      <c r="AA135" s="35"/>
      <c r="AB135" s="35"/>
    </row>
    <row r="136" ht="15.75" customHeight="1">
      <c r="A136" s="35" t="s">
        <v>3249</v>
      </c>
      <c r="B136" s="35">
        <v>59.0</v>
      </c>
      <c r="C136" s="35"/>
      <c r="D136" s="35"/>
      <c r="E136" s="35"/>
      <c r="F136" s="35"/>
      <c r="G136" s="35"/>
      <c r="H136" s="35"/>
      <c r="I136" s="35" t="s">
        <v>2219</v>
      </c>
      <c r="J136" s="35">
        <v>390.0</v>
      </c>
      <c r="K136" s="35">
        <v>18.0</v>
      </c>
      <c r="L136" s="35"/>
      <c r="M136" s="35"/>
      <c r="N136" s="35"/>
      <c r="O136" s="35"/>
      <c r="P136" s="35"/>
      <c r="Q136" s="35"/>
      <c r="R136" s="35"/>
      <c r="S136" s="35"/>
      <c r="T136" s="35"/>
      <c r="U136" s="35"/>
      <c r="V136" s="35"/>
      <c r="W136" s="35"/>
      <c r="X136" s="35"/>
      <c r="Y136" s="35"/>
      <c r="Z136" s="35"/>
      <c r="AA136" s="35"/>
      <c r="AB136" s="35"/>
    </row>
    <row r="137" ht="15.75" customHeight="1">
      <c r="A137" s="35" t="s">
        <v>3258</v>
      </c>
      <c r="B137" s="35">
        <v>58.0</v>
      </c>
      <c r="C137" s="35"/>
      <c r="D137" s="35"/>
      <c r="E137" s="35"/>
      <c r="F137" s="35"/>
      <c r="G137" s="35"/>
      <c r="H137" s="35"/>
      <c r="I137" s="35" t="s">
        <v>2224</v>
      </c>
      <c r="J137" s="35">
        <v>260.0</v>
      </c>
      <c r="K137" s="35">
        <v>27.0</v>
      </c>
      <c r="L137" s="35"/>
      <c r="M137" s="35"/>
      <c r="N137" s="35"/>
      <c r="O137" s="35"/>
      <c r="P137" s="35"/>
      <c r="Q137" s="35"/>
      <c r="R137" s="35"/>
      <c r="S137" s="35"/>
      <c r="T137" s="35"/>
      <c r="U137" s="35"/>
      <c r="V137" s="35"/>
      <c r="W137" s="35"/>
      <c r="X137" s="35"/>
      <c r="Y137" s="35"/>
      <c r="Z137" s="35"/>
      <c r="AA137" s="35"/>
      <c r="AB137" s="35"/>
    </row>
    <row r="138" ht="15.75" customHeight="1">
      <c r="A138" s="35" t="s">
        <v>3269</v>
      </c>
      <c r="B138" s="35">
        <v>57.0</v>
      </c>
      <c r="C138" s="35"/>
      <c r="D138" s="35"/>
      <c r="E138" s="35"/>
      <c r="F138" s="35"/>
      <c r="G138" s="35"/>
      <c r="H138" s="35"/>
      <c r="I138" s="35" t="s">
        <v>2228</v>
      </c>
      <c r="J138" s="35">
        <v>1000.0</v>
      </c>
      <c r="K138" s="35">
        <v>31.0</v>
      </c>
      <c r="L138" s="35"/>
      <c r="M138" s="35"/>
      <c r="N138" s="35"/>
      <c r="O138" s="35"/>
      <c r="P138" s="35"/>
      <c r="Q138" s="35"/>
      <c r="R138" s="35"/>
      <c r="S138" s="35"/>
      <c r="T138" s="35"/>
      <c r="U138" s="35"/>
      <c r="V138" s="35"/>
      <c r="W138" s="35"/>
      <c r="X138" s="35"/>
      <c r="Y138" s="35"/>
      <c r="Z138" s="35"/>
      <c r="AA138" s="35"/>
      <c r="AB138" s="35"/>
    </row>
    <row r="139" ht="15.75" customHeight="1">
      <c r="A139" s="35" t="s">
        <v>3281</v>
      </c>
      <c r="B139" s="35">
        <v>56.0</v>
      </c>
      <c r="C139" s="35"/>
      <c r="D139" s="35"/>
      <c r="E139" s="35"/>
      <c r="F139" s="35"/>
      <c r="G139" s="35"/>
      <c r="H139" s="35"/>
      <c r="I139" s="35" t="s">
        <v>2329</v>
      </c>
      <c r="J139" s="35">
        <v>590.0</v>
      </c>
      <c r="K139" s="35">
        <v>25.0</v>
      </c>
      <c r="L139" s="35"/>
      <c r="M139" s="35"/>
      <c r="N139" s="35"/>
      <c r="O139" s="35"/>
      <c r="P139" s="35"/>
      <c r="Q139" s="35"/>
      <c r="R139" s="35"/>
      <c r="S139" s="35"/>
      <c r="T139" s="35"/>
      <c r="U139" s="35"/>
      <c r="V139" s="35"/>
      <c r="W139" s="35"/>
      <c r="X139" s="35"/>
      <c r="Y139" s="35"/>
      <c r="Z139" s="35"/>
      <c r="AA139" s="35"/>
      <c r="AB139" s="35"/>
    </row>
    <row r="140" ht="15.75" customHeight="1">
      <c r="A140" s="35" t="s">
        <v>3292</v>
      </c>
      <c r="B140" s="35">
        <v>55.0</v>
      </c>
      <c r="C140" s="35"/>
      <c r="D140" s="35"/>
      <c r="E140" s="35"/>
      <c r="F140" s="35"/>
      <c r="G140" s="35"/>
      <c r="H140" s="35"/>
      <c r="I140" s="35" t="s">
        <v>2337</v>
      </c>
      <c r="J140" s="35">
        <v>590.0</v>
      </c>
      <c r="K140" s="35">
        <v>9.0</v>
      </c>
      <c r="L140" s="35"/>
      <c r="M140" s="35"/>
      <c r="N140" s="35"/>
      <c r="O140" s="35"/>
      <c r="P140" s="35"/>
      <c r="Q140" s="35"/>
      <c r="R140" s="35"/>
      <c r="S140" s="35"/>
      <c r="T140" s="35"/>
      <c r="U140" s="35"/>
      <c r="V140" s="35"/>
      <c r="W140" s="35"/>
      <c r="X140" s="35"/>
      <c r="Y140" s="35"/>
      <c r="Z140" s="35"/>
      <c r="AA140" s="35"/>
      <c r="AB140" s="35"/>
    </row>
    <row r="141" ht="15.75" customHeight="1">
      <c r="A141" s="35" t="s">
        <v>3300</v>
      </c>
      <c r="B141" s="35">
        <v>55.0</v>
      </c>
      <c r="C141" s="35"/>
      <c r="D141" s="35"/>
      <c r="E141" s="35"/>
      <c r="F141" s="35"/>
      <c r="G141" s="35"/>
      <c r="H141" s="35"/>
      <c r="I141" s="35" t="s">
        <v>2343</v>
      </c>
      <c r="J141" s="35">
        <v>390.0</v>
      </c>
      <c r="K141" s="35">
        <v>28.0</v>
      </c>
      <c r="L141" s="35"/>
      <c r="M141" s="35"/>
      <c r="N141" s="35"/>
      <c r="O141" s="35"/>
      <c r="P141" s="35"/>
      <c r="Q141" s="35"/>
      <c r="R141" s="35"/>
      <c r="S141" s="35"/>
      <c r="T141" s="35"/>
      <c r="U141" s="35"/>
      <c r="V141" s="35"/>
      <c r="W141" s="35"/>
      <c r="X141" s="35"/>
      <c r="Y141" s="35"/>
      <c r="Z141" s="35"/>
      <c r="AA141" s="35"/>
      <c r="AB141" s="35"/>
    </row>
    <row r="142" ht="15.75" customHeight="1">
      <c r="A142" s="35" t="s">
        <v>3307</v>
      </c>
      <c r="B142" s="35">
        <v>54.0</v>
      </c>
      <c r="C142" s="35"/>
      <c r="D142" s="35"/>
      <c r="E142" s="35"/>
      <c r="F142" s="35"/>
      <c r="G142" s="35"/>
      <c r="H142" s="35"/>
      <c r="I142" s="35" t="s">
        <v>2348</v>
      </c>
      <c r="J142" s="35">
        <v>320.0</v>
      </c>
      <c r="K142" s="35">
        <v>29.0</v>
      </c>
      <c r="L142" s="35"/>
      <c r="M142" s="35"/>
      <c r="N142" s="35"/>
      <c r="O142" s="35"/>
      <c r="P142" s="35"/>
      <c r="Q142" s="35"/>
      <c r="R142" s="35"/>
      <c r="S142" s="35"/>
      <c r="T142" s="35"/>
      <c r="U142" s="35"/>
      <c r="V142" s="35"/>
      <c r="W142" s="35"/>
      <c r="X142" s="35"/>
      <c r="Y142" s="35"/>
      <c r="Z142" s="35"/>
      <c r="AA142" s="35"/>
      <c r="AB142" s="35"/>
    </row>
    <row r="143" ht="15.75" customHeight="1">
      <c r="A143" s="35" t="s">
        <v>3312</v>
      </c>
      <c r="B143" s="35">
        <v>54.0</v>
      </c>
      <c r="C143" s="35"/>
      <c r="D143" s="35"/>
      <c r="E143" s="35"/>
      <c r="F143" s="35"/>
      <c r="G143" s="35"/>
      <c r="H143" s="35"/>
      <c r="I143" s="35" t="s">
        <v>2354</v>
      </c>
      <c r="J143" s="35">
        <v>210.0</v>
      </c>
      <c r="K143" s="35">
        <v>24.0</v>
      </c>
      <c r="L143" s="35"/>
      <c r="M143" s="35"/>
      <c r="N143" s="35"/>
      <c r="O143" s="35"/>
      <c r="P143" s="35"/>
      <c r="Q143" s="35"/>
      <c r="R143" s="35"/>
      <c r="S143" s="35"/>
      <c r="T143" s="35"/>
      <c r="U143" s="35"/>
      <c r="V143" s="35"/>
      <c r="W143" s="35"/>
      <c r="X143" s="35"/>
      <c r="Y143" s="35"/>
      <c r="Z143" s="35"/>
      <c r="AA143" s="35"/>
      <c r="AB143" s="35"/>
    </row>
    <row r="144" ht="15.75" customHeight="1">
      <c r="A144" s="35" t="s">
        <v>3315</v>
      </c>
      <c r="B144" s="35">
        <v>54.0</v>
      </c>
      <c r="C144" s="35"/>
      <c r="D144" s="35"/>
      <c r="E144" s="35"/>
      <c r="F144" s="35"/>
      <c r="G144" s="35"/>
      <c r="H144" s="35"/>
      <c r="I144" s="35" t="s">
        <v>2359</v>
      </c>
      <c r="J144" s="35">
        <v>480.0</v>
      </c>
      <c r="K144" s="35">
        <v>25.0</v>
      </c>
      <c r="L144" s="35"/>
      <c r="M144" s="35"/>
      <c r="N144" s="35"/>
      <c r="O144" s="35"/>
      <c r="P144" s="35"/>
      <c r="Q144" s="35"/>
      <c r="R144" s="35"/>
      <c r="S144" s="35"/>
      <c r="T144" s="35"/>
      <c r="U144" s="35"/>
      <c r="V144" s="35"/>
      <c r="W144" s="35"/>
      <c r="X144" s="35"/>
      <c r="Y144" s="35"/>
      <c r="Z144" s="35"/>
      <c r="AA144" s="35"/>
      <c r="AB144" s="35"/>
    </row>
    <row r="145" ht="15.75" customHeight="1">
      <c r="A145" s="35" t="s">
        <v>3317</v>
      </c>
      <c r="B145" s="35">
        <v>53.0</v>
      </c>
      <c r="C145" s="35"/>
      <c r="D145" s="35"/>
      <c r="E145" s="35"/>
      <c r="F145" s="35"/>
      <c r="G145" s="35"/>
      <c r="H145" s="35"/>
      <c r="I145" s="35" t="s">
        <v>2369</v>
      </c>
      <c r="J145" s="35">
        <v>170.0</v>
      </c>
      <c r="K145" s="35">
        <v>21.0</v>
      </c>
      <c r="L145" s="35"/>
      <c r="M145" s="35"/>
      <c r="N145" s="35"/>
      <c r="O145" s="35"/>
      <c r="P145" s="35"/>
      <c r="Q145" s="35"/>
      <c r="R145" s="35"/>
      <c r="S145" s="35"/>
      <c r="T145" s="35"/>
      <c r="U145" s="35"/>
      <c r="V145" s="35"/>
      <c r="W145" s="35"/>
      <c r="X145" s="35"/>
      <c r="Y145" s="35"/>
      <c r="Z145" s="35"/>
      <c r="AA145" s="35"/>
      <c r="AB145" s="35"/>
    </row>
    <row r="146" ht="15.75" customHeight="1">
      <c r="A146" s="35" t="s">
        <v>3323</v>
      </c>
      <c r="B146" s="35">
        <v>53.0</v>
      </c>
      <c r="C146" s="35"/>
      <c r="D146" s="35"/>
      <c r="E146" s="35"/>
      <c r="F146" s="35"/>
      <c r="G146" s="35"/>
      <c r="H146" s="35"/>
      <c r="I146" s="35" t="s">
        <v>2377</v>
      </c>
      <c r="J146" s="35">
        <v>480.0</v>
      </c>
      <c r="K146" s="35">
        <v>29.0</v>
      </c>
      <c r="L146" s="35"/>
      <c r="M146" s="35"/>
      <c r="N146" s="35"/>
      <c r="O146" s="35"/>
      <c r="P146" s="35"/>
      <c r="Q146" s="35"/>
      <c r="R146" s="35"/>
      <c r="S146" s="35"/>
      <c r="T146" s="35"/>
      <c r="U146" s="35"/>
      <c r="V146" s="35"/>
      <c r="W146" s="35"/>
      <c r="X146" s="35"/>
      <c r="Y146" s="35"/>
      <c r="Z146" s="35"/>
      <c r="AA146" s="35"/>
      <c r="AB146" s="35"/>
    </row>
    <row r="147" ht="15.75" customHeight="1">
      <c r="A147" s="35" t="s">
        <v>3330</v>
      </c>
      <c r="B147" s="35">
        <v>53.0</v>
      </c>
      <c r="C147" s="35"/>
      <c r="D147" s="35"/>
      <c r="E147" s="35"/>
      <c r="F147" s="35"/>
      <c r="G147" s="35"/>
      <c r="H147" s="35"/>
      <c r="I147" s="35" t="s">
        <v>2385</v>
      </c>
      <c r="J147" s="35">
        <v>110.0</v>
      </c>
      <c r="K147" s="35">
        <v>18.0</v>
      </c>
      <c r="L147" s="35"/>
      <c r="M147" s="35"/>
      <c r="N147" s="35"/>
      <c r="O147" s="35"/>
      <c r="P147" s="35"/>
      <c r="Q147" s="35"/>
      <c r="R147" s="35"/>
      <c r="S147" s="35"/>
      <c r="T147" s="35"/>
      <c r="U147" s="35"/>
      <c r="V147" s="35"/>
      <c r="W147" s="35"/>
      <c r="X147" s="35"/>
      <c r="Y147" s="35"/>
      <c r="Z147" s="35"/>
      <c r="AA147" s="35"/>
      <c r="AB147" s="35"/>
    </row>
    <row r="148" ht="15.75" customHeight="1">
      <c r="A148" s="35" t="s">
        <v>3337</v>
      </c>
      <c r="B148" s="35">
        <v>53.0</v>
      </c>
      <c r="C148" s="35"/>
      <c r="D148" s="35"/>
      <c r="E148" s="35"/>
      <c r="F148" s="35"/>
      <c r="G148" s="35"/>
      <c r="H148" s="35"/>
      <c r="I148" s="35" t="s">
        <v>2318</v>
      </c>
      <c r="J148" s="35">
        <v>1300.0</v>
      </c>
      <c r="K148" s="35">
        <v>15.0</v>
      </c>
      <c r="L148" s="35"/>
      <c r="M148" s="35"/>
      <c r="N148" s="35"/>
      <c r="O148" s="35"/>
      <c r="P148" s="35"/>
      <c r="Q148" s="35"/>
      <c r="R148" s="35"/>
      <c r="S148" s="35"/>
      <c r="T148" s="35"/>
      <c r="U148" s="35"/>
      <c r="V148" s="35"/>
      <c r="W148" s="35"/>
      <c r="X148" s="35"/>
      <c r="Y148" s="35"/>
      <c r="Z148" s="35"/>
      <c r="AA148" s="35"/>
      <c r="AB148" s="35"/>
    </row>
    <row r="149" ht="15.75" customHeight="1">
      <c r="A149" s="35" t="s">
        <v>3343</v>
      </c>
      <c r="B149" s="35">
        <v>52.0</v>
      </c>
      <c r="C149" s="35"/>
      <c r="D149" s="35"/>
      <c r="E149" s="35"/>
      <c r="F149" s="35"/>
      <c r="G149" s="35"/>
      <c r="H149" s="35"/>
      <c r="I149" s="35" t="s">
        <v>2404</v>
      </c>
      <c r="J149" s="35">
        <v>390.0</v>
      </c>
      <c r="K149" s="35">
        <v>21.0</v>
      </c>
      <c r="L149" s="35"/>
      <c r="M149" s="35"/>
      <c r="N149" s="35"/>
      <c r="O149" s="35"/>
      <c r="P149" s="35"/>
      <c r="Q149" s="35"/>
      <c r="R149" s="35"/>
      <c r="S149" s="35"/>
      <c r="T149" s="35"/>
      <c r="U149" s="35"/>
      <c r="V149" s="35"/>
      <c r="W149" s="35"/>
      <c r="X149" s="35"/>
      <c r="Y149" s="35"/>
      <c r="Z149" s="35"/>
      <c r="AA149" s="35"/>
      <c r="AB149" s="35"/>
    </row>
    <row r="150" ht="15.75" customHeight="1">
      <c r="A150" s="35" t="s">
        <v>3346</v>
      </c>
      <c r="B150" s="35">
        <v>51.0</v>
      </c>
      <c r="C150" s="35"/>
      <c r="D150" s="35"/>
      <c r="E150" s="35"/>
      <c r="F150" s="35"/>
      <c r="G150" s="35"/>
      <c r="H150" s="35"/>
      <c r="I150" s="35" t="s">
        <v>2237</v>
      </c>
      <c r="J150" s="35">
        <v>2400.0</v>
      </c>
      <c r="K150" s="35">
        <v>30.0</v>
      </c>
      <c r="L150" s="35"/>
      <c r="M150" s="35"/>
      <c r="N150" s="35"/>
      <c r="O150" s="35"/>
      <c r="P150" s="35"/>
      <c r="Q150" s="35"/>
      <c r="R150" s="35"/>
      <c r="S150" s="35"/>
      <c r="T150" s="35"/>
      <c r="U150" s="35"/>
      <c r="V150" s="35"/>
      <c r="W150" s="35"/>
      <c r="X150" s="35"/>
      <c r="Y150" s="35"/>
      <c r="Z150" s="35"/>
      <c r="AA150" s="35"/>
      <c r="AB150" s="35"/>
    </row>
    <row r="151" ht="15.75" customHeight="1">
      <c r="A151" s="35" t="s">
        <v>3351</v>
      </c>
      <c r="B151" s="35">
        <v>51.0</v>
      </c>
      <c r="C151" s="35"/>
      <c r="D151" s="35"/>
      <c r="E151" s="35"/>
      <c r="F151" s="35"/>
      <c r="G151" s="35"/>
      <c r="H151" s="35"/>
      <c r="I151" s="35" t="s">
        <v>2425</v>
      </c>
      <c r="J151" s="35">
        <v>390.0</v>
      </c>
      <c r="K151" s="35">
        <v>20.0</v>
      </c>
      <c r="L151" s="35"/>
      <c r="M151" s="35"/>
      <c r="N151" s="35"/>
      <c r="O151" s="35"/>
      <c r="P151" s="35"/>
      <c r="Q151" s="35"/>
      <c r="R151" s="35"/>
      <c r="S151" s="35"/>
      <c r="T151" s="35"/>
      <c r="U151" s="35"/>
      <c r="V151" s="35"/>
      <c r="W151" s="35"/>
      <c r="X151" s="35"/>
      <c r="Y151" s="35"/>
      <c r="Z151" s="35"/>
      <c r="AA151" s="35"/>
      <c r="AB151" s="35"/>
    </row>
    <row r="152" ht="15.75" customHeight="1">
      <c r="A152" s="35" t="s">
        <v>3358</v>
      </c>
      <c r="B152" s="35">
        <v>50.0</v>
      </c>
      <c r="C152" s="35"/>
      <c r="D152" s="35"/>
      <c r="E152" s="35"/>
      <c r="F152" s="35"/>
      <c r="G152" s="35"/>
      <c r="H152" s="35"/>
      <c r="I152" s="35" t="s">
        <v>2435</v>
      </c>
      <c r="J152" s="35">
        <v>210.0</v>
      </c>
      <c r="K152" s="35">
        <v>24.0</v>
      </c>
      <c r="L152" s="35"/>
      <c r="M152" s="35"/>
      <c r="N152" s="35"/>
      <c r="O152" s="35"/>
      <c r="P152" s="35"/>
      <c r="Q152" s="35"/>
      <c r="R152" s="35"/>
      <c r="S152" s="35"/>
      <c r="T152" s="35"/>
      <c r="U152" s="35"/>
      <c r="V152" s="35"/>
      <c r="W152" s="35"/>
      <c r="X152" s="35"/>
      <c r="Y152" s="35"/>
      <c r="Z152" s="35"/>
      <c r="AA152" s="35"/>
      <c r="AB152" s="35"/>
    </row>
    <row r="153" ht="15.75" customHeight="1">
      <c r="A153" s="35" t="s">
        <v>3362</v>
      </c>
      <c r="B153" s="35">
        <v>50.0</v>
      </c>
      <c r="C153" s="35"/>
      <c r="D153" s="35"/>
      <c r="E153" s="35"/>
      <c r="F153" s="35"/>
      <c r="G153" s="35"/>
      <c r="H153" s="35"/>
      <c r="I153" s="35" t="s">
        <v>2449</v>
      </c>
      <c r="J153" s="35">
        <v>140.0</v>
      </c>
      <c r="K153" s="35">
        <v>27.0</v>
      </c>
      <c r="L153" s="35"/>
      <c r="M153" s="35"/>
      <c r="N153" s="35"/>
      <c r="O153" s="35"/>
      <c r="P153" s="35"/>
      <c r="Q153" s="35" t="s">
        <v>3367</v>
      </c>
      <c r="R153" s="35"/>
      <c r="S153" s="35"/>
      <c r="T153" s="35"/>
      <c r="U153" s="35"/>
      <c r="V153" s="35"/>
      <c r="W153" s="35"/>
      <c r="X153" s="35"/>
      <c r="Y153" s="35"/>
      <c r="Z153" s="35"/>
      <c r="AA153" s="35"/>
      <c r="AB153" s="35"/>
    </row>
    <row r="154" ht="15.75" customHeight="1">
      <c r="A154" s="35" t="s">
        <v>3369</v>
      </c>
      <c r="B154" s="35">
        <v>49.0</v>
      </c>
      <c r="C154" s="35"/>
      <c r="D154" s="35"/>
      <c r="E154" s="35"/>
      <c r="F154" s="35"/>
      <c r="G154" s="35"/>
      <c r="H154" s="35"/>
      <c r="I154" s="35" t="s">
        <v>2457</v>
      </c>
      <c r="J154" s="35">
        <v>260.0</v>
      </c>
      <c r="K154" s="35">
        <v>29.0</v>
      </c>
      <c r="L154" s="35"/>
      <c r="M154" s="35"/>
      <c r="N154" s="35"/>
      <c r="O154" s="35"/>
      <c r="P154" s="35"/>
      <c r="Q154" s="35" t="s">
        <v>3371</v>
      </c>
      <c r="R154" s="35"/>
      <c r="S154" s="35"/>
      <c r="T154" s="35"/>
      <c r="U154" s="35"/>
      <c r="V154" s="35"/>
      <c r="W154" s="35"/>
      <c r="X154" s="35"/>
      <c r="Y154" s="35"/>
      <c r="Z154" s="35"/>
      <c r="AA154" s="35"/>
      <c r="AB154" s="35"/>
    </row>
    <row r="155" ht="15.75" customHeight="1">
      <c r="A155" s="35" t="s">
        <v>3374</v>
      </c>
      <c r="B155" s="35">
        <v>48.0</v>
      </c>
      <c r="C155" s="35"/>
      <c r="D155" s="35"/>
      <c r="E155" s="35"/>
      <c r="F155" s="35"/>
      <c r="G155" s="35"/>
      <c r="H155" s="35"/>
      <c r="I155" s="35" t="s">
        <v>2468</v>
      </c>
      <c r="J155" s="35">
        <v>140.0</v>
      </c>
      <c r="K155" s="35">
        <v>18.0</v>
      </c>
      <c r="L155" s="35"/>
      <c r="M155" s="35"/>
      <c r="N155" s="35"/>
      <c r="O155" s="35"/>
      <c r="P155" s="35"/>
      <c r="Q155" s="35" t="s">
        <v>3378</v>
      </c>
      <c r="R155" s="35" t="s">
        <v>91</v>
      </c>
      <c r="S155" s="35">
        <v>78.0</v>
      </c>
      <c r="T155" s="35" t="s">
        <v>3382</v>
      </c>
      <c r="U155" s="35">
        <v>0.0</v>
      </c>
      <c r="V155" s="35">
        <v>0.0</v>
      </c>
      <c r="W155" s="35">
        <v>210.0</v>
      </c>
      <c r="X155" s="35">
        <v>29.0</v>
      </c>
      <c r="Y155" s="35" t="s">
        <v>3384</v>
      </c>
      <c r="Z155" s="35">
        <v>45896.0</v>
      </c>
      <c r="AA155" s="35"/>
      <c r="AB155" s="35"/>
    </row>
    <row r="156" ht="15.75" customHeight="1">
      <c r="A156" s="35" t="s">
        <v>3387</v>
      </c>
      <c r="B156" s="35">
        <v>48.0</v>
      </c>
      <c r="C156" s="35"/>
      <c r="D156" s="35"/>
      <c r="E156" s="35"/>
      <c r="F156" s="35"/>
      <c r="G156" s="35"/>
      <c r="H156" s="35"/>
      <c r="I156" s="35" t="s">
        <v>2478</v>
      </c>
      <c r="J156" s="35">
        <v>1300.0</v>
      </c>
      <c r="K156" s="35">
        <v>11.0</v>
      </c>
      <c r="L156" s="35"/>
      <c r="M156" s="35"/>
      <c r="N156" s="35"/>
      <c r="O156" s="35"/>
      <c r="P156" s="35"/>
      <c r="Q156" s="35"/>
      <c r="R156" s="35"/>
      <c r="S156" s="35"/>
      <c r="T156" s="35"/>
      <c r="U156" s="35"/>
      <c r="V156" s="35"/>
      <c r="W156" s="35"/>
      <c r="X156" s="35"/>
      <c r="Y156" s="35"/>
      <c r="Z156" s="35"/>
      <c r="AA156" s="35"/>
      <c r="AB156" s="35"/>
    </row>
    <row r="157" ht="15.75" customHeight="1">
      <c r="A157" s="35" t="s">
        <v>3398</v>
      </c>
      <c r="B157" s="35">
        <v>47.0</v>
      </c>
      <c r="C157" s="35"/>
      <c r="D157" s="35"/>
      <c r="E157" s="35"/>
      <c r="F157" s="35"/>
      <c r="G157" s="35"/>
      <c r="H157" s="35"/>
      <c r="I157" s="35" t="s">
        <v>2487</v>
      </c>
      <c r="J157" s="35">
        <v>320.0</v>
      </c>
      <c r="K157" s="35">
        <v>22.0</v>
      </c>
      <c r="L157" s="35"/>
      <c r="M157" s="35"/>
      <c r="N157" s="35"/>
      <c r="O157" s="35"/>
      <c r="P157" s="35"/>
      <c r="Q157" s="35"/>
      <c r="R157" s="35"/>
      <c r="S157" s="35"/>
      <c r="T157" s="35"/>
      <c r="U157" s="35"/>
      <c r="V157" s="35"/>
      <c r="W157" s="35"/>
      <c r="X157" s="35"/>
      <c r="Y157" s="35"/>
      <c r="Z157" s="35"/>
      <c r="AA157" s="35"/>
      <c r="AB157" s="35"/>
    </row>
    <row r="158" ht="15.75" customHeight="1">
      <c r="A158" s="35" t="s">
        <v>3408</v>
      </c>
      <c r="B158" s="35">
        <v>47.0</v>
      </c>
      <c r="C158" s="35"/>
      <c r="D158" s="35"/>
      <c r="E158" s="35"/>
      <c r="F158" s="35"/>
      <c r="G158" s="35"/>
      <c r="H158" s="35"/>
      <c r="I158" s="35" t="s">
        <v>3412</v>
      </c>
      <c r="J158" s="35">
        <v>140.0</v>
      </c>
      <c r="K158" s="35">
        <v>21.0</v>
      </c>
      <c r="L158" s="35"/>
      <c r="M158" s="35"/>
      <c r="N158" s="35"/>
      <c r="O158" s="35"/>
      <c r="P158" s="35"/>
      <c r="Q158" s="35"/>
      <c r="R158" s="35"/>
      <c r="S158" s="35"/>
      <c r="T158" s="35"/>
      <c r="U158" s="35"/>
      <c r="V158" s="35"/>
      <c r="W158" s="35"/>
      <c r="X158" s="35"/>
      <c r="Y158" s="35"/>
      <c r="Z158" s="35"/>
      <c r="AA158" s="35"/>
      <c r="AB158" s="35"/>
    </row>
    <row r="159" ht="15.75" customHeight="1">
      <c r="A159" s="35" t="s">
        <v>3419</v>
      </c>
      <c r="B159" s="35">
        <v>47.0</v>
      </c>
      <c r="C159" s="35"/>
      <c r="D159" s="35"/>
      <c r="E159" s="35"/>
      <c r="F159" s="35"/>
      <c r="G159" s="35"/>
      <c r="H159" s="35"/>
      <c r="I159" s="35" t="s">
        <v>2373</v>
      </c>
      <c r="J159" s="35">
        <v>170.0</v>
      </c>
      <c r="K159" s="35">
        <v>24.0</v>
      </c>
      <c r="L159" s="35"/>
      <c r="M159" s="35"/>
      <c r="N159" s="35"/>
      <c r="O159" s="35"/>
      <c r="P159" s="35"/>
      <c r="Q159" s="35"/>
      <c r="R159" s="35"/>
      <c r="S159" s="35"/>
      <c r="T159" s="35"/>
      <c r="U159" s="35"/>
      <c r="V159" s="35"/>
      <c r="W159" s="35"/>
      <c r="X159" s="35"/>
      <c r="Y159" s="35"/>
      <c r="Z159" s="35"/>
      <c r="AA159" s="35"/>
      <c r="AB159" s="35"/>
    </row>
    <row r="160" ht="15.75" customHeight="1">
      <c r="A160" s="35" t="s">
        <v>3427</v>
      </c>
      <c r="B160" s="35">
        <v>47.0</v>
      </c>
      <c r="C160" s="35"/>
      <c r="D160" s="35"/>
      <c r="E160" s="35"/>
      <c r="F160" s="35"/>
      <c r="G160" s="35"/>
      <c r="H160" s="35"/>
      <c r="I160" s="35" t="s">
        <v>3431</v>
      </c>
      <c r="J160" s="35">
        <v>110.0</v>
      </c>
      <c r="K160" s="35">
        <v>22.0</v>
      </c>
      <c r="L160" s="35"/>
      <c r="M160" s="35"/>
      <c r="N160" s="35"/>
      <c r="O160" s="35"/>
      <c r="P160" s="35"/>
      <c r="Q160" s="35" t="s">
        <v>3435</v>
      </c>
      <c r="R160" s="35" t="s">
        <v>3436</v>
      </c>
      <c r="S160" s="35">
        <v>390.0</v>
      </c>
      <c r="T160" s="35">
        <v>18.0</v>
      </c>
      <c r="U160" s="35">
        <v>0.0</v>
      </c>
      <c r="V160" s="35"/>
      <c r="W160" s="35"/>
      <c r="X160" s="35"/>
      <c r="Y160" s="35"/>
      <c r="Z160" s="35"/>
      <c r="AA160" s="35"/>
      <c r="AB160" s="35"/>
    </row>
    <row r="161" ht="15.75" customHeight="1">
      <c r="A161" s="35" t="s">
        <v>3441</v>
      </c>
      <c r="B161" s="35">
        <v>46.0</v>
      </c>
      <c r="C161" s="35"/>
      <c r="D161" s="35"/>
      <c r="E161" s="35"/>
      <c r="F161" s="35"/>
      <c r="G161" s="35"/>
      <c r="H161" s="35"/>
      <c r="I161" s="35" t="s">
        <v>2506</v>
      </c>
      <c r="J161" s="35">
        <v>320.0</v>
      </c>
      <c r="K161" s="35">
        <v>15.0</v>
      </c>
      <c r="L161" s="35"/>
      <c r="M161" s="35"/>
      <c r="N161" s="35"/>
      <c r="O161" s="35"/>
      <c r="P161" s="35"/>
      <c r="Q161" s="35" t="s">
        <v>3444</v>
      </c>
      <c r="R161" s="35" t="s">
        <v>87</v>
      </c>
      <c r="S161" s="35">
        <v>390.0</v>
      </c>
      <c r="T161" s="35">
        <v>11.0</v>
      </c>
      <c r="U161" s="35">
        <v>0.0</v>
      </c>
      <c r="V161" s="35"/>
      <c r="W161" s="35"/>
      <c r="X161" s="35"/>
      <c r="Y161" s="35"/>
      <c r="Z161" s="35"/>
      <c r="AA161" s="35"/>
      <c r="AB161" s="35"/>
    </row>
    <row r="162" ht="15.75" customHeight="1">
      <c r="A162" s="35" t="s">
        <v>3448</v>
      </c>
      <c r="B162" s="35">
        <v>46.0</v>
      </c>
      <c r="C162" s="35"/>
      <c r="D162" s="35"/>
      <c r="E162" s="35"/>
      <c r="F162" s="35"/>
      <c r="G162" s="35"/>
      <c r="H162" s="35"/>
      <c r="I162" s="35" t="s">
        <v>2683</v>
      </c>
      <c r="J162" s="35">
        <v>260.0</v>
      </c>
      <c r="K162" s="35">
        <v>18.0</v>
      </c>
      <c r="L162" s="35"/>
      <c r="M162" s="35"/>
      <c r="N162" s="35"/>
      <c r="O162" s="35"/>
      <c r="P162" s="35"/>
      <c r="Q162" s="35" t="s">
        <v>3456</v>
      </c>
      <c r="R162" s="35" t="s">
        <v>3436</v>
      </c>
      <c r="S162" s="35">
        <v>170.0</v>
      </c>
      <c r="T162" s="35">
        <v>21.0</v>
      </c>
      <c r="U162" s="35">
        <v>0.0</v>
      </c>
      <c r="V162" s="35"/>
      <c r="W162" s="35"/>
      <c r="X162" s="35"/>
      <c r="Y162" s="35"/>
      <c r="Z162" s="35"/>
      <c r="AA162" s="35"/>
      <c r="AB162" s="35"/>
    </row>
    <row r="163" ht="15.75" customHeight="1">
      <c r="A163" s="35" t="s">
        <v>3467</v>
      </c>
      <c r="B163" s="35">
        <v>45.0</v>
      </c>
      <c r="C163" s="35"/>
      <c r="D163" s="35"/>
      <c r="E163" s="35"/>
      <c r="F163" s="35"/>
      <c r="G163" s="35"/>
      <c r="H163" s="35"/>
      <c r="I163" s="35" t="s">
        <v>3472</v>
      </c>
      <c r="J163" s="35">
        <v>1000.0</v>
      </c>
      <c r="K163" s="35">
        <v>20.0</v>
      </c>
      <c r="L163" s="35"/>
      <c r="M163" s="35"/>
      <c r="N163" s="35"/>
      <c r="O163" s="35"/>
      <c r="P163" s="35"/>
      <c r="Q163" s="35" t="s">
        <v>3477</v>
      </c>
      <c r="R163" s="35" t="s">
        <v>91</v>
      </c>
      <c r="S163" s="35">
        <v>110.0</v>
      </c>
      <c r="T163" s="35">
        <v>12.0</v>
      </c>
      <c r="U163" s="35">
        <v>4.13</v>
      </c>
      <c r="V163" s="35"/>
      <c r="W163" s="35"/>
      <c r="X163" s="35"/>
      <c r="Y163" s="35"/>
      <c r="Z163" s="35"/>
      <c r="AA163" s="35"/>
      <c r="AB163" s="35"/>
    </row>
    <row r="164" ht="15.75" customHeight="1">
      <c r="A164" s="35" t="s">
        <v>3482</v>
      </c>
      <c r="B164" s="35">
        <v>45.0</v>
      </c>
      <c r="C164" s="35"/>
      <c r="D164" s="35"/>
      <c r="E164" s="35"/>
      <c r="F164" s="35"/>
      <c r="G164" s="35"/>
      <c r="H164" s="35"/>
      <c r="I164" s="35" t="s">
        <v>3488</v>
      </c>
      <c r="J164" s="35">
        <v>880.0</v>
      </c>
      <c r="K164" s="35">
        <v>29.0</v>
      </c>
      <c r="L164" s="35"/>
      <c r="M164" s="35"/>
      <c r="N164" s="35"/>
      <c r="O164" s="35"/>
      <c r="P164" s="35"/>
      <c r="Q164" s="35" t="s">
        <v>3495</v>
      </c>
      <c r="R164" s="35" t="s">
        <v>91</v>
      </c>
      <c r="S164" s="35">
        <v>70.0</v>
      </c>
      <c r="T164" s="35">
        <v>16.0</v>
      </c>
      <c r="U164" s="35">
        <v>4.02</v>
      </c>
      <c r="V164" s="35"/>
      <c r="W164" s="35"/>
      <c r="X164" s="35"/>
      <c r="Y164" s="35"/>
      <c r="Z164" s="35"/>
      <c r="AA164" s="35"/>
      <c r="AB164" s="35"/>
    </row>
    <row r="165" ht="15.75" customHeight="1">
      <c r="A165" s="35" t="s">
        <v>3499</v>
      </c>
      <c r="B165" s="35">
        <v>45.0</v>
      </c>
      <c r="C165" s="35"/>
      <c r="D165" s="35"/>
      <c r="E165" s="35"/>
      <c r="F165" s="35"/>
      <c r="G165" s="35"/>
      <c r="H165" s="35"/>
      <c r="I165" s="35" t="s">
        <v>3503</v>
      </c>
      <c r="J165" s="35">
        <v>260.0</v>
      </c>
      <c r="K165" s="35">
        <v>27.0</v>
      </c>
      <c r="L165" s="35"/>
      <c r="M165" s="35"/>
      <c r="N165" s="35"/>
      <c r="O165" s="35"/>
      <c r="P165" s="35"/>
      <c r="Q165" s="35" t="s">
        <v>2373</v>
      </c>
      <c r="R165" s="35" t="s">
        <v>87</v>
      </c>
      <c r="S165" s="35">
        <v>170.0</v>
      </c>
      <c r="T165" s="35">
        <v>24.0</v>
      </c>
      <c r="U165" s="35">
        <v>26.14</v>
      </c>
      <c r="V165" s="35"/>
      <c r="W165" s="35"/>
      <c r="X165" s="35"/>
      <c r="Y165" s="35"/>
      <c r="Z165" s="35"/>
      <c r="AA165" s="35"/>
      <c r="AB165" s="35"/>
    </row>
    <row r="166" ht="15.75" customHeight="1">
      <c r="A166" s="35" t="s">
        <v>3508</v>
      </c>
      <c r="B166" s="35">
        <v>44.0</v>
      </c>
      <c r="C166" s="35"/>
      <c r="D166" s="35"/>
      <c r="E166" s="35"/>
      <c r="F166" s="35"/>
      <c r="G166" s="35"/>
      <c r="H166" s="35"/>
      <c r="I166" s="35" t="s">
        <v>3509</v>
      </c>
      <c r="J166" s="35">
        <v>260.0</v>
      </c>
      <c r="K166" s="35">
        <v>20.0</v>
      </c>
      <c r="L166" s="35"/>
      <c r="M166" s="35"/>
      <c r="N166" s="35"/>
      <c r="O166" s="35"/>
      <c r="P166" s="35"/>
      <c r="Q166" s="35" t="s">
        <v>3431</v>
      </c>
      <c r="R166" s="35" t="s">
        <v>87</v>
      </c>
      <c r="S166" s="35">
        <v>110.0</v>
      </c>
      <c r="T166" s="35">
        <v>22.0</v>
      </c>
      <c r="U166" s="35">
        <v>0.0</v>
      </c>
      <c r="V166" s="35"/>
      <c r="W166" s="35"/>
      <c r="X166" s="35"/>
      <c r="Y166" s="35"/>
      <c r="Z166" s="35"/>
      <c r="AA166" s="35"/>
      <c r="AB166" s="35"/>
    </row>
    <row r="167" ht="15.75" customHeight="1">
      <c r="A167" s="35" t="s">
        <v>61</v>
      </c>
      <c r="B167" s="35">
        <v>44.0</v>
      </c>
      <c r="C167" s="35"/>
      <c r="D167" s="35"/>
      <c r="E167" s="35"/>
      <c r="F167" s="35"/>
      <c r="G167" s="35"/>
      <c r="H167" s="35"/>
      <c r="I167" s="35" t="s">
        <v>3518</v>
      </c>
      <c r="J167" s="35">
        <v>140.0</v>
      </c>
      <c r="K167" s="35">
        <v>27.0</v>
      </c>
      <c r="L167" s="35"/>
      <c r="M167" s="35"/>
      <c r="N167" s="35"/>
      <c r="O167" s="35"/>
      <c r="P167" s="35"/>
      <c r="Q167" s="35" t="s">
        <v>3431</v>
      </c>
      <c r="R167" s="35" t="s">
        <v>87</v>
      </c>
      <c r="S167" s="35">
        <v>110.0</v>
      </c>
      <c r="T167" s="35">
        <v>22.0</v>
      </c>
      <c r="U167" s="35">
        <v>0.0</v>
      </c>
      <c r="V167" s="35"/>
      <c r="W167" s="35"/>
      <c r="X167" s="35"/>
      <c r="Y167" s="35"/>
      <c r="Z167" s="35"/>
      <c r="AA167" s="35"/>
      <c r="AB167" s="35"/>
    </row>
    <row r="168" ht="15.75" customHeight="1">
      <c r="A168" s="35" t="s">
        <v>3528</v>
      </c>
      <c r="B168" s="35">
        <v>44.0</v>
      </c>
      <c r="C168" s="35"/>
      <c r="D168" s="35"/>
      <c r="E168" s="35"/>
      <c r="F168" s="35"/>
      <c r="G168" s="35"/>
      <c r="H168" s="35"/>
      <c r="I168" s="35" t="s">
        <v>3531</v>
      </c>
      <c r="J168" s="35">
        <v>210.0</v>
      </c>
      <c r="K168" s="35">
        <v>10.0</v>
      </c>
      <c r="L168" s="35"/>
      <c r="M168" s="35"/>
      <c r="N168" s="35"/>
      <c r="O168" s="35"/>
      <c r="P168" s="35"/>
      <c r="Q168" s="35" t="s">
        <v>3536</v>
      </c>
      <c r="R168" s="35" t="s">
        <v>91</v>
      </c>
      <c r="S168" s="35">
        <v>50.0</v>
      </c>
      <c r="T168" s="35">
        <v>5.0</v>
      </c>
      <c r="U168" s="35">
        <v>0.0</v>
      </c>
      <c r="V168" s="35"/>
      <c r="W168" s="35"/>
      <c r="X168" s="35"/>
      <c r="Y168" s="35"/>
      <c r="Z168" s="35"/>
      <c r="AA168" s="35"/>
      <c r="AB168" s="35"/>
    </row>
    <row r="169" ht="15.75" customHeight="1">
      <c r="A169" s="35" t="s">
        <v>3544</v>
      </c>
      <c r="B169" s="35">
        <v>43.0</v>
      </c>
      <c r="C169" s="35"/>
      <c r="D169" s="35"/>
      <c r="E169" s="35"/>
      <c r="F169" s="35"/>
      <c r="G169" s="35"/>
      <c r="H169" s="35"/>
      <c r="I169" s="35" t="s">
        <v>3550</v>
      </c>
      <c r="J169" s="35"/>
      <c r="K169" s="35"/>
      <c r="L169" s="35"/>
      <c r="M169" s="35"/>
      <c r="N169" s="35"/>
      <c r="O169" s="35"/>
      <c r="P169" s="35"/>
      <c r="Q169" s="35" t="s">
        <v>3556</v>
      </c>
      <c r="R169" s="35"/>
      <c r="S169" s="35">
        <v>20.0</v>
      </c>
      <c r="T169" s="35"/>
      <c r="U169" s="35">
        <v>0.0</v>
      </c>
      <c r="V169" s="35"/>
      <c r="W169" s="35"/>
      <c r="X169" s="35"/>
      <c r="Y169" s="35"/>
      <c r="Z169" s="35"/>
      <c r="AA169" s="35"/>
      <c r="AB169" s="35"/>
    </row>
    <row r="170" ht="15.75" customHeight="1">
      <c r="A170" s="35" t="s">
        <v>3562</v>
      </c>
      <c r="B170" s="35">
        <v>43.0</v>
      </c>
      <c r="C170" s="35"/>
      <c r="D170" s="35"/>
      <c r="E170" s="35"/>
      <c r="F170" s="35"/>
      <c r="G170" s="35"/>
      <c r="H170" s="35"/>
      <c r="I170" s="35" t="s">
        <v>2475</v>
      </c>
      <c r="J170" s="35"/>
      <c r="K170" s="35"/>
      <c r="L170" s="35"/>
      <c r="M170" s="35"/>
      <c r="N170" s="35"/>
      <c r="O170" s="35"/>
      <c r="P170" s="35"/>
      <c r="Q170" s="35" t="s">
        <v>3566</v>
      </c>
      <c r="R170" s="35" t="s">
        <v>91</v>
      </c>
      <c r="S170" s="35">
        <v>2900.0</v>
      </c>
      <c r="T170" s="35">
        <v>39.0</v>
      </c>
      <c r="U170" s="35">
        <v>0.13</v>
      </c>
      <c r="V170" s="35"/>
      <c r="W170" s="35"/>
      <c r="X170" s="35"/>
      <c r="Y170" s="35"/>
      <c r="Z170" s="35"/>
      <c r="AA170" s="35"/>
      <c r="AB170" s="35"/>
    </row>
    <row r="171" ht="15.75" customHeight="1">
      <c r="A171" s="35" t="s">
        <v>3572</v>
      </c>
      <c r="B171" s="35">
        <v>43.0</v>
      </c>
      <c r="C171" s="35"/>
      <c r="D171" s="35"/>
      <c r="E171" s="35"/>
      <c r="F171" s="35"/>
      <c r="G171" s="35"/>
      <c r="H171" s="35"/>
      <c r="I171" s="35" t="s">
        <v>2219</v>
      </c>
      <c r="J171" s="35"/>
      <c r="K171" s="35"/>
      <c r="L171" s="35"/>
      <c r="M171" s="35"/>
      <c r="N171" s="35"/>
      <c r="O171" s="35"/>
      <c r="P171" s="35"/>
      <c r="Q171" s="35" t="s">
        <v>2527</v>
      </c>
      <c r="R171" s="35" t="s">
        <v>91</v>
      </c>
      <c r="S171" s="35">
        <v>110.0</v>
      </c>
      <c r="T171" s="35">
        <v>6.0</v>
      </c>
      <c r="U171" s="35">
        <v>0.0</v>
      </c>
      <c r="V171" s="35"/>
      <c r="W171" s="35"/>
      <c r="X171" s="35"/>
      <c r="Y171" s="35"/>
      <c r="Z171" s="35"/>
      <c r="AA171" s="35"/>
      <c r="AB171" s="35"/>
    </row>
    <row r="172" ht="15.75" customHeight="1">
      <c r="A172" s="35" t="s">
        <v>3583</v>
      </c>
      <c r="B172" s="35">
        <v>42.0</v>
      </c>
      <c r="C172" s="35"/>
      <c r="D172" s="35"/>
      <c r="E172" s="35"/>
      <c r="F172" s="35"/>
      <c r="G172" s="35"/>
      <c r="H172" s="35"/>
      <c r="I172" s="35" t="s">
        <v>3587</v>
      </c>
      <c r="J172" s="35">
        <v>260.0</v>
      </c>
      <c r="K172" s="35">
        <v>25.0</v>
      </c>
      <c r="L172" s="35"/>
      <c r="M172" s="35"/>
      <c r="N172" s="35"/>
      <c r="O172" s="35"/>
      <c r="P172" s="35"/>
      <c r="Q172" s="35"/>
      <c r="R172" s="35"/>
      <c r="S172" s="35"/>
      <c r="T172" s="35"/>
      <c r="U172" s="35"/>
      <c r="V172" s="35"/>
      <c r="W172" s="35"/>
      <c r="X172" s="35"/>
      <c r="Y172" s="35"/>
      <c r="Z172" s="35"/>
      <c r="AA172" s="35"/>
      <c r="AB172" s="35"/>
    </row>
    <row r="173" ht="15.75" customHeight="1">
      <c r="A173" s="35" t="s">
        <v>3595</v>
      </c>
      <c r="B173" s="35">
        <v>42.0</v>
      </c>
      <c r="C173" s="35"/>
      <c r="D173" s="35"/>
      <c r="E173" s="35"/>
      <c r="F173" s="35"/>
      <c r="G173" s="35"/>
      <c r="H173" s="35"/>
      <c r="I173" s="35" t="s">
        <v>3598</v>
      </c>
      <c r="J173" s="35"/>
      <c r="K173" s="35"/>
      <c r="L173" s="35"/>
      <c r="M173" s="35"/>
      <c r="N173" s="35"/>
      <c r="O173" s="35"/>
      <c r="P173" s="35"/>
      <c r="Q173" s="35" t="s">
        <v>3602</v>
      </c>
      <c r="R173" s="35" t="s">
        <v>91</v>
      </c>
      <c r="S173" s="35">
        <v>140.0</v>
      </c>
      <c r="T173" s="35">
        <v>18.0</v>
      </c>
      <c r="U173" s="35">
        <v>0.0</v>
      </c>
      <c r="V173" s="35"/>
      <c r="W173" s="35"/>
      <c r="X173" s="35"/>
      <c r="Y173" s="35"/>
      <c r="Z173" s="35"/>
      <c r="AA173" s="35"/>
      <c r="AB173" s="35"/>
    </row>
    <row r="174" ht="15.75" customHeight="1">
      <c r="A174" s="35" t="s">
        <v>3607</v>
      </c>
      <c r="B174" s="35">
        <v>42.0</v>
      </c>
      <c r="C174" s="35"/>
      <c r="D174" s="35"/>
      <c r="E174" s="35"/>
      <c r="F174" s="35"/>
      <c r="G174" s="35"/>
      <c r="H174" s="35"/>
      <c r="I174" s="35" t="s">
        <v>3612</v>
      </c>
      <c r="J174" s="35">
        <v>480.0</v>
      </c>
      <c r="K174" s="35">
        <v>26.0</v>
      </c>
      <c r="L174" s="35"/>
      <c r="M174" s="35"/>
      <c r="N174" s="35"/>
      <c r="O174" s="35"/>
      <c r="P174" s="35"/>
      <c r="Q174" s="35"/>
      <c r="R174" s="35"/>
      <c r="S174" s="35"/>
      <c r="T174" s="35"/>
      <c r="U174" s="35"/>
      <c r="V174" s="35"/>
      <c r="W174" s="35"/>
      <c r="X174" s="35"/>
      <c r="Y174" s="35"/>
      <c r="Z174" s="35"/>
      <c r="AA174" s="35"/>
      <c r="AB174" s="35"/>
    </row>
    <row r="175" ht="15.75" customHeight="1">
      <c r="A175" s="35" t="s">
        <v>3620</v>
      </c>
      <c r="B175" s="35">
        <v>42.0</v>
      </c>
      <c r="C175" s="35"/>
      <c r="D175" s="35"/>
      <c r="E175" s="35"/>
      <c r="F175" s="35"/>
      <c r="G175" s="35"/>
      <c r="H175" s="35"/>
      <c r="I175" s="35" t="s">
        <v>3624</v>
      </c>
      <c r="J175" s="35">
        <v>320.0</v>
      </c>
      <c r="K175" s="35">
        <v>27.0</v>
      </c>
      <c r="L175" s="35"/>
      <c r="M175" s="35"/>
      <c r="N175" s="35"/>
      <c r="O175" s="35"/>
      <c r="P175" s="35"/>
      <c r="Q175" s="35"/>
      <c r="R175" s="35"/>
      <c r="S175" s="35"/>
      <c r="T175" s="35"/>
      <c r="U175" s="35"/>
      <c r="V175" s="35"/>
      <c r="W175" s="35"/>
      <c r="X175" s="35"/>
      <c r="Y175" s="35"/>
      <c r="Z175" s="35"/>
      <c r="AA175" s="35"/>
      <c r="AB175" s="35"/>
    </row>
    <row r="176" ht="15.75" customHeight="1">
      <c r="A176" s="35" t="s">
        <v>3630</v>
      </c>
      <c r="B176" s="35">
        <v>41.0</v>
      </c>
      <c r="C176" s="35"/>
      <c r="D176" s="35"/>
      <c r="E176" s="35"/>
      <c r="F176" s="35"/>
      <c r="G176" s="35"/>
      <c r="H176" s="35"/>
      <c r="I176" s="35" t="s">
        <v>587</v>
      </c>
      <c r="J176" s="35">
        <v>590.0</v>
      </c>
      <c r="K176" s="35">
        <v>21.0</v>
      </c>
      <c r="L176" s="35"/>
      <c r="M176" s="35"/>
      <c r="N176" s="35"/>
      <c r="O176" s="35"/>
      <c r="P176" s="35"/>
      <c r="Q176" s="35"/>
      <c r="R176" s="35"/>
      <c r="S176" s="35"/>
      <c r="T176" s="35"/>
      <c r="U176" s="35"/>
      <c r="V176" s="35"/>
      <c r="W176" s="35"/>
      <c r="X176" s="35"/>
      <c r="Y176" s="35"/>
      <c r="Z176" s="35"/>
      <c r="AA176" s="35"/>
      <c r="AB176" s="35"/>
    </row>
    <row r="177" ht="15.75" customHeight="1">
      <c r="A177" s="35" t="s">
        <v>3643</v>
      </c>
      <c r="B177" s="35">
        <v>40.0</v>
      </c>
      <c r="C177" s="35"/>
      <c r="D177" s="35"/>
      <c r="E177" s="35"/>
      <c r="F177" s="35"/>
      <c r="G177" s="35"/>
      <c r="H177" s="35"/>
      <c r="I177" s="35" t="s">
        <v>589</v>
      </c>
      <c r="J177" s="35">
        <v>210.0</v>
      </c>
      <c r="K177" s="35">
        <v>30.0</v>
      </c>
      <c r="L177" s="35"/>
      <c r="M177" s="35"/>
      <c r="N177" s="35"/>
      <c r="O177" s="35"/>
      <c r="P177" s="35"/>
      <c r="Q177" s="35" t="s">
        <v>3651</v>
      </c>
      <c r="R177" s="35" t="s">
        <v>91</v>
      </c>
      <c r="S177" s="35">
        <v>480.0</v>
      </c>
      <c r="T177" s="35">
        <v>21.0</v>
      </c>
      <c r="U177" s="35">
        <v>0.0</v>
      </c>
      <c r="V177" s="35"/>
      <c r="W177" s="35"/>
      <c r="X177" s="35"/>
      <c r="Y177" s="35"/>
      <c r="Z177" s="35"/>
      <c r="AA177" s="35"/>
      <c r="AB177" s="35"/>
    </row>
    <row r="178" ht="15.75" customHeight="1">
      <c r="A178" s="35" t="s">
        <v>3660</v>
      </c>
      <c r="B178" s="35">
        <v>40.0</v>
      </c>
      <c r="C178" s="35"/>
      <c r="D178" s="35"/>
      <c r="E178" s="35"/>
      <c r="F178" s="35"/>
      <c r="G178" s="35"/>
      <c r="H178" s="35"/>
      <c r="I178" s="35" t="s">
        <v>2335</v>
      </c>
      <c r="J178" s="35">
        <v>210.0</v>
      </c>
      <c r="K178" s="35">
        <v>22.0</v>
      </c>
      <c r="L178" s="35"/>
      <c r="M178" s="35"/>
      <c r="N178" s="35"/>
      <c r="O178" s="35"/>
      <c r="P178" s="35"/>
      <c r="Q178" s="35" t="s">
        <v>3667</v>
      </c>
      <c r="R178" s="35"/>
      <c r="S178" s="35"/>
      <c r="T178" s="35"/>
      <c r="U178" s="35"/>
      <c r="V178" s="35"/>
      <c r="W178" s="35"/>
      <c r="X178" s="35"/>
      <c r="Y178" s="35"/>
      <c r="Z178" s="35"/>
      <c r="AA178" s="35"/>
      <c r="AB178" s="35"/>
    </row>
    <row r="179" ht="15.75" customHeight="1">
      <c r="A179" s="35" t="s">
        <v>3673</v>
      </c>
      <c r="B179" s="35">
        <v>39.0</v>
      </c>
      <c r="C179" s="35"/>
      <c r="D179" s="35"/>
      <c r="E179" s="35"/>
      <c r="F179" s="35"/>
      <c r="G179" s="35"/>
      <c r="H179" s="35"/>
      <c r="I179" s="35" t="s">
        <v>2341</v>
      </c>
      <c r="J179" s="35">
        <v>210.0</v>
      </c>
      <c r="K179" s="35">
        <v>16.0</v>
      </c>
      <c r="L179" s="35"/>
      <c r="M179" s="35"/>
      <c r="N179" s="35"/>
      <c r="O179" s="35"/>
      <c r="P179" s="35"/>
      <c r="Q179" s="35"/>
      <c r="R179" s="35"/>
      <c r="S179" s="35"/>
      <c r="T179" s="35"/>
      <c r="U179" s="35"/>
      <c r="V179" s="35"/>
      <c r="W179" s="35"/>
      <c r="X179" s="35"/>
      <c r="Y179" s="35"/>
      <c r="Z179" s="35"/>
      <c r="AA179" s="35"/>
      <c r="AB179" s="35"/>
    </row>
    <row r="180" ht="15.75" customHeight="1">
      <c r="A180" s="35" t="s">
        <v>3680</v>
      </c>
      <c r="B180" s="35">
        <v>39.0</v>
      </c>
      <c r="C180" s="35"/>
      <c r="D180" s="35"/>
      <c r="E180" s="35"/>
      <c r="F180" s="35"/>
      <c r="G180" s="35"/>
      <c r="H180" s="35"/>
      <c r="I180" s="35" t="s">
        <v>3684</v>
      </c>
      <c r="J180" s="35">
        <v>320.0</v>
      </c>
      <c r="K180" s="35">
        <v>28.0</v>
      </c>
      <c r="L180" s="35"/>
      <c r="M180" s="35"/>
      <c r="N180" s="35"/>
      <c r="O180" s="35"/>
      <c r="P180" s="35"/>
      <c r="Q180" s="35"/>
      <c r="R180" s="35"/>
      <c r="S180" s="35"/>
      <c r="T180" s="35"/>
      <c r="U180" s="35"/>
      <c r="V180" s="35"/>
      <c r="W180" s="35"/>
      <c r="X180" s="35"/>
      <c r="Y180" s="35"/>
      <c r="Z180" s="35"/>
      <c r="AA180" s="35"/>
      <c r="AB180" s="35"/>
    </row>
    <row r="181" ht="15.75" customHeight="1">
      <c r="A181" s="35" t="s">
        <v>3691</v>
      </c>
      <c r="B181" s="35">
        <v>39.0</v>
      </c>
      <c r="C181" s="35"/>
      <c r="D181" s="35"/>
      <c r="E181" s="35"/>
      <c r="F181" s="35"/>
      <c r="G181" s="35"/>
      <c r="H181" s="35"/>
      <c r="I181" s="35" t="s">
        <v>3695</v>
      </c>
      <c r="J181" s="35"/>
      <c r="K181" s="35"/>
      <c r="L181" s="35"/>
      <c r="M181" s="35"/>
      <c r="N181" s="35"/>
      <c r="O181" s="35"/>
      <c r="P181" s="35"/>
      <c r="Q181" s="35"/>
      <c r="R181" s="35"/>
      <c r="S181" s="35"/>
      <c r="T181" s="35"/>
      <c r="U181" s="35"/>
      <c r="V181" s="35"/>
      <c r="W181" s="35"/>
      <c r="X181" s="35"/>
      <c r="Y181" s="35"/>
      <c r="Z181" s="35"/>
      <c r="AA181" s="35"/>
      <c r="AB181" s="35"/>
    </row>
    <row r="182" ht="15.75" customHeight="1">
      <c r="A182" s="35" t="s">
        <v>3703</v>
      </c>
      <c r="B182" s="35">
        <v>39.0</v>
      </c>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row>
    <row r="183" ht="15.75" customHeight="1">
      <c r="A183" s="35" t="s">
        <v>3714</v>
      </c>
      <c r="B183" s="35">
        <v>38.0</v>
      </c>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row>
    <row r="184" ht="15.75" customHeight="1">
      <c r="A184" s="35" t="s">
        <v>3727</v>
      </c>
      <c r="B184" s="35">
        <v>38.0</v>
      </c>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row>
    <row r="185" ht="15.75" customHeight="1">
      <c r="A185" s="35" t="s">
        <v>3739</v>
      </c>
      <c r="B185" s="35">
        <v>38.0</v>
      </c>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row>
    <row r="186" ht="15.75" customHeight="1">
      <c r="A186" s="35" t="s">
        <v>3750</v>
      </c>
      <c r="B186" s="35">
        <v>38.0</v>
      </c>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row>
    <row r="187" ht="15.75" customHeight="1">
      <c r="A187" s="35" t="s">
        <v>3762</v>
      </c>
      <c r="B187" s="35">
        <v>38.0</v>
      </c>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row>
    <row r="188" ht="15.75" customHeight="1">
      <c r="A188" s="35" t="s">
        <v>3772</v>
      </c>
      <c r="B188" s="35">
        <v>37.0</v>
      </c>
      <c r="C188" s="35"/>
      <c r="D188" s="35"/>
      <c r="E188" s="35"/>
      <c r="F188" s="35"/>
      <c r="G188" s="35"/>
      <c r="H188" s="35"/>
      <c r="I188" s="35" t="s">
        <v>3780</v>
      </c>
      <c r="J188" s="35"/>
      <c r="K188" s="35"/>
      <c r="L188" s="35"/>
      <c r="M188" s="35"/>
      <c r="N188" s="35"/>
      <c r="O188" s="35"/>
      <c r="P188" s="35"/>
      <c r="Q188" s="35"/>
      <c r="R188" s="35"/>
      <c r="S188" s="35"/>
      <c r="T188" s="35"/>
      <c r="U188" s="35"/>
      <c r="V188" s="35"/>
      <c r="W188" s="35"/>
      <c r="X188" s="35"/>
      <c r="Y188" s="35"/>
      <c r="Z188" s="35"/>
      <c r="AA188" s="35"/>
      <c r="AB188" s="35"/>
    </row>
    <row r="189" ht="15.75" customHeight="1">
      <c r="A189" s="35" t="s">
        <v>3788</v>
      </c>
      <c r="B189" s="35">
        <v>37.0</v>
      </c>
      <c r="C189" s="35"/>
      <c r="D189" s="35"/>
      <c r="E189" s="35"/>
      <c r="F189" s="35"/>
      <c r="G189" s="35"/>
      <c r="H189" s="35"/>
      <c r="I189" s="35" t="s">
        <v>3793</v>
      </c>
      <c r="J189" s="35"/>
      <c r="K189" s="35"/>
      <c r="L189" s="35"/>
      <c r="M189" s="35"/>
      <c r="N189" s="35"/>
      <c r="O189" s="35"/>
      <c r="P189" s="35"/>
      <c r="Q189" s="35"/>
      <c r="R189" s="35"/>
      <c r="S189" s="35"/>
      <c r="T189" s="35"/>
      <c r="U189" s="35"/>
      <c r="V189" s="35"/>
      <c r="W189" s="35"/>
      <c r="X189" s="35"/>
      <c r="Y189" s="35"/>
      <c r="Z189" s="35"/>
      <c r="AA189" s="35"/>
      <c r="AB189" s="35"/>
    </row>
    <row r="190" ht="15.75" customHeight="1">
      <c r="A190" s="35" t="s">
        <v>3800</v>
      </c>
      <c r="B190" s="35">
        <v>36.0</v>
      </c>
      <c r="C190" s="35"/>
      <c r="D190" s="35"/>
      <c r="E190" s="35"/>
      <c r="F190" s="35"/>
      <c r="G190" s="35"/>
      <c r="H190" s="35"/>
      <c r="I190" s="35" t="s">
        <v>3804</v>
      </c>
      <c r="J190" s="35"/>
      <c r="K190" s="35"/>
      <c r="L190" s="35"/>
      <c r="M190" s="35"/>
      <c r="N190" s="35"/>
      <c r="O190" s="35"/>
      <c r="P190" s="35"/>
      <c r="Q190" s="35"/>
      <c r="R190" s="35"/>
      <c r="S190" s="35"/>
      <c r="T190" s="35"/>
      <c r="U190" s="35"/>
      <c r="V190" s="35"/>
      <c r="W190" s="35"/>
      <c r="X190" s="35"/>
      <c r="Y190" s="35"/>
      <c r="Z190" s="35"/>
      <c r="AA190" s="35"/>
      <c r="AB190" s="35"/>
    </row>
    <row r="191" ht="15.75" customHeight="1">
      <c r="A191" s="35" t="s">
        <v>3814</v>
      </c>
      <c r="B191" s="35">
        <v>36.0</v>
      </c>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row>
    <row r="192" ht="15.75" customHeight="1">
      <c r="A192" s="35" t="s">
        <v>3826</v>
      </c>
      <c r="B192" s="35">
        <v>35.0</v>
      </c>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row>
    <row r="193" ht="15.75" customHeight="1">
      <c r="A193" s="35" t="s">
        <v>3840</v>
      </c>
      <c r="B193" s="35">
        <v>35.0</v>
      </c>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row>
    <row r="194" ht="15.75" customHeight="1">
      <c r="A194" s="35" t="s">
        <v>3856</v>
      </c>
      <c r="B194" s="35">
        <v>35.0</v>
      </c>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row>
    <row r="195" ht="15.75" customHeight="1">
      <c r="A195" s="35" t="s">
        <v>3873</v>
      </c>
      <c r="B195" s="35">
        <v>35.0</v>
      </c>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row>
    <row r="196" ht="15.75" customHeight="1">
      <c r="A196" s="35" t="s">
        <v>3887</v>
      </c>
      <c r="B196" s="35">
        <v>34.0</v>
      </c>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row>
    <row r="197" ht="15.75" customHeight="1">
      <c r="A197" s="35" t="s">
        <v>3897</v>
      </c>
      <c r="B197" s="35">
        <v>34.0</v>
      </c>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row>
    <row r="198" ht="15.75" customHeight="1">
      <c r="A198" s="35" t="s">
        <v>3909</v>
      </c>
      <c r="B198" s="35">
        <v>34.0</v>
      </c>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row>
    <row r="199" ht="15.75" customHeight="1">
      <c r="A199" s="35" t="s">
        <v>3921</v>
      </c>
      <c r="B199" s="35">
        <v>34.0</v>
      </c>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row>
    <row r="200" ht="15.75" customHeight="1">
      <c r="A200" s="35" t="s">
        <v>3932</v>
      </c>
      <c r="B200" s="35">
        <v>34.0</v>
      </c>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row>
    <row r="201" ht="15.75" customHeight="1">
      <c r="A201" s="35" t="s">
        <v>3937</v>
      </c>
      <c r="B201" s="35">
        <v>34.0</v>
      </c>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row>
    <row r="202" ht="15.75" customHeight="1">
      <c r="A202" s="35" t="s">
        <v>3944</v>
      </c>
      <c r="B202" s="35">
        <v>34.0</v>
      </c>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row>
    <row r="203" ht="15.75" customHeight="1">
      <c r="A203" s="35" t="s">
        <v>3949</v>
      </c>
      <c r="B203" s="35">
        <v>33.0</v>
      </c>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row>
    <row r="204" ht="15.75" customHeight="1">
      <c r="A204" s="35" t="s">
        <v>3955</v>
      </c>
      <c r="B204" s="35">
        <v>33.0</v>
      </c>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row>
    <row r="205" ht="15.75" customHeight="1">
      <c r="A205" s="35" t="s">
        <v>3962</v>
      </c>
      <c r="B205" s="35">
        <v>33.0</v>
      </c>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row>
    <row r="206" ht="15.75" customHeight="1">
      <c r="A206" s="35" t="s">
        <v>3969</v>
      </c>
      <c r="B206" s="35">
        <v>32.0</v>
      </c>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row>
    <row r="207" ht="15.75" customHeight="1">
      <c r="A207" s="35" t="s">
        <v>3978</v>
      </c>
      <c r="B207" s="35">
        <v>32.0</v>
      </c>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row>
    <row r="208" ht="15.75" customHeight="1">
      <c r="A208" s="35" t="s">
        <v>3989</v>
      </c>
      <c r="B208" s="35">
        <v>31.0</v>
      </c>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row>
    <row r="209" ht="15.75" customHeight="1">
      <c r="A209" s="35" t="s">
        <v>3996</v>
      </c>
      <c r="B209" s="35">
        <v>31.0</v>
      </c>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row>
    <row r="210" ht="15.75" customHeight="1">
      <c r="A210" s="35" t="s">
        <v>4005</v>
      </c>
      <c r="B210" s="35">
        <v>31.0</v>
      </c>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row>
    <row r="211" ht="15.75" customHeight="1">
      <c r="A211" s="35" t="s">
        <v>4013</v>
      </c>
      <c r="B211" s="35">
        <v>31.0</v>
      </c>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row>
    <row r="212" ht="15.75" customHeight="1">
      <c r="A212" s="35" t="s">
        <v>4022</v>
      </c>
      <c r="B212" s="35">
        <v>31.0</v>
      </c>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row>
    <row r="213" ht="15.75" customHeight="1">
      <c r="A213" s="35" t="s">
        <v>4030</v>
      </c>
      <c r="B213" s="35">
        <v>30.0</v>
      </c>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row>
    <row r="214" ht="15.75" customHeight="1">
      <c r="A214" s="35" t="s">
        <v>4037</v>
      </c>
      <c r="B214" s="35">
        <v>30.0</v>
      </c>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row>
    <row r="215" ht="15.75" customHeight="1">
      <c r="A215" s="35" t="s">
        <v>4045</v>
      </c>
      <c r="B215" s="35">
        <v>30.0</v>
      </c>
      <c r="C215" s="35"/>
      <c r="D215" s="35"/>
      <c r="E215" s="35"/>
      <c r="F215" s="35"/>
      <c r="G215" s="35"/>
      <c r="H215" s="35"/>
      <c r="I215" s="35" t="s">
        <v>38</v>
      </c>
      <c r="J215" s="35" t="s">
        <v>4048</v>
      </c>
      <c r="K215" s="35" t="s">
        <v>43</v>
      </c>
      <c r="L215" s="35"/>
      <c r="M215" s="35"/>
      <c r="N215" s="35"/>
      <c r="O215" s="35"/>
      <c r="P215" s="35"/>
      <c r="Q215" s="35"/>
      <c r="R215" s="35"/>
      <c r="S215" s="35"/>
      <c r="T215" s="35"/>
      <c r="U215" s="35"/>
      <c r="V215" s="35"/>
      <c r="W215" s="35"/>
      <c r="X215" s="35"/>
      <c r="Y215" s="35"/>
      <c r="Z215" s="35"/>
      <c r="AA215" s="35"/>
      <c r="AB215" s="35"/>
    </row>
    <row r="216" ht="15.75" customHeight="1">
      <c r="A216" s="35" t="s">
        <v>4054</v>
      </c>
      <c r="B216" s="35">
        <v>30.0</v>
      </c>
      <c r="C216" s="35"/>
      <c r="D216" s="35"/>
      <c r="E216" s="35"/>
      <c r="F216" s="35"/>
      <c r="G216" s="35"/>
      <c r="H216" s="35"/>
      <c r="I216" s="35" t="s">
        <v>4057</v>
      </c>
      <c r="J216" s="35">
        <v>110.0</v>
      </c>
      <c r="K216" s="35">
        <v>23.0</v>
      </c>
      <c r="L216" s="35"/>
      <c r="M216" s="35"/>
      <c r="N216" s="35"/>
      <c r="O216" s="35"/>
      <c r="P216" s="35"/>
      <c r="Q216" s="35"/>
      <c r="R216" s="35"/>
      <c r="S216" s="35"/>
      <c r="T216" s="35"/>
      <c r="U216" s="35"/>
      <c r="V216" s="35"/>
      <c r="W216" s="35"/>
      <c r="X216" s="35"/>
      <c r="Y216" s="35"/>
      <c r="Z216" s="35"/>
      <c r="AA216" s="35"/>
      <c r="AB216" s="35"/>
    </row>
    <row r="217" ht="15.75" customHeight="1">
      <c r="A217" s="35" t="s">
        <v>4062</v>
      </c>
      <c r="B217" s="35">
        <v>29.0</v>
      </c>
      <c r="C217" s="35"/>
      <c r="D217" s="35"/>
      <c r="E217" s="35"/>
      <c r="F217" s="35"/>
      <c r="G217" s="35"/>
      <c r="H217" s="35"/>
      <c r="I217" s="35" t="s">
        <v>4067</v>
      </c>
      <c r="J217" s="35">
        <v>170.0</v>
      </c>
      <c r="K217" s="35">
        <v>25.0</v>
      </c>
      <c r="L217" s="35"/>
      <c r="M217" s="35"/>
      <c r="N217" s="35"/>
      <c r="O217" s="35"/>
      <c r="P217" s="35"/>
      <c r="Q217" s="35"/>
      <c r="R217" s="35"/>
      <c r="S217" s="35"/>
      <c r="T217" s="35"/>
      <c r="U217" s="35"/>
      <c r="V217" s="35"/>
      <c r="W217" s="35"/>
      <c r="X217" s="35"/>
      <c r="Y217" s="35"/>
      <c r="Z217" s="35"/>
      <c r="AA217" s="35"/>
      <c r="AB217" s="35"/>
    </row>
    <row r="218" ht="15.75" customHeight="1">
      <c r="A218" s="35" t="s">
        <v>4071</v>
      </c>
      <c r="B218" s="35">
        <v>29.0</v>
      </c>
      <c r="C218" s="35"/>
      <c r="D218" s="35"/>
      <c r="E218" s="35"/>
      <c r="F218" s="35"/>
      <c r="G218" s="35"/>
      <c r="H218" s="35"/>
      <c r="I218" s="35" t="s">
        <v>4076</v>
      </c>
      <c r="J218" s="35">
        <v>170.0</v>
      </c>
      <c r="K218" s="35">
        <v>24.0</v>
      </c>
      <c r="L218" s="35"/>
      <c r="M218" s="35"/>
      <c r="N218" s="35"/>
      <c r="O218" s="35"/>
      <c r="P218" s="35"/>
      <c r="Q218" s="35"/>
      <c r="R218" s="35"/>
      <c r="S218" s="35"/>
      <c r="T218" s="35"/>
      <c r="U218" s="35"/>
      <c r="V218" s="35"/>
      <c r="W218" s="35"/>
      <c r="X218" s="35"/>
      <c r="Y218" s="35"/>
      <c r="Z218" s="35"/>
      <c r="AA218" s="35"/>
      <c r="AB218" s="35"/>
    </row>
    <row r="219" ht="15.75" customHeight="1">
      <c r="A219" s="35" t="s">
        <v>4083</v>
      </c>
      <c r="B219" s="35">
        <v>29.0</v>
      </c>
      <c r="C219" s="35"/>
      <c r="D219" s="35"/>
      <c r="E219" s="35"/>
      <c r="F219" s="35"/>
      <c r="G219" s="35"/>
      <c r="H219" s="35"/>
      <c r="I219" s="35" t="s">
        <v>4085</v>
      </c>
      <c r="J219" s="35">
        <v>260.0</v>
      </c>
      <c r="K219" s="35">
        <v>23.0</v>
      </c>
      <c r="L219" s="35"/>
      <c r="M219" s="35"/>
      <c r="N219" s="35"/>
      <c r="O219" s="35"/>
      <c r="P219" s="35"/>
      <c r="Q219" s="35"/>
      <c r="R219" s="35"/>
      <c r="S219" s="35"/>
      <c r="T219" s="35"/>
      <c r="U219" s="35"/>
      <c r="V219" s="35"/>
      <c r="W219" s="35"/>
      <c r="X219" s="35"/>
      <c r="Y219" s="35"/>
      <c r="Z219" s="35"/>
      <c r="AA219" s="35"/>
      <c r="AB219" s="35"/>
    </row>
    <row r="220" ht="15.75" customHeight="1">
      <c r="A220" s="35" t="s">
        <v>4090</v>
      </c>
      <c r="B220" s="35">
        <v>29.0</v>
      </c>
      <c r="C220" s="35"/>
      <c r="D220" s="35"/>
      <c r="E220" s="35"/>
      <c r="F220" s="35"/>
      <c r="G220" s="35"/>
      <c r="H220" s="35"/>
      <c r="I220" s="35" t="s">
        <v>4096</v>
      </c>
      <c r="J220" s="35">
        <v>260.0</v>
      </c>
      <c r="K220" s="35">
        <v>24.0</v>
      </c>
      <c r="L220" s="35"/>
      <c r="M220" s="35"/>
      <c r="N220" s="35"/>
      <c r="O220" s="35"/>
      <c r="P220" s="35"/>
      <c r="Q220" s="35"/>
      <c r="R220" s="35"/>
      <c r="S220" s="35"/>
      <c r="T220" s="35"/>
      <c r="U220" s="35"/>
      <c r="V220" s="35"/>
      <c r="W220" s="35"/>
      <c r="X220" s="35"/>
      <c r="Y220" s="35"/>
      <c r="Z220" s="35"/>
      <c r="AA220" s="35"/>
      <c r="AB220" s="35"/>
    </row>
    <row r="221" ht="15.75" customHeight="1">
      <c r="A221" s="35" t="s">
        <v>4099</v>
      </c>
      <c r="B221" s="35">
        <v>29.0</v>
      </c>
      <c r="C221" s="35"/>
      <c r="D221" s="35"/>
      <c r="E221" s="35"/>
      <c r="F221" s="35"/>
      <c r="G221" s="35"/>
      <c r="H221" s="35"/>
      <c r="I221" s="35" t="s">
        <v>4101</v>
      </c>
      <c r="J221" s="35">
        <v>210.0</v>
      </c>
      <c r="K221" s="35">
        <v>23.0</v>
      </c>
      <c r="L221" s="35"/>
      <c r="M221" s="35"/>
      <c r="N221" s="35"/>
      <c r="O221" s="35"/>
      <c r="P221" s="35"/>
      <c r="Q221" s="35"/>
      <c r="R221" s="35"/>
      <c r="S221" s="35"/>
      <c r="T221" s="35"/>
      <c r="U221" s="35"/>
      <c r="V221" s="35"/>
      <c r="W221" s="35"/>
      <c r="X221" s="35"/>
      <c r="Y221" s="35"/>
      <c r="Z221" s="35"/>
      <c r="AA221" s="35"/>
      <c r="AB221" s="35"/>
    </row>
    <row r="222" ht="15.75" customHeight="1">
      <c r="A222" s="35" t="s">
        <v>4105</v>
      </c>
      <c r="B222" s="35">
        <v>29.0</v>
      </c>
      <c r="C222" s="35"/>
      <c r="D222" s="35"/>
      <c r="E222" s="35"/>
      <c r="F222" s="35"/>
      <c r="G222" s="35"/>
      <c r="H222" s="35"/>
      <c r="I222" s="35" t="s">
        <v>4108</v>
      </c>
      <c r="J222" s="35">
        <v>110.0</v>
      </c>
      <c r="K222" s="35">
        <v>29.0</v>
      </c>
      <c r="L222" s="35"/>
      <c r="M222" s="35"/>
      <c r="N222" s="35"/>
      <c r="O222" s="35"/>
      <c r="P222" s="35"/>
      <c r="Q222" s="35"/>
      <c r="R222" s="35"/>
      <c r="S222" s="35"/>
      <c r="T222" s="35"/>
      <c r="U222" s="35"/>
      <c r="V222" s="35"/>
      <c r="W222" s="35"/>
      <c r="X222" s="35"/>
      <c r="Y222" s="35"/>
      <c r="Z222" s="35"/>
      <c r="AA222" s="35"/>
      <c r="AB222" s="35"/>
    </row>
    <row r="223" ht="15.75" customHeight="1">
      <c r="A223" s="35" t="s">
        <v>4111</v>
      </c>
      <c r="B223" s="35">
        <v>28.0</v>
      </c>
      <c r="C223" s="35"/>
      <c r="D223" s="35"/>
      <c r="E223" s="35"/>
      <c r="F223" s="35"/>
      <c r="G223" s="35"/>
      <c r="H223" s="35"/>
      <c r="I223" s="35" t="s">
        <v>4113</v>
      </c>
      <c r="J223" s="35">
        <v>110.0</v>
      </c>
      <c r="K223" s="35">
        <v>28.0</v>
      </c>
      <c r="L223" s="35"/>
      <c r="M223" s="35"/>
      <c r="N223" s="35"/>
      <c r="O223" s="35"/>
      <c r="P223" s="35"/>
      <c r="Q223" s="35"/>
      <c r="R223" s="35"/>
      <c r="S223" s="35"/>
      <c r="T223" s="35"/>
      <c r="U223" s="35"/>
      <c r="V223" s="35"/>
      <c r="W223" s="35"/>
      <c r="X223" s="35"/>
      <c r="Y223" s="35"/>
      <c r="Z223" s="35"/>
      <c r="AA223" s="35"/>
      <c r="AB223" s="35"/>
    </row>
    <row r="224" ht="15.75" customHeight="1">
      <c r="A224" s="35" t="s">
        <v>4117</v>
      </c>
      <c r="B224" s="35">
        <v>28.0</v>
      </c>
      <c r="C224" s="35"/>
      <c r="D224" s="35"/>
      <c r="E224" s="35"/>
      <c r="F224" s="35"/>
      <c r="G224" s="35"/>
      <c r="H224" s="35"/>
      <c r="I224" s="35" t="s">
        <v>4118</v>
      </c>
      <c r="J224" s="35">
        <v>140.0</v>
      </c>
      <c r="K224" s="35">
        <v>29.0</v>
      </c>
      <c r="L224" s="35"/>
      <c r="M224" s="35"/>
      <c r="N224" s="35"/>
      <c r="O224" s="35"/>
      <c r="P224" s="35"/>
      <c r="Q224" s="35"/>
      <c r="R224" s="35"/>
      <c r="S224" s="35"/>
      <c r="T224" s="35"/>
      <c r="U224" s="35"/>
      <c r="V224" s="35"/>
      <c r="W224" s="35"/>
      <c r="X224" s="35"/>
      <c r="Y224" s="35"/>
      <c r="Z224" s="35"/>
      <c r="AA224" s="35"/>
      <c r="AB224" s="35"/>
    </row>
    <row r="225" ht="15.75" customHeight="1">
      <c r="A225" s="35" t="s">
        <v>4121</v>
      </c>
      <c r="B225" s="35">
        <v>28.0</v>
      </c>
      <c r="C225" s="35"/>
      <c r="D225" s="35"/>
      <c r="E225" s="35"/>
      <c r="F225" s="35"/>
      <c r="G225" s="35"/>
      <c r="H225" s="35"/>
      <c r="I225" s="35" t="s">
        <v>4124</v>
      </c>
      <c r="J225" s="35">
        <v>140.0</v>
      </c>
      <c r="K225" s="35">
        <v>23.0</v>
      </c>
      <c r="L225" s="35"/>
      <c r="M225" s="35"/>
      <c r="N225" s="35"/>
      <c r="O225" s="35"/>
      <c r="P225" s="35"/>
      <c r="Q225" s="35"/>
      <c r="R225" s="35"/>
      <c r="S225" s="35"/>
      <c r="T225" s="35"/>
      <c r="U225" s="35"/>
      <c r="V225" s="35"/>
      <c r="W225" s="35"/>
      <c r="X225" s="35"/>
      <c r="Y225" s="35"/>
      <c r="Z225" s="35"/>
      <c r="AA225" s="35"/>
      <c r="AB225" s="35"/>
    </row>
    <row r="226" ht="15.75" customHeight="1">
      <c r="A226" s="35" t="s">
        <v>4129</v>
      </c>
      <c r="B226" s="35">
        <v>27.0</v>
      </c>
      <c r="C226" s="35"/>
      <c r="D226" s="35"/>
      <c r="E226" s="35"/>
      <c r="F226" s="35"/>
      <c r="G226" s="35"/>
      <c r="H226" s="35"/>
      <c r="I226" s="35" t="s">
        <v>4131</v>
      </c>
      <c r="J226" s="35">
        <v>110.0</v>
      </c>
      <c r="K226" s="35">
        <v>29.0</v>
      </c>
      <c r="L226" s="35"/>
      <c r="M226" s="35"/>
      <c r="N226" s="35"/>
      <c r="O226" s="35"/>
      <c r="P226" s="35"/>
      <c r="Q226" s="35"/>
      <c r="R226" s="35"/>
      <c r="S226" s="35"/>
      <c r="T226" s="35"/>
      <c r="U226" s="35"/>
      <c r="V226" s="35"/>
      <c r="W226" s="35"/>
      <c r="X226" s="35"/>
      <c r="Y226" s="35"/>
      <c r="Z226" s="35"/>
      <c r="AA226" s="35"/>
      <c r="AB226" s="35"/>
    </row>
    <row r="227" ht="15.75" customHeight="1">
      <c r="A227" s="35" t="s">
        <v>4134</v>
      </c>
      <c r="B227" s="35">
        <v>27.0</v>
      </c>
      <c r="C227" s="35"/>
      <c r="D227" s="35"/>
      <c r="E227" s="35"/>
      <c r="F227" s="35"/>
      <c r="G227" s="35"/>
      <c r="H227" s="35"/>
      <c r="I227" s="35" t="s">
        <v>4135</v>
      </c>
      <c r="J227" s="35">
        <v>140.0</v>
      </c>
      <c r="K227" s="35">
        <v>14.0</v>
      </c>
      <c r="L227" s="35"/>
      <c r="M227" s="35"/>
      <c r="N227" s="35"/>
      <c r="O227" s="35"/>
      <c r="P227" s="35"/>
      <c r="Q227" s="35"/>
      <c r="R227" s="35"/>
      <c r="S227" s="35"/>
      <c r="T227" s="35"/>
      <c r="U227" s="35"/>
      <c r="V227" s="35"/>
      <c r="W227" s="35"/>
      <c r="X227" s="35"/>
      <c r="Y227" s="35"/>
      <c r="Z227" s="35"/>
      <c r="AA227" s="35"/>
      <c r="AB227" s="35"/>
    </row>
    <row r="228" ht="15.75" customHeight="1">
      <c r="A228" s="35" t="s">
        <v>4140</v>
      </c>
      <c r="B228" s="35">
        <v>27.0</v>
      </c>
      <c r="C228" s="35"/>
      <c r="D228" s="35"/>
      <c r="E228" s="35"/>
      <c r="F228" s="35"/>
      <c r="G228" s="35"/>
      <c r="H228" s="35"/>
      <c r="I228" s="35" t="s">
        <v>4142</v>
      </c>
      <c r="J228" s="35">
        <v>320.0</v>
      </c>
      <c r="K228" s="35">
        <v>29.0</v>
      </c>
      <c r="L228" s="35"/>
      <c r="M228" s="35"/>
      <c r="N228" s="35"/>
      <c r="O228" s="35"/>
      <c r="P228" s="35"/>
      <c r="Q228" s="35"/>
      <c r="R228" s="35"/>
      <c r="S228" s="35"/>
      <c r="T228" s="35"/>
      <c r="U228" s="35"/>
      <c r="V228" s="35"/>
      <c r="W228" s="35"/>
      <c r="X228" s="35"/>
      <c r="Y228" s="35"/>
      <c r="Z228" s="35"/>
      <c r="AA228" s="35"/>
      <c r="AB228" s="35"/>
    </row>
    <row r="229" ht="15.75" customHeight="1">
      <c r="A229" s="35" t="s">
        <v>4147</v>
      </c>
      <c r="B229" s="35">
        <v>27.0</v>
      </c>
      <c r="C229" s="35"/>
      <c r="D229" s="35"/>
      <c r="E229" s="35"/>
      <c r="F229" s="35"/>
      <c r="G229" s="35"/>
      <c r="H229" s="35"/>
      <c r="I229" s="35" t="s">
        <v>4148</v>
      </c>
      <c r="J229" s="35">
        <v>170.0</v>
      </c>
      <c r="K229" s="35">
        <v>29.0</v>
      </c>
      <c r="L229" s="35"/>
      <c r="M229" s="35"/>
      <c r="N229" s="35"/>
      <c r="O229" s="35"/>
      <c r="P229" s="35"/>
      <c r="Q229" s="35"/>
      <c r="R229" s="35"/>
      <c r="S229" s="35"/>
      <c r="T229" s="35"/>
      <c r="U229" s="35"/>
      <c r="V229" s="35"/>
      <c r="W229" s="35"/>
      <c r="X229" s="35"/>
      <c r="Y229" s="35"/>
      <c r="Z229" s="35"/>
      <c r="AA229" s="35"/>
      <c r="AB229" s="35"/>
    </row>
    <row r="230" ht="15.75" customHeight="1">
      <c r="A230" s="35" t="s">
        <v>4153</v>
      </c>
      <c r="B230" s="35">
        <v>27.0</v>
      </c>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row>
    <row r="231" ht="15.75" customHeight="1">
      <c r="A231" s="35" t="s">
        <v>4157</v>
      </c>
      <c r="B231" s="35">
        <v>26.0</v>
      </c>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row>
    <row r="232" ht="15.75" customHeight="1">
      <c r="A232" s="35" t="s">
        <v>4163</v>
      </c>
      <c r="B232" s="35">
        <v>26.0</v>
      </c>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row>
    <row r="233" ht="15.75" customHeight="1">
      <c r="A233" s="35" t="s">
        <v>4168</v>
      </c>
      <c r="B233" s="35">
        <v>26.0</v>
      </c>
      <c r="C233" s="35"/>
      <c r="D233" s="35"/>
      <c r="E233" s="35"/>
      <c r="F233" s="35"/>
      <c r="G233" s="35"/>
      <c r="H233" s="35"/>
      <c r="I233" s="35" t="s">
        <v>4171</v>
      </c>
      <c r="J233" s="35">
        <v>1000.0</v>
      </c>
      <c r="K233" s="35">
        <v>23.0</v>
      </c>
      <c r="L233" s="35"/>
      <c r="M233" s="35"/>
      <c r="N233" s="35"/>
      <c r="O233" s="35"/>
      <c r="P233" s="35"/>
      <c r="Q233" s="35"/>
      <c r="R233" s="35"/>
      <c r="S233" s="35"/>
      <c r="T233" s="35"/>
      <c r="U233" s="35"/>
      <c r="V233" s="35"/>
      <c r="W233" s="35"/>
      <c r="X233" s="35"/>
      <c r="Y233" s="35"/>
      <c r="Z233" s="35"/>
      <c r="AA233" s="35"/>
      <c r="AB233" s="35"/>
    </row>
    <row r="234" ht="15.75" customHeight="1">
      <c r="A234" s="35" t="s">
        <v>4174</v>
      </c>
      <c r="B234" s="35">
        <v>26.0</v>
      </c>
      <c r="C234" s="35"/>
      <c r="D234" s="35"/>
      <c r="E234" s="35"/>
      <c r="F234" s="35"/>
      <c r="G234" s="35"/>
      <c r="H234" s="35"/>
      <c r="I234" s="35"/>
      <c r="J234" s="35">
        <v>590.0</v>
      </c>
      <c r="K234" s="35">
        <v>27.0</v>
      </c>
      <c r="L234" s="35"/>
      <c r="M234" s="35"/>
      <c r="N234" s="35"/>
      <c r="O234" s="35"/>
      <c r="P234" s="35"/>
      <c r="Q234" s="35"/>
      <c r="R234" s="35"/>
      <c r="S234" s="35"/>
      <c r="T234" s="35"/>
      <c r="U234" s="35"/>
      <c r="V234" s="35"/>
      <c r="W234" s="35"/>
      <c r="X234" s="35"/>
      <c r="Y234" s="35"/>
      <c r="Z234" s="35"/>
      <c r="AA234" s="35"/>
      <c r="AB234" s="35"/>
    </row>
    <row r="235" ht="15.75" customHeight="1">
      <c r="A235" s="35" t="s">
        <v>4178</v>
      </c>
      <c r="B235" s="35">
        <v>26.0</v>
      </c>
      <c r="C235" s="35"/>
      <c r="D235" s="35"/>
      <c r="E235" s="35"/>
      <c r="F235" s="35"/>
      <c r="G235" s="35"/>
      <c r="H235" s="35"/>
      <c r="I235" s="35" t="s">
        <v>4180</v>
      </c>
      <c r="J235" s="35">
        <v>1300.0</v>
      </c>
      <c r="K235" s="35">
        <v>24.0</v>
      </c>
      <c r="L235" s="35"/>
      <c r="M235" s="35"/>
      <c r="N235" s="35"/>
      <c r="O235" s="35"/>
      <c r="P235" s="35"/>
      <c r="Q235" s="35"/>
      <c r="R235" s="35"/>
      <c r="S235" s="35"/>
      <c r="T235" s="35"/>
      <c r="U235" s="35"/>
      <c r="V235" s="35"/>
      <c r="W235" s="35"/>
      <c r="X235" s="35"/>
      <c r="Y235" s="35"/>
      <c r="Z235" s="35"/>
      <c r="AA235" s="35"/>
      <c r="AB235" s="35"/>
    </row>
    <row r="236" ht="15.75" customHeight="1">
      <c r="A236" s="35" t="s">
        <v>4184</v>
      </c>
      <c r="B236" s="35">
        <v>26.0</v>
      </c>
      <c r="C236" s="35"/>
      <c r="D236" s="35"/>
      <c r="E236" s="35"/>
      <c r="F236" s="35"/>
      <c r="G236" s="35"/>
      <c r="H236" s="35"/>
      <c r="I236" s="35"/>
      <c r="J236" s="35">
        <v>480.0</v>
      </c>
      <c r="K236" s="35">
        <v>25.0</v>
      </c>
      <c r="L236" s="35"/>
      <c r="M236" s="35"/>
      <c r="N236" s="35"/>
      <c r="O236" s="35"/>
      <c r="P236" s="35"/>
      <c r="Q236" s="35"/>
      <c r="R236" s="35"/>
      <c r="S236" s="35"/>
      <c r="T236" s="35"/>
      <c r="U236" s="35"/>
      <c r="V236" s="35"/>
      <c r="W236" s="35"/>
      <c r="X236" s="35"/>
      <c r="Y236" s="35"/>
      <c r="Z236" s="35"/>
      <c r="AA236" s="35"/>
      <c r="AB236" s="35"/>
    </row>
    <row r="237" ht="15.75" customHeight="1">
      <c r="A237" s="35" t="s">
        <v>4190</v>
      </c>
      <c r="B237" s="35">
        <v>26.0</v>
      </c>
      <c r="C237" s="35"/>
      <c r="D237" s="35"/>
      <c r="E237" s="35"/>
      <c r="F237" s="35"/>
      <c r="G237" s="35"/>
      <c r="H237" s="35"/>
      <c r="I237" s="35" t="s">
        <v>4192</v>
      </c>
      <c r="J237" s="35">
        <v>170.0</v>
      </c>
      <c r="K237" s="35">
        <v>21.0</v>
      </c>
      <c r="L237" s="35"/>
      <c r="M237" s="35"/>
      <c r="N237" s="35"/>
      <c r="O237" s="35"/>
      <c r="P237" s="35"/>
      <c r="Q237" s="35"/>
      <c r="R237" s="35"/>
      <c r="S237" s="35"/>
      <c r="T237" s="35"/>
      <c r="U237" s="35"/>
      <c r="V237" s="35"/>
      <c r="W237" s="35"/>
      <c r="X237" s="35"/>
      <c r="Y237" s="35"/>
      <c r="Z237" s="35"/>
      <c r="AA237" s="35"/>
      <c r="AB237" s="35"/>
    </row>
    <row r="238" ht="15.75" customHeight="1">
      <c r="A238" s="35" t="s">
        <v>4195</v>
      </c>
      <c r="B238" s="35">
        <v>25.0</v>
      </c>
      <c r="C238" s="35"/>
      <c r="D238" s="35"/>
      <c r="E238" s="35"/>
      <c r="F238" s="35"/>
      <c r="G238" s="35"/>
      <c r="H238" s="35"/>
      <c r="I238" s="35"/>
      <c r="J238" s="35">
        <v>720.0</v>
      </c>
      <c r="K238" s="35">
        <v>21.0</v>
      </c>
      <c r="L238" s="35"/>
      <c r="M238" s="35"/>
      <c r="N238" s="35"/>
      <c r="O238" s="35"/>
      <c r="P238" s="35"/>
      <c r="Q238" s="35"/>
      <c r="R238" s="35"/>
      <c r="S238" s="35"/>
      <c r="T238" s="35"/>
      <c r="U238" s="35"/>
      <c r="V238" s="35"/>
      <c r="W238" s="35"/>
      <c r="X238" s="35"/>
      <c r="Y238" s="35"/>
      <c r="Z238" s="35"/>
      <c r="AA238" s="35"/>
      <c r="AB238" s="35"/>
    </row>
    <row r="239" ht="15.75" customHeight="1">
      <c r="A239" s="35" t="s">
        <v>4199</v>
      </c>
      <c r="B239" s="35">
        <v>25.0</v>
      </c>
      <c r="C239" s="35"/>
      <c r="D239" s="35"/>
      <c r="E239" s="35"/>
      <c r="F239" s="35"/>
      <c r="G239" s="35"/>
      <c r="H239" s="35"/>
      <c r="I239" s="35" t="s">
        <v>4201</v>
      </c>
      <c r="J239" s="35">
        <v>590.0</v>
      </c>
      <c r="K239" s="35">
        <v>20.0</v>
      </c>
      <c r="L239" s="35"/>
      <c r="M239" s="35"/>
      <c r="N239" s="35"/>
      <c r="O239" s="35"/>
      <c r="P239" s="35"/>
      <c r="Q239" s="35"/>
      <c r="R239" s="35"/>
      <c r="S239" s="35"/>
      <c r="T239" s="35"/>
      <c r="U239" s="35"/>
      <c r="V239" s="35"/>
      <c r="W239" s="35"/>
      <c r="X239" s="35"/>
      <c r="Y239" s="35"/>
      <c r="Z239" s="35"/>
      <c r="AA239" s="35"/>
      <c r="AB239" s="35"/>
    </row>
    <row r="240" ht="15.75" customHeight="1">
      <c r="A240" s="35" t="s">
        <v>4205</v>
      </c>
      <c r="B240" s="35">
        <v>25.0</v>
      </c>
      <c r="C240" s="35"/>
      <c r="D240" s="35"/>
      <c r="E240" s="35"/>
      <c r="F240" s="35"/>
      <c r="G240" s="35"/>
      <c r="H240" s="35"/>
      <c r="I240" s="35"/>
      <c r="J240" s="35">
        <v>590.0</v>
      </c>
      <c r="K240" s="35">
        <v>19.0</v>
      </c>
      <c r="L240" s="35"/>
      <c r="M240" s="35"/>
      <c r="N240" s="35"/>
      <c r="O240" s="35"/>
      <c r="P240" s="35"/>
      <c r="Q240" s="35"/>
      <c r="R240" s="35"/>
      <c r="S240" s="35"/>
      <c r="T240" s="35"/>
      <c r="U240" s="35"/>
      <c r="V240" s="35"/>
      <c r="W240" s="35"/>
      <c r="X240" s="35"/>
      <c r="Y240" s="35"/>
      <c r="Z240" s="35"/>
      <c r="AA240" s="35"/>
      <c r="AB240" s="35"/>
    </row>
    <row r="241" ht="15.75" customHeight="1">
      <c r="A241" s="35" t="s">
        <v>4210</v>
      </c>
      <c r="B241" s="35">
        <v>24.0</v>
      </c>
      <c r="C241" s="35"/>
      <c r="D241" s="35"/>
      <c r="E241" s="35"/>
      <c r="F241" s="35"/>
      <c r="G241" s="35"/>
      <c r="H241" s="35"/>
      <c r="I241" s="35" t="s">
        <v>4213</v>
      </c>
      <c r="J241" s="35">
        <v>590.0</v>
      </c>
      <c r="K241" s="35">
        <v>27.0</v>
      </c>
      <c r="L241" s="35"/>
      <c r="M241" s="35"/>
      <c r="N241" s="35"/>
      <c r="O241" s="35"/>
      <c r="P241" s="35"/>
      <c r="Q241" s="35"/>
      <c r="R241" s="35"/>
      <c r="S241" s="35"/>
      <c r="T241" s="35"/>
      <c r="U241" s="35"/>
      <c r="V241" s="35"/>
      <c r="W241" s="35"/>
      <c r="X241" s="35"/>
      <c r="Y241" s="35"/>
      <c r="Z241" s="35"/>
      <c r="AA241" s="35"/>
      <c r="AB241" s="35"/>
    </row>
    <row r="242" ht="15.75" customHeight="1">
      <c r="A242" s="35" t="s">
        <v>4216</v>
      </c>
      <c r="B242" s="35">
        <v>24.0</v>
      </c>
      <c r="C242" s="35"/>
      <c r="D242" s="35"/>
      <c r="E242" s="35"/>
      <c r="F242" s="35"/>
      <c r="G242" s="35"/>
      <c r="H242" s="35"/>
      <c r="I242" s="35"/>
      <c r="J242" s="35">
        <v>1000.0</v>
      </c>
      <c r="K242" s="35">
        <v>26.0</v>
      </c>
      <c r="L242" s="35"/>
      <c r="M242" s="35"/>
      <c r="N242" s="35"/>
      <c r="O242" s="35"/>
      <c r="P242" s="35"/>
      <c r="Q242" s="35"/>
      <c r="R242" s="35"/>
      <c r="S242" s="35"/>
      <c r="T242" s="35"/>
      <c r="U242" s="35"/>
      <c r="V242" s="35"/>
      <c r="W242" s="35"/>
      <c r="X242" s="35"/>
      <c r="Y242" s="35"/>
      <c r="Z242" s="35"/>
      <c r="AA242" s="35"/>
      <c r="AB242" s="35"/>
    </row>
    <row r="243" ht="15.75" customHeight="1">
      <c r="A243" s="35" t="s">
        <v>4221</v>
      </c>
      <c r="B243" s="35">
        <v>24.0</v>
      </c>
      <c r="C243" s="35"/>
      <c r="D243" s="35"/>
      <c r="E243" s="35"/>
      <c r="F243" s="35"/>
      <c r="G243" s="35"/>
      <c r="H243" s="35"/>
      <c r="I243" s="35" t="s">
        <v>4223</v>
      </c>
      <c r="J243" s="35"/>
      <c r="K243" s="35"/>
      <c r="L243" s="35"/>
      <c r="M243" s="35"/>
      <c r="N243" s="35"/>
      <c r="O243" s="35"/>
      <c r="P243" s="35"/>
      <c r="Q243" s="35"/>
      <c r="R243" s="35"/>
      <c r="S243" s="35"/>
      <c r="T243" s="35"/>
      <c r="U243" s="35"/>
      <c r="V243" s="35"/>
      <c r="W243" s="35"/>
      <c r="X243" s="35"/>
      <c r="Y243" s="35"/>
      <c r="Z243" s="35"/>
      <c r="AA243" s="35"/>
      <c r="AB243" s="35"/>
    </row>
    <row r="244" ht="15.75" customHeight="1">
      <c r="A244" s="35" t="s">
        <v>4226</v>
      </c>
      <c r="B244" s="35">
        <v>24.0</v>
      </c>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row>
    <row r="245" ht="15.75" customHeight="1">
      <c r="A245" s="35" t="s">
        <v>4230</v>
      </c>
      <c r="B245" s="35">
        <v>24.0</v>
      </c>
      <c r="C245" s="35"/>
      <c r="D245" s="35"/>
      <c r="E245" s="35"/>
      <c r="F245" s="35"/>
      <c r="G245" s="35"/>
      <c r="H245" s="35"/>
      <c r="I245" s="35" t="s">
        <v>4232</v>
      </c>
      <c r="J245" s="35"/>
      <c r="K245" s="35"/>
      <c r="L245" s="35"/>
      <c r="M245" s="35"/>
      <c r="N245" s="35"/>
      <c r="O245" s="35"/>
      <c r="P245" s="35"/>
      <c r="Q245" s="35"/>
      <c r="R245" s="35"/>
      <c r="S245" s="35"/>
      <c r="T245" s="35"/>
      <c r="U245" s="35"/>
      <c r="V245" s="35"/>
      <c r="W245" s="35"/>
      <c r="X245" s="35"/>
      <c r="Y245" s="35"/>
      <c r="Z245" s="35"/>
      <c r="AA245" s="35"/>
      <c r="AB245" s="35"/>
    </row>
    <row r="246" ht="15.75" customHeight="1">
      <c r="A246" s="35" t="s">
        <v>4236</v>
      </c>
      <c r="B246" s="35">
        <v>24.0</v>
      </c>
      <c r="C246" s="35"/>
      <c r="D246" s="35"/>
      <c r="E246" s="35"/>
      <c r="F246" s="35"/>
      <c r="G246" s="35"/>
      <c r="H246" s="35"/>
      <c r="I246" s="35" t="s">
        <v>4239</v>
      </c>
      <c r="J246" s="35"/>
      <c r="K246" s="35"/>
      <c r="L246" s="35"/>
      <c r="M246" s="35"/>
      <c r="N246" s="35"/>
      <c r="O246" s="35"/>
      <c r="P246" s="35"/>
      <c r="Q246" s="35"/>
      <c r="R246" s="35"/>
      <c r="S246" s="35"/>
      <c r="T246" s="35"/>
      <c r="U246" s="35"/>
      <c r="V246" s="35"/>
      <c r="W246" s="35"/>
      <c r="X246" s="35"/>
      <c r="Y246" s="35"/>
      <c r="Z246" s="35"/>
      <c r="AA246" s="35"/>
      <c r="AB246" s="35"/>
    </row>
    <row r="247" ht="15.75" customHeight="1">
      <c r="A247" s="35" t="s">
        <v>4242</v>
      </c>
      <c r="B247" s="35">
        <v>23.0</v>
      </c>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row>
    <row r="248" ht="15.75" customHeight="1">
      <c r="A248" s="35" t="s">
        <v>4246</v>
      </c>
      <c r="B248" s="35">
        <v>23.0</v>
      </c>
      <c r="C248" s="35"/>
      <c r="D248" s="35"/>
      <c r="E248" s="35"/>
      <c r="F248" s="35"/>
      <c r="G248" s="35"/>
      <c r="H248" s="35"/>
      <c r="I248" s="35" t="s">
        <v>4248</v>
      </c>
      <c r="J248" s="35"/>
      <c r="K248" s="35"/>
      <c r="L248" s="35"/>
      <c r="M248" s="35"/>
      <c r="N248" s="35"/>
      <c r="O248" s="35"/>
      <c r="P248" s="35"/>
      <c r="Q248" s="35"/>
      <c r="R248" s="35"/>
      <c r="S248" s="35"/>
      <c r="T248" s="35"/>
      <c r="U248" s="35"/>
      <c r="V248" s="35"/>
      <c r="W248" s="35"/>
      <c r="X248" s="35"/>
      <c r="Y248" s="35"/>
      <c r="Z248" s="35"/>
      <c r="AA248" s="35"/>
      <c r="AB248" s="35"/>
    </row>
    <row r="249" ht="15.75" customHeight="1">
      <c r="A249" s="35" t="s">
        <v>4252</v>
      </c>
      <c r="B249" s="35">
        <v>23.0</v>
      </c>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row>
    <row r="250" ht="15.75" customHeight="1">
      <c r="A250" s="35" t="s">
        <v>4257</v>
      </c>
      <c r="B250" s="35">
        <v>23.0</v>
      </c>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row>
    <row r="251" ht="15.75" customHeight="1">
      <c r="A251" s="35" t="s">
        <v>4260</v>
      </c>
      <c r="B251" s="35">
        <v>23.0</v>
      </c>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row>
    <row r="252" ht="15.75" customHeight="1">
      <c r="A252" s="35" t="s">
        <v>4264</v>
      </c>
      <c r="B252" s="35">
        <v>23.0</v>
      </c>
      <c r="C252" s="35"/>
      <c r="D252" s="35"/>
      <c r="E252" s="35"/>
      <c r="F252" s="35"/>
      <c r="G252" s="35"/>
      <c r="H252" s="35"/>
      <c r="I252" s="35" t="s">
        <v>4266</v>
      </c>
      <c r="J252" s="35"/>
      <c r="K252" s="35"/>
      <c r="L252" s="35"/>
      <c r="M252" s="35"/>
      <c r="N252" s="35"/>
      <c r="O252" s="35"/>
      <c r="P252" s="35"/>
      <c r="Q252" s="35"/>
      <c r="R252" s="35"/>
      <c r="S252" s="35"/>
      <c r="T252" s="35"/>
      <c r="U252" s="35"/>
      <c r="V252" s="35"/>
      <c r="W252" s="35"/>
      <c r="X252" s="35"/>
      <c r="Y252" s="35"/>
      <c r="Z252" s="35"/>
      <c r="AA252" s="35"/>
      <c r="AB252" s="35"/>
    </row>
    <row r="253" ht="15.75" customHeight="1">
      <c r="A253" s="35" t="s">
        <v>4269</v>
      </c>
      <c r="B253" s="35">
        <v>23.0</v>
      </c>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row>
    <row r="254" ht="15.75" customHeight="1">
      <c r="A254" s="35" t="s">
        <v>4273</v>
      </c>
      <c r="B254" s="35">
        <v>23.0</v>
      </c>
      <c r="C254" s="35"/>
      <c r="D254" s="35"/>
      <c r="E254" s="35"/>
      <c r="F254" s="35"/>
      <c r="G254" s="35"/>
      <c r="H254" s="35"/>
      <c r="I254" s="35" t="s">
        <v>4275</v>
      </c>
      <c r="J254" s="35"/>
      <c r="K254" s="35"/>
      <c r="L254" s="35"/>
      <c r="M254" s="35"/>
      <c r="N254" s="35"/>
      <c r="O254" s="35"/>
      <c r="P254" s="35"/>
      <c r="Q254" s="35"/>
      <c r="R254" s="35"/>
      <c r="S254" s="35"/>
      <c r="T254" s="35"/>
      <c r="U254" s="35"/>
      <c r="V254" s="35"/>
      <c r="W254" s="35"/>
      <c r="X254" s="35"/>
      <c r="Y254" s="35"/>
      <c r="Z254" s="35"/>
      <c r="AA254" s="35"/>
      <c r="AB254" s="35"/>
    </row>
    <row r="255" ht="15.75" customHeight="1">
      <c r="A255" s="35" t="s">
        <v>4280</v>
      </c>
      <c r="B255" s="35">
        <v>22.0</v>
      </c>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row>
    <row r="256" ht="15.75" customHeight="1">
      <c r="A256" s="35" t="s">
        <v>4285</v>
      </c>
      <c r="B256" s="35">
        <v>22.0</v>
      </c>
      <c r="C256" s="35"/>
      <c r="D256" s="35"/>
      <c r="E256" s="35"/>
      <c r="F256" s="35"/>
      <c r="G256" s="35"/>
      <c r="H256" s="35"/>
      <c r="I256" s="35" t="s">
        <v>4286</v>
      </c>
      <c r="J256" s="35"/>
      <c r="K256" s="35"/>
      <c r="L256" s="35"/>
      <c r="M256" s="35"/>
      <c r="N256" s="35"/>
      <c r="O256" s="35"/>
      <c r="P256" s="35"/>
      <c r="Q256" s="35"/>
      <c r="R256" s="35"/>
      <c r="S256" s="35"/>
      <c r="T256" s="35"/>
      <c r="U256" s="35"/>
      <c r="V256" s="35"/>
      <c r="W256" s="35"/>
      <c r="X256" s="35"/>
      <c r="Y256" s="35"/>
      <c r="Z256" s="35"/>
      <c r="AA256" s="35"/>
      <c r="AB256" s="35"/>
    </row>
    <row r="257" ht="15.75" customHeight="1">
      <c r="A257" s="35" t="s">
        <v>4289</v>
      </c>
      <c r="B257" s="35">
        <v>22.0</v>
      </c>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row>
    <row r="258" ht="15.75" customHeight="1">
      <c r="A258" s="35" t="s">
        <v>4295</v>
      </c>
      <c r="B258" s="35">
        <v>22.0</v>
      </c>
      <c r="C258" s="35"/>
      <c r="D258" s="35"/>
      <c r="E258" s="35"/>
      <c r="F258" s="35"/>
      <c r="G258" s="35"/>
      <c r="H258" s="35"/>
      <c r="I258" s="35" t="s">
        <v>4297</v>
      </c>
      <c r="J258" s="35"/>
      <c r="K258" s="35"/>
      <c r="L258" s="35"/>
      <c r="M258" s="35"/>
      <c r="N258" s="35"/>
      <c r="O258" s="35"/>
      <c r="P258" s="35"/>
      <c r="Q258" s="35"/>
      <c r="R258" s="35"/>
      <c r="S258" s="35"/>
      <c r="T258" s="35"/>
      <c r="U258" s="35"/>
      <c r="V258" s="35"/>
      <c r="W258" s="35"/>
      <c r="X258" s="35"/>
      <c r="Y258" s="35"/>
      <c r="Z258" s="35"/>
      <c r="AA258" s="35"/>
      <c r="AB258" s="35"/>
    </row>
    <row r="259" ht="15.75" customHeight="1">
      <c r="A259" s="35" t="s">
        <v>4301</v>
      </c>
      <c r="B259" s="35">
        <v>22.0</v>
      </c>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row>
    <row r="260" ht="15.75" customHeight="1">
      <c r="A260" s="35" t="s">
        <v>4304</v>
      </c>
      <c r="B260" s="35">
        <v>21.0</v>
      </c>
      <c r="C260" s="35"/>
      <c r="D260" s="35"/>
      <c r="E260" s="35"/>
      <c r="F260" s="35"/>
      <c r="G260" s="35"/>
      <c r="H260" s="35"/>
      <c r="I260" s="35" t="s">
        <v>4306</v>
      </c>
      <c r="J260" s="35"/>
      <c r="K260" s="35"/>
      <c r="L260" s="35"/>
      <c r="M260" s="35"/>
      <c r="N260" s="35"/>
      <c r="O260" s="35"/>
      <c r="P260" s="35"/>
      <c r="Q260" s="35"/>
      <c r="R260" s="35"/>
      <c r="S260" s="35"/>
      <c r="T260" s="35"/>
      <c r="U260" s="35"/>
      <c r="V260" s="35"/>
      <c r="W260" s="35"/>
      <c r="X260" s="35"/>
      <c r="Y260" s="35"/>
      <c r="Z260" s="35"/>
      <c r="AA260" s="35"/>
      <c r="AB260" s="35"/>
    </row>
    <row r="261" ht="15.75" customHeight="1">
      <c r="A261" s="35" t="s">
        <v>4310</v>
      </c>
      <c r="B261" s="35">
        <v>21.0</v>
      </c>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row>
    <row r="262" ht="15.75" customHeight="1">
      <c r="A262" s="35" t="s">
        <v>4314</v>
      </c>
      <c r="B262" s="35">
        <v>21.0</v>
      </c>
      <c r="C262" s="35"/>
      <c r="D262" s="35"/>
      <c r="E262" s="35"/>
      <c r="F262" s="35"/>
      <c r="G262" s="35"/>
      <c r="H262" s="35"/>
      <c r="I262" s="35" t="s">
        <v>4315</v>
      </c>
      <c r="J262" s="35"/>
      <c r="K262" s="35"/>
      <c r="L262" s="35"/>
      <c r="M262" s="35"/>
      <c r="N262" s="35"/>
      <c r="O262" s="35"/>
      <c r="P262" s="35"/>
      <c r="Q262" s="35"/>
      <c r="R262" s="35"/>
      <c r="S262" s="35"/>
      <c r="T262" s="35"/>
      <c r="U262" s="35"/>
      <c r="V262" s="35"/>
      <c r="W262" s="35"/>
      <c r="X262" s="35"/>
      <c r="Y262" s="35"/>
      <c r="Z262" s="35"/>
      <c r="AA262" s="35"/>
      <c r="AB262" s="35"/>
    </row>
    <row r="263" ht="15.75" customHeight="1">
      <c r="A263" s="35" t="s">
        <v>4320</v>
      </c>
      <c r="B263" s="35">
        <v>21.0</v>
      </c>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row>
    <row r="264" ht="15.75" customHeight="1">
      <c r="A264" s="35" t="s">
        <v>4324</v>
      </c>
      <c r="B264" s="35">
        <v>21.0</v>
      </c>
      <c r="C264" s="35"/>
      <c r="D264" s="35"/>
      <c r="E264" s="35"/>
      <c r="F264" s="35"/>
      <c r="G264" s="35"/>
      <c r="H264" s="35"/>
      <c r="I264" s="35" t="s">
        <v>4327</v>
      </c>
      <c r="J264" s="35"/>
      <c r="K264" s="35"/>
      <c r="L264" s="35"/>
      <c r="M264" s="35"/>
      <c r="N264" s="35"/>
      <c r="O264" s="35"/>
      <c r="P264" s="35"/>
      <c r="Q264" s="35"/>
      <c r="R264" s="35"/>
      <c r="S264" s="35"/>
      <c r="T264" s="35"/>
      <c r="U264" s="35"/>
      <c r="V264" s="35"/>
      <c r="W264" s="35"/>
      <c r="X264" s="35"/>
      <c r="Y264" s="35"/>
      <c r="Z264" s="35"/>
      <c r="AA264" s="35"/>
      <c r="AB264" s="35"/>
    </row>
    <row r="265" ht="15.75" customHeight="1">
      <c r="A265" s="35" t="s">
        <v>4331</v>
      </c>
      <c r="B265" s="35">
        <v>21.0</v>
      </c>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row>
    <row r="266" ht="15.75" customHeight="1">
      <c r="A266" s="35" t="s">
        <v>4335</v>
      </c>
      <c r="B266" s="35">
        <v>21.0</v>
      </c>
      <c r="C266" s="35"/>
      <c r="D266" s="35"/>
      <c r="E266" s="35"/>
      <c r="F266" s="35"/>
      <c r="G266" s="35"/>
      <c r="H266" s="35"/>
      <c r="I266" s="35" t="s">
        <v>4336</v>
      </c>
      <c r="J266" s="35"/>
      <c r="K266" s="35"/>
      <c r="L266" s="35"/>
      <c r="M266" s="35"/>
      <c r="N266" s="35"/>
      <c r="O266" s="35"/>
      <c r="P266" s="35"/>
      <c r="Q266" s="35"/>
      <c r="R266" s="35"/>
      <c r="S266" s="35"/>
      <c r="T266" s="35"/>
      <c r="U266" s="35"/>
      <c r="V266" s="35"/>
      <c r="W266" s="35"/>
      <c r="X266" s="35"/>
      <c r="Y266" s="35"/>
      <c r="Z266" s="35"/>
      <c r="AA266" s="35"/>
      <c r="AB266" s="35"/>
    </row>
    <row r="267" ht="15.75" customHeight="1">
      <c r="A267" s="35" t="s">
        <v>4340</v>
      </c>
      <c r="B267" s="35">
        <v>21.0</v>
      </c>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row>
    <row r="268" ht="15.75" customHeight="1">
      <c r="A268" s="35" t="s">
        <v>4344</v>
      </c>
      <c r="B268" s="35">
        <v>20.0</v>
      </c>
      <c r="C268" s="35"/>
      <c r="D268" s="35"/>
      <c r="E268" s="35"/>
      <c r="F268" s="35"/>
      <c r="G268" s="35"/>
      <c r="H268" s="35"/>
      <c r="I268" s="35" t="s">
        <v>4346</v>
      </c>
      <c r="J268" s="35"/>
      <c r="K268" s="35"/>
      <c r="L268" s="35"/>
      <c r="M268" s="35"/>
      <c r="N268" s="35"/>
      <c r="O268" s="35"/>
      <c r="P268" s="35"/>
      <c r="Q268" s="35"/>
      <c r="R268" s="35"/>
      <c r="S268" s="35"/>
      <c r="T268" s="35"/>
      <c r="U268" s="35"/>
      <c r="V268" s="35"/>
      <c r="W268" s="35"/>
      <c r="X268" s="35"/>
      <c r="Y268" s="35"/>
      <c r="Z268" s="35"/>
      <c r="AA268" s="35"/>
      <c r="AB268" s="35"/>
    </row>
    <row r="269" ht="15.75" customHeight="1">
      <c r="A269" s="35" t="s">
        <v>4349</v>
      </c>
      <c r="B269" s="35">
        <v>20.0</v>
      </c>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row>
    <row r="270" ht="15.75" customHeight="1">
      <c r="A270" s="35" t="s">
        <v>4353</v>
      </c>
      <c r="B270" s="35">
        <v>20.0</v>
      </c>
      <c r="C270" s="35"/>
      <c r="D270" s="35"/>
      <c r="E270" s="35"/>
      <c r="F270" s="35"/>
      <c r="G270" s="35"/>
      <c r="H270" s="35"/>
      <c r="I270" s="35" t="s">
        <v>4355</v>
      </c>
      <c r="J270" s="35"/>
      <c r="K270" s="35"/>
      <c r="L270" s="35"/>
      <c r="M270" s="35"/>
      <c r="N270" s="35"/>
      <c r="O270" s="35"/>
      <c r="P270" s="35"/>
      <c r="Q270" s="35"/>
      <c r="R270" s="35"/>
      <c r="S270" s="35"/>
      <c r="T270" s="35"/>
      <c r="U270" s="35"/>
      <c r="V270" s="35"/>
      <c r="W270" s="35"/>
      <c r="X270" s="35"/>
      <c r="Y270" s="35"/>
      <c r="Z270" s="35"/>
      <c r="AA270" s="35"/>
      <c r="AB270" s="35"/>
    </row>
    <row r="271" ht="15.75" customHeight="1">
      <c r="A271" s="35" t="s">
        <v>4358</v>
      </c>
      <c r="B271" s="35">
        <v>20.0</v>
      </c>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row>
    <row r="272" ht="15.75" customHeight="1">
      <c r="A272" s="35" t="s">
        <v>4362</v>
      </c>
      <c r="B272" s="35">
        <v>20.0</v>
      </c>
      <c r="C272" s="35"/>
      <c r="D272" s="35"/>
      <c r="E272" s="35"/>
      <c r="F272" s="35"/>
      <c r="G272" s="35"/>
      <c r="H272" s="35"/>
      <c r="I272" s="35" t="s">
        <v>4365</v>
      </c>
      <c r="J272" s="35"/>
      <c r="K272" s="35"/>
      <c r="L272" s="35"/>
      <c r="M272" s="35"/>
      <c r="N272" s="35"/>
      <c r="O272" s="35"/>
      <c r="P272" s="35"/>
      <c r="Q272" s="35"/>
      <c r="R272" s="35"/>
      <c r="S272" s="35"/>
      <c r="T272" s="35"/>
      <c r="U272" s="35"/>
      <c r="V272" s="35"/>
      <c r="W272" s="35"/>
      <c r="X272" s="35"/>
      <c r="Y272" s="35"/>
      <c r="Z272" s="35"/>
      <c r="AA272" s="35"/>
      <c r="AB272" s="35"/>
    </row>
    <row r="273" ht="15.75" customHeight="1">
      <c r="A273" s="35" t="s">
        <v>4369</v>
      </c>
      <c r="B273" s="35">
        <v>20.0</v>
      </c>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row>
    <row r="274" ht="15.75" customHeight="1">
      <c r="A274" s="35" t="s">
        <v>4373</v>
      </c>
      <c r="B274" s="35">
        <v>20.0</v>
      </c>
      <c r="C274" s="35"/>
      <c r="D274" s="35"/>
      <c r="E274" s="35"/>
      <c r="F274" s="35"/>
      <c r="G274" s="35"/>
      <c r="H274" s="35"/>
      <c r="I274" s="35" t="s">
        <v>4375</v>
      </c>
      <c r="J274" s="35"/>
      <c r="K274" s="35"/>
      <c r="L274" s="35"/>
      <c r="M274" s="35"/>
      <c r="N274" s="35"/>
      <c r="O274" s="35"/>
      <c r="P274" s="35"/>
      <c r="Q274" s="35"/>
      <c r="R274" s="35"/>
      <c r="S274" s="35"/>
      <c r="T274" s="35"/>
      <c r="U274" s="35"/>
      <c r="V274" s="35"/>
      <c r="W274" s="35"/>
      <c r="X274" s="35"/>
      <c r="Y274" s="35"/>
      <c r="Z274" s="35"/>
      <c r="AA274" s="35"/>
      <c r="AB274" s="35"/>
    </row>
    <row r="275" ht="15.75" customHeight="1">
      <c r="A275" s="35" t="s">
        <v>4379</v>
      </c>
      <c r="B275" s="35">
        <v>20.0</v>
      </c>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row>
    <row r="276" ht="15.75" customHeight="1">
      <c r="A276" s="35" t="s">
        <v>4384</v>
      </c>
      <c r="B276" s="35">
        <v>20.0</v>
      </c>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row>
    <row r="277" ht="15.75" customHeight="1">
      <c r="A277" s="35" t="s">
        <v>4388</v>
      </c>
      <c r="B277" s="35">
        <v>20.0</v>
      </c>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row>
    <row r="278" ht="15.75" customHeight="1">
      <c r="A278" s="35" t="s">
        <v>4392</v>
      </c>
      <c r="B278" s="35">
        <v>20.0</v>
      </c>
      <c r="C278" s="35"/>
      <c r="D278" s="35"/>
      <c r="E278" s="35"/>
      <c r="F278" s="35"/>
      <c r="G278" s="35"/>
      <c r="H278" s="35"/>
      <c r="I278" s="35" t="s">
        <v>4395</v>
      </c>
      <c r="J278" s="35"/>
      <c r="K278" s="35"/>
      <c r="L278" s="35"/>
      <c r="M278" s="35"/>
      <c r="N278" s="35"/>
      <c r="O278" s="35"/>
      <c r="P278" s="35"/>
      <c r="Q278" s="35"/>
      <c r="R278" s="35"/>
      <c r="S278" s="35"/>
      <c r="T278" s="35"/>
      <c r="U278" s="35"/>
      <c r="V278" s="35"/>
      <c r="W278" s="35"/>
      <c r="X278" s="35"/>
      <c r="Y278" s="35"/>
      <c r="Z278" s="35"/>
      <c r="AA278" s="35"/>
      <c r="AB278" s="35"/>
    </row>
    <row r="279" ht="15.75" customHeight="1">
      <c r="A279" s="35" t="s">
        <v>4397</v>
      </c>
      <c r="B279" s="35">
        <v>19.0</v>
      </c>
      <c r="C279" s="35"/>
      <c r="D279" s="35"/>
      <c r="E279" s="35"/>
      <c r="F279" s="35"/>
      <c r="G279" s="35"/>
      <c r="H279" s="35"/>
      <c r="I279" s="35" t="s">
        <v>4400</v>
      </c>
      <c r="J279" s="35"/>
      <c r="K279" s="35"/>
      <c r="L279" s="35"/>
      <c r="M279" s="35"/>
      <c r="N279" s="35"/>
      <c r="O279" s="35"/>
      <c r="P279" s="35"/>
      <c r="Q279" s="35"/>
      <c r="R279" s="35"/>
      <c r="S279" s="35"/>
      <c r="T279" s="35"/>
      <c r="U279" s="35"/>
      <c r="V279" s="35"/>
      <c r="W279" s="35"/>
      <c r="X279" s="35"/>
      <c r="Y279" s="35"/>
      <c r="Z279" s="35"/>
      <c r="AA279" s="35"/>
      <c r="AB279" s="35"/>
    </row>
    <row r="280" ht="15.75" customHeight="1">
      <c r="A280" s="35" t="s">
        <v>4403</v>
      </c>
      <c r="B280" s="35">
        <v>19.0</v>
      </c>
      <c r="C280" s="35"/>
      <c r="D280" s="35"/>
      <c r="E280" s="35"/>
      <c r="F280" s="35"/>
      <c r="G280" s="35"/>
      <c r="H280" s="35"/>
      <c r="I280" s="35" t="s">
        <v>4405</v>
      </c>
      <c r="J280" s="35"/>
      <c r="K280" s="35"/>
      <c r="L280" s="35"/>
      <c r="M280" s="35"/>
      <c r="N280" s="35"/>
      <c r="O280" s="35"/>
      <c r="P280" s="35"/>
      <c r="Q280" s="35"/>
      <c r="R280" s="35"/>
      <c r="S280" s="35"/>
      <c r="T280" s="35"/>
      <c r="U280" s="35"/>
      <c r="V280" s="35"/>
      <c r="W280" s="35"/>
      <c r="X280" s="35"/>
      <c r="Y280" s="35"/>
      <c r="Z280" s="35"/>
      <c r="AA280" s="35"/>
      <c r="AB280" s="35"/>
    </row>
    <row r="281" ht="15.75" customHeight="1">
      <c r="A281" s="35" t="s">
        <v>4409</v>
      </c>
      <c r="B281" s="35">
        <v>19.0</v>
      </c>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row>
    <row r="282" ht="15.75" customHeight="1">
      <c r="A282" s="35" t="s">
        <v>4414</v>
      </c>
      <c r="B282" s="35">
        <v>19.0</v>
      </c>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row>
    <row r="283" ht="15.75" customHeight="1">
      <c r="A283" s="35" t="s">
        <v>4419</v>
      </c>
      <c r="B283" s="35">
        <v>19.0</v>
      </c>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row>
    <row r="284" ht="15.75" customHeight="1">
      <c r="A284" s="35" t="s">
        <v>4422</v>
      </c>
      <c r="B284" s="35">
        <v>19.0</v>
      </c>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row>
    <row r="285" ht="15.75" customHeight="1">
      <c r="A285" s="35" t="s">
        <v>4427</v>
      </c>
      <c r="B285" s="35">
        <v>19.0</v>
      </c>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row>
    <row r="286" ht="15.75" customHeight="1">
      <c r="A286" s="35" t="s">
        <v>4432</v>
      </c>
      <c r="B286" s="35">
        <v>19.0</v>
      </c>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row>
    <row r="287" ht="15.75" customHeight="1">
      <c r="A287" s="35" t="s">
        <v>4437</v>
      </c>
      <c r="B287" s="35">
        <v>19.0</v>
      </c>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row>
    <row r="288" ht="15.75" customHeight="1">
      <c r="A288" s="35" t="s">
        <v>4439</v>
      </c>
      <c r="B288" s="35">
        <v>19.0</v>
      </c>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row>
    <row r="289" ht="15.75" customHeight="1">
      <c r="A289" s="35" t="s">
        <v>4443</v>
      </c>
      <c r="B289" s="35">
        <v>18.0</v>
      </c>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row>
    <row r="290" ht="15.75" customHeight="1">
      <c r="A290" s="35" t="s">
        <v>4448</v>
      </c>
      <c r="B290" s="35">
        <v>18.0</v>
      </c>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row>
    <row r="291" ht="15.75" customHeight="1">
      <c r="A291" s="35" t="s">
        <v>4452</v>
      </c>
      <c r="B291" s="35">
        <v>18.0</v>
      </c>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row>
    <row r="292" ht="15.75" customHeight="1">
      <c r="A292" s="35" t="s">
        <v>4457</v>
      </c>
      <c r="B292" s="35">
        <v>18.0</v>
      </c>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row>
    <row r="293" ht="15.75" customHeight="1">
      <c r="A293" s="35" t="s">
        <v>4459</v>
      </c>
      <c r="B293" s="35">
        <v>18.0</v>
      </c>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row>
    <row r="294" ht="15.75" customHeight="1">
      <c r="A294" s="35" t="s">
        <v>4464</v>
      </c>
      <c r="B294" s="35">
        <v>18.0</v>
      </c>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row>
    <row r="295" ht="15.75" customHeight="1">
      <c r="A295" s="35" t="s">
        <v>4470</v>
      </c>
      <c r="B295" s="35">
        <v>18.0</v>
      </c>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row>
    <row r="296" ht="15.75" customHeight="1">
      <c r="A296" s="35" t="s">
        <v>4474</v>
      </c>
      <c r="B296" s="35">
        <v>18.0</v>
      </c>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row>
    <row r="297" ht="15.75" customHeight="1">
      <c r="A297" s="35" t="s">
        <v>1108</v>
      </c>
      <c r="B297" s="35">
        <v>18.0</v>
      </c>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row>
    <row r="298" ht="15.75" customHeight="1">
      <c r="A298" s="35" t="s">
        <v>2944</v>
      </c>
      <c r="B298" s="35">
        <v>17.0</v>
      </c>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row>
    <row r="299" ht="15.75" customHeight="1">
      <c r="A299" s="35" t="s">
        <v>4483</v>
      </c>
      <c r="B299" s="35">
        <v>17.0</v>
      </c>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row>
    <row r="300" ht="15.75" customHeight="1">
      <c r="A300" s="35" t="s">
        <v>4487</v>
      </c>
      <c r="B300" s="35">
        <v>17.0</v>
      </c>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row>
    <row r="301" ht="15.75" customHeight="1">
      <c r="A301" s="35" t="s">
        <v>4491</v>
      </c>
      <c r="B301" s="35">
        <v>17.0</v>
      </c>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row>
    <row r="302" ht="15.75" customHeight="1">
      <c r="A302" s="35" t="s">
        <v>4494</v>
      </c>
      <c r="B302" s="35">
        <v>17.0</v>
      </c>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row>
    <row r="303" ht="15.75" customHeight="1">
      <c r="A303" s="35" t="s">
        <v>4499</v>
      </c>
      <c r="B303" s="35">
        <v>17.0</v>
      </c>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row>
    <row r="304" ht="15.75" customHeight="1">
      <c r="A304" s="35" t="s">
        <v>4501</v>
      </c>
      <c r="B304" s="35">
        <v>17.0</v>
      </c>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row>
    <row r="305" ht="15.75" customHeight="1">
      <c r="A305" s="35" t="s">
        <v>4506</v>
      </c>
      <c r="B305" s="35">
        <v>17.0</v>
      </c>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row>
    <row r="306" ht="15.75" customHeight="1">
      <c r="A306" s="35" t="s">
        <v>4509</v>
      </c>
      <c r="B306" s="35">
        <v>17.0</v>
      </c>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row>
    <row r="307" ht="15.75" customHeight="1">
      <c r="A307" s="35" t="s">
        <v>4513</v>
      </c>
      <c r="B307" s="35">
        <v>17.0</v>
      </c>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row>
    <row r="308" ht="15.75" customHeight="1">
      <c r="A308" s="35" t="s">
        <v>4515</v>
      </c>
      <c r="B308" s="35">
        <v>16.0</v>
      </c>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row>
    <row r="309" ht="15.75" customHeight="1">
      <c r="A309" s="35" t="s">
        <v>4519</v>
      </c>
      <c r="B309" s="35">
        <v>16.0</v>
      </c>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row>
    <row r="310" ht="15.75" customHeight="1">
      <c r="A310" s="35" t="s">
        <v>4524</v>
      </c>
      <c r="B310" s="35">
        <v>16.0</v>
      </c>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row>
    <row r="311" ht="15.75" customHeight="1">
      <c r="A311" s="35" t="s">
        <v>4526</v>
      </c>
      <c r="B311" s="35">
        <v>16.0</v>
      </c>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row>
    <row r="312" ht="15.75" customHeight="1">
      <c r="A312" s="35" t="s">
        <v>4530</v>
      </c>
      <c r="B312" s="35">
        <v>16.0</v>
      </c>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row>
    <row r="313" ht="15.75" customHeight="1">
      <c r="A313" s="35" t="s">
        <v>4535</v>
      </c>
      <c r="B313" s="35">
        <v>16.0</v>
      </c>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row>
    <row r="314" ht="15.75" customHeight="1">
      <c r="A314" s="35" t="s">
        <v>4539</v>
      </c>
      <c r="B314" s="35">
        <v>16.0</v>
      </c>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row>
    <row r="315" ht="15.75" customHeight="1">
      <c r="A315" s="35" t="s">
        <v>4542</v>
      </c>
      <c r="B315" s="35">
        <v>16.0</v>
      </c>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row>
    <row r="316" ht="15.75" customHeight="1">
      <c r="A316" s="35" t="s">
        <v>4548</v>
      </c>
      <c r="B316" s="35">
        <v>16.0</v>
      </c>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row>
    <row r="317" ht="15.75" customHeight="1">
      <c r="A317" s="35" t="s">
        <v>4553</v>
      </c>
      <c r="B317" s="35">
        <v>16.0</v>
      </c>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row>
    <row r="318" ht="15.75" customHeight="1">
      <c r="A318" s="35" t="s">
        <v>4556</v>
      </c>
      <c r="B318" s="35">
        <v>16.0</v>
      </c>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row>
    <row r="319" ht="15.75" customHeight="1">
      <c r="A319" s="35" t="s">
        <v>4559</v>
      </c>
      <c r="B319" s="35">
        <v>16.0</v>
      </c>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row>
    <row r="320" ht="15.75" customHeight="1">
      <c r="A320" s="35" t="s">
        <v>4565</v>
      </c>
      <c r="B320" s="35">
        <v>16.0</v>
      </c>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row>
    <row r="321" ht="15.75" customHeight="1">
      <c r="A321" s="35" t="s">
        <v>4569</v>
      </c>
      <c r="B321" s="35">
        <v>16.0</v>
      </c>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row>
    <row r="322" ht="15.75" customHeight="1">
      <c r="A322" s="35" t="s">
        <v>4573</v>
      </c>
      <c r="B322" s="35">
        <v>16.0</v>
      </c>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row>
    <row r="323" ht="15.75" customHeight="1">
      <c r="A323" s="35" t="s">
        <v>4577</v>
      </c>
      <c r="B323" s="35">
        <v>16.0</v>
      </c>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row>
    <row r="324" ht="15.75" customHeight="1">
      <c r="A324" s="35" t="s">
        <v>4581</v>
      </c>
      <c r="B324" s="35">
        <v>16.0</v>
      </c>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row>
    <row r="325" ht="15.75" customHeight="1">
      <c r="A325" s="35" t="s">
        <v>4585</v>
      </c>
      <c r="B325" s="35">
        <v>16.0</v>
      </c>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row>
    <row r="326" ht="15.75" customHeight="1">
      <c r="A326" s="35" t="s">
        <v>4586</v>
      </c>
      <c r="B326" s="35">
        <v>16.0</v>
      </c>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row>
    <row r="327" ht="15.75" customHeight="1">
      <c r="A327" s="35" t="s">
        <v>4590</v>
      </c>
      <c r="B327" s="35">
        <v>15.0</v>
      </c>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row>
    <row r="328" ht="15.75" customHeight="1">
      <c r="A328" s="35" t="s">
        <v>4593</v>
      </c>
      <c r="B328" s="35">
        <v>15.0</v>
      </c>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row>
    <row r="329" ht="15.75" customHeight="1">
      <c r="A329" s="35" t="s">
        <v>4598</v>
      </c>
      <c r="B329" s="35">
        <v>15.0</v>
      </c>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row>
    <row r="330" ht="15.75" customHeight="1">
      <c r="A330" s="35" t="s">
        <v>4603</v>
      </c>
      <c r="B330" s="35">
        <v>15.0</v>
      </c>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row>
    <row r="331" ht="15.75" customHeight="1">
      <c r="A331" s="35" t="s">
        <v>4607</v>
      </c>
      <c r="B331" s="35">
        <v>15.0</v>
      </c>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row>
    <row r="332" ht="15.75" customHeight="1">
      <c r="A332" s="35" t="s">
        <v>4610</v>
      </c>
      <c r="B332" s="35">
        <v>15.0</v>
      </c>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row>
    <row r="333" ht="15.75" customHeight="1">
      <c r="A333" s="35" t="s">
        <v>4612</v>
      </c>
      <c r="B333" s="35">
        <v>15.0</v>
      </c>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row>
    <row r="334" ht="15.75" customHeight="1">
      <c r="A334" s="35" t="s">
        <v>4617</v>
      </c>
      <c r="B334" s="35">
        <v>15.0</v>
      </c>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row>
    <row r="335" ht="15.75" customHeight="1">
      <c r="A335" s="35" t="s">
        <v>4620</v>
      </c>
      <c r="B335" s="35">
        <v>15.0</v>
      </c>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row>
    <row r="336" ht="15.75" customHeight="1">
      <c r="A336" s="35" t="s">
        <v>4625</v>
      </c>
      <c r="B336" s="35">
        <v>15.0</v>
      </c>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row>
    <row r="337" ht="15.75" customHeight="1">
      <c r="A337" s="35" t="s">
        <v>4627</v>
      </c>
      <c r="B337" s="35">
        <v>15.0</v>
      </c>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row>
    <row r="338" ht="15.75" customHeight="1">
      <c r="A338" s="35" t="s">
        <v>4633</v>
      </c>
      <c r="B338" s="35">
        <v>14.0</v>
      </c>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row>
    <row r="339" ht="15.75" customHeight="1">
      <c r="A339" s="35" t="s">
        <v>4638</v>
      </c>
      <c r="B339" s="35">
        <v>14.0</v>
      </c>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row>
    <row r="340" ht="15.75" customHeight="1">
      <c r="A340" s="35" t="s">
        <v>4643</v>
      </c>
      <c r="B340" s="35">
        <v>14.0</v>
      </c>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row>
    <row r="341" ht="15.75" customHeight="1">
      <c r="A341" s="35" t="s">
        <v>4648</v>
      </c>
      <c r="B341" s="35">
        <v>14.0</v>
      </c>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row>
    <row r="342" ht="15.75" customHeight="1">
      <c r="A342" s="35" t="s">
        <v>4652</v>
      </c>
      <c r="B342" s="35">
        <v>14.0</v>
      </c>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row>
    <row r="343" ht="15.75" customHeight="1">
      <c r="A343" s="35" t="s">
        <v>4656</v>
      </c>
      <c r="B343" s="35">
        <v>14.0</v>
      </c>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row>
    <row r="344" ht="15.75" customHeight="1">
      <c r="A344" s="35" t="s">
        <v>4660</v>
      </c>
      <c r="B344" s="35">
        <v>14.0</v>
      </c>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row>
    <row r="345" ht="15.75" customHeight="1">
      <c r="A345" s="35" t="s">
        <v>4664</v>
      </c>
      <c r="B345" s="35">
        <v>14.0</v>
      </c>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row>
    <row r="346" ht="15.75" customHeight="1">
      <c r="A346" s="35" t="s">
        <v>4668</v>
      </c>
      <c r="B346" s="35">
        <v>14.0</v>
      </c>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row>
    <row r="347" ht="15.75" customHeight="1">
      <c r="A347" s="35" t="s">
        <v>4669</v>
      </c>
      <c r="B347" s="35">
        <v>14.0</v>
      </c>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row>
    <row r="348" ht="15.75" customHeight="1">
      <c r="A348" s="35" t="s">
        <v>4672</v>
      </c>
      <c r="B348" s="35">
        <v>14.0</v>
      </c>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row>
    <row r="349" ht="15.75" customHeight="1">
      <c r="A349" s="35" t="s">
        <v>4674</v>
      </c>
      <c r="B349" s="35">
        <v>14.0</v>
      </c>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row>
    <row r="350" ht="15.75" customHeight="1">
      <c r="A350" s="35" t="s">
        <v>4679</v>
      </c>
      <c r="B350" s="35">
        <v>14.0</v>
      </c>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row>
    <row r="351" ht="15.75" customHeight="1">
      <c r="A351" s="35" t="s">
        <v>4682</v>
      </c>
      <c r="B351" s="35">
        <v>14.0</v>
      </c>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row>
    <row r="352" ht="15.75" customHeight="1">
      <c r="A352" s="35" t="s">
        <v>4686</v>
      </c>
      <c r="B352" s="35">
        <v>14.0</v>
      </c>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row>
    <row r="353" ht="15.75" customHeight="1">
      <c r="A353" s="35" t="s">
        <v>4688</v>
      </c>
      <c r="B353" s="35">
        <v>14.0</v>
      </c>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row>
    <row r="354" ht="15.75" customHeight="1">
      <c r="A354" s="35" t="s">
        <v>4690</v>
      </c>
      <c r="B354" s="35">
        <v>14.0</v>
      </c>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row>
    <row r="355" ht="15.75" customHeight="1">
      <c r="A355" s="35" t="s">
        <v>4695</v>
      </c>
      <c r="B355" s="35">
        <v>14.0</v>
      </c>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row>
    <row r="356" ht="15.75" customHeight="1">
      <c r="A356" s="35" t="s">
        <v>4700</v>
      </c>
      <c r="B356" s="35">
        <v>13.0</v>
      </c>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row>
    <row r="357" ht="15.75" customHeight="1">
      <c r="A357" s="35" t="s">
        <v>4704</v>
      </c>
      <c r="B357" s="35">
        <v>13.0</v>
      </c>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row>
    <row r="358" ht="15.75" customHeight="1">
      <c r="A358" s="35" t="s">
        <v>4707</v>
      </c>
      <c r="B358" s="35">
        <v>13.0</v>
      </c>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row>
    <row r="359" ht="15.75" customHeight="1">
      <c r="A359" s="35" t="s">
        <v>4710</v>
      </c>
      <c r="B359" s="35">
        <v>13.0</v>
      </c>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row>
    <row r="360" ht="15.75" customHeight="1">
      <c r="A360" s="35" t="s">
        <v>4713</v>
      </c>
      <c r="B360" s="35">
        <v>13.0</v>
      </c>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row>
    <row r="361" ht="15.75" customHeight="1">
      <c r="A361" s="35" t="s">
        <v>4716</v>
      </c>
      <c r="B361" s="35">
        <v>13.0</v>
      </c>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row>
    <row r="362" ht="15.75" customHeight="1">
      <c r="A362" s="35" t="s">
        <v>4719</v>
      </c>
      <c r="B362" s="35">
        <v>13.0</v>
      </c>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row>
    <row r="363" ht="15.75" customHeight="1">
      <c r="A363" s="35" t="s">
        <v>4723</v>
      </c>
      <c r="B363" s="35">
        <v>13.0</v>
      </c>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row>
    <row r="364" ht="15.75" customHeight="1">
      <c r="A364" s="35" t="s">
        <v>4728</v>
      </c>
      <c r="B364" s="35">
        <v>13.0</v>
      </c>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row>
    <row r="365" ht="15.75" customHeight="1">
      <c r="A365" s="35" t="s">
        <v>4732</v>
      </c>
      <c r="B365" s="35">
        <v>13.0</v>
      </c>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row>
    <row r="366" ht="15.75" customHeight="1">
      <c r="A366" s="35" t="s">
        <v>4736</v>
      </c>
      <c r="B366" s="35">
        <v>13.0</v>
      </c>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row>
    <row r="367" ht="15.75" customHeight="1">
      <c r="A367" s="35" t="s">
        <v>4739</v>
      </c>
      <c r="B367" s="35">
        <v>13.0</v>
      </c>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row>
    <row r="368" ht="15.75" customHeight="1">
      <c r="A368" s="35" t="s">
        <v>4742</v>
      </c>
      <c r="B368" s="35">
        <v>13.0</v>
      </c>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row>
    <row r="369" ht="15.75" customHeight="1">
      <c r="A369" s="35" t="s">
        <v>4746</v>
      </c>
      <c r="B369" s="35">
        <v>13.0</v>
      </c>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row>
    <row r="370" ht="15.75" customHeight="1">
      <c r="A370" s="35" t="s">
        <v>4749</v>
      </c>
      <c r="B370" s="35">
        <v>13.0</v>
      </c>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row>
    <row r="371" ht="15.75" customHeight="1">
      <c r="A371" s="35" t="s">
        <v>4753</v>
      </c>
      <c r="B371" s="35">
        <v>13.0</v>
      </c>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row>
    <row r="372" ht="15.75" customHeight="1">
      <c r="A372" s="35" t="s">
        <v>4757</v>
      </c>
      <c r="B372" s="35">
        <v>13.0</v>
      </c>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row>
    <row r="373" ht="15.75" customHeight="1">
      <c r="A373" s="35" t="s">
        <v>4762</v>
      </c>
      <c r="B373" s="35">
        <v>13.0</v>
      </c>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row>
    <row r="374" ht="15.75" customHeight="1">
      <c r="A374" s="35" t="s">
        <v>4767</v>
      </c>
      <c r="B374" s="35">
        <v>13.0</v>
      </c>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row>
    <row r="375" ht="15.75" customHeight="1">
      <c r="A375" s="35" t="s">
        <v>4772</v>
      </c>
      <c r="B375" s="35">
        <v>13.0</v>
      </c>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row>
    <row r="376" ht="15.75" customHeight="1">
      <c r="A376" s="35" t="s">
        <v>4776</v>
      </c>
      <c r="B376" s="35">
        <v>12.0</v>
      </c>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row>
    <row r="377" ht="15.75" customHeight="1">
      <c r="A377" s="35" t="s">
        <v>4781</v>
      </c>
      <c r="B377" s="35">
        <v>12.0</v>
      </c>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row>
    <row r="378" ht="15.75" customHeight="1">
      <c r="A378" s="35" t="s">
        <v>4784</v>
      </c>
      <c r="B378" s="35">
        <v>12.0</v>
      </c>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row>
    <row r="379" ht="15.75" customHeight="1">
      <c r="A379" s="35" t="s">
        <v>4788</v>
      </c>
      <c r="B379" s="35">
        <v>12.0</v>
      </c>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row>
    <row r="380" ht="15.75" customHeight="1">
      <c r="A380" s="35" t="s">
        <v>4793</v>
      </c>
      <c r="B380" s="35">
        <v>12.0</v>
      </c>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row>
    <row r="381" ht="15.75" customHeight="1">
      <c r="A381" s="35" t="s">
        <v>4797</v>
      </c>
      <c r="B381" s="35">
        <v>12.0</v>
      </c>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row>
    <row r="382" ht="15.75" customHeight="1">
      <c r="A382" s="35" t="s">
        <v>4801</v>
      </c>
      <c r="B382" s="35">
        <v>12.0</v>
      </c>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row>
    <row r="383" ht="15.75" customHeight="1">
      <c r="A383" s="35" t="s">
        <v>4804</v>
      </c>
      <c r="B383" s="35">
        <v>12.0</v>
      </c>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row>
    <row r="384" ht="15.75" customHeight="1">
      <c r="A384" s="35" t="s">
        <v>4809</v>
      </c>
      <c r="B384" s="35">
        <v>12.0</v>
      </c>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row>
    <row r="385" ht="15.75" customHeight="1">
      <c r="A385" s="35" t="s">
        <v>4812</v>
      </c>
      <c r="B385" s="35">
        <v>12.0</v>
      </c>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row>
    <row r="386" ht="15.75" customHeight="1">
      <c r="A386" s="35" t="s">
        <v>4815</v>
      </c>
      <c r="B386" s="35">
        <v>12.0</v>
      </c>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row>
    <row r="387" ht="15.75" customHeight="1">
      <c r="A387" s="35" t="s">
        <v>4818</v>
      </c>
      <c r="B387" s="35">
        <v>12.0</v>
      </c>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row>
    <row r="388" ht="15.75" customHeight="1">
      <c r="A388" s="35" t="s">
        <v>4822</v>
      </c>
      <c r="B388" s="35">
        <v>12.0</v>
      </c>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row>
    <row r="389" ht="15.75" customHeight="1">
      <c r="A389" s="35" t="s">
        <v>4827</v>
      </c>
      <c r="B389" s="35">
        <v>12.0</v>
      </c>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row>
    <row r="390" ht="15.75" customHeight="1">
      <c r="A390" s="35" t="s">
        <v>4831</v>
      </c>
      <c r="B390" s="35">
        <v>12.0</v>
      </c>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row>
    <row r="391" ht="15.75" customHeight="1">
      <c r="A391" s="35" t="s">
        <v>4835</v>
      </c>
      <c r="B391" s="35">
        <v>12.0</v>
      </c>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row>
    <row r="392" ht="15.75" customHeight="1">
      <c r="A392" s="35" t="s">
        <v>4839</v>
      </c>
      <c r="B392" s="35">
        <v>12.0</v>
      </c>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row>
    <row r="393" ht="15.75" customHeight="1">
      <c r="A393" s="35" t="s">
        <v>4842</v>
      </c>
      <c r="B393" s="35">
        <v>12.0</v>
      </c>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row>
    <row r="394" ht="15.75" customHeight="1">
      <c r="A394" s="35" t="s">
        <v>4845</v>
      </c>
      <c r="B394" s="35">
        <v>12.0</v>
      </c>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row>
    <row r="395" ht="15.75" customHeight="1">
      <c r="A395" s="35" t="s">
        <v>4848</v>
      </c>
      <c r="B395" s="35">
        <v>12.0</v>
      </c>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row>
    <row r="396" ht="15.75" customHeight="1">
      <c r="A396" s="35" t="s">
        <v>4851</v>
      </c>
      <c r="B396" s="35">
        <v>12.0</v>
      </c>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row>
    <row r="397" ht="15.75" customHeight="1">
      <c r="A397" s="35" t="s">
        <v>4854</v>
      </c>
      <c r="B397" s="35">
        <v>12.0</v>
      </c>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row>
    <row r="398" ht="15.75" customHeight="1">
      <c r="A398" s="35" t="s">
        <v>4859</v>
      </c>
      <c r="B398" s="35">
        <v>12.0</v>
      </c>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row>
    <row r="399" ht="15.75" customHeight="1">
      <c r="A399" s="35" t="s">
        <v>4863</v>
      </c>
      <c r="B399" s="35">
        <v>12.0</v>
      </c>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row>
    <row r="400" ht="15.75" customHeight="1">
      <c r="A400" s="35" t="s">
        <v>4866</v>
      </c>
      <c r="B400" s="35">
        <v>12.0</v>
      </c>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row>
    <row r="401" ht="15.75" customHeight="1">
      <c r="A401" s="35" t="s">
        <v>4871</v>
      </c>
      <c r="B401" s="35">
        <v>12.0</v>
      </c>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row>
    <row r="402" ht="15.75" customHeight="1">
      <c r="A402" s="35" t="s">
        <v>4874</v>
      </c>
      <c r="B402" s="35">
        <v>12.0</v>
      </c>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row>
    <row r="403" ht="15.75" customHeight="1">
      <c r="A403" s="35" t="s">
        <v>4877</v>
      </c>
      <c r="B403" s="35">
        <v>12.0</v>
      </c>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row>
    <row r="404" ht="15.75" customHeight="1">
      <c r="A404" s="35" t="s">
        <v>4881</v>
      </c>
      <c r="B404" s="35">
        <v>12.0</v>
      </c>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row>
    <row r="405" ht="15.75" customHeight="1">
      <c r="A405" s="35" t="s">
        <v>4885</v>
      </c>
      <c r="B405" s="35">
        <v>12.0</v>
      </c>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row>
    <row r="406" ht="15.75" customHeight="1">
      <c r="A406" s="35" t="s">
        <v>4889</v>
      </c>
      <c r="B406" s="35">
        <v>12.0</v>
      </c>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row>
    <row r="407" ht="15.75" customHeight="1">
      <c r="A407" s="35" t="s">
        <v>4892</v>
      </c>
      <c r="B407" s="35">
        <v>11.0</v>
      </c>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row>
    <row r="408" ht="15.75" customHeight="1">
      <c r="A408" s="35" t="s">
        <v>4896</v>
      </c>
      <c r="B408" s="35">
        <v>11.0</v>
      </c>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row>
    <row r="409" ht="15.75" customHeight="1">
      <c r="A409" s="35" t="s">
        <v>4899</v>
      </c>
      <c r="B409" s="35">
        <v>11.0</v>
      </c>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row>
    <row r="410" ht="15.75" customHeight="1">
      <c r="A410" s="35" t="s">
        <v>4902</v>
      </c>
      <c r="B410" s="35">
        <v>11.0</v>
      </c>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row>
    <row r="411" ht="15.75" customHeight="1">
      <c r="A411" s="35" t="s">
        <v>4905</v>
      </c>
      <c r="B411" s="35">
        <v>11.0</v>
      </c>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row>
    <row r="412" ht="15.75" customHeight="1">
      <c r="A412" s="35" t="s">
        <v>4908</v>
      </c>
      <c r="B412" s="35">
        <v>11.0</v>
      </c>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row>
    <row r="413" ht="15.75" customHeight="1">
      <c r="A413" s="35" t="s">
        <v>53</v>
      </c>
      <c r="B413" s="35">
        <v>11.0</v>
      </c>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row>
    <row r="414" ht="15.75" customHeight="1">
      <c r="A414" s="35" t="s">
        <v>4912</v>
      </c>
      <c r="B414" s="35">
        <v>11.0</v>
      </c>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row>
    <row r="415" ht="15.75" customHeight="1">
      <c r="A415" s="35" t="s">
        <v>4915</v>
      </c>
      <c r="B415" s="35">
        <v>11.0</v>
      </c>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row>
    <row r="416" ht="15.75" customHeight="1">
      <c r="A416" s="35" t="s">
        <v>4917</v>
      </c>
      <c r="B416" s="35">
        <v>11.0</v>
      </c>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row>
    <row r="417" ht="15.75" customHeight="1">
      <c r="A417" s="35" t="s">
        <v>4921</v>
      </c>
      <c r="B417" s="35">
        <v>11.0</v>
      </c>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row>
    <row r="418" ht="15.75" customHeight="1">
      <c r="A418" s="35" t="s">
        <v>4925</v>
      </c>
      <c r="B418" s="35">
        <v>11.0</v>
      </c>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row>
    <row r="419" ht="15.75" customHeight="1">
      <c r="A419" s="35" t="s">
        <v>4929</v>
      </c>
      <c r="B419" s="35">
        <v>11.0</v>
      </c>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row>
    <row r="420" ht="15.75" customHeight="1">
      <c r="A420" s="35" t="s">
        <v>4933</v>
      </c>
      <c r="B420" s="35">
        <v>11.0</v>
      </c>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row>
    <row r="421" ht="15.75" customHeight="1">
      <c r="A421" s="35" t="s">
        <v>4937</v>
      </c>
      <c r="B421" s="35">
        <v>11.0</v>
      </c>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row>
    <row r="422" ht="15.75" customHeight="1">
      <c r="A422" s="35" t="s">
        <v>4941</v>
      </c>
      <c r="B422" s="35">
        <v>11.0</v>
      </c>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row>
    <row r="423" ht="15.75" customHeight="1">
      <c r="A423" s="35" t="s">
        <v>4946</v>
      </c>
      <c r="B423" s="35">
        <v>11.0</v>
      </c>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row>
    <row r="424" ht="15.75" customHeight="1">
      <c r="A424" s="35" t="s">
        <v>4951</v>
      </c>
      <c r="B424" s="35">
        <v>11.0</v>
      </c>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row>
    <row r="425" ht="15.75" customHeight="1">
      <c r="A425" s="35" t="s">
        <v>4955</v>
      </c>
      <c r="B425" s="35">
        <v>11.0</v>
      </c>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row>
    <row r="426" ht="15.75" customHeight="1">
      <c r="A426" s="35" t="s">
        <v>4956</v>
      </c>
      <c r="B426" s="35">
        <v>11.0</v>
      </c>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row>
    <row r="427" ht="15.75" customHeight="1">
      <c r="A427" s="35" t="s">
        <v>4959</v>
      </c>
      <c r="B427" s="35">
        <v>11.0</v>
      </c>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row>
    <row r="428" ht="15.75" customHeight="1">
      <c r="A428" s="35" t="s">
        <v>4961</v>
      </c>
      <c r="B428" s="35">
        <v>11.0</v>
      </c>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row>
    <row r="429" ht="15.75" customHeight="1">
      <c r="A429" s="35" t="s">
        <v>4967</v>
      </c>
      <c r="B429" s="35">
        <v>11.0</v>
      </c>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row>
    <row r="430" ht="15.75" customHeight="1">
      <c r="A430" s="35" t="s">
        <v>4971</v>
      </c>
      <c r="B430" s="35">
        <v>11.0</v>
      </c>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row>
    <row r="431" ht="15.75" customHeight="1">
      <c r="A431" s="35" t="s">
        <v>4974</v>
      </c>
      <c r="B431" s="35">
        <v>11.0</v>
      </c>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row>
    <row r="432" ht="15.75" customHeight="1">
      <c r="A432" s="35" t="s">
        <v>4978</v>
      </c>
      <c r="B432" s="35">
        <v>11.0</v>
      </c>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row>
    <row r="433" ht="15.75" customHeight="1">
      <c r="A433" s="35" t="s">
        <v>4979</v>
      </c>
      <c r="B433" s="35">
        <v>11.0</v>
      </c>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row>
    <row r="434" ht="15.75" customHeight="1">
      <c r="A434" s="35" t="s">
        <v>4982</v>
      </c>
      <c r="B434" s="35">
        <v>11.0</v>
      </c>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row>
    <row r="435" ht="15.75" customHeight="1">
      <c r="A435" s="35" t="s">
        <v>4984</v>
      </c>
      <c r="B435" s="35">
        <v>11.0</v>
      </c>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row>
    <row r="436" ht="15.75" customHeight="1">
      <c r="A436" s="35" t="s">
        <v>4987</v>
      </c>
      <c r="B436" s="35">
        <v>10.0</v>
      </c>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row>
    <row r="437" ht="15.75" customHeight="1">
      <c r="A437" s="35" t="s">
        <v>4992</v>
      </c>
      <c r="B437" s="35">
        <v>10.0</v>
      </c>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row>
    <row r="438" ht="15.75" customHeight="1">
      <c r="A438" s="35" t="s">
        <v>4996</v>
      </c>
      <c r="B438" s="35">
        <v>10.0</v>
      </c>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row>
    <row r="439" ht="15.75" customHeight="1">
      <c r="A439" s="35" t="s">
        <v>4999</v>
      </c>
      <c r="B439" s="35">
        <v>10.0</v>
      </c>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row>
    <row r="440" ht="15.75" customHeight="1">
      <c r="A440" s="35" t="s">
        <v>5005</v>
      </c>
      <c r="B440" s="35">
        <v>10.0</v>
      </c>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row>
    <row r="441" ht="15.75" customHeight="1">
      <c r="A441" s="35" t="s">
        <v>5006</v>
      </c>
      <c r="B441" s="35">
        <v>10.0</v>
      </c>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row>
    <row r="442" ht="15.75" customHeight="1">
      <c r="A442" s="35" t="s">
        <v>5010</v>
      </c>
      <c r="B442" s="35">
        <v>10.0</v>
      </c>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row>
    <row r="443" ht="15.75" customHeight="1">
      <c r="A443" s="35" t="s">
        <v>5014</v>
      </c>
      <c r="B443" s="35">
        <v>10.0</v>
      </c>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row>
    <row r="444" ht="15.75" customHeight="1">
      <c r="A444" s="35" t="s">
        <v>5018</v>
      </c>
      <c r="B444" s="35">
        <v>10.0</v>
      </c>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row>
    <row r="445" ht="15.75" customHeight="1">
      <c r="A445" s="35" t="s">
        <v>5022</v>
      </c>
      <c r="B445" s="35">
        <v>10.0</v>
      </c>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row>
    <row r="446" ht="15.75" customHeight="1">
      <c r="A446" s="35" t="s">
        <v>5025</v>
      </c>
      <c r="B446" s="35">
        <v>10.0</v>
      </c>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row>
    <row r="447" ht="15.75" customHeight="1">
      <c r="A447" s="35" t="s">
        <v>5028</v>
      </c>
      <c r="B447" s="35">
        <v>10.0</v>
      </c>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row>
    <row r="448" ht="15.75" customHeight="1">
      <c r="A448" s="35" t="s">
        <v>5032</v>
      </c>
      <c r="B448" s="35">
        <v>10.0</v>
      </c>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row>
    <row r="449" ht="15.75" customHeight="1">
      <c r="A449" s="35" t="s">
        <v>5035</v>
      </c>
      <c r="B449" s="35">
        <v>10.0</v>
      </c>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row>
    <row r="450" ht="15.75" customHeight="1">
      <c r="A450" s="35" t="s">
        <v>5039</v>
      </c>
      <c r="B450" s="35">
        <v>10.0</v>
      </c>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row>
    <row r="451" ht="15.75" customHeight="1">
      <c r="A451" s="35" t="s">
        <v>5042</v>
      </c>
      <c r="B451" s="35">
        <v>10.0</v>
      </c>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row>
    <row r="452" ht="15.75" customHeight="1">
      <c r="A452" s="35" t="s">
        <v>5045</v>
      </c>
      <c r="B452" s="35">
        <v>10.0</v>
      </c>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row>
    <row r="453" ht="15.75" customHeight="1">
      <c r="A453" s="35" t="s">
        <v>5048</v>
      </c>
      <c r="B453" s="35">
        <v>10.0</v>
      </c>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row>
    <row r="454" ht="15.75" customHeight="1">
      <c r="A454" s="35" t="s">
        <v>5052</v>
      </c>
      <c r="B454" s="35">
        <v>10.0</v>
      </c>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row>
    <row r="455" ht="15.75" customHeight="1">
      <c r="A455" s="35" t="s">
        <v>5055</v>
      </c>
      <c r="B455" s="35">
        <v>10.0</v>
      </c>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row>
    <row r="456" ht="15.75" customHeight="1">
      <c r="A456" s="35" t="s">
        <v>5058</v>
      </c>
      <c r="B456" s="35">
        <v>9.0</v>
      </c>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row>
    <row r="457" ht="15.75" customHeight="1">
      <c r="A457" s="35" t="s">
        <v>5063</v>
      </c>
      <c r="B457" s="35">
        <v>9.0</v>
      </c>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row>
    <row r="458" ht="15.75" customHeight="1">
      <c r="A458" s="35" t="s">
        <v>5067</v>
      </c>
      <c r="B458" s="35">
        <v>9.0</v>
      </c>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row>
    <row r="459" ht="15.75" customHeight="1">
      <c r="A459" s="35" t="s">
        <v>5069</v>
      </c>
      <c r="B459" s="35">
        <v>9.0</v>
      </c>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row>
    <row r="460" ht="15.75" customHeight="1">
      <c r="A460" s="35" t="s">
        <v>5072</v>
      </c>
      <c r="B460" s="35">
        <v>9.0</v>
      </c>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row>
    <row r="461" ht="15.75" customHeight="1">
      <c r="A461" s="35" t="s">
        <v>5074</v>
      </c>
      <c r="B461" s="35">
        <v>9.0</v>
      </c>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row>
    <row r="462" ht="15.75" customHeight="1">
      <c r="A462" s="35" t="s">
        <v>5078</v>
      </c>
      <c r="B462" s="35">
        <v>9.0</v>
      </c>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row>
    <row r="463" ht="15.75" customHeight="1">
      <c r="A463" s="35" t="s">
        <v>5080</v>
      </c>
      <c r="B463" s="35">
        <v>9.0</v>
      </c>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row>
    <row r="464" ht="15.75" customHeight="1">
      <c r="A464" s="35" t="s">
        <v>5085</v>
      </c>
      <c r="B464" s="35">
        <v>9.0</v>
      </c>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row>
    <row r="465" ht="15.75" customHeight="1">
      <c r="A465" s="35" t="s">
        <v>5088</v>
      </c>
      <c r="B465" s="35">
        <v>9.0</v>
      </c>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row>
    <row r="466" ht="15.75" customHeight="1">
      <c r="A466" s="35" t="s">
        <v>5090</v>
      </c>
      <c r="B466" s="35">
        <v>9.0</v>
      </c>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row>
    <row r="467" ht="15.75" customHeight="1">
      <c r="A467" s="35" t="s">
        <v>5094</v>
      </c>
      <c r="B467" s="35">
        <v>9.0</v>
      </c>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row>
    <row r="468" ht="15.75" customHeight="1">
      <c r="A468" s="35" t="s">
        <v>5097</v>
      </c>
      <c r="B468" s="35">
        <v>9.0</v>
      </c>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row>
    <row r="469" ht="15.75" customHeight="1">
      <c r="A469" s="35" t="s">
        <v>5100</v>
      </c>
      <c r="B469" s="35">
        <v>9.0</v>
      </c>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row>
    <row r="470" ht="15.75" customHeight="1">
      <c r="A470" s="35" t="s">
        <v>5103</v>
      </c>
      <c r="B470" s="35">
        <v>9.0</v>
      </c>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row>
    <row r="471" ht="15.75" customHeight="1">
      <c r="A471" s="35" t="s">
        <v>5107</v>
      </c>
      <c r="B471" s="35">
        <v>9.0</v>
      </c>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row>
    <row r="472" ht="15.75" customHeight="1">
      <c r="A472" s="35" t="s">
        <v>5110</v>
      </c>
      <c r="B472" s="35">
        <v>9.0</v>
      </c>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row>
    <row r="473" ht="15.75" customHeight="1">
      <c r="A473" s="35" t="s">
        <v>5113</v>
      </c>
      <c r="B473" s="35">
        <v>9.0</v>
      </c>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row>
    <row r="474" ht="15.75" customHeight="1">
      <c r="A474" s="35" t="s">
        <v>5117</v>
      </c>
      <c r="B474" s="35">
        <v>9.0</v>
      </c>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row>
    <row r="475" ht="15.75" customHeight="1">
      <c r="A475" s="35" t="s">
        <v>5120</v>
      </c>
      <c r="B475" s="35">
        <v>9.0</v>
      </c>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row>
    <row r="476" ht="15.75" customHeight="1">
      <c r="A476" s="35" t="s">
        <v>5122</v>
      </c>
      <c r="B476" s="35">
        <v>9.0</v>
      </c>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row>
    <row r="477" ht="15.75" customHeight="1">
      <c r="A477" s="35" t="s">
        <v>5126</v>
      </c>
      <c r="B477" s="35">
        <v>9.0</v>
      </c>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row>
    <row r="478" ht="15.75" customHeight="1">
      <c r="A478" s="35" t="s">
        <v>5129</v>
      </c>
      <c r="B478" s="35">
        <v>9.0</v>
      </c>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row>
    <row r="479" ht="15.75" customHeight="1">
      <c r="A479" s="35" t="s">
        <v>5132</v>
      </c>
      <c r="B479" s="35">
        <v>9.0</v>
      </c>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row>
    <row r="480" ht="15.75" customHeight="1">
      <c r="A480" s="35" t="s">
        <v>5136</v>
      </c>
      <c r="B480" s="35">
        <v>9.0</v>
      </c>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row>
    <row r="481" ht="15.75" customHeight="1">
      <c r="A481" s="35" t="s">
        <v>5141</v>
      </c>
      <c r="B481" s="35">
        <v>9.0</v>
      </c>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row>
    <row r="482" ht="15.75" customHeight="1">
      <c r="A482" s="35" t="s">
        <v>5144</v>
      </c>
      <c r="B482" s="35">
        <v>9.0</v>
      </c>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row>
    <row r="483" ht="15.75" customHeight="1">
      <c r="A483" s="35" t="s">
        <v>5146</v>
      </c>
      <c r="B483" s="35">
        <v>9.0</v>
      </c>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row>
    <row r="484" ht="15.75" customHeight="1">
      <c r="A484" s="35" t="s">
        <v>5150</v>
      </c>
      <c r="B484" s="35">
        <v>9.0</v>
      </c>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row>
    <row r="485" ht="15.75" customHeight="1">
      <c r="A485" s="35" t="s">
        <v>5153</v>
      </c>
      <c r="B485" s="35">
        <v>9.0</v>
      </c>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row>
    <row r="486" ht="15.75" customHeight="1">
      <c r="A486" s="35" t="s">
        <v>5157</v>
      </c>
      <c r="B486" s="35">
        <v>9.0</v>
      </c>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row>
    <row r="487" ht="15.75" customHeight="1">
      <c r="A487" s="35" t="s">
        <v>5161</v>
      </c>
      <c r="B487" s="35">
        <v>9.0</v>
      </c>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row>
    <row r="488" ht="15.75" customHeight="1">
      <c r="A488" s="35" t="s">
        <v>5165</v>
      </c>
      <c r="B488" s="35">
        <v>9.0</v>
      </c>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row>
    <row r="489" ht="15.75" customHeight="1">
      <c r="A489" s="35" t="s">
        <v>5169</v>
      </c>
      <c r="B489" s="35">
        <v>9.0</v>
      </c>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row>
    <row r="490" ht="15.75" customHeight="1">
      <c r="A490" s="35" t="s">
        <v>5172</v>
      </c>
      <c r="B490" s="35">
        <v>9.0</v>
      </c>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row>
    <row r="491" ht="15.75" customHeight="1">
      <c r="A491" s="35" t="s">
        <v>5176</v>
      </c>
      <c r="B491" s="35">
        <v>9.0</v>
      </c>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row>
    <row r="492" ht="15.75" customHeight="1">
      <c r="A492" s="35" t="s">
        <v>5180</v>
      </c>
      <c r="B492" s="35">
        <v>8.0</v>
      </c>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row>
    <row r="493" ht="15.75" customHeight="1">
      <c r="A493" s="35" t="s">
        <v>5184</v>
      </c>
      <c r="B493" s="35">
        <v>8.0</v>
      </c>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row>
    <row r="494" ht="15.75" customHeight="1">
      <c r="A494" s="35" t="s">
        <v>5187</v>
      </c>
      <c r="B494" s="35">
        <v>8.0</v>
      </c>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row>
    <row r="495" ht="15.75" customHeight="1">
      <c r="A495" s="35" t="s">
        <v>5192</v>
      </c>
      <c r="B495" s="35">
        <v>8.0</v>
      </c>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row>
    <row r="496" ht="15.75" customHeight="1">
      <c r="A496" s="35" t="s">
        <v>5195</v>
      </c>
      <c r="B496" s="35">
        <v>8.0</v>
      </c>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row>
    <row r="497" ht="15.75" customHeight="1">
      <c r="A497" s="35" t="s">
        <v>5198</v>
      </c>
      <c r="B497" s="35">
        <v>8.0</v>
      </c>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row>
    <row r="498" ht="15.75" customHeight="1">
      <c r="A498" s="35" t="s">
        <v>5202</v>
      </c>
      <c r="B498" s="35">
        <v>8.0</v>
      </c>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row>
    <row r="499" ht="15.75" customHeight="1">
      <c r="A499" s="35" t="s">
        <v>5205</v>
      </c>
      <c r="B499" s="35">
        <v>8.0</v>
      </c>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row>
    <row r="500" ht="15.75" customHeight="1">
      <c r="A500" s="35" t="s">
        <v>5208</v>
      </c>
      <c r="B500" s="35">
        <v>8.0</v>
      </c>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row>
    <row r="501" ht="15.75" customHeight="1">
      <c r="A501" s="35" t="s">
        <v>5211</v>
      </c>
      <c r="B501" s="35">
        <v>8.0</v>
      </c>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row>
    <row r="502" ht="15.75" customHeight="1">
      <c r="A502" s="35" t="s">
        <v>5215</v>
      </c>
      <c r="B502" s="35">
        <v>8.0</v>
      </c>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row>
    <row r="503" ht="15.75" customHeight="1">
      <c r="A503" s="35" t="s">
        <v>5218</v>
      </c>
      <c r="B503" s="35">
        <v>8.0</v>
      </c>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row>
    <row r="504" ht="15.75" customHeight="1">
      <c r="A504" s="35" t="s">
        <v>5221</v>
      </c>
      <c r="B504" s="35">
        <v>8.0</v>
      </c>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row>
    <row r="505" ht="15.75" customHeight="1">
      <c r="A505" s="35" t="s">
        <v>5224</v>
      </c>
      <c r="B505" s="35">
        <v>8.0</v>
      </c>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row>
    <row r="506" ht="15.75" customHeight="1">
      <c r="A506" s="35" t="s">
        <v>5226</v>
      </c>
      <c r="B506" s="35">
        <v>8.0</v>
      </c>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row>
    <row r="507" ht="15.75" customHeight="1">
      <c r="A507" s="35" t="s">
        <v>5228</v>
      </c>
      <c r="B507" s="35">
        <v>8.0</v>
      </c>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row>
    <row r="508" ht="15.75" customHeight="1">
      <c r="A508" s="35" t="s">
        <v>5231</v>
      </c>
      <c r="B508" s="35">
        <v>8.0</v>
      </c>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row>
    <row r="509" ht="15.75" customHeight="1">
      <c r="A509" s="35" t="s">
        <v>5235</v>
      </c>
      <c r="B509" s="35">
        <v>8.0</v>
      </c>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row>
    <row r="510" ht="15.75" customHeight="1">
      <c r="A510" s="35" t="s">
        <v>5238</v>
      </c>
      <c r="B510" s="35">
        <v>8.0</v>
      </c>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row>
    <row r="511" ht="15.75" customHeight="1">
      <c r="A511" s="35" t="s">
        <v>5241</v>
      </c>
      <c r="B511" s="35">
        <v>8.0</v>
      </c>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row>
    <row r="512" ht="15.75" customHeight="1">
      <c r="A512" s="35" t="s">
        <v>5243</v>
      </c>
      <c r="B512" s="35">
        <v>8.0</v>
      </c>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row>
    <row r="513" ht="15.75" customHeight="1">
      <c r="A513" s="35" t="s">
        <v>5247</v>
      </c>
      <c r="B513" s="35">
        <v>8.0</v>
      </c>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row>
    <row r="514" ht="15.75" customHeight="1">
      <c r="A514" s="35" t="s">
        <v>5250</v>
      </c>
      <c r="B514" s="35">
        <v>8.0</v>
      </c>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row>
    <row r="515" ht="15.75" customHeight="1">
      <c r="A515" s="35" t="s">
        <v>5253</v>
      </c>
      <c r="B515" s="35">
        <v>8.0</v>
      </c>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row>
    <row r="516" ht="15.75" customHeight="1">
      <c r="A516" s="35" t="s">
        <v>5257</v>
      </c>
      <c r="B516" s="35">
        <v>8.0</v>
      </c>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row>
    <row r="517" ht="15.75" customHeight="1">
      <c r="A517" s="35" t="s">
        <v>5260</v>
      </c>
      <c r="B517" s="35">
        <v>8.0</v>
      </c>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row>
    <row r="518" ht="15.75" customHeight="1">
      <c r="A518" s="35" t="s">
        <v>5263</v>
      </c>
      <c r="B518" s="35">
        <v>8.0</v>
      </c>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row>
    <row r="519" ht="15.75" customHeight="1">
      <c r="A519" s="35" t="s">
        <v>5267</v>
      </c>
      <c r="B519" s="35">
        <v>8.0</v>
      </c>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row>
    <row r="520" ht="15.75" customHeight="1">
      <c r="A520" s="35" t="s">
        <v>5271</v>
      </c>
      <c r="B520" s="35">
        <v>8.0</v>
      </c>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row>
    <row r="521" ht="15.75" customHeight="1">
      <c r="A521" s="35" t="s">
        <v>5274</v>
      </c>
      <c r="B521" s="35">
        <v>8.0</v>
      </c>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row>
    <row r="522" ht="15.75" customHeight="1">
      <c r="A522" s="35" t="s">
        <v>5278</v>
      </c>
      <c r="B522" s="35">
        <v>8.0</v>
      </c>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row>
    <row r="523" ht="15.75" customHeight="1">
      <c r="A523" s="35" t="s">
        <v>5281</v>
      </c>
      <c r="B523" s="35">
        <v>8.0</v>
      </c>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row>
    <row r="524" ht="15.75" customHeight="1">
      <c r="A524" s="35" t="s">
        <v>5284</v>
      </c>
      <c r="B524" s="35">
        <v>8.0</v>
      </c>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row>
    <row r="525" ht="15.75" customHeight="1">
      <c r="A525" s="35" t="s">
        <v>5288</v>
      </c>
      <c r="B525" s="35">
        <v>8.0</v>
      </c>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row>
    <row r="526" ht="15.75" customHeight="1">
      <c r="A526" s="35" t="s">
        <v>5292</v>
      </c>
      <c r="B526" s="35">
        <v>8.0</v>
      </c>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row>
    <row r="527" ht="15.75" customHeight="1">
      <c r="A527" s="35" t="s">
        <v>5295</v>
      </c>
      <c r="B527" s="35">
        <v>7.0</v>
      </c>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row>
    <row r="528" ht="15.75" customHeight="1">
      <c r="A528" s="35" t="s">
        <v>5298</v>
      </c>
      <c r="B528" s="35">
        <v>7.0</v>
      </c>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row>
    <row r="529" ht="15.75" customHeight="1">
      <c r="A529" s="35" t="s">
        <v>5301</v>
      </c>
      <c r="B529" s="35">
        <v>7.0</v>
      </c>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row>
    <row r="530" ht="15.75" customHeight="1">
      <c r="A530" s="35" t="s">
        <v>5305</v>
      </c>
      <c r="B530" s="35">
        <v>7.0</v>
      </c>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row>
    <row r="531" ht="15.75" customHeight="1">
      <c r="A531" s="35" t="s">
        <v>5309</v>
      </c>
      <c r="B531" s="35">
        <v>7.0</v>
      </c>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row>
    <row r="532" ht="15.75" customHeight="1">
      <c r="A532" s="35" t="s">
        <v>5312</v>
      </c>
      <c r="B532" s="35">
        <v>7.0</v>
      </c>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row>
    <row r="533" ht="15.75" customHeight="1">
      <c r="A533" s="35" t="s">
        <v>5315</v>
      </c>
      <c r="B533" s="35">
        <v>7.0</v>
      </c>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row>
    <row r="534" ht="15.75" customHeight="1">
      <c r="A534" s="35" t="s">
        <v>5319</v>
      </c>
      <c r="B534" s="35">
        <v>7.0</v>
      </c>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row>
    <row r="535" ht="15.75" customHeight="1">
      <c r="A535" s="35" t="s">
        <v>5323</v>
      </c>
      <c r="B535" s="35">
        <v>7.0</v>
      </c>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row>
    <row r="536" ht="15.75" customHeight="1">
      <c r="A536" s="35" t="s">
        <v>5326</v>
      </c>
      <c r="B536" s="35">
        <v>7.0</v>
      </c>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row>
    <row r="537" ht="15.75" customHeight="1">
      <c r="A537" s="35" t="s">
        <v>5331</v>
      </c>
      <c r="B537" s="35">
        <v>7.0</v>
      </c>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row>
    <row r="538" ht="15.75" customHeight="1">
      <c r="A538" s="35" t="s">
        <v>5333</v>
      </c>
      <c r="B538" s="35">
        <v>7.0</v>
      </c>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row>
    <row r="539" ht="15.75" customHeight="1">
      <c r="A539" s="35" t="s">
        <v>5338</v>
      </c>
      <c r="B539" s="35">
        <v>7.0</v>
      </c>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row>
    <row r="540" ht="15.75" customHeight="1">
      <c r="A540" s="35" t="s">
        <v>5340</v>
      </c>
      <c r="B540" s="35">
        <v>7.0</v>
      </c>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row>
    <row r="541" ht="15.75" customHeight="1">
      <c r="A541" s="35" t="s">
        <v>5342</v>
      </c>
      <c r="B541" s="35">
        <v>7.0</v>
      </c>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row>
    <row r="542" ht="15.75" customHeight="1">
      <c r="A542" s="35" t="s">
        <v>5345</v>
      </c>
      <c r="B542" s="35">
        <v>7.0</v>
      </c>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row>
    <row r="543" ht="15.75" customHeight="1">
      <c r="A543" s="35" t="s">
        <v>5348</v>
      </c>
      <c r="B543" s="35">
        <v>7.0</v>
      </c>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row>
    <row r="544" ht="15.75" customHeight="1">
      <c r="A544" s="35" t="s">
        <v>5351</v>
      </c>
      <c r="B544" s="35">
        <v>7.0</v>
      </c>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row>
    <row r="545" ht="15.75" customHeight="1">
      <c r="A545" s="35" t="s">
        <v>5354</v>
      </c>
      <c r="B545" s="35">
        <v>7.0</v>
      </c>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row>
    <row r="546" ht="15.75" customHeight="1">
      <c r="A546" s="35" t="s">
        <v>5358</v>
      </c>
      <c r="B546" s="35">
        <v>7.0</v>
      </c>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row>
    <row r="547" ht="15.75" customHeight="1">
      <c r="A547" s="35" t="s">
        <v>5361</v>
      </c>
      <c r="B547" s="35">
        <v>7.0</v>
      </c>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row>
    <row r="548" ht="15.75" customHeight="1">
      <c r="A548" s="35" t="s">
        <v>5364</v>
      </c>
      <c r="B548" s="35">
        <v>7.0</v>
      </c>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row>
    <row r="549" ht="15.75" customHeight="1">
      <c r="A549" s="35" t="s">
        <v>5367</v>
      </c>
      <c r="B549" s="35">
        <v>7.0</v>
      </c>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row>
    <row r="550" ht="15.75" customHeight="1">
      <c r="A550" s="35" t="s">
        <v>5371</v>
      </c>
      <c r="B550" s="35">
        <v>7.0</v>
      </c>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row>
    <row r="551" ht="15.75" customHeight="1">
      <c r="A551" s="35" t="s">
        <v>5374</v>
      </c>
      <c r="B551" s="35">
        <v>7.0</v>
      </c>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row>
    <row r="552" ht="15.75" customHeight="1">
      <c r="A552" s="35" t="s">
        <v>5377</v>
      </c>
      <c r="B552" s="35">
        <v>7.0</v>
      </c>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row>
    <row r="553" ht="15.75" customHeight="1">
      <c r="A553" s="35" t="s">
        <v>5379</v>
      </c>
      <c r="B553" s="35">
        <v>7.0</v>
      </c>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row>
    <row r="554" ht="15.75" customHeight="1">
      <c r="A554" s="35" t="s">
        <v>5382</v>
      </c>
      <c r="B554" s="35">
        <v>7.0</v>
      </c>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row>
    <row r="555" ht="15.75" customHeight="1">
      <c r="A555" s="35" t="s">
        <v>5384</v>
      </c>
      <c r="B555" s="35">
        <v>7.0</v>
      </c>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row>
    <row r="556" ht="15.75" customHeight="1">
      <c r="A556" s="35" t="s">
        <v>5388</v>
      </c>
      <c r="B556" s="35">
        <v>7.0</v>
      </c>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row>
    <row r="557" ht="15.75" customHeight="1">
      <c r="A557" s="35" t="s">
        <v>5392</v>
      </c>
      <c r="B557" s="35">
        <v>7.0</v>
      </c>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row>
    <row r="558" ht="15.75" customHeight="1">
      <c r="A558" s="35" t="s">
        <v>5395</v>
      </c>
      <c r="B558" s="35">
        <v>7.0</v>
      </c>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row>
    <row r="559" ht="15.75" customHeight="1">
      <c r="A559" s="35" t="s">
        <v>5399</v>
      </c>
      <c r="B559" s="35">
        <v>7.0</v>
      </c>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row>
    <row r="560" ht="15.75" customHeight="1">
      <c r="A560" s="35" t="s">
        <v>5403</v>
      </c>
      <c r="B560" s="35">
        <v>7.0</v>
      </c>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row>
    <row r="561" ht="15.75" customHeight="1">
      <c r="A561" s="35" t="s">
        <v>5405</v>
      </c>
      <c r="B561" s="35">
        <v>7.0</v>
      </c>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row>
    <row r="562" ht="15.75" customHeight="1">
      <c r="A562" s="35" t="s">
        <v>5409</v>
      </c>
      <c r="B562" s="35">
        <v>7.0</v>
      </c>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row>
    <row r="563" ht="15.75" customHeight="1">
      <c r="A563" s="35" t="s">
        <v>5412</v>
      </c>
      <c r="B563" s="35">
        <v>7.0</v>
      </c>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row>
    <row r="564" ht="15.75" customHeight="1">
      <c r="A564" s="35" t="s">
        <v>5415</v>
      </c>
      <c r="B564" s="35">
        <v>7.0</v>
      </c>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row>
    <row r="565" ht="15.75" customHeight="1">
      <c r="A565" s="35" t="s">
        <v>311</v>
      </c>
      <c r="B565" s="35">
        <v>7.0</v>
      </c>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row>
    <row r="566" ht="15.75" customHeight="1">
      <c r="A566" s="35" t="s">
        <v>5421</v>
      </c>
      <c r="B566" s="35">
        <v>7.0</v>
      </c>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row>
    <row r="567" ht="15.75" customHeight="1">
      <c r="A567" s="35" t="s">
        <v>5424</v>
      </c>
      <c r="B567" s="35">
        <v>7.0</v>
      </c>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row>
    <row r="568" ht="15.75" customHeight="1">
      <c r="A568" s="35" t="s">
        <v>5427</v>
      </c>
      <c r="B568" s="35">
        <v>7.0</v>
      </c>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row>
    <row r="569" ht="15.75" customHeight="1">
      <c r="A569" s="35" t="s">
        <v>5430</v>
      </c>
      <c r="B569" s="35">
        <v>7.0</v>
      </c>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row>
    <row r="570" ht="15.75" customHeight="1">
      <c r="A570" s="35" t="s">
        <v>5432</v>
      </c>
      <c r="B570" s="35">
        <v>7.0</v>
      </c>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row>
    <row r="571" ht="15.75" customHeight="1">
      <c r="A571" s="35" t="s">
        <v>5436</v>
      </c>
      <c r="B571" s="35">
        <v>7.0</v>
      </c>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row>
    <row r="572" ht="15.75" customHeight="1">
      <c r="A572" s="35" t="s">
        <v>5438</v>
      </c>
      <c r="B572" s="35">
        <v>7.0</v>
      </c>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row>
    <row r="573" ht="15.75" customHeight="1">
      <c r="A573" s="35" t="s">
        <v>5441</v>
      </c>
      <c r="B573" s="35">
        <v>7.0</v>
      </c>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row>
    <row r="574" ht="15.75" customHeight="1">
      <c r="A574" s="35" t="s">
        <v>5446</v>
      </c>
      <c r="B574" s="35">
        <v>6.0</v>
      </c>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row>
    <row r="575" ht="15.75" customHeight="1">
      <c r="A575" s="35" t="s">
        <v>2953</v>
      </c>
      <c r="B575" s="35">
        <v>6.0</v>
      </c>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row>
    <row r="576" ht="15.75" customHeight="1">
      <c r="A576" s="35" t="s">
        <v>5452</v>
      </c>
      <c r="B576" s="35">
        <v>6.0</v>
      </c>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row>
    <row r="577" ht="15.75" customHeight="1">
      <c r="A577" s="35" t="s">
        <v>5456</v>
      </c>
      <c r="B577" s="35">
        <v>6.0</v>
      </c>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row>
    <row r="578" ht="15.75" customHeight="1">
      <c r="A578" s="35" t="s">
        <v>5460</v>
      </c>
      <c r="B578" s="35">
        <v>6.0</v>
      </c>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row>
    <row r="579" ht="15.75" customHeight="1">
      <c r="A579" s="35" t="s">
        <v>5463</v>
      </c>
      <c r="B579" s="35">
        <v>6.0</v>
      </c>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row>
    <row r="580" ht="15.75" customHeight="1">
      <c r="A580" s="35" t="s">
        <v>5465</v>
      </c>
      <c r="B580" s="35">
        <v>6.0</v>
      </c>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row>
    <row r="581" ht="15.75" customHeight="1">
      <c r="A581" s="35" t="s">
        <v>5468</v>
      </c>
      <c r="B581" s="35">
        <v>6.0</v>
      </c>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row>
    <row r="582" ht="15.75" customHeight="1">
      <c r="A582" s="35" t="s">
        <v>5472</v>
      </c>
      <c r="B582" s="35">
        <v>6.0</v>
      </c>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row>
    <row r="583" ht="15.75" customHeight="1">
      <c r="A583" s="35" t="s">
        <v>5476</v>
      </c>
      <c r="B583" s="35">
        <v>6.0</v>
      </c>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row>
    <row r="584" ht="15.75" customHeight="1">
      <c r="A584" s="35" t="s">
        <v>5479</v>
      </c>
      <c r="B584" s="35">
        <v>6.0</v>
      </c>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row>
    <row r="585" ht="15.75" customHeight="1">
      <c r="A585" s="35" t="s">
        <v>5480</v>
      </c>
      <c r="B585" s="35">
        <v>6.0</v>
      </c>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row>
    <row r="586" ht="15.75" customHeight="1">
      <c r="A586" s="35" t="s">
        <v>5484</v>
      </c>
      <c r="B586" s="35">
        <v>6.0</v>
      </c>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row>
    <row r="587" ht="15.75" customHeight="1">
      <c r="A587" s="35" t="s">
        <v>5488</v>
      </c>
      <c r="B587" s="35">
        <v>6.0</v>
      </c>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row>
    <row r="588" ht="15.75" customHeight="1">
      <c r="A588" s="35" t="s">
        <v>5491</v>
      </c>
      <c r="B588" s="35">
        <v>6.0</v>
      </c>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row>
    <row r="589" ht="15.75" customHeight="1">
      <c r="A589" s="35" t="s">
        <v>5494</v>
      </c>
      <c r="B589" s="35">
        <v>6.0</v>
      </c>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row>
    <row r="590" ht="15.75" customHeight="1">
      <c r="A590" s="35" t="s">
        <v>5498</v>
      </c>
      <c r="B590" s="35">
        <v>6.0</v>
      </c>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row>
    <row r="591" ht="15.75" customHeight="1">
      <c r="A591" s="35" t="s">
        <v>5501</v>
      </c>
      <c r="B591" s="35">
        <v>6.0</v>
      </c>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row>
    <row r="592" ht="15.75" customHeight="1">
      <c r="A592" s="35" t="s">
        <v>5504</v>
      </c>
      <c r="B592" s="35">
        <v>6.0</v>
      </c>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row>
    <row r="593" ht="15.75" customHeight="1">
      <c r="A593" s="35" t="s">
        <v>5507</v>
      </c>
      <c r="B593" s="35">
        <v>6.0</v>
      </c>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row>
    <row r="594" ht="15.75" customHeight="1">
      <c r="A594" s="35" t="s">
        <v>5509</v>
      </c>
      <c r="B594" s="35">
        <v>6.0</v>
      </c>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row>
    <row r="595" ht="15.75" customHeight="1">
      <c r="A595" s="35" t="s">
        <v>5513</v>
      </c>
      <c r="B595" s="35">
        <v>6.0</v>
      </c>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row>
    <row r="596" ht="15.75" customHeight="1">
      <c r="A596" s="35" t="s">
        <v>5524</v>
      </c>
      <c r="B596" s="35">
        <v>6.0</v>
      </c>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row>
    <row r="597" ht="15.75" customHeight="1">
      <c r="A597" s="35" t="s">
        <v>5527</v>
      </c>
      <c r="B597" s="35">
        <v>6.0</v>
      </c>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row>
    <row r="598" ht="15.75" customHeight="1">
      <c r="A598" s="35" t="s">
        <v>5530</v>
      </c>
      <c r="B598" s="35">
        <v>6.0</v>
      </c>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row>
    <row r="599" ht="15.75" customHeight="1">
      <c r="A599" s="35" t="s">
        <v>5533</v>
      </c>
      <c r="B599" s="35">
        <v>6.0</v>
      </c>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row>
    <row r="600" ht="15.75" customHeight="1">
      <c r="A600" s="35" t="s">
        <v>5537</v>
      </c>
      <c r="B600" s="35">
        <v>6.0</v>
      </c>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row>
    <row r="601" ht="15.75" customHeight="1">
      <c r="A601" s="35" t="s">
        <v>5540</v>
      </c>
      <c r="B601" s="35">
        <v>6.0</v>
      </c>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row>
    <row r="602" ht="15.75" customHeight="1">
      <c r="A602" s="35" t="s">
        <v>5542</v>
      </c>
      <c r="B602" s="35">
        <v>6.0</v>
      </c>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row>
    <row r="603" ht="15.75" customHeight="1">
      <c r="A603" s="35" t="s">
        <v>5546</v>
      </c>
      <c r="B603" s="35">
        <v>6.0</v>
      </c>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row>
    <row r="604" ht="15.75" customHeight="1">
      <c r="A604" s="35" t="s">
        <v>5548</v>
      </c>
      <c r="B604" s="35">
        <v>6.0</v>
      </c>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row>
    <row r="605" ht="15.75" customHeight="1">
      <c r="A605" s="35" t="s">
        <v>5552</v>
      </c>
      <c r="B605" s="35">
        <v>6.0</v>
      </c>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row>
    <row r="606" ht="15.75" customHeight="1">
      <c r="A606" s="35" t="s">
        <v>5554</v>
      </c>
      <c r="B606" s="35">
        <v>6.0</v>
      </c>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row>
    <row r="607" ht="15.75" customHeight="1">
      <c r="A607" s="35" t="s">
        <v>5558</v>
      </c>
      <c r="B607" s="35">
        <v>6.0</v>
      </c>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row>
    <row r="608" ht="15.75" customHeight="1">
      <c r="A608" s="35" t="s">
        <v>5560</v>
      </c>
      <c r="B608" s="35">
        <v>6.0</v>
      </c>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row>
    <row r="609" ht="15.75" customHeight="1">
      <c r="A609" s="35" t="s">
        <v>5563</v>
      </c>
      <c r="B609" s="35">
        <v>6.0</v>
      </c>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row>
    <row r="610" ht="15.75" customHeight="1">
      <c r="A610" s="35" t="s">
        <v>5566</v>
      </c>
      <c r="B610" s="35">
        <v>6.0</v>
      </c>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row>
    <row r="611" ht="15.75" customHeight="1">
      <c r="A611" s="35" t="s">
        <v>5570</v>
      </c>
      <c r="B611" s="35">
        <v>6.0</v>
      </c>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row>
    <row r="612" ht="15.75" customHeight="1">
      <c r="A612" s="35" t="s">
        <v>5573</v>
      </c>
      <c r="B612" s="35">
        <v>6.0</v>
      </c>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row>
    <row r="613" ht="15.75" customHeight="1">
      <c r="A613" s="35" t="s">
        <v>5576</v>
      </c>
      <c r="B613" s="35">
        <v>6.0</v>
      </c>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row>
    <row r="614" ht="15.75" customHeight="1">
      <c r="A614" s="35" t="s">
        <v>5580</v>
      </c>
      <c r="B614" s="35">
        <v>6.0</v>
      </c>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row>
    <row r="615" ht="15.75" customHeight="1">
      <c r="A615" s="35" t="s">
        <v>5584</v>
      </c>
      <c r="B615" s="35">
        <v>6.0</v>
      </c>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row>
    <row r="616" ht="15.75" customHeight="1">
      <c r="A616" s="35" t="s">
        <v>5588</v>
      </c>
      <c r="B616" s="35">
        <v>6.0</v>
      </c>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row>
    <row r="617" ht="15.75" customHeight="1">
      <c r="A617" s="35" t="s">
        <v>5592</v>
      </c>
      <c r="B617" s="35">
        <v>6.0</v>
      </c>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row>
    <row r="618" ht="15.75" customHeight="1">
      <c r="A618" s="35" t="s">
        <v>5596</v>
      </c>
      <c r="B618" s="35">
        <v>6.0</v>
      </c>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row>
    <row r="619" ht="15.75" customHeight="1">
      <c r="A619" s="35" t="s">
        <v>5600</v>
      </c>
      <c r="B619" s="35">
        <v>6.0</v>
      </c>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row>
    <row r="620" ht="15.75" customHeight="1">
      <c r="A620" s="35" t="s">
        <v>5602</v>
      </c>
      <c r="B620" s="35">
        <v>6.0</v>
      </c>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row>
    <row r="621" ht="15.75" customHeight="1">
      <c r="A621" s="35" t="s">
        <v>5604</v>
      </c>
      <c r="B621" s="35">
        <v>6.0</v>
      </c>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row>
    <row r="622" ht="15.75" customHeight="1">
      <c r="A622" s="35" t="s">
        <v>5608</v>
      </c>
      <c r="B622" s="35">
        <v>6.0</v>
      </c>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row>
    <row r="623" ht="15.75" customHeight="1">
      <c r="A623" s="35" t="s">
        <v>5611</v>
      </c>
      <c r="B623" s="35">
        <v>6.0</v>
      </c>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row>
    <row r="624" ht="15.75" customHeight="1">
      <c r="A624" s="35" t="s">
        <v>5614</v>
      </c>
      <c r="B624" s="35">
        <v>6.0</v>
      </c>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row>
    <row r="625" ht="15.75" customHeight="1">
      <c r="A625" s="35" t="s">
        <v>5618</v>
      </c>
      <c r="B625" s="35">
        <v>6.0</v>
      </c>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row>
    <row r="626" ht="15.75" customHeight="1">
      <c r="A626" s="35" t="s">
        <v>5622</v>
      </c>
      <c r="B626" s="35">
        <v>6.0</v>
      </c>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row>
    <row r="627" ht="15.75" customHeight="1">
      <c r="A627" s="35" t="s">
        <v>5625</v>
      </c>
      <c r="B627" s="35">
        <v>6.0</v>
      </c>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row>
    <row r="628" ht="15.75" customHeight="1">
      <c r="A628" s="35" t="s">
        <v>5628</v>
      </c>
      <c r="B628" s="35">
        <v>6.0</v>
      </c>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row>
    <row r="629" ht="15.75" customHeight="1">
      <c r="A629" s="35" t="s">
        <v>5631</v>
      </c>
      <c r="B629" s="35">
        <v>6.0</v>
      </c>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row>
    <row r="630" ht="15.75" customHeight="1">
      <c r="A630" s="35" t="s">
        <v>5635</v>
      </c>
      <c r="B630" s="35">
        <v>6.0</v>
      </c>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row>
    <row r="631" ht="15.75" customHeight="1">
      <c r="A631" s="35" t="s">
        <v>5638</v>
      </c>
      <c r="B631" s="35">
        <v>6.0</v>
      </c>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row>
    <row r="632" ht="15.75" customHeight="1">
      <c r="A632" s="35" t="s">
        <v>5642</v>
      </c>
      <c r="B632" s="35">
        <v>6.0</v>
      </c>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row>
    <row r="633" ht="15.75" customHeight="1">
      <c r="A633" s="35" t="s">
        <v>5644</v>
      </c>
      <c r="B633" s="35">
        <v>6.0</v>
      </c>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row>
    <row r="634" ht="15.75" customHeight="1">
      <c r="A634" s="35" t="s">
        <v>5646</v>
      </c>
      <c r="B634" s="35">
        <v>6.0</v>
      </c>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row>
    <row r="635" ht="15.75" customHeight="1">
      <c r="A635" s="35" t="s">
        <v>5648</v>
      </c>
      <c r="B635" s="35">
        <v>6.0</v>
      </c>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row>
    <row r="636" ht="15.75" customHeight="1">
      <c r="A636" s="35" t="s">
        <v>5652</v>
      </c>
      <c r="B636" s="35">
        <v>5.0</v>
      </c>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row>
    <row r="637" ht="15.75" customHeight="1">
      <c r="A637" s="35" t="s">
        <v>5654</v>
      </c>
      <c r="B637" s="35">
        <v>5.0</v>
      </c>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row>
    <row r="638" ht="15.75" customHeight="1">
      <c r="A638" s="35" t="s">
        <v>5657</v>
      </c>
      <c r="B638" s="35">
        <v>5.0</v>
      </c>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row>
    <row r="639" ht="15.75" customHeight="1">
      <c r="A639" s="35" t="s">
        <v>5660</v>
      </c>
      <c r="B639" s="35">
        <v>5.0</v>
      </c>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row>
    <row r="640" ht="15.75" customHeight="1">
      <c r="A640" s="35" t="s">
        <v>5664</v>
      </c>
      <c r="B640" s="35">
        <v>5.0</v>
      </c>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row>
    <row r="641" ht="15.75" customHeight="1">
      <c r="A641" s="35" t="s">
        <v>5665</v>
      </c>
      <c r="B641" s="35">
        <v>5.0</v>
      </c>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row>
    <row r="642" ht="15.75" customHeight="1">
      <c r="A642" s="35" t="s">
        <v>5668</v>
      </c>
      <c r="B642" s="35">
        <v>5.0</v>
      </c>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row>
    <row r="643" ht="15.75" customHeight="1">
      <c r="A643" s="35" t="s">
        <v>5671</v>
      </c>
      <c r="B643" s="35">
        <v>5.0</v>
      </c>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row>
    <row r="644" ht="15.75" customHeight="1">
      <c r="A644" s="35" t="s">
        <v>5674</v>
      </c>
      <c r="B644" s="35">
        <v>5.0</v>
      </c>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row>
    <row r="645" ht="15.75" customHeight="1">
      <c r="A645" s="35" t="s">
        <v>5677</v>
      </c>
      <c r="B645" s="35">
        <v>5.0</v>
      </c>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row>
    <row r="646" ht="15.75" customHeight="1">
      <c r="A646" s="35" t="s">
        <v>5681</v>
      </c>
      <c r="B646" s="35">
        <v>5.0</v>
      </c>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row>
    <row r="647" ht="15.75" customHeight="1">
      <c r="A647" s="35" t="s">
        <v>5684</v>
      </c>
      <c r="B647" s="35">
        <v>5.0</v>
      </c>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row>
    <row r="648" ht="15.75" customHeight="1">
      <c r="A648" s="35" t="s">
        <v>5687</v>
      </c>
      <c r="B648" s="35">
        <v>5.0</v>
      </c>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row>
    <row r="649" ht="15.75" customHeight="1">
      <c r="A649" s="35" t="s">
        <v>5689</v>
      </c>
      <c r="B649" s="35">
        <v>5.0</v>
      </c>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row>
    <row r="650" ht="15.75" customHeight="1">
      <c r="A650" s="35" t="s">
        <v>5693</v>
      </c>
      <c r="B650" s="35">
        <v>5.0</v>
      </c>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row>
    <row r="651" ht="15.75" customHeight="1">
      <c r="A651" s="35" t="s">
        <v>5696</v>
      </c>
      <c r="B651" s="35">
        <v>5.0</v>
      </c>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row>
    <row r="652" ht="15.75" customHeight="1">
      <c r="A652" s="35" t="s">
        <v>5701</v>
      </c>
      <c r="B652" s="35">
        <v>5.0</v>
      </c>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row>
    <row r="653" ht="15.75" customHeight="1">
      <c r="A653" s="35" t="s">
        <v>5705</v>
      </c>
      <c r="B653" s="35">
        <v>5.0</v>
      </c>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row>
    <row r="654" ht="15.75" customHeight="1">
      <c r="A654" s="35" t="s">
        <v>5708</v>
      </c>
      <c r="B654" s="35">
        <v>5.0</v>
      </c>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row>
    <row r="655" ht="15.75" customHeight="1">
      <c r="A655" s="35" t="s">
        <v>5711</v>
      </c>
      <c r="B655" s="35">
        <v>5.0</v>
      </c>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row>
    <row r="656" ht="15.75" customHeight="1">
      <c r="A656" s="35" t="s">
        <v>5715</v>
      </c>
      <c r="B656" s="35">
        <v>5.0</v>
      </c>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row>
    <row r="657" ht="15.75" customHeight="1">
      <c r="A657" s="35" t="s">
        <v>5718</v>
      </c>
      <c r="B657" s="35">
        <v>5.0</v>
      </c>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row>
    <row r="658" ht="15.75" customHeight="1">
      <c r="A658" s="35" t="s">
        <v>5721</v>
      </c>
      <c r="B658" s="35">
        <v>5.0</v>
      </c>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row>
    <row r="659" ht="15.75" customHeight="1">
      <c r="A659" s="35" t="s">
        <v>5724</v>
      </c>
      <c r="B659" s="35">
        <v>5.0</v>
      </c>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row>
    <row r="660" ht="15.75" customHeight="1">
      <c r="A660" s="35" t="s">
        <v>5728</v>
      </c>
      <c r="B660" s="35">
        <v>5.0</v>
      </c>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row>
    <row r="661" ht="15.75" customHeight="1">
      <c r="A661" s="35" t="s">
        <v>5731</v>
      </c>
      <c r="B661" s="35">
        <v>5.0</v>
      </c>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row>
    <row r="662" ht="15.75" customHeight="1">
      <c r="A662" s="35" t="s">
        <v>5734</v>
      </c>
      <c r="B662" s="35">
        <v>5.0</v>
      </c>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row>
    <row r="663" ht="15.75" customHeight="1">
      <c r="A663" s="35" t="s">
        <v>5737</v>
      </c>
      <c r="B663" s="35">
        <v>5.0</v>
      </c>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row>
    <row r="664" ht="15.75" customHeight="1">
      <c r="A664" s="35" t="s">
        <v>5740</v>
      </c>
      <c r="B664" s="35">
        <v>5.0</v>
      </c>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row>
    <row r="665" ht="15.75" customHeight="1">
      <c r="A665" s="35" t="s">
        <v>5743</v>
      </c>
      <c r="B665" s="35">
        <v>5.0</v>
      </c>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row>
    <row r="666" ht="15.75" customHeight="1">
      <c r="A666" s="35" t="s">
        <v>5746</v>
      </c>
      <c r="B666" s="35">
        <v>5.0</v>
      </c>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row>
    <row r="667" ht="15.75" customHeight="1">
      <c r="A667" s="35" t="s">
        <v>5750</v>
      </c>
      <c r="B667" s="35">
        <v>5.0</v>
      </c>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row>
    <row r="668" ht="15.75" customHeight="1">
      <c r="A668" s="35" t="s">
        <v>5751</v>
      </c>
      <c r="B668" s="35">
        <v>5.0</v>
      </c>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row>
    <row r="669" ht="15.75" customHeight="1">
      <c r="A669" s="35" t="s">
        <v>5752</v>
      </c>
      <c r="B669" s="35">
        <v>5.0</v>
      </c>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row>
    <row r="670" ht="15.75" customHeight="1">
      <c r="A670" s="35" t="s">
        <v>5755</v>
      </c>
      <c r="B670" s="35">
        <v>5.0</v>
      </c>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row>
    <row r="671" ht="15.75" customHeight="1">
      <c r="A671" s="35" t="s">
        <v>5758</v>
      </c>
      <c r="B671" s="35">
        <v>5.0</v>
      </c>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row>
    <row r="672" ht="15.75" customHeight="1">
      <c r="A672" s="35" t="s">
        <v>5760</v>
      </c>
      <c r="B672" s="35">
        <v>5.0</v>
      </c>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row>
    <row r="673" ht="15.75" customHeight="1">
      <c r="A673" s="35" t="s">
        <v>5763</v>
      </c>
      <c r="B673" s="35">
        <v>5.0</v>
      </c>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row>
    <row r="674" ht="15.75" customHeight="1">
      <c r="A674" s="35" t="s">
        <v>5767</v>
      </c>
      <c r="B674" s="35">
        <v>5.0</v>
      </c>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row>
    <row r="675" ht="15.75" customHeight="1">
      <c r="A675" s="35" t="s">
        <v>5770</v>
      </c>
      <c r="B675" s="35">
        <v>5.0</v>
      </c>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row>
    <row r="676" ht="15.75" customHeight="1">
      <c r="A676" s="35" t="s">
        <v>5773</v>
      </c>
      <c r="B676" s="35">
        <v>5.0</v>
      </c>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row>
    <row r="677" ht="15.75" customHeight="1">
      <c r="A677" s="35" t="s">
        <v>5776</v>
      </c>
      <c r="B677" s="35">
        <v>5.0</v>
      </c>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row>
    <row r="678" ht="15.75" customHeight="1">
      <c r="A678" s="35" t="s">
        <v>5779</v>
      </c>
      <c r="B678" s="35">
        <v>5.0</v>
      </c>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row>
    <row r="679" ht="15.75" customHeight="1">
      <c r="A679" s="35" t="s">
        <v>5782</v>
      </c>
      <c r="B679" s="35">
        <v>5.0</v>
      </c>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row>
    <row r="680" ht="15.75" customHeight="1">
      <c r="A680" s="35" t="s">
        <v>5785</v>
      </c>
      <c r="B680" s="35">
        <v>5.0</v>
      </c>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row>
    <row r="681" ht="15.75" customHeight="1">
      <c r="A681" s="35" t="s">
        <v>5787</v>
      </c>
      <c r="B681" s="35">
        <v>5.0</v>
      </c>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row>
    <row r="682" ht="15.75" customHeight="1">
      <c r="A682" s="35" t="s">
        <v>5789</v>
      </c>
      <c r="B682" s="35">
        <v>5.0</v>
      </c>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row>
    <row r="683" ht="15.75" customHeight="1">
      <c r="A683" s="35" t="s">
        <v>5793</v>
      </c>
      <c r="B683" s="35">
        <v>5.0</v>
      </c>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row>
    <row r="684" ht="15.75" customHeight="1">
      <c r="A684" s="35" t="s">
        <v>5796</v>
      </c>
      <c r="B684" s="35">
        <v>5.0</v>
      </c>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row>
    <row r="685" ht="15.75" customHeight="1">
      <c r="A685" s="35" t="s">
        <v>5799</v>
      </c>
      <c r="B685" s="35">
        <v>5.0</v>
      </c>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row>
    <row r="686" ht="15.75" customHeight="1">
      <c r="A686" s="35" t="s">
        <v>5803</v>
      </c>
      <c r="B686" s="35">
        <v>5.0</v>
      </c>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row>
    <row r="687" ht="15.75" customHeight="1">
      <c r="A687" s="35" t="s">
        <v>5807</v>
      </c>
      <c r="B687" s="35">
        <v>5.0</v>
      </c>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row>
    <row r="688" ht="15.75" customHeight="1">
      <c r="A688" s="35" t="s">
        <v>5810</v>
      </c>
      <c r="B688" s="35">
        <v>5.0</v>
      </c>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row>
    <row r="689" ht="15.75" customHeight="1">
      <c r="A689" s="35" t="s">
        <v>5813</v>
      </c>
      <c r="B689" s="35">
        <v>5.0</v>
      </c>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row>
    <row r="690" ht="15.75" customHeight="1">
      <c r="A690" s="35" t="s">
        <v>5816</v>
      </c>
      <c r="B690" s="35">
        <v>5.0</v>
      </c>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row>
    <row r="691" ht="15.75" customHeight="1">
      <c r="A691" s="35" t="s">
        <v>5820</v>
      </c>
      <c r="B691" s="35">
        <v>5.0</v>
      </c>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row>
    <row r="692" ht="15.75" customHeight="1">
      <c r="A692" s="35" t="s">
        <v>5823</v>
      </c>
      <c r="B692" s="35">
        <v>5.0</v>
      </c>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row>
    <row r="693" ht="15.75" customHeight="1">
      <c r="A693" s="35" t="s">
        <v>5826</v>
      </c>
      <c r="B693" s="35">
        <v>5.0</v>
      </c>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row>
    <row r="694" ht="15.75" customHeight="1">
      <c r="A694" s="35" t="s">
        <v>188</v>
      </c>
      <c r="B694" s="35">
        <v>5.0</v>
      </c>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row>
    <row r="695" ht="15.75" customHeight="1">
      <c r="A695" s="35" t="s">
        <v>5832</v>
      </c>
      <c r="B695" s="35">
        <v>5.0</v>
      </c>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row>
    <row r="696" ht="15.75" customHeight="1">
      <c r="A696" s="35" t="s">
        <v>5834</v>
      </c>
      <c r="B696" s="35">
        <v>5.0</v>
      </c>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row>
    <row r="697" ht="15.75" customHeight="1">
      <c r="A697" s="35" t="s">
        <v>742</v>
      </c>
      <c r="B697" s="35">
        <v>5.0</v>
      </c>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row>
    <row r="698" ht="15.75" customHeight="1">
      <c r="A698" s="35" t="s">
        <v>5839</v>
      </c>
      <c r="B698" s="35">
        <v>5.0</v>
      </c>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row>
    <row r="699" ht="15.75" customHeight="1">
      <c r="A699" s="35" t="s">
        <v>5841</v>
      </c>
      <c r="B699" s="35">
        <v>5.0</v>
      </c>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row>
    <row r="700" ht="15.75" customHeight="1">
      <c r="A700" s="35" t="s">
        <v>5843</v>
      </c>
      <c r="B700" s="35">
        <v>5.0</v>
      </c>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row>
    <row r="701" ht="15.75" customHeight="1">
      <c r="A701" s="35" t="s">
        <v>5846</v>
      </c>
      <c r="B701" s="35">
        <v>5.0</v>
      </c>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row>
    <row r="702" ht="15.75" customHeight="1">
      <c r="A702" s="35" t="s">
        <v>5850</v>
      </c>
      <c r="B702" s="35">
        <v>5.0</v>
      </c>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row>
    <row r="703" ht="15.75" customHeight="1">
      <c r="A703" s="35" t="s">
        <v>5853</v>
      </c>
      <c r="B703" s="35">
        <v>5.0</v>
      </c>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row>
    <row r="704" ht="15.75" customHeight="1">
      <c r="A704" s="35" t="s">
        <v>5856</v>
      </c>
      <c r="B704" s="35">
        <v>5.0</v>
      </c>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row>
    <row r="705" ht="15.75" customHeight="1">
      <c r="A705" s="35" t="s">
        <v>5859</v>
      </c>
      <c r="B705" s="35">
        <v>5.0</v>
      </c>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row>
    <row r="706" ht="15.75" customHeight="1">
      <c r="A706" s="35" t="s">
        <v>5864</v>
      </c>
      <c r="B706" s="35">
        <v>5.0</v>
      </c>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row>
    <row r="707" ht="15.75" customHeight="1">
      <c r="A707" s="35" t="s">
        <v>5867</v>
      </c>
      <c r="B707" s="35">
        <v>5.0</v>
      </c>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row>
    <row r="708" ht="15.75" customHeight="1">
      <c r="A708" s="35" t="s">
        <v>5870</v>
      </c>
      <c r="B708" s="35">
        <v>5.0</v>
      </c>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row>
    <row r="709" ht="15.75" customHeight="1">
      <c r="A709" s="35" t="s">
        <v>5872</v>
      </c>
      <c r="B709" s="35">
        <v>5.0</v>
      </c>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row>
    <row r="710" ht="15.75" customHeight="1">
      <c r="A710" s="35" t="s">
        <v>5875</v>
      </c>
      <c r="B710" s="35">
        <v>5.0</v>
      </c>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row>
    <row r="711" ht="15.75" customHeight="1">
      <c r="A711" s="35" t="s">
        <v>5878</v>
      </c>
      <c r="B711" s="35">
        <v>5.0</v>
      </c>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row>
    <row r="712" ht="15.75" customHeight="1">
      <c r="A712" s="35" t="s">
        <v>5882</v>
      </c>
      <c r="B712" s="35">
        <v>5.0</v>
      </c>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row>
    <row r="713" ht="15.75" customHeight="1">
      <c r="A713" s="35" t="s">
        <v>5885</v>
      </c>
      <c r="B713" s="35">
        <v>5.0</v>
      </c>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row>
    <row r="714" ht="15.75" customHeight="1">
      <c r="A714" s="35" t="s">
        <v>5888</v>
      </c>
      <c r="B714" s="35">
        <v>5.0</v>
      </c>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row>
    <row r="715" ht="15.75" customHeight="1">
      <c r="A715" s="35" t="s">
        <v>5891</v>
      </c>
      <c r="B715" s="35">
        <v>5.0</v>
      </c>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row>
    <row r="716" ht="15.75" customHeight="1">
      <c r="A716" s="35" t="s">
        <v>5894</v>
      </c>
      <c r="B716" s="35">
        <v>4.0</v>
      </c>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row>
    <row r="717" ht="15.75" customHeight="1">
      <c r="A717" s="35" t="s">
        <v>5898</v>
      </c>
      <c r="B717" s="35">
        <v>4.0</v>
      </c>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row>
    <row r="718" ht="15.75" customHeight="1">
      <c r="A718" s="35" t="s">
        <v>5901</v>
      </c>
      <c r="B718" s="35">
        <v>4.0</v>
      </c>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row>
    <row r="719" ht="15.75" customHeight="1">
      <c r="A719" s="35" t="s">
        <v>5903</v>
      </c>
      <c r="B719" s="35">
        <v>4.0</v>
      </c>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row>
    <row r="720" ht="15.75" customHeight="1">
      <c r="A720" s="35" t="s">
        <v>5906</v>
      </c>
      <c r="B720" s="35">
        <v>4.0</v>
      </c>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row>
    <row r="721" ht="15.75" customHeight="1">
      <c r="A721" s="35" t="s">
        <v>5908</v>
      </c>
      <c r="B721" s="35">
        <v>4.0</v>
      </c>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row>
    <row r="722" ht="15.75" customHeight="1">
      <c r="A722" s="35" t="s">
        <v>5910</v>
      </c>
      <c r="B722" s="35">
        <v>4.0</v>
      </c>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row>
    <row r="723" ht="15.75" customHeight="1">
      <c r="A723" s="35" t="s">
        <v>5911</v>
      </c>
      <c r="B723" s="35">
        <v>4.0</v>
      </c>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row>
    <row r="724" ht="15.75" customHeight="1">
      <c r="A724" s="35" t="s">
        <v>5914</v>
      </c>
      <c r="B724" s="35">
        <v>4.0</v>
      </c>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row>
    <row r="725" ht="15.75" customHeight="1">
      <c r="A725" s="35" t="s">
        <v>5916</v>
      </c>
      <c r="B725" s="35">
        <v>4.0</v>
      </c>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row>
    <row r="726" ht="15.75" customHeight="1">
      <c r="A726" s="35" t="s">
        <v>5920</v>
      </c>
      <c r="B726" s="35">
        <v>4.0</v>
      </c>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row>
    <row r="727" ht="15.75" customHeight="1">
      <c r="A727" s="35" t="s">
        <v>5924</v>
      </c>
      <c r="B727" s="35">
        <v>4.0</v>
      </c>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row>
    <row r="728" ht="15.75" customHeight="1">
      <c r="A728" s="35" t="s">
        <v>5929</v>
      </c>
      <c r="B728" s="35">
        <v>4.0</v>
      </c>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row>
    <row r="729" ht="15.75" customHeight="1">
      <c r="A729" s="35" t="s">
        <v>5933</v>
      </c>
      <c r="B729" s="35">
        <v>4.0</v>
      </c>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row>
    <row r="730" ht="15.75" customHeight="1">
      <c r="A730" s="35" t="s">
        <v>5937</v>
      </c>
      <c r="B730" s="35">
        <v>4.0</v>
      </c>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row>
    <row r="731" ht="15.75" customHeight="1">
      <c r="A731" s="35" t="s">
        <v>5941</v>
      </c>
      <c r="B731" s="35">
        <v>4.0</v>
      </c>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row>
    <row r="732" ht="15.75" customHeight="1">
      <c r="A732" s="35" t="s">
        <v>5946</v>
      </c>
      <c r="B732" s="35">
        <v>4.0</v>
      </c>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row>
    <row r="733" ht="15.75" customHeight="1">
      <c r="A733" s="35" t="s">
        <v>5949</v>
      </c>
      <c r="B733" s="35">
        <v>4.0</v>
      </c>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row>
    <row r="734" ht="15.75" customHeight="1">
      <c r="A734" s="35" t="s">
        <v>5953</v>
      </c>
      <c r="B734" s="35">
        <v>4.0</v>
      </c>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row>
    <row r="735" ht="15.75" customHeight="1">
      <c r="A735" s="35" t="s">
        <v>5958</v>
      </c>
      <c r="B735" s="35">
        <v>4.0</v>
      </c>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row>
    <row r="736" ht="15.75" customHeight="1">
      <c r="A736" s="35" t="s">
        <v>5962</v>
      </c>
      <c r="B736" s="35">
        <v>4.0</v>
      </c>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row>
    <row r="737" ht="15.75" customHeight="1">
      <c r="A737" s="35" t="s">
        <v>5967</v>
      </c>
      <c r="B737" s="35">
        <v>4.0</v>
      </c>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row>
    <row r="738" ht="15.75" customHeight="1">
      <c r="A738" s="35" t="s">
        <v>5970</v>
      </c>
      <c r="B738" s="35">
        <v>4.0</v>
      </c>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row>
    <row r="739" ht="15.75" customHeight="1">
      <c r="A739" s="35" t="s">
        <v>5974</v>
      </c>
      <c r="B739" s="35">
        <v>4.0</v>
      </c>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row>
    <row r="740" ht="15.75" customHeight="1">
      <c r="A740" s="35" t="s">
        <v>5978</v>
      </c>
      <c r="B740" s="35">
        <v>4.0</v>
      </c>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row>
    <row r="741" ht="15.75" customHeight="1">
      <c r="A741" s="35" t="s">
        <v>5981</v>
      </c>
      <c r="B741" s="35">
        <v>4.0</v>
      </c>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row>
    <row r="742" ht="15.75" customHeight="1">
      <c r="A742" s="35" t="s">
        <v>5984</v>
      </c>
      <c r="B742" s="35">
        <v>4.0</v>
      </c>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row>
    <row r="743" ht="15.75" customHeight="1">
      <c r="A743" s="35" t="s">
        <v>5987</v>
      </c>
      <c r="B743" s="35">
        <v>4.0</v>
      </c>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row>
    <row r="744" ht="15.75" customHeight="1">
      <c r="A744" s="35" t="s">
        <v>5991</v>
      </c>
      <c r="B744" s="35">
        <v>4.0</v>
      </c>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row>
    <row r="745" ht="15.75" customHeight="1">
      <c r="A745" s="35" t="s">
        <v>5995</v>
      </c>
      <c r="B745" s="35">
        <v>4.0</v>
      </c>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row>
    <row r="746" ht="15.75" customHeight="1">
      <c r="A746" s="35" t="s">
        <v>6000</v>
      </c>
      <c r="B746" s="35">
        <v>4.0</v>
      </c>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row>
    <row r="747" ht="15.75" customHeight="1">
      <c r="A747" s="35" t="s">
        <v>6004</v>
      </c>
      <c r="B747" s="35">
        <v>4.0</v>
      </c>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row>
    <row r="748" ht="15.75" customHeight="1">
      <c r="A748" s="35" t="s">
        <v>6008</v>
      </c>
      <c r="B748" s="35">
        <v>4.0</v>
      </c>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row>
    <row r="749" ht="15.75" customHeight="1">
      <c r="A749" s="35" t="s">
        <v>6012</v>
      </c>
      <c r="B749" s="35">
        <v>4.0</v>
      </c>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row>
    <row r="750" ht="15.75" customHeight="1">
      <c r="A750" s="35" t="s">
        <v>6017</v>
      </c>
      <c r="B750" s="35">
        <v>4.0</v>
      </c>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row>
    <row r="751" ht="15.75" customHeight="1">
      <c r="A751" s="35" t="s">
        <v>6021</v>
      </c>
      <c r="B751" s="35">
        <v>4.0</v>
      </c>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row>
    <row r="752" ht="15.75" customHeight="1">
      <c r="A752" s="35" t="s">
        <v>6025</v>
      </c>
      <c r="B752" s="35">
        <v>4.0</v>
      </c>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row>
    <row r="753" ht="15.75" customHeight="1">
      <c r="A753" s="35" t="s">
        <v>6029</v>
      </c>
      <c r="B753" s="35">
        <v>4.0</v>
      </c>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row>
    <row r="754" ht="15.75" customHeight="1">
      <c r="A754" s="35" t="s">
        <v>6031</v>
      </c>
      <c r="B754" s="35">
        <v>4.0</v>
      </c>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row>
    <row r="755" ht="15.75" customHeight="1">
      <c r="A755" s="35" t="s">
        <v>6035</v>
      </c>
      <c r="B755" s="35">
        <v>4.0</v>
      </c>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row>
    <row r="756" ht="15.75" customHeight="1">
      <c r="A756" s="35" t="s">
        <v>6038</v>
      </c>
      <c r="B756" s="35">
        <v>4.0</v>
      </c>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row>
    <row r="757" ht="15.75" customHeight="1">
      <c r="A757" s="35" t="s">
        <v>6041</v>
      </c>
      <c r="B757" s="35">
        <v>4.0</v>
      </c>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row>
    <row r="758" ht="15.75" customHeight="1">
      <c r="A758" s="35" t="s">
        <v>6045</v>
      </c>
      <c r="B758" s="35">
        <v>4.0</v>
      </c>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row>
    <row r="759" ht="15.75" customHeight="1">
      <c r="A759" s="35" t="s">
        <v>6049</v>
      </c>
      <c r="B759" s="35">
        <v>4.0</v>
      </c>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row>
    <row r="760" ht="15.75" customHeight="1">
      <c r="A760" s="35" t="s">
        <v>6053</v>
      </c>
      <c r="B760" s="35">
        <v>4.0</v>
      </c>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row>
    <row r="761" ht="15.75" customHeight="1">
      <c r="A761" s="35" t="s">
        <v>6054</v>
      </c>
      <c r="B761" s="35">
        <v>4.0</v>
      </c>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row>
    <row r="762" ht="15.75" customHeight="1">
      <c r="A762" s="35" t="s">
        <v>6056</v>
      </c>
      <c r="B762" s="35">
        <v>4.0</v>
      </c>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row>
    <row r="763" ht="15.75" customHeight="1">
      <c r="A763" s="35" t="s">
        <v>6059</v>
      </c>
      <c r="B763" s="35">
        <v>4.0</v>
      </c>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row>
    <row r="764" ht="15.75" customHeight="1">
      <c r="A764" s="35" t="s">
        <v>6063</v>
      </c>
      <c r="B764" s="35">
        <v>4.0</v>
      </c>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row>
    <row r="765" ht="15.75" customHeight="1">
      <c r="A765" s="35" t="s">
        <v>6068</v>
      </c>
      <c r="B765" s="35">
        <v>4.0</v>
      </c>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row>
    <row r="766" ht="15.75" customHeight="1">
      <c r="A766" s="35" t="s">
        <v>6070</v>
      </c>
      <c r="B766" s="35">
        <v>4.0</v>
      </c>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row>
    <row r="767" ht="15.75" customHeight="1">
      <c r="A767" s="35" t="s">
        <v>6072</v>
      </c>
      <c r="B767" s="35">
        <v>4.0</v>
      </c>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row>
    <row r="768" ht="15.75" customHeight="1">
      <c r="A768" s="35" t="s">
        <v>6075</v>
      </c>
      <c r="B768" s="35">
        <v>4.0</v>
      </c>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row>
    <row r="769" ht="15.75" customHeight="1">
      <c r="A769" s="35" t="s">
        <v>6078</v>
      </c>
      <c r="B769" s="35">
        <v>4.0</v>
      </c>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row>
    <row r="770" ht="15.75" customHeight="1">
      <c r="A770" s="35" t="s">
        <v>6081</v>
      </c>
      <c r="B770" s="35">
        <v>4.0</v>
      </c>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row>
    <row r="771" ht="15.75" customHeight="1">
      <c r="A771" s="35" t="s">
        <v>6085</v>
      </c>
      <c r="B771" s="35">
        <v>4.0</v>
      </c>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row>
    <row r="772" ht="15.75" customHeight="1">
      <c r="A772" s="35" t="s">
        <v>6087</v>
      </c>
      <c r="B772" s="35">
        <v>4.0</v>
      </c>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row>
    <row r="773" ht="15.75" customHeight="1">
      <c r="A773" s="35" t="s">
        <v>6091</v>
      </c>
      <c r="B773" s="35">
        <v>4.0</v>
      </c>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row>
    <row r="774" ht="15.75" customHeight="1">
      <c r="A774" s="35" t="s">
        <v>6095</v>
      </c>
      <c r="B774" s="35">
        <v>4.0</v>
      </c>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row>
    <row r="775" ht="15.75" customHeight="1">
      <c r="A775" s="35" t="s">
        <v>6098</v>
      </c>
      <c r="B775" s="35">
        <v>4.0</v>
      </c>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row>
    <row r="776" ht="15.75" customHeight="1">
      <c r="A776" s="35" t="s">
        <v>6103</v>
      </c>
      <c r="B776" s="35">
        <v>4.0</v>
      </c>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row>
    <row r="777" ht="15.75" customHeight="1">
      <c r="A777" s="35" t="s">
        <v>6107</v>
      </c>
      <c r="B777" s="35">
        <v>4.0</v>
      </c>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row>
    <row r="778" ht="15.75" customHeight="1">
      <c r="A778" s="35" t="s">
        <v>6110</v>
      </c>
      <c r="B778" s="35">
        <v>4.0</v>
      </c>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row>
    <row r="779" ht="15.75" customHeight="1">
      <c r="A779" s="35" t="s">
        <v>6113</v>
      </c>
      <c r="B779" s="35">
        <v>4.0</v>
      </c>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row>
    <row r="780" ht="15.75" customHeight="1">
      <c r="A780" s="35" t="s">
        <v>6116</v>
      </c>
      <c r="B780" s="35">
        <v>4.0</v>
      </c>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row>
    <row r="781" ht="15.75" customHeight="1">
      <c r="A781" s="35" t="s">
        <v>6120</v>
      </c>
      <c r="B781" s="35">
        <v>4.0</v>
      </c>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row>
    <row r="782" ht="15.75" customHeight="1">
      <c r="A782" s="35" t="s">
        <v>6123</v>
      </c>
      <c r="B782" s="35">
        <v>4.0</v>
      </c>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row>
    <row r="783" ht="15.75" customHeight="1">
      <c r="A783" s="35" t="s">
        <v>6126</v>
      </c>
      <c r="B783" s="35">
        <v>4.0</v>
      </c>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row>
    <row r="784" ht="15.75" customHeight="1">
      <c r="A784" s="35" t="s">
        <v>6129</v>
      </c>
      <c r="B784" s="35">
        <v>4.0</v>
      </c>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row>
    <row r="785" ht="15.75" customHeight="1">
      <c r="A785" s="35" t="s">
        <v>6133</v>
      </c>
      <c r="B785" s="35">
        <v>4.0</v>
      </c>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row>
    <row r="786" ht="15.75" customHeight="1">
      <c r="A786" s="35" t="s">
        <v>6136</v>
      </c>
      <c r="B786" s="35">
        <v>4.0</v>
      </c>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row>
    <row r="787" ht="15.75" customHeight="1">
      <c r="A787" s="35" t="s">
        <v>6139</v>
      </c>
      <c r="B787" s="35">
        <v>4.0</v>
      </c>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row>
    <row r="788" ht="15.75" customHeight="1">
      <c r="A788" s="35" t="s">
        <v>6142</v>
      </c>
      <c r="B788" s="35">
        <v>4.0</v>
      </c>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row>
    <row r="789" ht="15.75" customHeight="1">
      <c r="A789" s="35" t="s">
        <v>6146</v>
      </c>
      <c r="B789" s="35">
        <v>4.0</v>
      </c>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row>
    <row r="790" ht="15.75" customHeight="1">
      <c r="A790" s="35" t="s">
        <v>6157</v>
      </c>
      <c r="B790" s="35">
        <v>4.0</v>
      </c>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row>
    <row r="791" ht="15.75" customHeight="1">
      <c r="A791" s="35" t="s">
        <v>6162</v>
      </c>
      <c r="B791" s="35">
        <v>4.0</v>
      </c>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row>
    <row r="792" ht="15.75" customHeight="1">
      <c r="A792" s="35" t="s">
        <v>6164</v>
      </c>
      <c r="B792" s="35">
        <v>4.0</v>
      </c>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row>
    <row r="793" ht="15.75" customHeight="1">
      <c r="A793" s="35" t="s">
        <v>6167</v>
      </c>
      <c r="B793" s="35">
        <v>4.0</v>
      </c>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row>
    <row r="794" ht="15.75" customHeight="1">
      <c r="A794" s="35" t="s">
        <v>6171</v>
      </c>
      <c r="B794" s="35">
        <v>4.0</v>
      </c>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row>
    <row r="795" ht="15.75" customHeight="1">
      <c r="A795" s="35" t="s">
        <v>6174</v>
      </c>
      <c r="B795" s="35">
        <v>4.0</v>
      </c>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row>
    <row r="796" ht="15.75" customHeight="1">
      <c r="A796" s="35" t="s">
        <v>6179</v>
      </c>
      <c r="B796" s="35">
        <v>4.0</v>
      </c>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row>
    <row r="797" ht="15.75" customHeight="1">
      <c r="A797" s="35" t="s">
        <v>6183</v>
      </c>
      <c r="B797" s="35">
        <v>4.0</v>
      </c>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row>
    <row r="798" ht="15.75" customHeight="1">
      <c r="A798" s="35" t="s">
        <v>6186</v>
      </c>
      <c r="B798" s="35">
        <v>4.0</v>
      </c>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row>
    <row r="799" ht="15.75" customHeight="1">
      <c r="A799" s="35" t="s">
        <v>6187</v>
      </c>
      <c r="B799" s="35">
        <v>4.0</v>
      </c>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row>
    <row r="800" ht="15.75" customHeight="1">
      <c r="A800" s="35" t="s">
        <v>6193</v>
      </c>
      <c r="B800" s="35">
        <v>4.0</v>
      </c>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row>
    <row r="801" ht="15.75" customHeight="1">
      <c r="A801" s="35" t="s">
        <v>6196</v>
      </c>
      <c r="B801" s="35">
        <v>4.0</v>
      </c>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row>
    <row r="802" ht="15.75" customHeight="1">
      <c r="A802" s="35" t="s">
        <v>6201</v>
      </c>
      <c r="B802" s="35">
        <v>4.0</v>
      </c>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row>
    <row r="803" ht="15.75" customHeight="1">
      <c r="A803" s="35" t="s">
        <v>6204</v>
      </c>
      <c r="B803" s="35">
        <v>4.0</v>
      </c>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row>
    <row r="804" ht="15.75" customHeight="1">
      <c r="A804" s="35" t="s">
        <v>6207</v>
      </c>
      <c r="B804" s="35">
        <v>4.0</v>
      </c>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row>
    <row r="805" ht="15.75" customHeight="1">
      <c r="A805" s="35" t="s">
        <v>6211</v>
      </c>
      <c r="B805" s="35">
        <v>4.0</v>
      </c>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row>
    <row r="806" ht="15.75" customHeight="1">
      <c r="A806" s="35" t="s">
        <v>6214</v>
      </c>
      <c r="B806" s="35">
        <v>4.0</v>
      </c>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row>
    <row r="807" ht="15.75" customHeight="1">
      <c r="A807" s="35" t="s">
        <v>6218</v>
      </c>
      <c r="B807" s="35">
        <v>4.0</v>
      </c>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row>
    <row r="808" ht="15.75" customHeight="1">
      <c r="A808" s="35" t="s">
        <v>6222</v>
      </c>
      <c r="B808" s="35">
        <v>4.0</v>
      </c>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row>
    <row r="809" ht="15.75" customHeight="1">
      <c r="A809" s="35" t="s">
        <v>6225</v>
      </c>
      <c r="B809" s="35">
        <v>4.0</v>
      </c>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row>
    <row r="810" ht="15.75" customHeight="1">
      <c r="A810" s="35" t="s">
        <v>6230</v>
      </c>
      <c r="B810" s="35">
        <v>4.0</v>
      </c>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row>
    <row r="811" ht="15.75" customHeight="1">
      <c r="A811" s="35" t="s">
        <v>1098</v>
      </c>
      <c r="B811" s="35">
        <v>4.0</v>
      </c>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row>
    <row r="812" ht="15.75" customHeight="1">
      <c r="A812" s="35" t="s">
        <v>6234</v>
      </c>
      <c r="B812" s="35">
        <v>4.0</v>
      </c>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row>
    <row r="813" ht="15.75" customHeight="1">
      <c r="A813" s="35" t="s">
        <v>6239</v>
      </c>
      <c r="B813" s="35">
        <v>4.0</v>
      </c>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row>
    <row r="814" ht="15.75" customHeight="1">
      <c r="A814" s="35" t="s">
        <v>6243</v>
      </c>
      <c r="B814" s="35">
        <v>4.0</v>
      </c>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row>
    <row r="815" ht="15.75" customHeight="1">
      <c r="A815" s="35" t="s">
        <v>6247</v>
      </c>
      <c r="B815" s="35">
        <v>4.0</v>
      </c>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row>
    <row r="816" ht="15.75" customHeight="1">
      <c r="A816" s="35" t="s">
        <v>6251</v>
      </c>
      <c r="B816" s="35">
        <v>4.0</v>
      </c>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row>
    <row r="817" ht="15.75" customHeight="1">
      <c r="A817" s="35" t="s">
        <v>6254</v>
      </c>
      <c r="B817" s="35">
        <v>4.0</v>
      </c>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row>
    <row r="818" ht="15.75" customHeight="1">
      <c r="A818" s="35" t="s">
        <v>6257</v>
      </c>
      <c r="B818" s="35">
        <v>4.0</v>
      </c>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row>
    <row r="819" ht="15.75" customHeight="1">
      <c r="A819" s="35" t="s">
        <v>6261</v>
      </c>
      <c r="B819" s="35">
        <v>3.0</v>
      </c>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row>
    <row r="820" ht="15.75" customHeight="1">
      <c r="A820" s="35" t="s">
        <v>6267</v>
      </c>
      <c r="B820" s="35">
        <v>3.0</v>
      </c>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row>
    <row r="821" ht="15.75" customHeight="1">
      <c r="A821" s="35" t="s">
        <v>6270</v>
      </c>
      <c r="B821" s="35">
        <v>3.0</v>
      </c>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row>
    <row r="822" ht="15.75" customHeight="1">
      <c r="A822" s="35" t="s">
        <v>6272</v>
      </c>
      <c r="B822" s="35">
        <v>3.0</v>
      </c>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row>
    <row r="823" ht="15.75" customHeight="1">
      <c r="A823" s="35" t="s">
        <v>6275</v>
      </c>
      <c r="B823" s="35">
        <v>3.0</v>
      </c>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row>
    <row r="824" ht="15.75" customHeight="1">
      <c r="A824" s="35" t="s">
        <v>6278</v>
      </c>
      <c r="B824" s="35">
        <v>3.0</v>
      </c>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row>
    <row r="825" ht="15.75" customHeight="1">
      <c r="A825" s="35" t="s">
        <v>6282</v>
      </c>
      <c r="B825" s="35">
        <v>3.0</v>
      </c>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row>
    <row r="826" ht="15.75" customHeight="1">
      <c r="A826" s="35" t="s">
        <v>6286</v>
      </c>
      <c r="B826" s="35">
        <v>3.0</v>
      </c>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row>
    <row r="827" ht="15.75" customHeight="1">
      <c r="A827" s="35" t="s">
        <v>6290</v>
      </c>
      <c r="B827" s="35">
        <v>3.0</v>
      </c>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row>
    <row r="828" ht="15.75" customHeight="1">
      <c r="A828" s="35" t="s">
        <v>6293</v>
      </c>
      <c r="B828" s="35">
        <v>3.0</v>
      </c>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row>
    <row r="829" ht="15.75" customHeight="1">
      <c r="A829" s="35" t="s">
        <v>6296</v>
      </c>
      <c r="B829" s="35">
        <v>3.0</v>
      </c>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row>
    <row r="830" ht="15.75" customHeight="1">
      <c r="A830" s="35" t="s">
        <v>6301</v>
      </c>
      <c r="B830" s="35">
        <v>3.0</v>
      </c>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row>
    <row r="831" ht="15.75" customHeight="1">
      <c r="A831" s="35" t="s">
        <v>6304</v>
      </c>
      <c r="B831" s="35">
        <v>3.0</v>
      </c>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row>
    <row r="832" ht="15.75" customHeight="1">
      <c r="A832" s="35" t="s">
        <v>6307</v>
      </c>
      <c r="B832" s="35">
        <v>3.0</v>
      </c>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row>
    <row r="833" ht="15.75" customHeight="1">
      <c r="A833" s="35" t="s">
        <v>6311</v>
      </c>
      <c r="B833" s="35">
        <v>3.0</v>
      </c>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row>
    <row r="834" ht="15.75" customHeight="1">
      <c r="A834" s="35" t="s">
        <v>6314</v>
      </c>
      <c r="B834" s="35">
        <v>3.0</v>
      </c>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row>
    <row r="835" ht="15.75" customHeight="1">
      <c r="A835" s="35" t="s">
        <v>6317</v>
      </c>
      <c r="B835" s="35">
        <v>3.0</v>
      </c>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row>
    <row r="836" ht="15.75" customHeight="1">
      <c r="A836" s="35" t="s">
        <v>6322</v>
      </c>
      <c r="B836" s="35">
        <v>3.0</v>
      </c>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row>
    <row r="837" ht="15.75" customHeight="1">
      <c r="A837" s="35" t="s">
        <v>6325</v>
      </c>
      <c r="B837" s="35">
        <v>3.0</v>
      </c>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row>
    <row r="838" ht="15.75" customHeight="1">
      <c r="A838" s="35" t="s">
        <v>6328</v>
      </c>
      <c r="B838" s="35">
        <v>3.0</v>
      </c>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row>
    <row r="839" ht="15.75" customHeight="1">
      <c r="A839" s="35" t="s">
        <v>6332</v>
      </c>
      <c r="B839" s="35">
        <v>3.0</v>
      </c>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row>
    <row r="840" ht="15.75" customHeight="1">
      <c r="A840" s="35" t="s">
        <v>6337</v>
      </c>
      <c r="B840" s="35">
        <v>3.0</v>
      </c>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row>
    <row r="841" ht="15.75" customHeight="1">
      <c r="A841" s="35" t="s">
        <v>6340</v>
      </c>
      <c r="B841" s="35">
        <v>3.0</v>
      </c>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row>
    <row r="842" ht="15.75" customHeight="1">
      <c r="A842" s="35" t="s">
        <v>6344</v>
      </c>
      <c r="B842" s="35">
        <v>3.0</v>
      </c>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row>
    <row r="843" ht="15.75" customHeight="1">
      <c r="A843" s="35" t="s">
        <v>6347</v>
      </c>
      <c r="B843" s="35">
        <v>3.0</v>
      </c>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row>
    <row r="844" ht="15.75" customHeight="1">
      <c r="A844" s="35" t="s">
        <v>6350</v>
      </c>
      <c r="B844" s="35">
        <v>3.0</v>
      </c>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row>
    <row r="845" ht="15.75" customHeight="1">
      <c r="A845" s="35" t="s">
        <v>6353</v>
      </c>
      <c r="B845" s="35">
        <v>3.0</v>
      </c>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row>
    <row r="846" ht="15.75" customHeight="1">
      <c r="A846" s="35" t="s">
        <v>6357</v>
      </c>
      <c r="B846" s="35">
        <v>3.0</v>
      </c>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row>
    <row r="847" ht="15.75" customHeight="1">
      <c r="A847" s="35" t="s">
        <v>6360</v>
      </c>
      <c r="B847" s="35">
        <v>3.0</v>
      </c>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row>
    <row r="848" ht="15.75" customHeight="1">
      <c r="A848" s="35" t="s">
        <v>6363</v>
      </c>
      <c r="B848" s="35">
        <v>3.0</v>
      </c>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row>
    <row r="849" ht="15.75" customHeight="1">
      <c r="A849" s="35" t="s">
        <v>6367</v>
      </c>
      <c r="B849" s="35">
        <v>3.0</v>
      </c>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row>
    <row r="850" ht="15.75" customHeight="1">
      <c r="A850" s="35" t="s">
        <v>6370</v>
      </c>
      <c r="B850" s="35">
        <v>3.0</v>
      </c>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row>
    <row r="851" ht="15.75" customHeight="1">
      <c r="A851" s="35" t="s">
        <v>6374</v>
      </c>
      <c r="B851" s="35">
        <v>3.0</v>
      </c>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row>
    <row r="852" ht="15.75" customHeight="1">
      <c r="A852" s="35" t="s">
        <v>6377</v>
      </c>
      <c r="B852" s="35">
        <v>3.0</v>
      </c>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row>
    <row r="853" ht="15.75" customHeight="1">
      <c r="A853" s="35" t="s">
        <v>6381</v>
      </c>
      <c r="B853" s="35">
        <v>3.0</v>
      </c>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row>
    <row r="854" ht="15.75" customHeight="1">
      <c r="A854" s="35" t="s">
        <v>6384</v>
      </c>
      <c r="B854" s="35">
        <v>3.0</v>
      </c>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row>
    <row r="855" ht="15.75" customHeight="1">
      <c r="A855" s="35" t="s">
        <v>6387</v>
      </c>
      <c r="B855" s="35">
        <v>3.0</v>
      </c>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row>
    <row r="856" ht="15.75" customHeight="1">
      <c r="A856" s="35" t="s">
        <v>6391</v>
      </c>
      <c r="B856" s="35">
        <v>3.0</v>
      </c>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row>
    <row r="857" ht="15.75" customHeight="1">
      <c r="A857" s="35" t="s">
        <v>6394</v>
      </c>
      <c r="B857" s="35">
        <v>3.0</v>
      </c>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row>
    <row r="858" ht="15.75" customHeight="1">
      <c r="A858" s="35" t="s">
        <v>6398</v>
      </c>
      <c r="B858" s="35">
        <v>3.0</v>
      </c>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row>
    <row r="859" ht="15.75" customHeight="1">
      <c r="A859" s="35" t="s">
        <v>6402</v>
      </c>
      <c r="B859" s="35">
        <v>3.0</v>
      </c>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row>
    <row r="860" ht="15.75" customHeight="1">
      <c r="A860" s="35" t="s">
        <v>6404</v>
      </c>
      <c r="B860" s="35">
        <v>3.0</v>
      </c>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row>
    <row r="861" ht="15.75" customHeight="1">
      <c r="A861" s="35" t="s">
        <v>6407</v>
      </c>
      <c r="B861" s="35">
        <v>3.0</v>
      </c>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row>
    <row r="862" ht="15.75" customHeight="1">
      <c r="A862" s="35" t="s">
        <v>6410</v>
      </c>
      <c r="B862" s="35">
        <v>3.0</v>
      </c>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row>
    <row r="863" ht="15.75" customHeight="1">
      <c r="A863" s="35" t="s">
        <v>6413</v>
      </c>
      <c r="B863" s="35">
        <v>3.0</v>
      </c>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row>
    <row r="864" ht="15.75" customHeight="1">
      <c r="A864" s="35" t="s">
        <v>6416</v>
      </c>
      <c r="B864" s="35">
        <v>3.0</v>
      </c>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row>
    <row r="865" ht="15.75" customHeight="1">
      <c r="A865" s="35" t="s">
        <v>6420</v>
      </c>
      <c r="B865" s="35">
        <v>3.0</v>
      </c>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row>
    <row r="866" ht="15.75" customHeight="1">
      <c r="A866" s="35" t="s">
        <v>6424</v>
      </c>
      <c r="B866" s="35">
        <v>3.0</v>
      </c>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row>
    <row r="867" ht="15.75" customHeight="1">
      <c r="A867" s="35" t="s">
        <v>6430</v>
      </c>
      <c r="B867" s="35">
        <v>3.0</v>
      </c>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row>
    <row r="868" ht="15.75" customHeight="1">
      <c r="A868" s="35" t="s">
        <v>6432</v>
      </c>
      <c r="B868" s="35">
        <v>3.0</v>
      </c>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row>
    <row r="869" ht="15.75" customHeight="1">
      <c r="A869" s="35" t="s">
        <v>6436</v>
      </c>
      <c r="B869" s="35">
        <v>3.0</v>
      </c>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row>
    <row r="870" ht="15.75" customHeight="1">
      <c r="A870" s="35" t="s">
        <v>6440</v>
      </c>
      <c r="B870" s="35">
        <v>3.0</v>
      </c>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row>
    <row r="871" ht="15.75" customHeight="1">
      <c r="A871" s="35" t="s">
        <v>6443</v>
      </c>
      <c r="B871" s="35">
        <v>3.0</v>
      </c>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row>
    <row r="872" ht="15.75" customHeight="1">
      <c r="A872" s="35" t="s">
        <v>6446</v>
      </c>
      <c r="B872" s="35">
        <v>3.0</v>
      </c>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row>
    <row r="873" ht="15.75" customHeight="1">
      <c r="A873" s="35" t="s">
        <v>6451</v>
      </c>
      <c r="B873" s="35">
        <v>3.0</v>
      </c>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row>
    <row r="874" ht="15.75" customHeight="1">
      <c r="A874" s="35" t="s">
        <v>6454</v>
      </c>
      <c r="B874" s="35">
        <v>3.0</v>
      </c>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row>
    <row r="875" ht="15.75" customHeight="1">
      <c r="A875" s="35" t="s">
        <v>6457</v>
      </c>
      <c r="B875" s="35">
        <v>3.0</v>
      </c>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row>
    <row r="876" ht="15.75" customHeight="1">
      <c r="A876" s="35" t="s">
        <v>6459</v>
      </c>
      <c r="B876" s="35">
        <v>3.0</v>
      </c>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row>
    <row r="877" ht="15.75" customHeight="1">
      <c r="A877" s="35" t="s">
        <v>6462</v>
      </c>
      <c r="B877" s="35">
        <v>3.0</v>
      </c>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row>
    <row r="878" ht="15.75" customHeight="1">
      <c r="A878" s="35" t="s">
        <v>6463</v>
      </c>
      <c r="B878" s="35">
        <v>3.0</v>
      </c>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row>
    <row r="879" ht="15.75" customHeight="1">
      <c r="A879" s="35" t="s">
        <v>6465</v>
      </c>
      <c r="B879" s="35">
        <v>3.0</v>
      </c>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row>
    <row r="880" ht="15.75" customHeight="1">
      <c r="A880" s="35" t="s">
        <v>6468</v>
      </c>
      <c r="B880" s="35">
        <v>3.0</v>
      </c>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row>
    <row r="881" ht="15.75" customHeight="1">
      <c r="A881" s="35" t="s">
        <v>6471</v>
      </c>
      <c r="B881" s="35">
        <v>3.0</v>
      </c>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row>
    <row r="882" ht="15.75" customHeight="1">
      <c r="A882" s="35" t="s">
        <v>6473</v>
      </c>
      <c r="B882" s="35">
        <v>3.0</v>
      </c>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row>
    <row r="883" ht="15.75" customHeight="1">
      <c r="A883" s="35" t="s">
        <v>6476</v>
      </c>
      <c r="B883" s="35">
        <v>3.0</v>
      </c>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row>
    <row r="884" ht="15.75" customHeight="1">
      <c r="A884" s="35" t="s">
        <v>6479</v>
      </c>
      <c r="B884" s="35">
        <v>3.0</v>
      </c>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row>
    <row r="885" ht="15.75" customHeight="1">
      <c r="A885" s="35" t="s">
        <v>6482</v>
      </c>
      <c r="B885" s="35">
        <v>3.0</v>
      </c>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row>
    <row r="886" ht="15.75" customHeight="1">
      <c r="A886" s="35" t="s">
        <v>6484</v>
      </c>
      <c r="B886" s="35">
        <v>3.0</v>
      </c>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row>
    <row r="887" ht="15.75" customHeight="1">
      <c r="A887" s="35" t="s">
        <v>6488</v>
      </c>
      <c r="B887" s="35">
        <v>3.0</v>
      </c>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row>
    <row r="888" ht="15.75" customHeight="1">
      <c r="A888" s="35" t="s">
        <v>6491</v>
      </c>
      <c r="B888" s="35">
        <v>3.0</v>
      </c>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row>
    <row r="889" ht="15.75" customHeight="1">
      <c r="A889" s="35" t="s">
        <v>6493</v>
      </c>
      <c r="B889" s="35">
        <v>3.0</v>
      </c>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row>
    <row r="890" ht="15.75" customHeight="1">
      <c r="A890" s="35" t="s">
        <v>6496</v>
      </c>
      <c r="B890" s="35">
        <v>3.0</v>
      </c>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row>
    <row r="891" ht="15.75" customHeight="1">
      <c r="A891" s="35" t="s">
        <v>6499</v>
      </c>
      <c r="B891" s="35">
        <v>3.0</v>
      </c>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row>
    <row r="892" ht="15.75" customHeight="1">
      <c r="A892" s="35" t="s">
        <v>6501</v>
      </c>
      <c r="B892" s="35">
        <v>3.0</v>
      </c>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row>
    <row r="893" ht="15.75" customHeight="1">
      <c r="A893" s="35" t="s">
        <v>6504</v>
      </c>
      <c r="B893" s="35">
        <v>3.0</v>
      </c>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row>
    <row r="894" ht="15.75" customHeight="1">
      <c r="A894" s="35" t="s">
        <v>6506</v>
      </c>
      <c r="B894" s="35">
        <v>3.0</v>
      </c>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row>
    <row r="895" ht="15.75" customHeight="1">
      <c r="A895" s="35" t="s">
        <v>6508</v>
      </c>
      <c r="B895" s="35">
        <v>3.0</v>
      </c>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row>
    <row r="896" ht="15.75" customHeight="1">
      <c r="A896" s="35" t="s">
        <v>6512</v>
      </c>
      <c r="B896" s="35">
        <v>3.0</v>
      </c>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row>
    <row r="897" ht="15.75" customHeight="1">
      <c r="A897" s="35" t="s">
        <v>6514</v>
      </c>
      <c r="B897" s="35">
        <v>3.0</v>
      </c>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row>
    <row r="898" ht="15.75" customHeight="1">
      <c r="A898" s="35" t="s">
        <v>6517</v>
      </c>
      <c r="B898" s="35">
        <v>3.0</v>
      </c>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row>
    <row r="899" ht="15.75" customHeight="1">
      <c r="A899" s="35" t="s">
        <v>6520</v>
      </c>
      <c r="B899" s="35">
        <v>3.0</v>
      </c>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row>
    <row r="900" ht="15.75" customHeight="1">
      <c r="A900" s="35" t="s">
        <v>6523</v>
      </c>
      <c r="B900" s="35">
        <v>3.0</v>
      </c>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row>
    <row r="901" ht="15.75" customHeight="1">
      <c r="A901" s="35" t="s">
        <v>6525</v>
      </c>
      <c r="B901" s="35">
        <v>3.0</v>
      </c>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row>
    <row r="902" ht="15.75" customHeight="1">
      <c r="A902" s="35" t="s">
        <v>6528</v>
      </c>
      <c r="B902" s="35">
        <v>3.0</v>
      </c>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row>
    <row r="903" ht="15.75" customHeight="1">
      <c r="A903" s="35" t="s">
        <v>6530</v>
      </c>
      <c r="B903" s="35">
        <v>3.0</v>
      </c>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row>
    <row r="904" ht="15.75" customHeight="1">
      <c r="A904" s="35" t="s">
        <v>6533</v>
      </c>
      <c r="B904" s="35">
        <v>3.0</v>
      </c>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row>
    <row r="905" ht="15.75" customHeight="1">
      <c r="A905" s="35" t="s">
        <v>6536</v>
      </c>
      <c r="B905" s="35">
        <v>3.0</v>
      </c>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row>
    <row r="906" ht="15.75" customHeight="1">
      <c r="A906" s="35" t="s">
        <v>6539</v>
      </c>
      <c r="B906" s="35">
        <v>3.0</v>
      </c>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row>
    <row r="907" ht="15.75" customHeight="1">
      <c r="A907" s="35" t="s">
        <v>6541</v>
      </c>
      <c r="B907" s="35">
        <v>3.0</v>
      </c>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row>
    <row r="908" ht="15.75" customHeight="1">
      <c r="A908" s="35" t="s">
        <v>6544</v>
      </c>
      <c r="B908" s="35">
        <v>3.0</v>
      </c>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row>
    <row r="909" ht="15.75" customHeight="1">
      <c r="A909" s="35" t="s">
        <v>6547</v>
      </c>
      <c r="B909" s="35">
        <v>3.0</v>
      </c>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row>
    <row r="910" ht="15.75" customHeight="1">
      <c r="A910" s="35" t="s">
        <v>6550</v>
      </c>
      <c r="B910" s="35">
        <v>3.0</v>
      </c>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row>
    <row r="911" ht="15.75" customHeight="1">
      <c r="A911" s="35" t="s">
        <v>6552</v>
      </c>
      <c r="B911" s="35">
        <v>3.0</v>
      </c>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row>
    <row r="912" ht="15.75" customHeight="1">
      <c r="A912" s="35" t="s">
        <v>6555</v>
      </c>
      <c r="B912" s="35">
        <v>3.0</v>
      </c>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row>
    <row r="913" ht="15.75" customHeight="1">
      <c r="A913" s="35" t="s">
        <v>6558</v>
      </c>
      <c r="B913" s="35">
        <v>3.0</v>
      </c>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row>
    <row r="914" ht="15.75" customHeight="1">
      <c r="A914" s="35" t="s">
        <v>6560</v>
      </c>
      <c r="B914" s="35">
        <v>3.0</v>
      </c>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row>
    <row r="915" ht="15.75" customHeight="1">
      <c r="A915" s="35" t="s">
        <v>6563</v>
      </c>
      <c r="B915" s="35">
        <v>3.0</v>
      </c>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row>
    <row r="916" ht="15.75" customHeight="1">
      <c r="A916" s="35" t="s">
        <v>6566</v>
      </c>
      <c r="B916" s="35">
        <v>3.0</v>
      </c>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row>
    <row r="917" ht="15.75" customHeight="1">
      <c r="A917" s="35" t="s">
        <v>6568</v>
      </c>
      <c r="B917" s="35">
        <v>3.0</v>
      </c>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row>
    <row r="918" ht="15.75" customHeight="1">
      <c r="A918" s="35" t="s">
        <v>6571</v>
      </c>
      <c r="B918" s="35">
        <v>3.0</v>
      </c>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row>
    <row r="919" ht="15.75" customHeight="1">
      <c r="A919" s="35" t="s">
        <v>6574</v>
      </c>
      <c r="B919" s="35">
        <v>3.0</v>
      </c>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row>
    <row r="920" ht="15.75" customHeight="1">
      <c r="A920" s="35" t="s">
        <v>6577</v>
      </c>
      <c r="B920" s="35">
        <v>3.0</v>
      </c>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row>
    <row r="921" ht="15.75" customHeight="1">
      <c r="A921" s="35" t="s">
        <v>6579</v>
      </c>
      <c r="B921" s="35">
        <v>3.0</v>
      </c>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row>
    <row r="922" ht="15.75" customHeight="1">
      <c r="A922" s="35" t="s">
        <v>6582</v>
      </c>
      <c r="B922" s="35">
        <v>3.0</v>
      </c>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row>
    <row r="923" ht="15.75" customHeight="1">
      <c r="A923" s="35" t="s">
        <v>6586</v>
      </c>
      <c r="B923" s="35">
        <v>3.0</v>
      </c>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row>
    <row r="924" ht="15.75" customHeight="1">
      <c r="A924" s="35" t="s">
        <v>6589</v>
      </c>
      <c r="B924" s="35">
        <v>3.0</v>
      </c>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row>
    <row r="925" ht="15.75" customHeight="1">
      <c r="A925" s="35" t="s">
        <v>6592</v>
      </c>
      <c r="B925" s="35">
        <v>3.0</v>
      </c>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row>
    <row r="926" ht="15.75" customHeight="1">
      <c r="A926" s="35" t="s">
        <v>6594</v>
      </c>
      <c r="B926" s="35">
        <v>3.0</v>
      </c>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row>
    <row r="927" ht="15.75" customHeight="1">
      <c r="A927" s="35" t="s">
        <v>6596</v>
      </c>
      <c r="B927" s="35">
        <v>3.0</v>
      </c>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row>
    <row r="928" ht="15.75" customHeight="1">
      <c r="A928" s="35" t="s">
        <v>6599</v>
      </c>
      <c r="B928" s="35">
        <v>3.0</v>
      </c>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row>
    <row r="929" ht="15.75" customHeight="1">
      <c r="A929" s="35" t="s">
        <v>6602</v>
      </c>
      <c r="B929" s="35">
        <v>3.0</v>
      </c>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row>
    <row r="930" ht="15.75" customHeight="1">
      <c r="A930" s="35" t="s">
        <v>6604</v>
      </c>
      <c r="B930" s="35">
        <v>3.0</v>
      </c>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row>
    <row r="931" ht="15.75" customHeight="1">
      <c r="A931" s="35" t="s">
        <v>6607</v>
      </c>
      <c r="B931" s="35">
        <v>3.0</v>
      </c>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row>
    <row r="932" ht="15.75" customHeight="1">
      <c r="A932" s="35" t="s">
        <v>6610</v>
      </c>
      <c r="B932" s="35">
        <v>3.0</v>
      </c>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row>
    <row r="933" ht="15.75" customHeight="1">
      <c r="A933" s="35" t="s">
        <v>6612</v>
      </c>
      <c r="B933" s="35">
        <v>3.0</v>
      </c>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row>
    <row r="934" ht="15.75" customHeight="1">
      <c r="A934" s="35" t="s">
        <v>6616</v>
      </c>
      <c r="B934" s="35">
        <v>3.0</v>
      </c>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row>
    <row r="935" ht="15.75" customHeight="1">
      <c r="A935" s="35" t="s">
        <v>6618</v>
      </c>
      <c r="B935" s="35">
        <v>3.0</v>
      </c>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row>
    <row r="936" ht="15.75" customHeight="1">
      <c r="A936" s="35" t="s">
        <v>6621</v>
      </c>
      <c r="B936" s="35">
        <v>3.0</v>
      </c>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row>
    <row r="937" ht="15.75" customHeight="1">
      <c r="A937" s="35" t="s">
        <v>6624</v>
      </c>
      <c r="B937" s="35">
        <v>3.0</v>
      </c>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row>
    <row r="938" ht="15.75" customHeight="1">
      <c r="A938" s="35" t="s">
        <v>6626</v>
      </c>
      <c r="B938" s="35">
        <v>3.0</v>
      </c>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row>
    <row r="939" ht="15.75" customHeight="1">
      <c r="A939" s="35" t="s">
        <v>6630</v>
      </c>
      <c r="B939" s="35">
        <v>3.0</v>
      </c>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row>
    <row r="940" ht="15.75" customHeight="1">
      <c r="A940" s="35" t="s">
        <v>6633</v>
      </c>
      <c r="B940" s="35">
        <v>3.0</v>
      </c>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row>
    <row r="941" ht="15.75" customHeight="1">
      <c r="A941" s="35" t="s">
        <v>6636</v>
      </c>
      <c r="B941" s="35">
        <v>3.0</v>
      </c>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row>
    <row r="942" ht="15.75" customHeight="1">
      <c r="A942" s="35" t="s">
        <v>6638</v>
      </c>
      <c r="B942" s="35">
        <v>3.0</v>
      </c>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row>
    <row r="943" ht="15.75" customHeight="1">
      <c r="A943" s="35" t="s">
        <v>6641</v>
      </c>
      <c r="B943" s="35">
        <v>3.0</v>
      </c>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row>
    <row r="944" ht="15.75" customHeight="1">
      <c r="A944" s="35" t="s">
        <v>6644</v>
      </c>
      <c r="B944" s="35">
        <v>3.0</v>
      </c>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row>
    <row r="945" ht="15.75" customHeight="1">
      <c r="A945" s="35" t="s">
        <v>6646</v>
      </c>
      <c r="B945" s="35">
        <v>3.0</v>
      </c>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row>
    <row r="946" ht="15.75" customHeight="1">
      <c r="A946" s="35" t="s">
        <v>6649</v>
      </c>
      <c r="B946" s="35">
        <v>3.0</v>
      </c>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row>
    <row r="947" ht="15.75" customHeight="1">
      <c r="A947" s="35" t="s">
        <v>6652</v>
      </c>
      <c r="B947" s="35">
        <v>3.0</v>
      </c>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row>
    <row r="948" ht="15.75" customHeight="1">
      <c r="A948" s="35" t="s">
        <v>6656</v>
      </c>
      <c r="B948" s="35">
        <v>3.0</v>
      </c>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row>
    <row r="949" ht="15.75" customHeight="1">
      <c r="A949" s="35" t="s">
        <v>6659</v>
      </c>
      <c r="B949" s="35">
        <v>3.0</v>
      </c>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row>
    <row r="950" ht="15.75" customHeight="1">
      <c r="A950" s="35" t="s">
        <v>6663</v>
      </c>
      <c r="B950" s="35">
        <v>3.0</v>
      </c>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row>
    <row r="951" ht="15.75" customHeight="1">
      <c r="A951" s="35" t="s">
        <v>6667</v>
      </c>
      <c r="B951" s="35">
        <v>3.0</v>
      </c>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row>
    <row r="952" ht="15.75" customHeight="1">
      <c r="A952" s="35" t="s">
        <v>6670</v>
      </c>
      <c r="B952" s="35">
        <v>3.0</v>
      </c>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row>
    <row r="953" ht="15.75" customHeight="1">
      <c r="A953" s="35" t="s">
        <v>6674</v>
      </c>
      <c r="B953" s="35">
        <v>3.0</v>
      </c>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row>
    <row r="954" ht="15.75" customHeight="1">
      <c r="A954" s="35" t="s">
        <v>6678</v>
      </c>
      <c r="B954" s="35">
        <v>3.0</v>
      </c>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row>
    <row r="955" ht="15.75" customHeight="1">
      <c r="A955" s="35" t="s">
        <v>6681</v>
      </c>
      <c r="B955" s="35">
        <v>3.0</v>
      </c>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row>
    <row r="956" ht="15.75" customHeight="1">
      <c r="A956" s="35" t="s">
        <v>6685</v>
      </c>
      <c r="B956" s="35">
        <v>3.0</v>
      </c>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row>
    <row r="957" ht="15.75" customHeight="1">
      <c r="A957" s="35" t="s">
        <v>6688</v>
      </c>
      <c r="B957" s="35">
        <v>3.0</v>
      </c>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row>
    <row r="958" ht="15.75" customHeight="1">
      <c r="A958" s="35" t="s">
        <v>6691</v>
      </c>
      <c r="B958" s="35">
        <v>3.0</v>
      </c>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row>
    <row r="959" ht="15.75" customHeight="1">
      <c r="A959" s="35" t="s">
        <v>6693</v>
      </c>
      <c r="B959" s="35">
        <v>3.0</v>
      </c>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row>
    <row r="960" ht="15.75" customHeight="1">
      <c r="A960" s="35" t="s">
        <v>6696</v>
      </c>
      <c r="B960" s="35">
        <v>3.0</v>
      </c>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row>
    <row r="961" ht="15.75" customHeight="1">
      <c r="A961" s="35" t="s">
        <v>6699</v>
      </c>
      <c r="B961" s="35">
        <v>3.0</v>
      </c>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row>
    <row r="962" ht="15.75" customHeight="1">
      <c r="A962" s="35" t="s">
        <v>6702</v>
      </c>
      <c r="B962" s="35">
        <v>2.0</v>
      </c>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row>
    <row r="963" ht="15.75" customHeight="1">
      <c r="A963" s="35" t="s">
        <v>6705</v>
      </c>
      <c r="B963" s="35">
        <v>2.0</v>
      </c>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row>
    <row r="964" ht="15.75" customHeight="1">
      <c r="A964" s="35" t="s">
        <v>6709</v>
      </c>
      <c r="B964" s="35">
        <v>2.0</v>
      </c>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row>
    <row r="965" ht="15.75" customHeight="1">
      <c r="A965" s="35" t="s">
        <v>6714</v>
      </c>
      <c r="B965" s="35">
        <v>2.0</v>
      </c>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row>
    <row r="966" ht="15.75" customHeight="1">
      <c r="A966" s="35" t="s">
        <v>6718</v>
      </c>
      <c r="B966" s="35">
        <v>2.0</v>
      </c>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row>
    <row r="967" ht="15.75" customHeight="1">
      <c r="A967" s="35" t="s">
        <v>6722</v>
      </c>
      <c r="B967" s="35">
        <v>2.0</v>
      </c>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row>
    <row r="968" ht="15.75" customHeight="1">
      <c r="A968" s="35" t="s">
        <v>6727</v>
      </c>
      <c r="B968" s="35">
        <v>2.0</v>
      </c>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row>
    <row r="969" ht="15.75" customHeight="1">
      <c r="A969" s="35" t="s">
        <v>6730</v>
      </c>
      <c r="B969" s="35">
        <v>2.0</v>
      </c>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row>
    <row r="970" ht="15.75" customHeight="1">
      <c r="A970" s="35" t="s">
        <v>6734</v>
      </c>
      <c r="B970" s="35">
        <v>2.0</v>
      </c>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row>
    <row r="971" ht="15.75" customHeight="1">
      <c r="A971" s="35" t="s">
        <v>6737</v>
      </c>
      <c r="B971" s="35">
        <v>2.0</v>
      </c>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row>
    <row r="972" ht="15.75" customHeight="1">
      <c r="A972" s="35" t="s">
        <v>6740</v>
      </c>
      <c r="B972" s="35">
        <v>2.0</v>
      </c>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row>
    <row r="973" ht="15.75" customHeight="1">
      <c r="A973" s="35" t="s">
        <v>6743</v>
      </c>
      <c r="B973" s="35">
        <v>2.0</v>
      </c>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row>
    <row r="974" ht="15.75" customHeight="1">
      <c r="A974" s="35" t="s">
        <v>6747</v>
      </c>
      <c r="B974" s="35">
        <v>2.0</v>
      </c>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row>
    <row r="975" ht="15.75" customHeight="1">
      <c r="A975" s="35" t="s">
        <v>6750</v>
      </c>
      <c r="B975" s="35">
        <v>2.0</v>
      </c>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row>
    <row r="976" ht="15.75" customHeight="1">
      <c r="A976" s="35" t="s">
        <v>6753</v>
      </c>
      <c r="B976" s="35">
        <v>2.0</v>
      </c>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row>
    <row r="977" ht="15.75" customHeight="1">
      <c r="A977" s="35" t="s">
        <v>6756</v>
      </c>
      <c r="B977" s="35">
        <v>2.0</v>
      </c>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row>
    <row r="978" ht="15.75" customHeight="1">
      <c r="A978" s="35" t="s">
        <v>6760</v>
      </c>
      <c r="B978" s="35">
        <v>2.0</v>
      </c>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row>
    <row r="979" ht="15.75" customHeight="1">
      <c r="A979" s="35" t="s">
        <v>6763</v>
      </c>
      <c r="B979" s="35">
        <v>2.0</v>
      </c>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row>
    <row r="980" ht="15.75" customHeight="1">
      <c r="A980" s="35" t="s">
        <v>6767</v>
      </c>
      <c r="B980" s="35">
        <v>2.0</v>
      </c>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row>
    <row r="981" ht="15.75" customHeight="1">
      <c r="A981" s="35" t="s">
        <v>6770</v>
      </c>
      <c r="B981" s="35">
        <v>2.0</v>
      </c>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row>
    <row r="982" ht="15.75" customHeight="1">
      <c r="A982" s="35" t="s">
        <v>6774</v>
      </c>
      <c r="B982" s="35">
        <v>2.0</v>
      </c>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row>
    <row r="983" ht="15.75" customHeight="1">
      <c r="A983" s="35" t="s">
        <v>6777</v>
      </c>
      <c r="B983" s="35">
        <v>2.0</v>
      </c>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row>
    <row r="984" ht="15.75" customHeight="1">
      <c r="A984" s="35" t="s">
        <v>6780</v>
      </c>
      <c r="B984" s="35">
        <v>2.0</v>
      </c>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row>
    <row r="985" ht="15.75" customHeight="1">
      <c r="A985" s="35" t="s">
        <v>6783</v>
      </c>
      <c r="B985" s="35">
        <v>2.0</v>
      </c>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row>
    <row r="986" ht="15.75" customHeight="1">
      <c r="A986" s="35" t="s">
        <v>6787</v>
      </c>
      <c r="B986" s="35">
        <v>2.0</v>
      </c>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row>
    <row r="987" ht="15.75" customHeight="1">
      <c r="A987" s="35" t="s">
        <v>6790</v>
      </c>
      <c r="B987" s="35">
        <v>2.0</v>
      </c>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row>
    <row r="988" ht="15.75" customHeight="1">
      <c r="A988" s="35" t="s">
        <v>6793</v>
      </c>
      <c r="B988" s="35">
        <v>2.0</v>
      </c>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row>
    <row r="989" ht="15.75" customHeight="1">
      <c r="A989" s="35" t="s">
        <v>6797</v>
      </c>
      <c r="B989" s="35">
        <v>2.0</v>
      </c>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row>
    <row r="990" ht="15.75" customHeight="1">
      <c r="A990" s="35" t="s">
        <v>6800</v>
      </c>
      <c r="B990" s="35">
        <v>2.0</v>
      </c>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row>
    <row r="991" ht="15.75" customHeight="1">
      <c r="A991" s="35" t="s">
        <v>6803</v>
      </c>
      <c r="B991" s="35">
        <v>2.0</v>
      </c>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row>
    <row r="992" ht="15.75" customHeight="1">
      <c r="A992" s="35" t="s">
        <v>6806</v>
      </c>
      <c r="B992" s="35">
        <v>2.0</v>
      </c>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row>
    <row r="993" ht="15.75" customHeight="1">
      <c r="A993" s="35" t="s">
        <v>6810</v>
      </c>
      <c r="B993" s="35">
        <v>2.0</v>
      </c>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row>
    <row r="994" ht="15.75" customHeight="1">
      <c r="A994" s="35" t="s">
        <v>6813</v>
      </c>
      <c r="B994" s="35">
        <v>2.0</v>
      </c>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row>
    <row r="995" ht="15.75" customHeight="1">
      <c r="A995" s="35" t="s">
        <v>6816</v>
      </c>
      <c r="B995" s="35">
        <v>2.0</v>
      </c>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row>
    <row r="996" ht="15.75" customHeight="1">
      <c r="A996" s="35" t="s">
        <v>6819</v>
      </c>
      <c r="B996" s="35">
        <v>2.0</v>
      </c>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row>
    <row r="997" ht="15.75" customHeight="1">
      <c r="A997" s="35" t="s">
        <v>6823</v>
      </c>
      <c r="B997" s="35">
        <v>2.0</v>
      </c>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row>
    <row r="998" ht="15.75" customHeight="1">
      <c r="A998" s="35" t="s">
        <v>6826</v>
      </c>
      <c r="B998" s="35">
        <v>2.0</v>
      </c>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row>
    <row r="999" ht="15.75" customHeight="1">
      <c r="A999" s="35" t="s">
        <v>6829</v>
      </c>
      <c r="B999" s="35">
        <v>2.0</v>
      </c>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row>
    <row r="1000" ht="15.75" customHeight="1">
      <c r="A1000" s="35" t="s">
        <v>6832</v>
      </c>
      <c r="B1000" s="35">
        <v>2.0</v>
      </c>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row>
    <row r="1001" ht="15.75" customHeight="1">
      <c r="A1001" s="35" t="s">
        <v>6836</v>
      </c>
      <c r="B1001" s="35">
        <v>2.0</v>
      </c>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c r="AA1001" s="35"/>
      <c r="AB1001" s="35"/>
    </row>
    <row r="1002" ht="15.75" customHeight="1">
      <c r="A1002" s="35" t="s">
        <v>6839</v>
      </c>
      <c r="B1002" s="35">
        <v>2.0</v>
      </c>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c r="AA1002" s="35"/>
      <c r="AB1002" s="35"/>
    </row>
    <row r="1003" ht="15.75" customHeight="1">
      <c r="A1003" s="35" t="s">
        <v>6842</v>
      </c>
      <c r="B1003" s="35">
        <v>2.0</v>
      </c>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c r="AA1003" s="35"/>
      <c r="AB1003" s="35"/>
    </row>
    <row r="1004" ht="15.75" customHeight="1">
      <c r="A1004" s="35" t="s">
        <v>6845</v>
      </c>
      <c r="B1004" s="35">
        <v>2.0</v>
      </c>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c r="AA1004" s="35"/>
      <c r="AB1004" s="35"/>
    </row>
    <row r="1005" ht="15.75" customHeight="1">
      <c r="A1005" s="35" t="s">
        <v>6848</v>
      </c>
      <c r="B1005" s="35">
        <v>2.0</v>
      </c>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5"/>
      <c r="AA1005" s="35"/>
      <c r="AB1005" s="35"/>
    </row>
    <row r="1006" ht="15.75" customHeight="1">
      <c r="A1006" s="35" t="s">
        <v>6852</v>
      </c>
      <c r="B1006" s="35">
        <v>2.0</v>
      </c>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5"/>
      <c r="AA1006" s="35"/>
      <c r="AB1006" s="35"/>
    </row>
    <row r="1007" ht="15.75" customHeight="1">
      <c r="A1007" s="35" t="s">
        <v>6855</v>
      </c>
      <c r="B1007" s="35">
        <v>2.0</v>
      </c>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5"/>
      <c r="AA1007" s="35"/>
      <c r="AB1007" s="35"/>
    </row>
    <row r="1008" ht="15.75" customHeight="1">
      <c r="A1008" s="35" t="s">
        <v>2901</v>
      </c>
      <c r="B1008" s="35">
        <v>2.0</v>
      </c>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5"/>
      <c r="AA1008" s="35"/>
      <c r="AB1008" s="35"/>
    </row>
    <row r="1009" ht="15.75" customHeight="1">
      <c r="A1009" s="35" t="s">
        <v>6860</v>
      </c>
      <c r="B1009" s="35">
        <v>2.0</v>
      </c>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c r="Z1009" s="35"/>
      <c r="AA1009" s="35"/>
      <c r="AB1009" s="35"/>
    </row>
    <row r="1010" ht="15.75" customHeight="1">
      <c r="A1010" s="35" t="s">
        <v>6863</v>
      </c>
      <c r="B1010" s="35">
        <v>2.0</v>
      </c>
      <c r="C1010" s="35"/>
      <c r="D1010" s="35"/>
      <c r="E1010" s="35"/>
      <c r="F1010" s="35"/>
      <c r="G1010" s="35"/>
      <c r="H1010" s="35"/>
      <c r="I1010" s="35"/>
      <c r="J1010" s="35"/>
      <c r="K1010" s="35"/>
      <c r="L1010" s="35"/>
      <c r="M1010" s="35"/>
      <c r="N1010" s="35"/>
      <c r="O1010" s="35"/>
      <c r="P1010" s="35"/>
      <c r="Q1010" s="35"/>
      <c r="R1010" s="35"/>
      <c r="S1010" s="35"/>
      <c r="T1010" s="35"/>
      <c r="U1010" s="35"/>
      <c r="V1010" s="35"/>
      <c r="W1010" s="35"/>
      <c r="X1010" s="35"/>
      <c r="Y1010" s="35"/>
      <c r="Z1010" s="35"/>
      <c r="AA1010" s="35"/>
      <c r="AB1010" s="35"/>
    </row>
    <row r="1011" ht="15.75" customHeight="1">
      <c r="A1011" s="35" t="s">
        <v>6867</v>
      </c>
      <c r="B1011" s="35">
        <v>2.0</v>
      </c>
      <c r="C1011" s="35"/>
      <c r="D1011" s="35"/>
      <c r="E1011" s="35"/>
      <c r="F1011" s="35"/>
      <c r="G1011" s="35"/>
      <c r="H1011" s="35"/>
      <c r="I1011" s="35"/>
      <c r="J1011" s="35"/>
      <c r="K1011" s="35"/>
      <c r="L1011" s="35"/>
      <c r="M1011" s="35"/>
      <c r="N1011" s="35"/>
      <c r="O1011" s="35"/>
      <c r="P1011" s="35"/>
      <c r="Q1011" s="35"/>
      <c r="R1011" s="35"/>
      <c r="S1011" s="35"/>
      <c r="T1011" s="35"/>
      <c r="U1011" s="35"/>
      <c r="V1011" s="35"/>
      <c r="W1011" s="35"/>
      <c r="X1011" s="35"/>
      <c r="Y1011" s="35"/>
      <c r="Z1011" s="35"/>
      <c r="AA1011" s="35"/>
      <c r="AB1011" s="35"/>
    </row>
    <row r="1012" ht="15.75" customHeight="1">
      <c r="A1012" s="35" t="s">
        <v>6870</v>
      </c>
      <c r="B1012" s="35">
        <v>2.0</v>
      </c>
      <c r="C1012" s="35"/>
      <c r="D1012" s="35"/>
      <c r="E1012" s="35"/>
      <c r="F1012" s="35"/>
      <c r="G1012" s="35"/>
      <c r="H1012" s="35"/>
      <c r="I1012" s="35"/>
      <c r="J1012" s="35"/>
      <c r="K1012" s="35"/>
      <c r="L1012" s="35"/>
      <c r="M1012" s="35"/>
      <c r="N1012" s="35"/>
      <c r="O1012" s="35"/>
      <c r="P1012" s="35"/>
      <c r="Q1012" s="35"/>
      <c r="R1012" s="35"/>
      <c r="S1012" s="35"/>
      <c r="T1012" s="35"/>
      <c r="U1012" s="35"/>
      <c r="V1012" s="35"/>
      <c r="W1012" s="35"/>
      <c r="X1012" s="35"/>
      <c r="Y1012" s="35"/>
      <c r="Z1012" s="35"/>
      <c r="AA1012" s="35"/>
      <c r="AB1012" s="35"/>
    </row>
    <row r="1013" ht="15.75" customHeight="1">
      <c r="A1013" s="35" t="s">
        <v>6874</v>
      </c>
      <c r="B1013" s="35">
        <v>2.0</v>
      </c>
      <c r="C1013" s="35"/>
      <c r="D1013" s="35"/>
      <c r="E1013" s="35"/>
      <c r="F1013" s="35"/>
      <c r="G1013" s="35"/>
      <c r="H1013" s="35"/>
      <c r="I1013" s="35"/>
      <c r="J1013" s="35"/>
      <c r="K1013" s="35"/>
      <c r="L1013" s="35"/>
      <c r="M1013" s="35"/>
      <c r="N1013" s="35"/>
      <c r="O1013" s="35"/>
      <c r="P1013" s="35"/>
      <c r="Q1013" s="35"/>
      <c r="R1013" s="35"/>
      <c r="S1013" s="35"/>
      <c r="T1013" s="35"/>
      <c r="U1013" s="35"/>
      <c r="V1013" s="35"/>
      <c r="W1013" s="35"/>
      <c r="X1013" s="35"/>
      <c r="Y1013" s="35"/>
      <c r="Z1013" s="35"/>
      <c r="AA1013" s="35"/>
      <c r="AB1013" s="35"/>
    </row>
    <row r="1014" ht="15.75" customHeight="1">
      <c r="A1014" s="35" t="s">
        <v>6877</v>
      </c>
      <c r="B1014" s="35">
        <v>2.0</v>
      </c>
      <c r="C1014" s="35"/>
      <c r="D1014" s="35"/>
      <c r="E1014" s="35"/>
      <c r="F1014" s="35"/>
      <c r="G1014" s="35"/>
      <c r="H1014" s="35"/>
      <c r="I1014" s="35"/>
      <c r="J1014" s="35"/>
      <c r="K1014" s="35"/>
      <c r="L1014" s="35"/>
      <c r="M1014" s="35"/>
      <c r="N1014" s="35"/>
      <c r="O1014" s="35"/>
      <c r="P1014" s="35"/>
      <c r="Q1014" s="35"/>
      <c r="R1014" s="35"/>
      <c r="S1014" s="35"/>
      <c r="T1014" s="35"/>
      <c r="U1014" s="35"/>
      <c r="V1014" s="35"/>
      <c r="W1014" s="35"/>
      <c r="X1014" s="35"/>
      <c r="Y1014" s="35"/>
      <c r="Z1014" s="35"/>
      <c r="AA1014" s="35"/>
      <c r="AB1014" s="35"/>
    </row>
    <row r="1015" ht="15.75" customHeight="1">
      <c r="A1015" s="35" t="s">
        <v>6880</v>
      </c>
      <c r="B1015" s="35">
        <v>2.0</v>
      </c>
      <c r="C1015" s="35"/>
      <c r="D1015" s="35"/>
      <c r="E1015" s="35"/>
      <c r="F1015" s="35"/>
      <c r="G1015" s="35"/>
      <c r="H1015" s="35"/>
      <c r="I1015" s="35"/>
      <c r="J1015" s="35"/>
      <c r="K1015" s="35"/>
      <c r="L1015" s="35"/>
      <c r="M1015" s="35"/>
      <c r="N1015" s="35"/>
      <c r="O1015" s="35"/>
      <c r="P1015" s="35"/>
      <c r="Q1015" s="35"/>
      <c r="R1015" s="35"/>
      <c r="S1015" s="35"/>
      <c r="T1015" s="35"/>
      <c r="U1015" s="35"/>
      <c r="V1015" s="35"/>
      <c r="W1015" s="35"/>
      <c r="X1015" s="35"/>
      <c r="Y1015" s="35"/>
      <c r="Z1015" s="35"/>
      <c r="AA1015" s="35"/>
      <c r="AB1015" s="35"/>
    </row>
    <row r="1016" ht="15.75" customHeight="1">
      <c r="A1016" s="35" t="s">
        <v>6883</v>
      </c>
      <c r="B1016" s="35">
        <v>2.0</v>
      </c>
      <c r="C1016" s="35"/>
      <c r="D1016" s="35"/>
      <c r="E1016" s="35"/>
      <c r="F1016" s="35"/>
      <c r="G1016" s="35"/>
      <c r="H1016" s="35"/>
      <c r="I1016" s="35"/>
      <c r="J1016" s="35"/>
      <c r="K1016" s="35"/>
      <c r="L1016" s="35"/>
      <c r="M1016" s="35"/>
      <c r="N1016" s="35"/>
      <c r="O1016" s="35"/>
      <c r="P1016" s="35"/>
      <c r="Q1016" s="35"/>
      <c r="R1016" s="35"/>
      <c r="S1016" s="35"/>
      <c r="T1016" s="35"/>
      <c r="U1016" s="35"/>
      <c r="V1016" s="35"/>
      <c r="W1016" s="35"/>
      <c r="X1016" s="35"/>
      <c r="Y1016" s="35"/>
      <c r="Z1016" s="35"/>
      <c r="AA1016" s="35"/>
      <c r="AB1016" s="35"/>
    </row>
    <row r="1017" ht="15.75" customHeight="1">
      <c r="A1017" s="35" t="s">
        <v>6886</v>
      </c>
      <c r="B1017" s="35">
        <v>2.0</v>
      </c>
      <c r="C1017" s="35"/>
      <c r="D1017" s="35"/>
      <c r="E1017" s="35"/>
      <c r="F1017" s="35"/>
      <c r="G1017" s="35"/>
      <c r="H1017" s="35"/>
      <c r="I1017" s="35"/>
      <c r="J1017" s="35"/>
      <c r="K1017" s="35"/>
      <c r="L1017" s="35"/>
      <c r="M1017" s="35"/>
      <c r="N1017" s="35"/>
      <c r="O1017" s="35"/>
      <c r="P1017" s="35"/>
      <c r="Q1017" s="35"/>
      <c r="R1017" s="35"/>
      <c r="S1017" s="35"/>
      <c r="T1017" s="35"/>
      <c r="U1017" s="35"/>
      <c r="V1017" s="35"/>
      <c r="W1017" s="35"/>
      <c r="X1017" s="35"/>
      <c r="Y1017" s="35"/>
      <c r="Z1017" s="35"/>
      <c r="AA1017" s="35"/>
      <c r="AB1017" s="35"/>
    </row>
    <row r="1018" ht="15.75" customHeight="1">
      <c r="A1018" s="35" t="s">
        <v>6888</v>
      </c>
      <c r="B1018" s="35">
        <v>2.0</v>
      </c>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c r="Z1018" s="35"/>
      <c r="AA1018" s="35"/>
      <c r="AB1018" s="35"/>
    </row>
    <row r="1019" ht="15.75" customHeight="1">
      <c r="A1019" s="35" t="s">
        <v>6891</v>
      </c>
      <c r="B1019" s="35">
        <v>2.0</v>
      </c>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c r="AA1019" s="35"/>
      <c r="AB1019" s="35"/>
    </row>
    <row r="1020" ht="15.75" customHeight="1">
      <c r="A1020" s="35" t="s">
        <v>6894</v>
      </c>
      <c r="B1020" s="35">
        <v>2.0</v>
      </c>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c r="Z1020" s="35"/>
      <c r="AA1020" s="35"/>
      <c r="AB1020" s="35"/>
    </row>
    <row r="1021" ht="15.75" customHeight="1">
      <c r="A1021" s="35" t="s">
        <v>6897</v>
      </c>
      <c r="B1021" s="35">
        <v>2.0</v>
      </c>
      <c r="C1021" s="35"/>
      <c r="D1021" s="35"/>
      <c r="E1021" s="35"/>
      <c r="F1021" s="35"/>
      <c r="G1021" s="35"/>
      <c r="H1021" s="35"/>
      <c r="I1021" s="35"/>
      <c r="J1021" s="35"/>
      <c r="K1021" s="35"/>
      <c r="L1021" s="35"/>
      <c r="M1021" s="35"/>
      <c r="N1021" s="35"/>
      <c r="O1021" s="35"/>
      <c r="P1021" s="35"/>
      <c r="Q1021" s="35"/>
      <c r="R1021" s="35"/>
      <c r="S1021" s="35"/>
      <c r="T1021" s="35"/>
      <c r="U1021" s="35"/>
      <c r="V1021" s="35"/>
      <c r="W1021" s="35"/>
      <c r="X1021" s="35"/>
      <c r="Y1021" s="35"/>
      <c r="Z1021" s="35"/>
      <c r="AA1021" s="35"/>
      <c r="AB1021" s="35"/>
    </row>
    <row r="1022" ht="15.75" customHeight="1">
      <c r="A1022" s="35" t="s">
        <v>6900</v>
      </c>
      <c r="B1022" s="35">
        <v>2.0</v>
      </c>
      <c r="C1022" s="35"/>
      <c r="D1022" s="35"/>
      <c r="E1022" s="35"/>
      <c r="F1022" s="35"/>
      <c r="G1022" s="35"/>
      <c r="H1022" s="35"/>
      <c r="I1022" s="35"/>
      <c r="J1022" s="35"/>
      <c r="K1022" s="35"/>
      <c r="L1022" s="35"/>
      <c r="M1022" s="35"/>
      <c r="N1022" s="35"/>
      <c r="O1022" s="35"/>
      <c r="P1022" s="35"/>
      <c r="Q1022" s="35"/>
      <c r="R1022" s="35"/>
      <c r="S1022" s="35"/>
      <c r="T1022" s="35"/>
      <c r="U1022" s="35"/>
      <c r="V1022" s="35"/>
      <c r="W1022" s="35"/>
      <c r="X1022" s="35"/>
      <c r="Y1022" s="35"/>
      <c r="Z1022" s="35"/>
      <c r="AA1022" s="35"/>
      <c r="AB1022" s="35"/>
    </row>
    <row r="1023" ht="15.75" customHeight="1">
      <c r="A1023" s="35" t="s">
        <v>6904</v>
      </c>
      <c r="B1023" s="35">
        <v>2.0</v>
      </c>
      <c r="C1023" s="35"/>
      <c r="D1023" s="35"/>
      <c r="E1023" s="35"/>
      <c r="F1023" s="35"/>
      <c r="G1023" s="35"/>
      <c r="H1023" s="35"/>
      <c r="I1023" s="35"/>
      <c r="J1023" s="35"/>
      <c r="K1023" s="35"/>
      <c r="L1023" s="35"/>
      <c r="M1023" s="35"/>
      <c r="N1023" s="35"/>
      <c r="O1023" s="35"/>
      <c r="P1023" s="35"/>
      <c r="Q1023" s="35"/>
      <c r="R1023" s="35"/>
      <c r="S1023" s="35"/>
      <c r="T1023" s="35"/>
      <c r="U1023" s="35"/>
      <c r="V1023" s="35"/>
      <c r="W1023" s="35"/>
      <c r="X1023" s="35"/>
      <c r="Y1023" s="35"/>
      <c r="Z1023" s="35"/>
      <c r="AA1023" s="35"/>
      <c r="AB1023" s="35"/>
    </row>
    <row r="1024" ht="15.75" customHeight="1">
      <c r="A1024" s="35" t="s">
        <v>6907</v>
      </c>
      <c r="B1024" s="35">
        <v>2.0</v>
      </c>
      <c r="C1024" s="35"/>
      <c r="D1024" s="35"/>
      <c r="E1024" s="35"/>
      <c r="F1024" s="35"/>
      <c r="G1024" s="35"/>
      <c r="H1024" s="35"/>
      <c r="I1024" s="35"/>
      <c r="J1024" s="35"/>
      <c r="K1024" s="35"/>
      <c r="L1024" s="35"/>
      <c r="M1024" s="35"/>
      <c r="N1024" s="35"/>
      <c r="O1024" s="35"/>
      <c r="P1024" s="35"/>
      <c r="Q1024" s="35"/>
      <c r="R1024" s="35"/>
      <c r="S1024" s="35"/>
      <c r="T1024" s="35"/>
      <c r="U1024" s="35"/>
      <c r="V1024" s="35"/>
      <c r="W1024" s="35"/>
      <c r="X1024" s="35"/>
      <c r="Y1024" s="35"/>
      <c r="Z1024" s="35"/>
      <c r="AA1024" s="35"/>
      <c r="AB1024" s="35"/>
    </row>
    <row r="1025" ht="15.75" customHeight="1">
      <c r="A1025" s="35" t="s">
        <v>6910</v>
      </c>
      <c r="B1025" s="35">
        <v>2.0</v>
      </c>
      <c r="C1025" s="35"/>
      <c r="D1025" s="35"/>
      <c r="E1025" s="35"/>
      <c r="F1025" s="35"/>
      <c r="G1025" s="35"/>
      <c r="H1025" s="35"/>
      <c r="I1025" s="35"/>
      <c r="J1025" s="35"/>
      <c r="K1025" s="35"/>
      <c r="L1025" s="35"/>
      <c r="M1025" s="35"/>
      <c r="N1025" s="35"/>
      <c r="O1025" s="35"/>
      <c r="P1025" s="35"/>
      <c r="Q1025" s="35"/>
      <c r="R1025" s="35"/>
      <c r="S1025" s="35"/>
      <c r="T1025" s="35"/>
      <c r="U1025" s="35"/>
      <c r="V1025" s="35"/>
      <c r="W1025" s="35"/>
      <c r="X1025" s="35"/>
      <c r="Y1025" s="35"/>
      <c r="Z1025" s="35"/>
      <c r="AA1025" s="35"/>
      <c r="AB1025" s="35"/>
    </row>
    <row r="1026" ht="15.75" customHeight="1">
      <c r="A1026" s="35" t="s">
        <v>6913</v>
      </c>
      <c r="B1026" s="35">
        <v>2.0</v>
      </c>
      <c r="C1026" s="35"/>
      <c r="D1026" s="35"/>
      <c r="E1026" s="35"/>
      <c r="F1026" s="35"/>
      <c r="G1026" s="35"/>
      <c r="H1026" s="35"/>
      <c r="I1026" s="35"/>
      <c r="J1026" s="35"/>
      <c r="K1026" s="35"/>
      <c r="L1026" s="35"/>
      <c r="M1026" s="35"/>
      <c r="N1026" s="35"/>
      <c r="O1026" s="35"/>
      <c r="P1026" s="35"/>
      <c r="Q1026" s="35"/>
      <c r="R1026" s="35"/>
      <c r="S1026" s="35"/>
      <c r="T1026" s="35"/>
      <c r="U1026" s="35"/>
      <c r="V1026" s="35"/>
      <c r="W1026" s="35"/>
      <c r="X1026" s="35"/>
      <c r="Y1026" s="35"/>
      <c r="Z1026" s="35"/>
      <c r="AA1026" s="35"/>
      <c r="AB1026" s="35"/>
    </row>
    <row r="1027" ht="15.75" customHeight="1">
      <c r="A1027" s="35" t="s">
        <v>6917</v>
      </c>
      <c r="B1027" s="35">
        <v>2.0</v>
      </c>
      <c r="C1027" s="35"/>
      <c r="D1027" s="35"/>
      <c r="E1027" s="35"/>
      <c r="F1027" s="35"/>
      <c r="G1027" s="35"/>
      <c r="H1027" s="35"/>
      <c r="I1027" s="35"/>
      <c r="J1027" s="35"/>
      <c r="K1027" s="35"/>
      <c r="L1027" s="35"/>
      <c r="M1027" s="35"/>
      <c r="N1027" s="35"/>
      <c r="O1027" s="35"/>
      <c r="P1027" s="35"/>
      <c r="Q1027" s="35"/>
      <c r="R1027" s="35"/>
      <c r="S1027" s="35"/>
      <c r="T1027" s="35"/>
      <c r="U1027" s="35"/>
      <c r="V1027" s="35"/>
      <c r="W1027" s="35"/>
      <c r="X1027" s="35"/>
      <c r="Y1027" s="35"/>
      <c r="Z1027" s="35"/>
      <c r="AA1027" s="35"/>
      <c r="AB1027" s="35"/>
    </row>
    <row r="1028" ht="15.75" customHeight="1">
      <c r="A1028" s="35" t="s">
        <v>6920</v>
      </c>
      <c r="B1028" s="35">
        <v>2.0</v>
      </c>
      <c r="C1028" s="35"/>
      <c r="D1028" s="35"/>
      <c r="E1028" s="35"/>
      <c r="F1028" s="35"/>
      <c r="G1028" s="35"/>
      <c r="H1028" s="35"/>
      <c r="I1028" s="35"/>
      <c r="J1028" s="35"/>
      <c r="K1028" s="35"/>
      <c r="L1028" s="35"/>
      <c r="M1028" s="35"/>
      <c r="N1028" s="35"/>
      <c r="O1028" s="35"/>
      <c r="P1028" s="35"/>
      <c r="Q1028" s="35"/>
      <c r="R1028" s="35"/>
      <c r="S1028" s="35"/>
      <c r="T1028" s="35"/>
      <c r="U1028" s="35"/>
      <c r="V1028" s="35"/>
      <c r="W1028" s="35"/>
      <c r="X1028" s="35"/>
      <c r="Y1028" s="35"/>
      <c r="Z1028" s="35"/>
      <c r="AA1028" s="35"/>
      <c r="AB1028" s="35"/>
    </row>
    <row r="1029" ht="15.75" customHeight="1">
      <c r="A1029" s="35" t="s">
        <v>6923</v>
      </c>
      <c r="B1029" s="35">
        <v>2.0</v>
      </c>
      <c r="C1029" s="35"/>
      <c r="D1029" s="35"/>
      <c r="E1029" s="35"/>
      <c r="F1029" s="35"/>
      <c r="G1029" s="35"/>
      <c r="H1029" s="35"/>
      <c r="I1029" s="35"/>
      <c r="J1029" s="35"/>
      <c r="K1029" s="35"/>
      <c r="L1029" s="35"/>
      <c r="M1029" s="35"/>
      <c r="N1029" s="35"/>
      <c r="O1029" s="35"/>
      <c r="P1029" s="35"/>
      <c r="Q1029" s="35"/>
      <c r="R1029" s="35"/>
      <c r="S1029" s="35"/>
      <c r="T1029" s="35"/>
      <c r="U1029" s="35"/>
      <c r="V1029" s="35"/>
      <c r="W1029" s="35"/>
      <c r="X1029" s="35"/>
      <c r="Y1029" s="35"/>
      <c r="Z1029" s="35"/>
      <c r="AA1029" s="35"/>
      <c r="AB1029" s="35"/>
    </row>
    <row r="1030" ht="15.75" customHeight="1">
      <c r="A1030" s="35" t="s">
        <v>6927</v>
      </c>
      <c r="B1030" s="35">
        <v>2.0</v>
      </c>
      <c r="C1030" s="35"/>
      <c r="D1030" s="35"/>
      <c r="E1030" s="35"/>
      <c r="F1030" s="35"/>
      <c r="G1030" s="35"/>
      <c r="H1030" s="35"/>
      <c r="I1030" s="35"/>
      <c r="J1030" s="35"/>
      <c r="K1030" s="35"/>
      <c r="L1030" s="35"/>
      <c r="M1030" s="35"/>
      <c r="N1030" s="35"/>
      <c r="O1030" s="35"/>
      <c r="P1030" s="35"/>
      <c r="Q1030" s="35"/>
      <c r="R1030" s="35"/>
      <c r="S1030" s="35"/>
      <c r="T1030" s="35"/>
      <c r="U1030" s="35"/>
      <c r="V1030" s="35"/>
      <c r="W1030" s="35"/>
      <c r="X1030" s="35"/>
      <c r="Y1030" s="35"/>
      <c r="Z1030" s="35"/>
      <c r="AA1030" s="35"/>
      <c r="AB1030" s="35"/>
    </row>
    <row r="1031" ht="15.75" customHeight="1">
      <c r="A1031" s="35" t="s">
        <v>6930</v>
      </c>
      <c r="B1031" s="35">
        <v>2.0</v>
      </c>
      <c r="C1031" s="35"/>
      <c r="D1031" s="35"/>
      <c r="E1031" s="35"/>
      <c r="F1031" s="35"/>
      <c r="G1031" s="35"/>
      <c r="H1031" s="35"/>
      <c r="I1031" s="35"/>
      <c r="J1031" s="35"/>
      <c r="K1031" s="35"/>
      <c r="L1031" s="35"/>
      <c r="M1031" s="35"/>
      <c r="N1031" s="35"/>
      <c r="O1031" s="35"/>
      <c r="P1031" s="35"/>
      <c r="Q1031" s="35"/>
      <c r="R1031" s="35"/>
      <c r="S1031" s="35"/>
      <c r="T1031" s="35"/>
      <c r="U1031" s="35"/>
      <c r="V1031" s="35"/>
      <c r="W1031" s="35"/>
      <c r="X1031" s="35"/>
      <c r="Y1031" s="35"/>
      <c r="Z1031" s="35"/>
      <c r="AA1031" s="35"/>
      <c r="AB1031" s="35"/>
    </row>
    <row r="1032" ht="15.75" customHeight="1">
      <c r="A1032" s="35" t="s">
        <v>6933</v>
      </c>
      <c r="B1032" s="35">
        <v>2.0</v>
      </c>
      <c r="C1032" s="35"/>
      <c r="D1032" s="35"/>
      <c r="E1032" s="35"/>
      <c r="F1032" s="35"/>
      <c r="G1032" s="35"/>
      <c r="H1032" s="35"/>
      <c r="I1032" s="35"/>
      <c r="J1032" s="35"/>
      <c r="K1032" s="35"/>
      <c r="L1032" s="35"/>
      <c r="M1032" s="35"/>
      <c r="N1032" s="35"/>
      <c r="O1032" s="35"/>
      <c r="P1032" s="35"/>
      <c r="Q1032" s="35"/>
      <c r="R1032" s="35"/>
      <c r="S1032" s="35"/>
      <c r="T1032" s="35"/>
      <c r="U1032" s="35"/>
      <c r="V1032" s="35"/>
      <c r="W1032" s="35"/>
      <c r="X1032" s="35"/>
      <c r="Y1032" s="35"/>
      <c r="Z1032" s="35"/>
      <c r="AA1032" s="35"/>
      <c r="AB1032" s="35"/>
    </row>
    <row r="1033" ht="15.75" customHeight="1">
      <c r="A1033" s="35" t="s">
        <v>6937</v>
      </c>
      <c r="B1033" s="35">
        <v>2.0</v>
      </c>
      <c r="C1033" s="35"/>
      <c r="D1033" s="35"/>
      <c r="E1033" s="35"/>
      <c r="F1033" s="35"/>
      <c r="G1033" s="35"/>
      <c r="H1033" s="35"/>
      <c r="I1033" s="35"/>
      <c r="J1033" s="35"/>
      <c r="K1033" s="35"/>
      <c r="L1033" s="35"/>
      <c r="M1033" s="35"/>
      <c r="N1033" s="35"/>
      <c r="O1033" s="35"/>
      <c r="P1033" s="35"/>
      <c r="Q1033" s="35"/>
      <c r="R1033" s="35"/>
      <c r="S1033" s="35"/>
      <c r="T1033" s="35"/>
      <c r="U1033" s="35"/>
      <c r="V1033" s="35"/>
      <c r="W1033" s="35"/>
      <c r="X1033" s="35"/>
      <c r="Y1033" s="35"/>
      <c r="Z1033" s="35"/>
      <c r="AA1033" s="35"/>
      <c r="AB1033" s="35"/>
    </row>
    <row r="1034" ht="15.75" customHeight="1">
      <c r="A1034" s="35" t="s">
        <v>6940</v>
      </c>
      <c r="B1034" s="35">
        <v>2.0</v>
      </c>
      <c r="C1034" s="35"/>
      <c r="D1034" s="35"/>
      <c r="E1034" s="35"/>
      <c r="F1034" s="35"/>
      <c r="G1034" s="35"/>
      <c r="H1034" s="35"/>
      <c r="I1034" s="35"/>
      <c r="J1034" s="35"/>
      <c r="K1034" s="35"/>
      <c r="L1034" s="35"/>
      <c r="M1034" s="35"/>
      <c r="N1034" s="35"/>
      <c r="O1034" s="35"/>
      <c r="P1034" s="35"/>
      <c r="Q1034" s="35"/>
      <c r="R1034" s="35"/>
      <c r="S1034" s="35"/>
      <c r="T1034" s="35"/>
      <c r="U1034" s="35"/>
      <c r="V1034" s="35"/>
      <c r="W1034" s="35"/>
      <c r="X1034" s="35"/>
      <c r="Y1034" s="35"/>
      <c r="Z1034" s="35"/>
      <c r="AA1034" s="35"/>
      <c r="AB1034" s="35"/>
    </row>
    <row r="1035" ht="15.75" customHeight="1">
      <c r="A1035" s="35" t="s">
        <v>6943</v>
      </c>
      <c r="B1035" s="35">
        <v>2.0</v>
      </c>
      <c r="C1035" s="35"/>
      <c r="D1035" s="35"/>
      <c r="E1035" s="35"/>
      <c r="F1035" s="35"/>
      <c r="G1035" s="35"/>
      <c r="H1035" s="35"/>
      <c r="I1035" s="35"/>
      <c r="J1035" s="35"/>
      <c r="K1035" s="35"/>
      <c r="L1035" s="35"/>
      <c r="M1035" s="35"/>
      <c r="N1035" s="35"/>
      <c r="O1035" s="35"/>
      <c r="P1035" s="35"/>
      <c r="Q1035" s="35"/>
      <c r="R1035" s="35"/>
      <c r="S1035" s="35"/>
      <c r="T1035" s="35"/>
      <c r="U1035" s="35"/>
      <c r="V1035" s="35"/>
      <c r="W1035" s="35"/>
      <c r="X1035" s="35"/>
      <c r="Y1035" s="35"/>
      <c r="Z1035" s="35"/>
      <c r="AA1035" s="35"/>
      <c r="AB1035" s="35"/>
    </row>
    <row r="1036" ht="15.75" customHeight="1">
      <c r="A1036" s="35" t="s">
        <v>6946</v>
      </c>
      <c r="B1036" s="35">
        <v>2.0</v>
      </c>
      <c r="C1036" s="35"/>
      <c r="D1036" s="35"/>
      <c r="E1036" s="35"/>
      <c r="F1036" s="35"/>
      <c r="G1036" s="35"/>
      <c r="H1036" s="35"/>
      <c r="I1036" s="35"/>
      <c r="J1036" s="35"/>
      <c r="K1036" s="35"/>
      <c r="L1036" s="35"/>
      <c r="M1036" s="35"/>
      <c r="N1036" s="35"/>
      <c r="O1036" s="35"/>
      <c r="P1036" s="35"/>
      <c r="Q1036" s="35"/>
      <c r="R1036" s="35"/>
      <c r="S1036" s="35"/>
      <c r="T1036" s="35"/>
      <c r="U1036" s="35"/>
      <c r="V1036" s="35"/>
      <c r="W1036" s="35"/>
      <c r="X1036" s="35"/>
      <c r="Y1036" s="35"/>
      <c r="Z1036" s="35"/>
      <c r="AA1036" s="35"/>
      <c r="AB1036" s="35"/>
    </row>
    <row r="1037" ht="15.75" customHeight="1">
      <c r="A1037" s="35" t="s">
        <v>6949</v>
      </c>
      <c r="B1037" s="35">
        <v>2.0</v>
      </c>
      <c r="C1037" s="35"/>
      <c r="D1037" s="35"/>
      <c r="E1037" s="35"/>
      <c r="F1037" s="35"/>
      <c r="G1037" s="35"/>
      <c r="H1037" s="35"/>
      <c r="I1037" s="35"/>
      <c r="J1037" s="35"/>
      <c r="K1037" s="35"/>
      <c r="L1037" s="35"/>
      <c r="M1037" s="35"/>
      <c r="N1037" s="35"/>
      <c r="O1037" s="35"/>
      <c r="P1037" s="35"/>
      <c r="Q1037" s="35"/>
      <c r="R1037" s="35"/>
      <c r="S1037" s="35"/>
      <c r="T1037" s="35"/>
      <c r="U1037" s="35"/>
      <c r="V1037" s="35"/>
      <c r="W1037" s="35"/>
      <c r="X1037" s="35"/>
      <c r="Y1037" s="35"/>
      <c r="Z1037" s="35"/>
      <c r="AA1037" s="35"/>
      <c r="AB1037" s="35"/>
    </row>
    <row r="1038" ht="15.75" customHeight="1">
      <c r="A1038" s="35" t="s">
        <v>6953</v>
      </c>
      <c r="B1038" s="35">
        <v>2.0</v>
      </c>
      <c r="C1038" s="35"/>
      <c r="D1038" s="35"/>
      <c r="E1038" s="35"/>
      <c r="F1038" s="35"/>
      <c r="G1038" s="35"/>
      <c r="H1038" s="35"/>
      <c r="I1038" s="35"/>
      <c r="J1038" s="35"/>
      <c r="K1038" s="35"/>
      <c r="L1038" s="35"/>
      <c r="M1038" s="35"/>
      <c r="N1038" s="35"/>
      <c r="O1038" s="35"/>
      <c r="P1038" s="35"/>
      <c r="Q1038" s="35"/>
      <c r="R1038" s="35"/>
      <c r="S1038" s="35"/>
      <c r="T1038" s="35"/>
      <c r="U1038" s="35"/>
      <c r="V1038" s="35"/>
      <c r="W1038" s="35"/>
      <c r="X1038" s="35"/>
      <c r="Y1038" s="35"/>
      <c r="Z1038" s="35"/>
      <c r="AA1038" s="35"/>
      <c r="AB1038" s="35"/>
    </row>
    <row r="1039" ht="15.75" customHeight="1">
      <c r="A1039" s="35" t="s">
        <v>6955</v>
      </c>
      <c r="B1039" s="35">
        <v>2.0</v>
      </c>
      <c r="C1039" s="35"/>
      <c r="D1039" s="35"/>
      <c r="E1039" s="35"/>
      <c r="F1039" s="35"/>
      <c r="G1039" s="35"/>
      <c r="H1039" s="35"/>
      <c r="I1039" s="35"/>
      <c r="J1039" s="35"/>
      <c r="K1039" s="35"/>
      <c r="L1039" s="35"/>
      <c r="M1039" s="35"/>
      <c r="N1039" s="35"/>
      <c r="O1039" s="35"/>
      <c r="P1039" s="35"/>
      <c r="Q1039" s="35"/>
      <c r="R1039" s="35"/>
      <c r="S1039" s="35"/>
      <c r="T1039" s="35"/>
      <c r="U1039" s="35"/>
      <c r="V1039" s="35"/>
      <c r="W1039" s="35"/>
      <c r="X1039" s="35"/>
      <c r="Y1039" s="35"/>
      <c r="Z1039" s="35"/>
      <c r="AA1039" s="35"/>
      <c r="AB1039" s="35"/>
    </row>
    <row r="1040" ht="15.75" customHeight="1">
      <c r="A1040" s="35" t="s">
        <v>6958</v>
      </c>
      <c r="B1040" s="35">
        <v>2.0</v>
      </c>
      <c r="C1040" s="35"/>
      <c r="D1040" s="35"/>
      <c r="E1040" s="35"/>
      <c r="F1040" s="35"/>
      <c r="G1040" s="35"/>
      <c r="H1040" s="35"/>
      <c r="I1040" s="35"/>
      <c r="J1040" s="35"/>
      <c r="K1040" s="35"/>
      <c r="L1040" s="35"/>
      <c r="M1040" s="35"/>
      <c r="N1040" s="35"/>
      <c r="O1040" s="35"/>
      <c r="P1040" s="35"/>
      <c r="Q1040" s="35"/>
      <c r="R1040" s="35"/>
      <c r="S1040" s="35"/>
      <c r="T1040" s="35"/>
      <c r="U1040" s="35"/>
      <c r="V1040" s="35"/>
      <c r="W1040" s="35"/>
      <c r="X1040" s="35"/>
      <c r="Y1040" s="35"/>
      <c r="Z1040" s="35"/>
      <c r="AA1040" s="35"/>
      <c r="AB1040" s="35"/>
    </row>
    <row r="1041" ht="15.75" customHeight="1">
      <c r="A1041" s="35" t="s">
        <v>6961</v>
      </c>
      <c r="B1041" s="35">
        <v>2.0</v>
      </c>
      <c r="C1041" s="35"/>
      <c r="D1041" s="35"/>
      <c r="E1041" s="35"/>
      <c r="F1041" s="35"/>
      <c r="G1041" s="35"/>
      <c r="H1041" s="35"/>
      <c r="I1041" s="35"/>
      <c r="J1041" s="35"/>
      <c r="K1041" s="35"/>
      <c r="L1041" s="35"/>
      <c r="M1041" s="35"/>
      <c r="N1041" s="35"/>
      <c r="O1041" s="35"/>
      <c r="P1041" s="35"/>
      <c r="Q1041" s="35"/>
      <c r="R1041" s="35"/>
      <c r="S1041" s="35"/>
      <c r="T1041" s="35"/>
      <c r="U1041" s="35"/>
      <c r="V1041" s="35"/>
      <c r="W1041" s="35"/>
      <c r="X1041" s="35"/>
      <c r="Y1041" s="35"/>
      <c r="Z1041" s="35"/>
      <c r="AA1041" s="35"/>
      <c r="AB1041" s="35"/>
    </row>
    <row r="1042" ht="15.75" customHeight="1">
      <c r="A1042" s="35" t="s">
        <v>6964</v>
      </c>
      <c r="B1042" s="35">
        <v>2.0</v>
      </c>
      <c r="C1042" s="35"/>
      <c r="D1042" s="35"/>
      <c r="E1042" s="35"/>
      <c r="F1042" s="35"/>
      <c r="G1042" s="35"/>
      <c r="H1042" s="35"/>
      <c r="I1042" s="35"/>
      <c r="J1042" s="35"/>
      <c r="K1042" s="35"/>
      <c r="L1042" s="35"/>
      <c r="M1042" s="35"/>
      <c r="N1042" s="35"/>
      <c r="O1042" s="35"/>
      <c r="P1042" s="35"/>
      <c r="Q1042" s="35"/>
      <c r="R1042" s="35"/>
      <c r="S1042" s="35"/>
      <c r="T1042" s="35"/>
      <c r="U1042" s="35"/>
      <c r="V1042" s="35"/>
      <c r="W1042" s="35"/>
      <c r="X1042" s="35"/>
      <c r="Y1042" s="35"/>
      <c r="Z1042" s="35"/>
      <c r="AA1042" s="35"/>
      <c r="AB1042" s="35"/>
    </row>
    <row r="1043" ht="15.75" customHeight="1">
      <c r="A1043" s="35" t="s">
        <v>6967</v>
      </c>
      <c r="B1043" s="35">
        <v>2.0</v>
      </c>
      <c r="C1043" s="35"/>
      <c r="D1043" s="35"/>
      <c r="E1043" s="35"/>
      <c r="F1043" s="35"/>
      <c r="G1043" s="35"/>
      <c r="H1043" s="35"/>
      <c r="I1043" s="35"/>
      <c r="J1043" s="35"/>
      <c r="K1043" s="35"/>
      <c r="L1043" s="35"/>
      <c r="M1043" s="35"/>
      <c r="N1043" s="35"/>
      <c r="O1043" s="35"/>
      <c r="P1043" s="35"/>
      <c r="Q1043" s="35"/>
      <c r="R1043" s="35"/>
      <c r="S1043" s="35"/>
      <c r="T1043" s="35"/>
      <c r="U1043" s="35"/>
      <c r="V1043" s="35"/>
      <c r="W1043" s="35"/>
      <c r="X1043" s="35"/>
      <c r="Y1043" s="35"/>
      <c r="Z1043" s="35"/>
      <c r="AA1043" s="35"/>
      <c r="AB1043" s="35"/>
    </row>
    <row r="1044" ht="15.75" customHeight="1">
      <c r="A1044" s="35" t="s">
        <v>6971</v>
      </c>
      <c r="B1044" s="35">
        <v>2.0</v>
      </c>
      <c r="C1044" s="35"/>
      <c r="D1044" s="35"/>
      <c r="E1044" s="35"/>
      <c r="F1044" s="35"/>
      <c r="G1044" s="35"/>
      <c r="H1044" s="35"/>
      <c r="I1044" s="35"/>
      <c r="J1044" s="35"/>
      <c r="K1044" s="35"/>
      <c r="L1044" s="35"/>
      <c r="M1044" s="35"/>
      <c r="N1044" s="35"/>
      <c r="O1044" s="35"/>
      <c r="P1044" s="35"/>
      <c r="Q1044" s="35"/>
      <c r="R1044" s="35"/>
      <c r="S1044" s="35"/>
      <c r="T1044" s="35"/>
      <c r="U1044" s="35"/>
      <c r="V1044" s="35"/>
      <c r="W1044" s="35"/>
      <c r="X1044" s="35"/>
      <c r="Y1044" s="35"/>
      <c r="Z1044" s="35"/>
      <c r="AA1044" s="35"/>
      <c r="AB1044" s="35"/>
    </row>
    <row r="1045" ht="15.75" customHeight="1">
      <c r="A1045" s="35" t="s">
        <v>6974</v>
      </c>
      <c r="B1045" s="35">
        <v>2.0</v>
      </c>
      <c r="C1045" s="35"/>
      <c r="D1045" s="35"/>
      <c r="E1045" s="35"/>
      <c r="F1045" s="35"/>
      <c r="G1045" s="35"/>
      <c r="H1045" s="35"/>
      <c r="I1045" s="35"/>
      <c r="J1045" s="35"/>
      <c r="K1045" s="35"/>
      <c r="L1045" s="35"/>
      <c r="M1045" s="35"/>
      <c r="N1045" s="35"/>
      <c r="O1045" s="35"/>
      <c r="P1045" s="35"/>
      <c r="Q1045" s="35"/>
      <c r="R1045" s="35"/>
      <c r="S1045" s="35"/>
      <c r="T1045" s="35"/>
      <c r="U1045" s="35"/>
      <c r="V1045" s="35"/>
      <c r="W1045" s="35"/>
      <c r="X1045" s="35"/>
      <c r="Y1045" s="35"/>
      <c r="Z1045" s="35"/>
      <c r="AA1045" s="35"/>
      <c r="AB1045" s="35"/>
    </row>
    <row r="1046" ht="15.75" customHeight="1">
      <c r="A1046" s="35" t="s">
        <v>6977</v>
      </c>
      <c r="B1046" s="35">
        <v>2.0</v>
      </c>
      <c r="C1046" s="35"/>
      <c r="D1046" s="35"/>
      <c r="E1046" s="35"/>
      <c r="F1046" s="35"/>
      <c r="G1046" s="35"/>
      <c r="H1046" s="35"/>
      <c r="I1046" s="35"/>
      <c r="J1046" s="35"/>
      <c r="K1046" s="35"/>
      <c r="L1046" s="35"/>
      <c r="M1046" s="35"/>
      <c r="N1046" s="35"/>
      <c r="O1046" s="35"/>
      <c r="P1046" s="35"/>
      <c r="Q1046" s="35"/>
      <c r="R1046" s="35"/>
      <c r="S1046" s="35"/>
      <c r="T1046" s="35"/>
      <c r="U1046" s="35"/>
      <c r="V1046" s="35"/>
      <c r="W1046" s="35"/>
      <c r="X1046" s="35"/>
      <c r="Y1046" s="35"/>
      <c r="Z1046" s="35"/>
      <c r="AA1046" s="35"/>
      <c r="AB1046" s="35"/>
    </row>
    <row r="1047" ht="15.75" customHeight="1">
      <c r="A1047" s="35" t="s">
        <v>6980</v>
      </c>
      <c r="B1047" s="35">
        <v>2.0</v>
      </c>
      <c r="C1047" s="35"/>
      <c r="D1047" s="35"/>
      <c r="E1047" s="35"/>
      <c r="F1047" s="35"/>
      <c r="G1047" s="35"/>
      <c r="H1047" s="35"/>
      <c r="I1047" s="35"/>
      <c r="J1047" s="35"/>
      <c r="K1047" s="35"/>
      <c r="L1047" s="35"/>
      <c r="M1047" s="35"/>
      <c r="N1047" s="35"/>
      <c r="O1047" s="35"/>
      <c r="P1047" s="35"/>
      <c r="Q1047" s="35"/>
      <c r="R1047" s="35"/>
      <c r="S1047" s="35"/>
      <c r="T1047" s="35"/>
      <c r="U1047" s="35"/>
      <c r="V1047" s="35"/>
      <c r="W1047" s="35"/>
      <c r="X1047" s="35"/>
      <c r="Y1047" s="35"/>
      <c r="Z1047" s="35"/>
      <c r="AA1047" s="35"/>
      <c r="AB1047" s="35"/>
    </row>
    <row r="1048" ht="15.75" customHeight="1">
      <c r="A1048" s="35" t="s">
        <v>6984</v>
      </c>
      <c r="B1048" s="35">
        <v>2.0</v>
      </c>
      <c r="C1048" s="35"/>
      <c r="D1048" s="35"/>
      <c r="E1048" s="35"/>
      <c r="F1048" s="35"/>
      <c r="G1048" s="35"/>
      <c r="H1048" s="35"/>
      <c r="I1048" s="35"/>
      <c r="J1048" s="35"/>
      <c r="K1048" s="35"/>
      <c r="L1048" s="35"/>
      <c r="M1048" s="35"/>
      <c r="N1048" s="35"/>
      <c r="O1048" s="35"/>
      <c r="P1048" s="35"/>
      <c r="Q1048" s="35"/>
      <c r="R1048" s="35"/>
      <c r="S1048" s="35"/>
      <c r="T1048" s="35"/>
      <c r="U1048" s="35"/>
      <c r="V1048" s="35"/>
      <c r="W1048" s="35"/>
      <c r="X1048" s="35"/>
      <c r="Y1048" s="35"/>
      <c r="Z1048" s="35"/>
      <c r="AA1048" s="35"/>
      <c r="AB1048" s="35"/>
    </row>
    <row r="1049" ht="15.75" customHeight="1">
      <c r="A1049" s="35" t="s">
        <v>6987</v>
      </c>
      <c r="B1049" s="35">
        <v>2.0</v>
      </c>
      <c r="C1049" s="35"/>
      <c r="D1049" s="35"/>
      <c r="E1049" s="35"/>
      <c r="F1049" s="35"/>
      <c r="G1049" s="35"/>
      <c r="H1049" s="35"/>
      <c r="I1049" s="35"/>
      <c r="J1049" s="35"/>
      <c r="K1049" s="35"/>
      <c r="L1049" s="35"/>
      <c r="M1049" s="35"/>
      <c r="N1049" s="35"/>
      <c r="O1049" s="35"/>
      <c r="P1049" s="35"/>
      <c r="Q1049" s="35"/>
      <c r="R1049" s="35"/>
      <c r="S1049" s="35"/>
      <c r="T1049" s="35"/>
      <c r="U1049" s="35"/>
      <c r="V1049" s="35"/>
      <c r="W1049" s="35"/>
      <c r="X1049" s="35"/>
      <c r="Y1049" s="35"/>
      <c r="Z1049" s="35"/>
      <c r="AA1049" s="35"/>
      <c r="AB1049" s="35"/>
    </row>
    <row r="1050" ht="15.75" customHeight="1">
      <c r="A1050" s="35" t="s">
        <v>6990</v>
      </c>
      <c r="B1050" s="35">
        <v>2.0</v>
      </c>
      <c r="C1050" s="35"/>
      <c r="D1050" s="35"/>
      <c r="E1050" s="35"/>
      <c r="F1050" s="35"/>
      <c r="G1050" s="35"/>
      <c r="H1050" s="35"/>
      <c r="I1050" s="35"/>
      <c r="J1050" s="35"/>
      <c r="K1050" s="35"/>
      <c r="L1050" s="35"/>
      <c r="M1050" s="35"/>
      <c r="N1050" s="35"/>
      <c r="O1050" s="35"/>
      <c r="P1050" s="35"/>
      <c r="Q1050" s="35"/>
      <c r="R1050" s="35"/>
      <c r="S1050" s="35"/>
      <c r="T1050" s="35"/>
      <c r="U1050" s="35"/>
      <c r="V1050" s="35"/>
      <c r="W1050" s="35"/>
      <c r="X1050" s="35"/>
      <c r="Y1050" s="35"/>
      <c r="Z1050" s="35"/>
      <c r="AA1050" s="35"/>
      <c r="AB1050" s="35"/>
    </row>
    <row r="1051" ht="15.75" customHeight="1">
      <c r="A1051" s="35" t="s">
        <v>6991</v>
      </c>
      <c r="B1051" s="35">
        <v>2.0</v>
      </c>
      <c r="C1051" s="35"/>
      <c r="D1051" s="35"/>
      <c r="E1051" s="35"/>
      <c r="F1051" s="35"/>
      <c r="G1051" s="35"/>
      <c r="H1051" s="35"/>
      <c r="I1051" s="35"/>
      <c r="J1051" s="35"/>
      <c r="K1051" s="35"/>
      <c r="L1051" s="35"/>
      <c r="M1051" s="35"/>
      <c r="N1051" s="35"/>
      <c r="O1051" s="35"/>
      <c r="P1051" s="35"/>
      <c r="Q1051" s="35"/>
      <c r="R1051" s="35"/>
      <c r="S1051" s="35"/>
      <c r="T1051" s="35"/>
      <c r="U1051" s="35"/>
      <c r="V1051" s="35"/>
      <c r="W1051" s="35"/>
      <c r="X1051" s="35"/>
      <c r="Y1051" s="35"/>
      <c r="Z1051" s="35"/>
      <c r="AA1051" s="35"/>
      <c r="AB1051" s="35"/>
    </row>
    <row r="1052" ht="15.75" customHeight="1">
      <c r="A1052" s="35" t="s">
        <v>6995</v>
      </c>
      <c r="B1052" s="35">
        <v>2.0</v>
      </c>
      <c r="C1052" s="35"/>
      <c r="D1052" s="35"/>
      <c r="E1052" s="35"/>
      <c r="F1052" s="35"/>
      <c r="G1052" s="35"/>
      <c r="H1052" s="35"/>
      <c r="I1052" s="35"/>
      <c r="J1052" s="35"/>
      <c r="K1052" s="35"/>
      <c r="L1052" s="35"/>
      <c r="M1052" s="35"/>
      <c r="N1052" s="35"/>
      <c r="O1052" s="35"/>
      <c r="P1052" s="35"/>
      <c r="Q1052" s="35"/>
      <c r="R1052" s="35"/>
      <c r="S1052" s="35"/>
      <c r="T1052" s="35"/>
      <c r="U1052" s="35"/>
      <c r="V1052" s="35"/>
      <c r="W1052" s="35"/>
      <c r="X1052" s="35"/>
      <c r="Y1052" s="35"/>
      <c r="Z1052" s="35"/>
      <c r="AA1052" s="35"/>
      <c r="AB1052" s="35"/>
    </row>
    <row r="1053" ht="15.75" customHeight="1">
      <c r="A1053" s="35" t="s">
        <v>6998</v>
      </c>
      <c r="B1053" s="35">
        <v>2.0</v>
      </c>
      <c r="C1053" s="35"/>
      <c r="D1053" s="35"/>
      <c r="E1053" s="35"/>
      <c r="F1053" s="35"/>
      <c r="G1053" s="35"/>
      <c r="H1053" s="35"/>
      <c r="I1053" s="35"/>
      <c r="J1053" s="35"/>
      <c r="K1053" s="35"/>
      <c r="L1053" s="35"/>
      <c r="M1053" s="35"/>
      <c r="N1053" s="35"/>
      <c r="O1053" s="35"/>
      <c r="P1053" s="35"/>
      <c r="Q1053" s="35"/>
      <c r="R1053" s="35"/>
      <c r="S1053" s="35"/>
      <c r="T1053" s="35"/>
      <c r="U1053" s="35"/>
      <c r="V1053" s="35"/>
      <c r="W1053" s="35"/>
      <c r="X1053" s="35"/>
      <c r="Y1053" s="35"/>
      <c r="Z1053" s="35"/>
      <c r="AA1053" s="35"/>
      <c r="AB1053" s="35"/>
    </row>
    <row r="1054" ht="15.75" customHeight="1">
      <c r="A1054" s="35" t="s">
        <v>7001</v>
      </c>
      <c r="B1054" s="35">
        <v>2.0</v>
      </c>
      <c r="C1054" s="35"/>
      <c r="D1054" s="35"/>
      <c r="E1054" s="35"/>
      <c r="F1054" s="35"/>
      <c r="G1054" s="35"/>
      <c r="H1054" s="35"/>
      <c r="I1054" s="35"/>
      <c r="J1054" s="35"/>
      <c r="K1054" s="35"/>
      <c r="L1054" s="35"/>
      <c r="M1054" s="35"/>
      <c r="N1054" s="35"/>
      <c r="O1054" s="35"/>
      <c r="P1054" s="35"/>
      <c r="Q1054" s="35"/>
      <c r="R1054" s="35"/>
      <c r="S1054" s="35"/>
      <c r="T1054" s="35"/>
      <c r="U1054" s="35"/>
      <c r="V1054" s="35"/>
      <c r="W1054" s="35"/>
      <c r="X1054" s="35"/>
      <c r="Y1054" s="35"/>
      <c r="Z1054" s="35"/>
      <c r="AA1054" s="35"/>
      <c r="AB1054" s="35"/>
    </row>
    <row r="1055" ht="15.75" customHeight="1">
      <c r="A1055" s="35" t="s">
        <v>7004</v>
      </c>
      <c r="B1055" s="35">
        <v>2.0</v>
      </c>
      <c r="C1055" s="35"/>
      <c r="D1055" s="35"/>
      <c r="E1055" s="35"/>
      <c r="F1055" s="35"/>
      <c r="G1055" s="35"/>
      <c r="H1055" s="35"/>
      <c r="I1055" s="35"/>
      <c r="J1055" s="35"/>
      <c r="K1055" s="35"/>
      <c r="L1055" s="35"/>
      <c r="M1055" s="35"/>
      <c r="N1055" s="35"/>
      <c r="O1055" s="35"/>
      <c r="P1055" s="35"/>
      <c r="Q1055" s="35"/>
      <c r="R1055" s="35"/>
      <c r="S1055" s="35"/>
      <c r="T1055" s="35"/>
      <c r="U1055" s="35"/>
      <c r="V1055" s="35"/>
      <c r="W1055" s="35"/>
      <c r="X1055" s="35"/>
      <c r="Y1055" s="35"/>
      <c r="Z1055" s="35"/>
      <c r="AA1055" s="35"/>
      <c r="AB1055" s="35"/>
    </row>
    <row r="1056" ht="15.75" customHeight="1">
      <c r="A1056" s="35" t="s">
        <v>7007</v>
      </c>
      <c r="B1056" s="35">
        <v>2.0</v>
      </c>
      <c r="C1056" s="35"/>
      <c r="D1056" s="35"/>
      <c r="E1056" s="35"/>
      <c r="F1056" s="35"/>
      <c r="G1056" s="35"/>
      <c r="H1056" s="35"/>
      <c r="I1056" s="35"/>
      <c r="J1056" s="35"/>
      <c r="K1056" s="35"/>
      <c r="L1056" s="35"/>
      <c r="M1056" s="35"/>
      <c r="N1056" s="35"/>
      <c r="O1056" s="35"/>
      <c r="P1056" s="35"/>
      <c r="Q1056" s="35"/>
      <c r="R1056" s="35"/>
      <c r="S1056" s="35"/>
      <c r="T1056" s="35"/>
      <c r="U1056" s="35"/>
      <c r="V1056" s="35"/>
      <c r="W1056" s="35"/>
      <c r="X1056" s="35"/>
      <c r="Y1056" s="35"/>
      <c r="Z1056" s="35"/>
      <c r="AA1056" s="35"/>
      <c r="AB1056" s="35"/>
    </row>
    <row r="1057" ht="15.75" customHeight="1">
      <c r="A1057" s="35" t="s">
        <v>7011</v>
      </c>
      <c r="B1057" s="35">
        <v>2.0</v>
      </c>
      <c r="C1057" s="35"/>
      <c r="D1057" s="35"/>
      <c r="E1057" s="35"/>
      <c r="F1057" s="35"/>
      <c r="G1057" s="35"/>
      <c r="H1057" s="35"/>
      <c r="I1057" s="35"/>
      <c r="J1057" s="35"/>
      <c r="K1057" s="35"/>
      <c r="L1057" s="35"/>
      <c r="M1057" s="35"/>
      <c r="N1057" s="35"/>
      <c r="O1057" s="35"/>
      <c r="P1057" s="35"/>
      <c r="Q1057" s="35"/>
      <c r="R1057" s="35"/>
      <c r="S1057" s="35"/>
      <c r="T1057" s="35"/>
      <c r="U1057" s="35"/>
      <c r="V1057" s="35"/>
      <c r="W1057" s="35"/>
      <c r="X1057" s="35"/>
      <c r="Y1057" s="35"/>
      <c r="Z1057" s="35"/>
      <c r="AA1057" s="35"/>
      <c r="AB1057" s="35"/>
    </row>
    <row r="1058" ht="15.75" customHeight="1">
      <c r="A1058" s="35" t="s">
        <v>7014</v>
      </c>
      <c r="B1058" s="35">
        <v>2.0</v>
      </c>
      <c r="C1058" s="35"/>
      <c r="D1058" s="35"/>
      <c r="E1058" s="35"/>
      <c r="F1058" s="35"/>
      <c r="G1058" s="35"/>
      <c r="H1058" s="35"/>
      <c r="I1058" s="35"/>
      <c r="J1058" s="35"/>
      <c r="K1058" s="35"/>
      <c r="L1058" s="35"/>
      <c r="M1058" s="35"/>
      <c r="N1058" s="35"/>
      <c r="O1058" s="35"/>
      <c r="P1058" s="35"/>
      <c r="Q1058" s="35"/>
      <c r="R1058" s="35"/>
      <c r="S1058" s="35"/>
      <c r="T1058" s="35"/>
      <c r="U1058" s="35"/>
      <c r="V1058" s="35"/>
      <c r="W1058" s="35"/>
      <c r="X1058" s="35"/>
      <c r="Y1058" s="35"/>
      <c r="Z1058" s="35"/>
      <c r="AA1058" s="35"/>
      <c r="AB1058" s="35"/>
    </row>
    <row r="1059" ht="15.75" customHeight="1">
      <c r="A1059" s="35" t="s">
        <v>7017</v>
      </c>
      <c r="B1059" s="35">
        <v>2.0</v>
      </c>
      <c r="C1059" s="35"/>
      <c r="D1059" s="35"/>
      <c r="E1059" s="35"/>
      <c r="F1059" s="35"/>
      <c r="G1059" s="35"/>
      <c r="H1059" s="35"/>
      <c r="I1059" s="35"/>
      <c r="J1059" s="35"/>
      <c r="K1059" s="35"/>
      <c r="L1059" s="35"/>
      <c r="M1059" s="35"/>
      <c r="N1059" s="35"/>
      <c r="O1059" s="35"/>
      <c r="P1059" s="35"/>
      <c r="Q1059" s="35"/>
      <c r="R1059" s="35"/>
      <c r="S1059" s="35"/>
      <c r="T1059" s="35"/>
      <c r="U1059" s="35"/>
      <c r="V1059" s="35"/>
      <c r="W1059" s="35"/>
      <c r="X1059" s="35"/>
      <c r="Y1059" s="35"/>
      <c r="Z1059" s="35"/>
      <c r="AA1059" s="35"/>
      <c r="AB1059" s="35"/>
    </row>
    <row r="1060" ht="15.75" customHeight="1">
      <c r="A1060" s="35" t="s">
        <v>7021</v>
      </c>
      <c r="B1060" s="35">
        <v>2.0</v>
      </c>
      <c r="C1060" s="35"/>
      <c r="D1060" s="35"/>
      <c r="E1060" s="35"/>
      <c r="F1060" s="35"/>
      <c r="G1060" s="35"/>
      <c r="H1060" s="35"/>
      <c r="I1060" s="35"/>
      <c r="J1060" s="35"/>
      <c r="K1060" s="35"/>
      <c r="L1060" s="35"/>
      <c r="M1060" s="35"/>
      <c r="N1060" s="35"/>
      <c r="O1060" s="35"/>
      <c r="P1060" s="35"/>
      <c r="Q1060" s="35"/>
      <c r="R1060" s="35"/>
      <c r="S1060" s="35"/>
      <c r="T1060" s="35"/>
      <c r="U1060" s="35"/>
      <c r="V1060" s="35"/>
      <c r="W1060" s="35"/>
      <c r="X1060" s="35"/>
      <c r="Y1060" s="35"/>
      <c r="Z1060" s="35"/>
      <c r="AA1060" s="35"/>
      <c r="AB1060" s="35"/>
    </row>
    <row r="1061" ht="15.75" customHeight="1">
      <c r="A1061" s="35" t="s">
        <v>7024</v>
      </c>
      <c r="B1061" s="35">
        <v>2.0</v>
      </c>
      <c r="C1061" s="35"/>
      <c r="D1061" s="35"/>
      <c r="E1061" s="35"/>
      <c r="F1061" s="35"/>
      <c r="G1061" s="35"/>
      <c r="H1061" s="35"/>
      <c r="I1061" s="35"/>
      <c r="J1061" s="35"/>
      <c r="K1061" s="35"/>
      <c r="L1061" s="35"/>
      <c r="M1061" s="35"/>
      <c r="N1061" s="35"/>
      <c r="O1061" s="35"/>
      <c r="P1061" s="35"/>
      <c r="Q1061" s="35"/>
      <c r="R1061" s="35"/>
      <c r="S1061" s="35"/>
      <c r="T1061" s="35"/>
      <c r="U1061" s="35"/>
      <c r="V1061" s="35"/>
      <c r="W1061" s="35"/>
      <c r="X1061" s="35"/>
      <c r="Y1061" s="35"/>
      <c r="Z1061" s="35"/>
      <c r="AA1061" s="35"/>
      <c r="AB1061" s="35"/>
    </row>
    <row r="1062" ht="15.75" customHeight="1">
      <c r="A1062" s="35" t="s">
        <v>7027</v>
      </c>
      <c r="B1062" s="35">
        <v>2.0</v>
      </c>
      <c r="C1062" s="35"/>
      <c r="D1062" s="35"/>
      <c r="E1062" s="35"/>
      <c r="F1062" s="35"/>
      <c r="G1062" s="35"/>
      <c r="H1062" s="35"/>
      <c r="I1062" s="35"/>
      <c r="J1062" s="35"/>
      <c r="K1062" s="35"/>
      <c r="L1062" s="35"/>
      <c r="M1062" s="35"/>
      <c r="N1062" s="35"/>
      <c r="O1062" s="35"/>
      <c r="P1062" s="35"/>
      <c r="Q1062" s="35"/>
      <c r="R1062" s="35"/>
      <c r="S1062" s="35"/>
      <c r="T1062" s="35"/>
      <c r="U1062" s="35"/>
      <c r="V1062" s="35"/>
      <c r="W1062" s="35"/>
      <c r="X1062" s="35"/>
      <c r="Y1062" s="35"/>
      <c r="Z1062" s="35"/>
      <c r="AA1062" s="35"/>
      <c r="AB1062" s="35"/>
    </row>
    <row r="1063" ht="15.75" customHeight="1">
      <c r="A1063" s="35" t="s">
        <v>7029</v>
      </c>
      <c r="B1063" s="35">
        <v>2.0</v>
      </c>
      <c r="C1063" s="35"/>
      <c r="D1063" s="35"/>
      <c r="E1063" s="35"/>
      <c r="F1063" s="35"/>
      <c r="G1063" s="35"/>
      <c r="H1063" s="35"/>
      <c r="I1063" s="35"/>
      <c r="J1063" s="35"/>
      <c r="K1063" s="35"/>
      <c r="L1063" s="35"/>
      <c r="M1063" s="35"/>
      <c r="N1063" s="35"/>
      <c r="O1063" s="35"/>
      <c r="P1063" s="35"/>
      <c r="Q1063" s="35"/>
      <c r="R1063" s="35"/>
      <c r="S1063" s="35"/>
      <c r="T1063" s="35"/>
      <c r="U1063" s="35"/>
      <c r="V1063" s="35"/>
      <c r="W1063" s="35"/>
      <c r="X1063" s="35"/>
      <c r="Y1063" s="35"/>
      <c r="Z1063" s="35"/>
      <c r="AA1063" s="35"/>
      <c r="AB1063" s="35"/>
    </row>
    <row r="1064" ht="15.75" customHeight="1">
      <c r="A1064" s="35" t="s">
        <v>7033</v>
      </c>
      <c r="B1064" s="35">
        <v>2.0</v>
      </c>
      <c r="C1064" s="35"/>
      <c r="D1064" s="35"/>
      <c r="E1064" s="35"/>
      <c r="F1064" s="35"/>
      <c r="G1064" s="35"/>
      <c r="H1064" s="35"/>
      <c r="I1064" s="35"/>
      <c r="J1064" s="35"/>
      <c r="K1064" s="35"/>
      <c r="L1064" s="35"/>
      <c r="M1064" s="35"/>
      <c r="N1064" s="35"/>
      <c r="O1064" s="35"/>
      <c r="P1064" s="35"/>
      <c r="Q1064" s="35"/>
      <c r="R1064" s="35"/>
      <c r="S1064" s="35"/>
      <c r="T1064" s="35"/>
      <c r="U1064" s="35"/>
      <c r="V1064" s="35"/>
      <c r="W1064" s="35"/>
      <c r="X1064" s="35"/>
      <c r="Y1064" s="35"/>
      <c r="Z1064" s="35"/>
      <c r="AA1064" s="35"/>
      <c r="AB1064" s="35"/>
    </row>
    <row r="1065" ht="15.75" customHeight="1">
      <c r="A1065" s="35" t="s">
        <v>7036</v>
      </c>
      <c r="B1065" s="35">
        <v>2.0</v>
      </c>
      <c r="C1065" s="35"/>
      <c r="D1065" s="35"/>
      <c r="E1065" s="35"/>
      <c r="F1065" s="35"/>
      <c r="G1065" s="35"/>
      <c r="H1065" s="35"/>
      <c r="I1065" s="35"/>
      <c r="J1065" s="35"/>
      <c r="K1065" s="35"/>
      <c r="L1065" s="35"/>
      <c r="M1065" s="35"/>
      <c r="N1065" s="35"/>
      <c r="O1065" s="35"/>
      <c r="P1065" s="35"/>
      <c r="Q1065" s="35"/>
      <c r="R1065" s="35"/>
      <c r="S1065" s="35"/>
      <c r="T1065" s="35"/>
      <c r="U1065" s="35"/>
      <c r="V1065" s="35"/>
      <c r="W1065" s="35"/>
      <c r="X1065" s="35"/>
      <c r="Y1065" s="35"/>
      <c r="Z1065" s="35"/>
      <c r="AA1065" s="35"/>
      <c r="AB1065" s="35"/>
    </row>
    <row r="1066" ht="15.75" customHeight="1">
      <c r="A1066" s="35" t="s">
        <v>7039</v>
      </c>
      <c r="B1066" s="35">
        <v>2.0</v>
      </c>
      <c r="C1066" s="35"/>
      <c r="D1066" s="35"/>
      <c r="E1066" s="35"/>
      <c r="F1066" s="35"/>
      <c r="G1066" s="35"/>
      <c r="H1066" s="35"/>
      <c r="I1066" s="35"/>
      <c r="J1066" s="35"/>
      <c r="K1066" s="35"/>
      <c r="L1066" s="35"/>
      <c r="M1066" s="35"/>
      <c r="N1066" s="35"/>
      <c r="O1066" s="35"/>
      <c r="P1066" s="35"/>
      <c r="Q1066" s="35"/>
      <c r="R1066" s="35"/>
      <c r="S1066" s="35"/>
      <c r="T1066" s="35"/>
      <c r="U1066" s="35"/>
      <c r="V1066" s="35"/>
      <c r="W1066" s="35"/>
      <c r="X1066" s="35"/>
      <c r="Y1066" s="35"/>
      <c r="Z1066" s="35"/>
      <c r="AA1066" s="35"/>
      <c r="AB1066" s="35"/>
    </row>
    <row r="1067" ht="15.75" customHeight="1">
      <c r="A1067" s="35" t="s">
        <v>7042</v>
      </c>
      <c r="B1067" s="35">
        <v>2.0</v>
      </c>
      <c r="C1067" s="35"/>
      <c r="D1067" s="35"/>
      <c r="E1067" s="35"/>
      <c r="F1067" s="35"/>
      <c r="G1067" s="35"/>
      <c r="H1067" s="35"/>
      <c r="I1067" s="35"/>
      <c r="J1067" s="35"/>
      <c r="K1067" s="35"/>
      <c r="L1067" s="35"/>
      <c r="M1067" s="35"/>
      <c r="N1067" s="35"/>
      <c r="O1067" s="35"/>
      <c r="P1067" s="35"/>
      <c r="Q1067" s="35"/>
      <c r="R1067" s="35"/>
      <c r="S1067" s="35"/>
      <c r="T1067" s="35"/>
      <c r="U1067" s="35"/>
      <c r="V1067" s="35"/>
      <c r="W1067" s="35"/>
      <c r="X1067" s="35"/>
      <c r="Y1067" s="35"/>
      <c r="Z1067" s="35"/>
      <c r="AA1067" s="35"/>
      <c r="AB1067" s="35"/>
    </row>
    <row r="1068" ht="15.75" customHeight="1">
      <c r="A1068" s="35" t="s">
        <v>7053</v>
      </c>
      <c r="B1068" s="35">
        <v>2.0</v>
      </c>
      <c r="C1068" s="35"/>
      <c r="D1068" s="35"/>
      <c r="E1068" s="35"/>
      <c r="F1068" s="35"/>
      <c r="G1068" s="35"/>
      <c r="H1068" s="35"/>
      <c r="I1068" s="35"/>
      <c r="J1068" s="35"/>
      <c r="K1068" s="35"/>
      <c r="L1068" s="35"/>
      <c r="M1068" s="35"/>
      <c r="N1068" s="35"/>
      <c r="O1068" s="35"/>
      <c r="P1068" s="35"/>
      <c r="Q1068" s="35"/>
      <c r="R1068" s="35"/>
      <c r="S1068" s="35"/>
      <c r="T1068" s="35"/>
      <c r="U1068" s="35"/>
      <c r="V1068" s="35"/>
      <c r="W1068" s="35"/>
      <c r="X1068" s="35"/>
      <c r="Y1068" s="35"/>
      <c r="Z1068" s="35"/>
      <c r="AA1068" s="35"/>
      <c r="AB1068" s="35"/>
    </row>
    <row r="1069" ht="15.75" customHeight="1">
      <c r="A1069" s="35" t="s">
        <v>7056</v>
      </c>
      <c r="B1069" s="35">
        <v>2.0</v>
      </c>
      <c r="C1069" s="35"/>
      <c r="D1069" s="35"/>
      <c r="E1069" s="35"/>
      <c r="F1069" s="35"/>
      <c r="G1069" s="35"/>
      <c r="H1069" s="35"/>
      <c r="I1069" s="35"/>
      <c r="J1069" s="35"/>
      <c r="K1069" s="35"/>
      <c r="L1069" s="35"/>
      <c r="M1069" s="35"/>
      <c r="N1069" s="35"/>
      <c r="O1069" s="35"/>
      <c r="P1069" s="35"/>
      <c r="Q1069" s="35"/>
      <c r="R1069" s="35"/>
      <c r="S1069" s="35"/>
      <c r="T1069" s="35"/>
      <c r="U1069" s="35"/>
      <c r="V1069" s="35"/>
      <c r="W1069" s="35"/>
      <c r="X1069" s="35"/>
      <c r="Y1069" s="35"/>
      <c r="Z1069" s="35"/>
      <c r="AA1069" s="35"/>
      <c r="AB1069" s="35"/>
    </row>
    <row r="1070" ht="15.75" customHeight="1">
      <c r="A1070" s="35" t="s">
        <v>7059</v>
      </c>
      <c r="B1070" s="35">
        <v>2.0</v>
      </c>
      <c r="C1070" s="35"/>
      <c r="D1070" s="35"/>
      <c r="E1070" s="35"/>
      <c r="F1070" s="35"/>
      <c r="G1070" s="35"/>
      <c r="H1070" s="35"/>
      <c r="I1070" s="35"/>
      <c r="J1070" s="35"/>
      <c r="K1070" s="35"/>
      <c r="L1070" s="35"/>
      <c r="M1070" s="35"/>
      <c r="N1070" s="35"/>
      <c r="O1070" s="35"/>
      <c r="P1070" s="35"/>
      <c r="Q1070" s="35"/>
      <c r="R1070" s="35"/>
      <c r="S1070" s="35"/>
      <c r="T1070" s="35"/>
      <c r="U1070" s="35"/>
      <c r="V1070" s="35"/>
      <c r="W1070" s="35"/>
      <c r="X1070" s="35"/>
      <c r="Y1070" s="35"/>
      <c r="Z1070" s="35"/>
      <c r="AA1070" s="35"/>
      <c r="AB1070" s="35"/>
    </row>
    <row r="1071" ht="15.75" customHeight="1">
      <c r="A1071" s="35" t="s">
        <v>7062</v>
      </c>
      <c r="B1071" s="35">
        <v>2.0</v>
      </c>
      <c r="C1071" s="35"/>
      <c r="D1071" s="35"/>
      <c r="E1071" s="35"/>
      <c r="F1071" s="35"/>
      <c r="G1071" s="35"/>
      <c r="H1071" s="35"/>
      <c r="I1071" s="35"/>
      <c r="J1071" s="35"/>
      <c r="K1071" s="35"/>
      <c r="L1071" s="35"/>
      <c r="M1071" s="35"/>
      <c r="N1071" s="35"/>
      <c r="O1071" s="35"/>
      <c r="P1071" s="35"/>
      <c r="Q1071" s="35"/>
      <c r="R1071" s="35"/>
      <c r="S1071" s="35"/>
      <c r="T1071" s="35"/>
      <c r="U1071" s="35"/>
      <c r="V1071" s="35"/>
      <c r="W1071" s="35"/>
      <c r="X1071" s="35"/>
      <c r="Y1071" s="35"/>
      <c r="Z1071" s="35"/>
      <c r="AA1071" s="35"/>
      <c r="AB1071" s="35"/>
    </row>
    <row r="1072" ht="15.75" customHeight="1">
      <c r="A1072" s="35" t="s">
        <v>7065</v>
      </c>
      <c r="B1072" s="35">
        <v>2.0</v>
      </c>
      <c r="C1072" s="35"/>
      <c r="D1072" s="35"/>
      <c r="E1072" s="35"/>
      <c r="F1072" s="35"/>
      <c r="G1072" s="35"/>
      <c r="H1072" s="35"/>
      <c r="I1072" s="35"/>
      <c r="J1072" s="35"/>
      <c r="K1072" s="35"/>
      <c r="L1072" s="35"/>
      <c r="M1072" s="35"/>
      <c r="N1072" s="35"/>
      <c r="O1072" s="35"/>
      <c r="P1072" s="35"/>
      <c r="Q1072" s="35"/>
      <c r="R1072" s="35"/>
      <c r="S1072" s="35"/>
      <c r="T1072" s="35"/>
      <c r="U1072" s="35"/>
      <c r="V1072" s="35"/>
      <c r="W1072" s="35"/>
      <c r="X1072" s="35"/>
      <c r="Y1072" s="35"/>
      <c r="Z1072" s="35"/>
      <c r="AA1072" s="35"/>
      <c r="AB1072" s="35"/>
    </row>
    <row r="1073" ht="15.75" customHeight="1">
      <c r="A1073" s="35" t="s">
        <v>7068</v>
      </c>
      <c r="B1073" s="35">
        <v>2.0</v>
      </c>
      <c r="C1073" s="35"/>
      <c r="D1073" s="35"/>
      <c r="E1073" s="35"/>
      <c r="F1073" s="35"/>
      <c r="G1073" s="35"/>
      <c r="H1073" s="35"/>
      <c r="I1073" s="35"/>
      <c r="J1073" s="35"/>
      <c r="K1073" s="35"/>
      <c r="L1073" s="35"/>
      <c r="M1073" s="35"/>
      <c r="N1073" s="35"/>
      <c r="O1073" s="35"/>
      <c r="P1073" s="35"/>
      <c r="Q1073" s="35"/>
      <c r="R1073" s="35"/>
      <c r="S1073" s="35"/>
      <c r="T1073" s="35"/>
      <c r="U1073" s="35"/>
      <c r="V1073" s="35"/>
      <c r="W1073" s="35"/>
      <c r="X1073" s="35"/>
      <c r="Y1073" s="35"/>
      <c r="Z1073" s="35"/>
      <c r="AA1073" s="35"/>
      <c r="AB1073" s="35"/>
    </row>
    <row r="1074" ht="15.75" customHeight="1">
      <c r="A1074" s="35" t="s">
        <v>7072</v>
      </c>
      <c r="B1074" s="35">
        <v>2.0</v>
      </c>
      <c r="C1074" s="35"/>
      <c r="D1074" s="35"/>
      <c r="E1074" s="35"/>
      <c r="F1074" s="35"/>
      <c r="G1074" s="35"/>
      <c r="H1074" s="35"/>
      <c r="I1074" s="35"/>
      <c r="J1074" s="35"/>
      <c r="K1074" s="35"/>
      <c r="L1074" s="35"/>
      <c r="M1074" s="35"/>
      <c r="N1074" s="35"/>
      <c r="O1074" s="35"/>
      <c r="P1074" s="35"/>
      <c r="Q1074" s="35"/>
      <c r="R1074" s="35"/>
      <c r="S1074" s="35"/>
      <c r="T1074" s="35"/>
      <c r="U1074" s="35"/>
      <c r="V1074" s="35"/>
      <c r="W1074" s="35"/>
      <c r="X1074" s="35"/>
      <c r="Y1074" s="35"/>
      <c r="Z1074" s="35"/>
      <c r="AA1074" s="35"/>
      <c r="AB1074" s="35"/>
    </row>
    <row r="1075" ht="15.75" customHeight="1">
      <c r="A1075" s="35" t="s">
        <v>7075</v>
      </c>
      <c r="B1075" s="35">
        <v>2.0</v>
      </c>
      <c r="C1075" s="35"/>
      <c r="D1075" s="35"/>
      <c r="E1075" s="35"/>
      <c r="F1075" s="35"/>
      <c r="G1075" s="35"/>
      <c r="H1075" s="35"/>
      <c r="I1075" s="35"/>
      <c r="J1075" s="35"/>
      <c r="K1075" s="35"/>
      <c r="L1075" s="35"/>
      <c r="M1075" s="35"/>
      <c r="N1075" s="35"/>
      <c r="O1075" s="35"/>
      <c r="P1075" s="35"/>
      <c r="Q1075" s="35"/>
      <c r="R1075" s="35"/>
      <c r="S1075" s="35"/>
      <c r="T1075" s="35"/>
      <c r="U1075" s="35"/>
      <c r="V1075" s="35"/>
      <c r="W1075" s="35"/>
      <c r="X1075" s="35"/>
      <c r="Y1075" s="35"/>
      <c r="Z1075" s="35"/>
      <c r="AA1075" s="35"/>
      <c r="AB1075" s="35"/>
    </row>
    <row r="1076" ht="15.75" customHeight="1">
      <c r="A1076" s="35" t="s">
        <v>7078</v>
      </c>
      <c r="B1076" s="35">
        <v>2.0</v>
      </c>
      <c r="C1076" s="35"/>
      <c r="D1076" s="35"/>
      <c r="E1076" s="35"/>
      <c r="F1076" s="35"/>
      <c r="G1076" s="35"/>
      <c r="H1076" s="35"/>
      <c r="I1076" s="35"/>
      <c r="J1076" s="35"/>
      <c r="K1076" s="35"/>
      <c r="L1076" s="35"/>
      <c r="M1076" s="35"/>
      <c r="N1076" s="35"/>
      <c r="O1076" s="35"/>
      <c r="P1076" s="35"/>
      <c r="Q1076" s="35"/>
      <c r="R1076" s="35"/>
      <c r="S1076" s="35"/>
      <c r="T1076" s="35"/>
      <c r="U1076" s="35"/>
      <c r="V1076" s="35"/>
      <c r="W1076" s="35"/>
      <c r="X1076" s="35"/>
      <c r="Y1076" s="35"/>
      <c r="Z1076" s="35"/>
      <c r="AA1076" s="35"/>
      <c r="AB1076" s="35"/>
    </row>
    <row r="1077" ht="15.75" customHeight="1">
      <c r="A1077" s="35" t="s">
        <v>7081</v>
      </c>
      <c r="B1077" s="35">
        <v>2.0</v>
      </c>
      <c r="C1077" s="35"/>
      <c r="D1077" s="35"/>
      <c r="E1077" s="35"/>
      <c r="F1077" s="35"/>
      <c r="G1077" s="35"/>
      <c r="H1077" s="35"/>
      <c r="I1077" s="35"/>
      <c r="J1077" s="35"/>
      <c r="K1077" s="35"/>
      <c r="L1077" s="35"/>
      <c r="M1077" s="35"/>
      <c r="N1077" s="35"/>
      <c r="O1077" s="35"/>
      <c r="P1077" s="35"/>
      <c r="Q1077" s="35"/>
      <c r="R1077" s="35"/>
      <c r="S1077" s="35"/>
      <c r="T1077" s="35"/>
      <c r="U1077" s="35"/>
      <c r="V1077" s="35"/>
      <c r="W1077" s="35"/>
      <c r="X1077" s="35"/>
      <c r="Y1077" s="35"/>
      <c r="Z1077" s="35"/>
      <c r="AA1077" s="35"/>
      <c r="AB1077" s="35"/>
    </row>
    <row r="1078" ht="15.75" customHeight="1">
      <c r="A1078" s="35" t="s">
        <v>7085</v>
      </c>
      <c r="B1078" s="35">
        <v>2.0</v>
      </c>
      <c r="C1078" s="35"/>
      <c r="D1078" s="35"/>
      <c r="E1078" s="35"/>
      <c r="F1078" s="35"/>
      <c r="G1078" s="35"/>
      <c r="H1078" s="35"/>
      <c r="I1078" s="35"/>
      <c r="J1078" s="35"/>
      <c r="K1078" s="35"/>
      <c r="L1078" s="35"/>
      <c r="M1078" s="35"/>
      <c r="N1078" s="35"/>
      <c r="O1078" s="35"/>
      <c r="P1078" s="35"/>
      <c r="Q1078" s="35"/>
      <c r="R1078" s="35"/>
      <c r="S1078" s="35"/>
      <c r="T1078" s="35"/>
      <c r="U1078" s="35"/>
      <c r="V1078" s="35"/>
      <c r="W1078" s="35"/>
      <c r="X1078" s="35"/>
      <c r="Y1078" s="35"/>
      <c r="Z1078" s="35"/>
      <c r="AA1078" s="35"/>
      <c r="AB1078" s="35"/>
    </row>
    <row r="1079" ht="15.75" customHeight="1">
      <c r="A1079" s="35" t="s">
        <v>7090</v>
      </c>
      <c r="B1079" s="35">
        <v>2.0</v>
      </c>
      <c r="C1079" s="35"/>
      <c r="D1079" s="35"/>
      <c r="E1079" s="35"/>
      <c r="F1079" s="35"/>
      <c r="G1079" s="35"/>
      <c r="H1079" s="35"/>
      <c r="I1079" s="35"/>
      <c r="J1079" s="35"/>
      <c r="K1079" s="35"/>
      <c r="L1079" s="35"/>
      <c r="M1079" s="35"/>
      <c r="N1079" s="35"/>
      <c r="O1079" s="35"/>
      <c r="P1079" s="35"/>
      <c r="Q1079" s="35"/>
      <c r="R1079" s="35"/>
      <c r="S1079" s="35"/>
      <c r="T1079" s="35"/>
      <c r="U1079" s="35"/>
      <c r="V1079" s="35"/>
      <c r="W1079" s="35"/>
      <c r="X1079" s="35"/>
      <c r="Y1079" s="35"/>
      <c r="Z1079" s="35"/>
      <c r="AA1079" s="35"/>
      <c r="AB1079" s="35"/>
    </row>
    <row r="1080" ht="15.75" customHeight="1">
      <c r="A1080" s="35" t="s">
        <v>7094</v>
      </c>
      <c r="B1080" s="35">
        <v>2.0</v>
      </c>
      <c r="C1080" s="35"/>
      <c r="D1080" s="35"/>
      <c r="E1080" s="35"/>
      <c r="F1080" s="35"/>
      <c r="G1080" s="35"/>
      <c r="H1080" s="35"/>
      <c r="I1080" s="35"/>
      <c r="J1080" s="35"/>
      <c r="K1080" s="35"/>
      <c r="L1080" s="35"/>
      <c r="M1080" s="35"/>
      <c r="N1080" s="35"/>
      <c r="O1080" s="35"/>
      <c r="P1080" s="35"/>
      <c r="Q1080" s="35"/>
      <c r="R1080" s="35"/>
      <c r="S1080" s="35"/>
      <c r="T1080" s="35"/>
      <c r="U1080" s="35"/>
      <c r="V1080" s="35"/>
      <c r="W1080" s="35"/>
      <c r="X1080" s="35"/>
      <c r="Y1080" s="35"/>
      <c r="Z1080" s="35"/>
      <c r="AA1080" s="35"/>
      <c r="AB1080" s="35"/>
    </row>
    <row r="1081" ht="15.75" customHeight="1">
      <c r="A1081" s="35" t="s">
        <v>7097</v>
      </c>
      <c r="B1081" s="35">
        <v>2.0</v>
      </c>
      <c r="C1081" s="35"/>
      <c r="D1081" s="35"/>
      <c r="E1081" s="35"/>
      <c r="F1081" s="35"/>
      <c r="G1081" s="35"/>
      <c r="H1081" s="35"/>
      <c r="I1081" s="35"/>
      <c r="J1081" s="35"/>
      <c r="K1081" s="35"/>
      <c r="L1081" s="35"/>
      <c r="M1081" s="35"/>
      <c r="N1081" s="35"/>
      <c r="O1081" s="35"/>
      <c r="P1081" s="35"/>
      <c r="Q1081" s="35"/>
      <c r="R1081" s="35"/>
      <c r="S1081" s="35"/>
      <c r="T1081" s="35"/>
      <c r="U1081" s="35"/>
      <c r="V1081" s="35"/>
      <c r="W1081" s="35"/>
      <c r="X1081" s="35"/>
      <c r="Y1081" s="35"/>
      <c r="Z1081" s="35"/>
      <c r="AA1081" s="35"/>
      <c r="AB1081" s="35"/>
    </row>
    <row r="1082" ht="15.75" customHeight="1">
      <c r="A1082" s="35" t="s">
        <v>7100</v>
      </c>
      <c r="B1082" s="35">
        <v>2.0</v>
      </c>
      <c r="C1082" s="35"/>
      <c r="D1082" s="35"/>
      <c r="E1082" s="35"/>
      <c r="F1082" s="35"/>
      <c r="G1082" s="35"/>
      <c r="H1082" s="35"/>
      <c r="I1082" s="35"/>
      <c r="J1082" s="35"/>
      <c r="K1082" s="35"/>
      <c r="L1082" s="35"/>
      <c r="M1082" s="35"/>
      <c r="N1082" s="35"/>
      <c r="O1082" s="35"/>
      <c r="P1082" s="35"/>
      <c r="Q1082" s="35"/>
      <c r="R1082" s="35"/>
      <c r="S1082" s="35"/>
      <c r="T1082" s="35"/>
      <c r="U1082" s="35"/>
      <c r="V1082" s="35"/>
      <c r="W1082" s="35"/>
      <c r="X1082" s="35"/>
      <c r="Y1082" s="35"/>
      <c r="Z1082" s="35"/>
      <c r="AA1082" s="35"/>
      <c r="AB1082" s="35"/>
    </row>
    <row r="1083" ht="15.75" customHeight="1">
      <c r="A1083" s="35" t="s">
        <v>7103</v>
      </c>
      <c r="B1083" s="35">
        <v>2.0</v>
      </c>
      <c r="C1083" s="35"/>
      <c r="D1083" s="35"/>
      <c r="E1083" s="35"/>
      <c r="F1083" s="35"/>
      <c r="G1083" s="35"/>
      <c r="H1083" s="35"/>
      <c r="I1083" s="35"/>
      <c r="J1083" s="35"/>
      <c r="K1083" s="35"/>
      <c r="L1083" s="35"/>
      <c r="M1083" s="35"/>
      <c r="N1083" s="35"/>
      <c r="O1083" s="35"/>
      <c r="P1083" s="35"/>
      <c r="Q1083" s="35"/>
      <c r="R1083" s="35"/>
      <c r="S1083" s="35"/>
      <c r="T1083" s="35"/>
      <c r="U1083" s="35"/>
      <c r="V1083" s="35"/>
      <c r="W1083" s="35"/>
      <c r="X1083" s="35"/>
      <c r="Y1083" s="35"/>
      <c r="Z1083" s="35"/>
      <c r="AA1083" s="35"/>
      <c r="AB1083" s="35"/>
    </row>
    <row r="1084" ht="15.75" customHeight="1">
      <c r="A1084" s="35" t="s">
        <v>7107</v>
      </c>
      <c r="B1084" s="35">
        <v>2.0</v>
      </c>
      <c r="C1084" s="35"/>
      <c r="D1084" s="35"/>
      <c r="E1084" s="35"/>
      <c r="F1084" s="35"/>
      <c r="G1084" s="35"/>
      <c r="H1084" s="35"/>
      <c r="I1084" s="35"/>
      <c r="J1084" s="35"/>
      <c r="K1084" s="35"/>
      <c r="L1084" s="35"/>
      <c r="M1084" s="35"/>
      <c r="N1084" s="35"/>
      <c r="O1084" s="35"/>
      <c r="P1084" s="35"/>
      <c r="Q1084" s="35"/>
      <c r="R1084" s="35"/>
      <c r="S1084" s="35"/>
      <c r="T1084" s="35"/>
      <c r="U1084" s="35"/>
      <c r="V1084" s="35"/>
      <c r="W1084" s="35"/>
      <c r="X1084" s="35"/>
      <c r="Y1084" s="35"/>
      <c r="Z1084" s="35"/>
      <c r="AA1084" s="35"/>
      <c r="AB1084" s="35"/>
    </row>
    <row r="1085" ht="15.75" customHeight="1">
      <c r="A1085" s="35" t="s">
        <v>7110</v>
      </c>
      <c r="B1085" s="35">
        <v>2.0</v>
      </c>
      <c r="C1085" s="35"/>
      <c r="D1085" s="35"/>
      <c r="E1085" s="35"/>
      <c r="F1085" s="35"/>
      <c r="G1085" s="35"/>
      <c r="H1085" s="35"/>
      <c r="I1085" s="35"/>
      <c r="J1085" s="35"/>
      <c r="K1085" s="35"/>
      <c r="L1085" s="35"/>
      <c r="M1085" s="35"/>
      <c r="N1085" s="35"/>
      <c r="O1085" s="35"/>
      <c r="P1085" s="35"/>
      <c r="Q1085" s="35"/>
      <c r="R1085" s="35"/>
      <c r="S1085" s="35"/>
      <c r="T1085" s="35"/>
      <c r="U1085" s="35"/>
      <c r="V1085" s="35"/>
      <c r="W1085" s="35"/>
      <c r="X1085" s="35"/>
      <c r="Y1085" s="35"/>
      <c r="Z1085" s="35"/>
      <c r="AA1085" s="35"/>
      <c r="AB1085" s="35"/>
    </row>
    <row r="1086" ht="15.75" customHeight="1">
      <c r="A1086" s="35" t="s">
        <v>7115</v>
      </c>
      <c r="B1086" s="35">
        <v>2.0</v>
      </c>
      <c r="C1086" s="35"/>
      <c r="D1086" s="35"/>
      <c r="E1086" s="35"/>
      <c r="F1086" s="35"/>
      <c r="G1086" s="35"/>
      <c r="H1086" s="35"/>
      <c r="I1086" s="35"/>
      <c r="J1086" s="35"/>
      <c r="K1086" s="35"/>
      <c r="L1086" s="35"/>
      <c r="M1086" s="35"/>
      <c r="N1086" s="35"/>
      <c r="O1086" s="35"/>
      <c r="P1086" s="35"/>
      <c r="Q1086" s="35"/>
      <c r="R1086" s="35"/>
      <c r="S1086" s="35"/>
      <c r="T1086" s="35"/>
      <c r="U1086" s="35"/>
      <c r="V1086" s="35"/>
      <c r="W1086" s="35"/>
      <c r="X1086" s="35"/>
      <c r="Y1086" s="35"/>
      <c r="Z1086" s="35"/>
      <c r="AA1086" s="35"/>
      <c r="AB1086" s="35"/>
    </row>
    <row r="1087" ht="15.75" customHeight="1">
      <c r="A1087" s="35" t="s">
        <v>7118</v>
      </c>
      <c r="B1087" s="35">
        <v>2.0</v>
      </c>
      <c r="C1087" s="35"/>
      <c r="D1087" s="35"/>
      <c r="E1087" s="35"/>
      <c r="F1087" s="35"/>
      <c r="G1087" s="35"/>
      <c r="H1087" s="35"/>
      <c r="I1087" s="35"/>
      <c r="J1087" s="35"/>
      <c r="K1087" s="35"/>
      <c r="L1087" s="35"/>
      <c r="M1087" s="35"/>
      <c r="N1087" s="35"/>
      <c r="O1087" s="35"/>
      <c r="P1087" s="35"/>
      <c r="Q1087" s="35"/>
      <c r="R1087" s="35"/>
      <c r="S1087" s="35"/>
      <c r="T1087" s="35"/>
      <c r="U1087" s="35"/>
      <c r="V1087" s="35"/>
      <c r="W1087" s="35"/>
      <c r="X1087" s="35"/>
      <c r="Y1087" s="35"/>
      <c r="Z1087" s="35"/>
      <c r="AA1087" s="35"/>
      <c r="AB1087" s="35"/>
    </row>
    <row r="1088" ht="15.75" customHeight="1">
      <c r="A1088" s="35" t="s">
        <v>7121</v>
      </c>
      <c r="B1088" s="35">
        <v>2.0</v>
      </c>
      <c r="C1088" s="35"/>
      <c r="D1088" s="35"/>
      <c r="E1088" s="35"/>
      <c r="F1088" s="35"/>
      <c r="G1088" s="35"/>
      <c r="H1088" s="35"/>
      <c r="I1088" s="35"/>
      <c r="J1088" s="35"/>
      <c r="K1088" s="35"/>
      <c r="L1088" s="35"/>
      <c r="M1088" s="35"/>
      <c r="N1088" s="35"/>
      <c r="O1088" s="35"/>
      <c r="P1088" s="35"/>
      <c r="Q1088" s="35"/>
      <c r="R1088" s="35"/>
      <c r="S1088" s="35"/>
      <c r="T1088" s="35"/>
      <c r="U1088" s="35"/>
      <c r="V1088" s="35"/>
      <c r="W1088" s="35"/>
      <c r="X1088" s="35"/>
      <c r="Y1088" s="35"/>
      <c r="Z1088" s="35"/>
      <c r="AA1088" s="35"/>
      <c r="AB1088" s="35"/>
    </row>
    <row r="1089" ht="15.75" customHeight="1">
      <c r="A1089" s="35" t="s">
        <v>7124</v>
      </c>
      <c r="B1089" s="35">
        <v>2.0</v>
      </c>
      <c r="C1089" s="35"/>
      <c r="D1089" s="35"/>
      <c r="E1089" s="35"/>
      <c r="F1089" s="35"/>
      <c r="G1089" s="35"/>
      <c r="H1089" s="35"/>
      <c r="I1089" s="35"/>
      <c r="J1089" s="35"/>
      <c r="K1089" s="35"/>
      <c r="L1089" s="35"/>
      <c r="M1089" s="35"/>
      <c r="N1089" s="35"/>
      <c r="O1089" s="35"/>
      <c r="P1089" s="35"/>
      <c r="Q1089" s="35"/>
      <c r="R1089" s="35"/>
      <c r="S1089" s="35"/>
      <c r="T1089" s="35"/>
      <c r="U1089" s="35"/>
      <c r="V1089" s="35"/>
      <c r="W1089" s="35"/>
      <c r="X1089" s="35"/>
      <c r="Y1089" s="35"/>
      <c r="Z1089" s="35"/>
      <c r="AA1089" s="35"/>
      <c r="AB1089" s="35"/>
    </row>
    <row r="1090" ht="15.75" customHeight="1">
      <c r="A1090" s="35" t="s">
        <v>7128</v>
      </c>
      <c r="B1090" s="35">
        <v>2.0</v>
      </c>
      <c r="C1090" s="35"/>
      <c r="D1090" s="35"/>
      <c r="E1090" s="35"/>
      <c r="F1090" s="35"/>
      <c r="G1090" s="35"/>
      <c r="H1090" s="35"/>
      <c r="I1090" s="35"/>
      <c r="J1090" s="35"/>
      <c r="K1090" s="35"/>
      <c r="L1090" s="35"/>
      <c r="M1090" s="35"/>
      <c r="N1090" s="35"/>
      <c r="O1090" s="35"/>
      <c r="P1090" s="35"/>
      <c r="Q1090" s="35"/>
      <c r="R1090" s="35"/>
      <c r="S1090" s="35"/>
      <c r="T1090" s="35"/>
      <c r="U1090" s="35"/>
      <c r="V1090" s="35"/>
      <c r="W1090" s="35"/>
      <c r="X1090" s="35"/>
      <c r="Y1090" s="35"/>
      <c r="Z1090" s="35"/>
      <c r="AA1090" s="35"/>
      <c r="AB1090" s="35"/>
    </row>
    <row r="1091" ht="15.75" customHeight="1">
      <c r="A1091" s="35" t="s">
        <v>7131</v>
      </c>
      <c r="B1091" s="35">
        <v>2.0</v>
      </c>
      <c r="C1091" s="35"/>
      <c r="D1091" s="35"/>
      <c r="E1091" s="35"/>
      <c r="F1091" s="35"/>
      <c r="G1091" s="35"/>
      <c r="H1091" s="35"/>
      <c r="I1091" s="35"/>
      <c r="J1091" s="35"/>
      <c r="K1091" s="35"/>
      <c r="L1091" s="35"/>
      <c r="M1091" s="35"/>
      <c r="N1091" s="35"/>
      <c r="O1091" s="35"/>
      <c r="P1091" s="35"/>
      <c r="Q1091" s="35"/>
      <c r="R1091" s="35"/>
      <c r="S1091" s="35"/>
      <c r="T1091" s="35"/>
      <c r="U1091" s="35"/>
      <c r="V1091" s="35"/>
      <c r="W1091" s="35"/>
      <c r="X1091" s="35"/>
      <c r="Y1091" s="35"/>
      <c r="Z1091" s="35"/>
      <c r="AA1091" s="35"/>
      <c r="AB1091" s="35"/>
    </row>
    <row r="1092" ht="15.75" customHeight="1">
      <c r="A1092" s="35" t="s">
        <v>7134</v>
      </c>
      <c r="B1092" s="35">
        <v>2.0</v>
      </c>
      <c r="C1092" s="35"/>
      <c r="D1092" s="35"/>
      <c r="E1092" s="35"/>
      <c r="F1092" s="35"/>
      <c r="G1092" s="35"/>
      <c r="H1092" s="35"/>
      <c r="I1092" s="35"/>
      <c r="J1092" s="35"/>
      <c r="K1092" s="35"/>
      <c r="L1092" s="35"/>
      <c r="M1092" s="35"/>
      <c r="N1092" s="35"/>
      <c r="O1092" s="35"/>
      <c r="P1092" s="35"/>
      <c r="Q1092" s="35"/>
      <c r="R1092" s="35"/>
      <c r="S1092" s="35"/>
      <c r="T1092" s="35"/>
      <c r="U1092" s="35"/>
      <c r="V1092" s="35"/>
      <c r="W1092" s="35"/>
      <c r="X1092" s="35"/>
      <c r="Y1092" s="35"/>
      <c r="Z1092" s="35"/>
      <c r="AA1092" s="35"/>
      <c r="AB1092" s="35"/>
    </row>
    <row r="1093" ht="15.75" customHeight="1">
      <c r="A1093" s="35" t="s">
        <v>7138</v>
      </c>
      <c r="B1093" s="35">
        <v>2.0</v>
      </c>
      <c r="C1093" s="35"/>
      <c r="D1093" s="35"/>
      <c r="E1093" s="35"/>
      <c r="F1093" s="35"/>
      <c r="G1093" s="35"/>
      <c r="H1093" s="35"/>
      <c r="I1093" s="35"/>
      <c r="J1093" s="35"/>
      <c r="K1093" s="35"/>
      <c r="L1093" s="35"/>
      <c r="M1093" s="35"/>
      <c r="N1093" s="35"/>
      <c r="O1093" s="35"/>
      <c r="P1093" s="35"/>
      <c r="Q1093" s="35"/>
      <c r="R1093" s="35"/>
      <c r="S1093" s="35"/>
      <c r="T1093" s="35"/>
      <c r="U1093" s="35"/>
      <c r="V1093" s="35"/>
      <c r="W1093" s="35"/>
      <c r="X1093" s="35"/>
      <c r="Y1093" s="35"/>
      <c r="Z1093" s="35"/>
      <c r="AA1093" s="35"/>
      <c r="AB1093" s="35"/>
    </row>
    <row r="1094" ht="15.75" customHeight="1">
      <c r="A1094" s="35" t="s">
        <v>7142</v>
      </c>
      <c r="B1094" s="35">
        <v>2.0</v>
      </c>
      <c r="C1094" s="35"/>
      <c r="D1094" s="35"/>
      <c r="E1094" s="35"/>
      <c r="F1094" s="35"/>
      <c r="G1094" s="35"/>
      <c r="H1094" s="35"/>
      <c r="I1094" s="35"/>
      <c r="J1094" s="35"/>
      <c r="K1094" s="35"/>
      <c r="L1094" s="35"/>
      <c r="M1094" s="35"/>
      <c r="N1094" s="35"/>
      <c r="O1094" s="35"/>
      <c r="P1094" s="35"/>
      <c r="Q1094" s="35"/>
      <c r="R1094" s="35"/>
      <c r="S1094" s="35"/>
      <c r="T1094" s="35"/>
      <c r="U1094" s="35"/>
      <c r="V1094" s="35"/>
      <c r="W1094" s="35"/>
      <c r="X1094" s="35"/>
      <c r="Y1094" s="35"/>
      <c r="Z1094" s="35"/>
      <c r="AA1094" s="35"/>
      <c r="AB1094" s="35"/>
    </row>
    <row r="1095" ht="15.75" customHeight="1">
      <c r="A1095" s="35" t="s">
        <v>7144</v>
      </c>
      <c r="B1095" s="35">
        <v>2.0</v>
      </c>
      <c r="C1095" s="35"/>
      <c r="D1095" s="35"/>
      <c r="E1095" s="35"/>
      <c r="F1095" s="35"/>
      <c r="G1095" s="35"/>
      <c r="H1095" s="35"/>
      <c r="I1095" s="35"/>
      <c r="J1095" s="35"/>
      <c r="K1095" s="35"/>
      <c r="L1095" s="35"/>
      <c r="M1095" s="35"/>
      <c r="N1095" s="35"/>
      <c r="O1095" s="35"/>
      <c r="P1095" s="35"/>
      <c r="Q1095" s="35"/>
      <c r="R1095" s="35"/>
      <c r="S1095" s="35"/>
      <c r="T1095" s="35"/>
      <c r="U1095" s="35"/>
      <c r="V1095" s="35"/>
      <c r="W1095" s="35"/>
      <c r="X1095" s="35"/>
      <c r="Y1095" s="35"/>
      <c r="Z1095" s="35"/>
      <c r="AA1095" s="35"/>
      <c r="AB1095" s="35"/>
    </row>
    <row r="1096" ht="15.75" customHeight="1">
      <c r="A1096" s="35" t="s">
        <v>7148</v>
      </c>
      <c r="B1096" s="35">
        <v>2.0</v>
      </c>
      <c r="C1096" s="35"/>
      <c r="D1096" s="35"/>
      <c r="E1096" s="35"/>
      <c r="F1096" s="35"/>
      <c r="G1096" s="35"/>
      <c r="H1096" s="35"/>
      <c r="I1096" s="35"/>
      <c r="J1096" s="35"/>
      <c r="K1096" s="35"/>
      <c r="L1096" s="35"/>
      <c r="M1096" s="35"/>
      <c r="N1096" s="35"/>
      <c r="O1096" s="35"/>
      <c r="P1096" s="35"/>
      <c r="Q1096" s="35"/>
      <c r="R1096" s="35"/>
      <c r="S1096" s="35"/>
      <c r="T1096" s="35"/>
      <c r="U1096" s="35"/>
      <c r="V1096" s="35"/>
      <c r="W1096" s="35"/>
      <c r="X1096" s="35"/>
      <c r="Y1096" s="35"/>
      <c r="Z1096" s="35"/>
      <c r="AA1096" s="35"/>
      <c r="AB1096" s="35"/>
    </row>
    <row r="1097" ht="15.75" customHeight="1">
      <c r="A1097" s="35" t="s">
        <v>7151</v>
      </c>
      <c r="B1097" s="35">
        <v>2.0</v>
      </c>
      <c r="C1097" s="35"/>
      <c r="D1097" s="35"/>
      <c r="E1097" s="35"/>
      <c r="F1097" s="35"/>
      <c r="G1097" s="35"/>
      <c r="H1097" s="35"/>
      <c r="I1097" s="35"/>
      <c r="J1097" s="35"/>
      <c r="K1097" s="35"/>
      <c r="L1097" s="35"/>
      <c r="M1097" s="35"/>
      <c r="N1097" s="35"/>
      <c r="O1097" s="35"/>
      <c r="P1097" s="35"/>
      <c r="Q1097" s="35"/>
      <c r="R1097" s="35"/>
      <c r="S1097" s="35"/>
      <c r="T1097" s="35"/>
      <c r="U1097" s="35"/>
      <c r="V1097" s="35"/>
      <c r="W1097" s="35"/>
      <c r="X1097" s="35"/>
      <c r="Y1097" s="35"/>
      <c r="Z1097" s="35"/>
      <c r="AA1097" s="35"/>
      <c r="AB1097" s="35"/>
    </row>
    <row r="1098" ht="15.75" customHeight="1">
      <c r="A1098" s="35" t="s">
        <v>7155</v>
      </c>
      <c r="B1098" s="35">
        <v>2.0</v>
      </c>
      <c r="C1098" s="35"/>
      <c r="D1098" s="35"/>
      <c r="E1098" s="35"/>
      <c r="F1098" s="35"/>
      <c r="G1098" s="35"/>
      <c r="H1098" s="35"/>
      <c r="I1098" s="35"/>
      <c r="J1098" s="35"/>
      <c r="K1098" s="35"/>
      <c r="L1098" s="35"/>
      <c r="M1098" s="35"/>
      <c r="N1098" s="35"/>
      <c r="O1098" s="35"/>
      <c r="P1098" s="35"/>
      <c r="Q1098" s="35"/>
      <c r="R1098" s="35"/>
      <c r="S1098" s="35"/>
      <c r="T1098" s="35"/>
      <c r="U1098" s="35"/>
      <c r="V1098" s="35"/>
      <c r="W1098" s="35"/>
      <c r="X1098" s="35"/>
      <c r="Y1098" s="35"/>
      <c r="Z1098" s="35"/>
      <c r="AA1098" s="35"/>
      <c r="AB1098" s="35"/>
    </row>
    <row r="1099" ht="15.75" customHeight="1">
      <c r="A1099" s="35" t="s">
        <v>7158</v>
      </c>
      <c r="B1099" s="35">
        <v>2.0</v>
      </c>
      <c r="C1099" s="35"/>
      <c r="D1099" s="35"/>
      <c r="E1099" s="35"/>
      <c r="F1099" s="35"/>
      <c r="G1099" s="35"/>
      <c r="H1099" s="35"/>
      <c r="I1099" s="35"/>
      <c r="J1099" s="35"/>
      <c r="K1099" s="35"/>
      <c r="L1099" s="35"/>
      <c r="M1099" s="35"/>
      <c r="N1099" s="35"/>
      <c r="O1099" s="35"/>
      <c r="P1099" s="35"/>
      <c r="Q1099" s="35"/>
      <c r="R1099" s="35"/>
      <c r="S1099" s="35"/>
      <c r="T1099" s="35"/>
      <c r="U1099" s="35"/>
      <c r="V1099" s="35"/>
      <c r="W1099" s="35"/>
      <c r="X1099" s="35"/>
      <c r="Y1099" s="35"/>
      <c r="Z1099" s="35"/>
      <c r="AA1099" s="35"/>
      <c r="AB1099" s="35"/>
    </row>
    <row r="1100" ht="15.75" customHeight="1">
      <c r="A1100" s="35" t="s">
        <v>7161</v>
      </c>
      <c r="B1100" s="35">
        <v>2.0</v>
      </c>
      <c r="C1100" s="35"/>
      <c r="D1100" s="35"/>
      <c r="E1100" s="35"/>
      <c r="F1100" s="35"/>
      <c r="G1100" s="35"/>
      <c r="H1100" s="35"/>
      <c r="I1100" s="35"/>
      <c r="J1100" s="35"/>
      <c r="K1100" s="35"/>
      <c r="L1100" s="35"/>
      <c r="M1100" s="35"/>
      <c r="N1100" s="35"/>
      <c r="O1100" s="35"/>
      <c r="P1100" s="35"/>
      <c r="Q1100" s="35"/>
      <c r="R1100" s="35"/>
      <c r="S1100" s="35"/>
      <c r="T1100" s="35"/>
      <c r="U1100" s="35"/>
      <c r="V1100" s="35"/>
      <c r="W1100" s="35"/>
      <c r="X1100" s="35"/>
      <c r="Y1100" s="35"/>
      <c r="Z1100" s="35"/>
      <c r="AA1100" s="35"/>
      <c r="AB1100" s="35"/>
    </row>
    <row r="1101" ht="15.75" customHeight="1">
      <c r="A1101" s="35" t="s">
        <v>7165</v>
      </c>
      <c r="B1101" s="35">
        <v>2.0</v>
      </c>
      <c r="C1101" s="35"/>
      <c r="D1101" s="35"/>
      <c r="E1101" s="35"/>
      <c r="F1101" s="35"/>
      <c r="G1101" s="35"/>
      <c r="H1101" s="35"/>
      <c r="I1101" s="35"/>
      <c r="J1101" s="35"/>
      <c r="K1101" s="35"/>
      <c r="L1101" s="35"/>
      <c r="M1101" s="35"/>
      <c r="N1101" s="35"/>
      <c r="O1101" s="35"/>
      <c r="P1101" s="35"/>
      <c r="Q1101" s="35"/>
      <c r="R1101" s="35"/>
      <c r="S1101" s="35"/>
      <c r="T1101" s="35"/>
      <c r="U1101" s="35"/>
      <c r="V1101" s="35"/>
      <c r="W1101" s="35"/>
      <c r="X1101" s="35"/>
      <c r="Y1101" s="35"/>
      <c r="Z1101" s="35"/>
      <c r="AA1101" s="35"/>
      <c r="AB1101" s="35"/>
    </row>
    <row r="1102" ht="15.75" customHeight="1">
      <c r="A1102" s="35" t="s">
        <v>7168</v>
      </c>
      <c r="B1102" s="35">
        <v>2.0</v>
      </c>
      <c r="C1102" s="35"/>
      <c r="D1102" s="35"/>
      <c r="E1102" s="35"/>
      <c r="F1102" s="35"/>
      <c r="G1102" s="35"/>
      <c r="H1102" s="35"/>
      <c r="I1102" s="35"/>
      <c r="J1102" s="35"/>
      <c r="K1102" s="35"/>
      <c r="L1102" s="35"/>
      <c r="M1102" s="35"/>
      <c r="N1102" s="35"/>
      <c r="O1102" s="35"/>
      <c r="P1102" s="35"/>
      <c r="Q1102" s="35"/>
      <c r="R1102" s="35"/>
      <c r="S1102" s="35"/>
      <c r="T1102" s="35"/>
      <c r="U1102" s="35"/>
      <c r="V1102" s="35"/>
      <c r="W1102" s="35"/>
      <c r="X1102" s="35"/>
      <c r="Y1102" s="35"/>
      <c r="Z1102" s="35"/>
      <c r="AA1102" s="35"/>
      <c r="AB1102" s="35"/>
    </row>
    <row r="1103" ht="15.75" customHeight="1">
      <c r="A1103" s="35" t="s">
        <v>7172</v>
      </c>
      <c r="B1103" s="35">
        <v>2.0</v>
      </c>
      <c r="C1103" s="35"/>
      <c r="D1103" s="35"/>
      <c r="E1103" s="35"/>
      <c r="F1103" s="35"/>
      <c r="G1103" s="35"/>
      <c r="H1103" s="35"/>
      <c r="I1103" s="35"/>
      <c r="J1103" s="35"/>
      <c r="K1103" s="35"/>
      <c r="L1103" s="35"/>
      <c r="M1103" s="35"/>
      <c r="N1103" s="35"/>
      <c r="O1103" s="35"/>
      <c r="P1103" s="35"/>
      <c r="Q1103" s="35"/>
      <c r="R1103" s="35"/>
      <c r="S1103" s="35"/>
      <c r="T1103" s="35"/>
      <c r="U1103" s="35"/>
      <c r="V1103" s="35"/>
      <c r="W1103" s="35"/>
      <c r="X1103" s="35"/>
      <c r="Y1103" s="35"/>
      <c r="Z1103" s="35"/>
      <c r="AA1103" s="35"/>
      <c r="AB1103" s="35"/>
    </row>
    <row r="1104" ht="15.75" customHeight="1">
      <c r="A1104" s="35" t="s">
        <v>7175</v>
      </c>
      <c r="B1104" s="35">
        <v>2.0</v>
      </c>
      <c r="C1104" s="35"/>
      <c r="D1104" s="35"/>
      <c r="E1104" s="35"/>
      <c r="F1104" s="35"/>
      <c r="G1104" s="35"/>
      <c r="H1104" s="35"/>
      <c r="I1104" s="35"/>
      <c r="J1104" s="35"/>
      <c r="K1104" s="35"/>
      <c r="L1104" s="35"/>
      <c r="M1104" s="35"/>
      <c r="N1104" s="35"/>
      <c r="O1104" s="35"/>
      <c r="P1104" s="35"/>
      <c r="Q1104" s="35"/>
      <c r="R1104" s="35"/>
      <c r="S1104" s="35"/>
      <c r="T1104" s="35"/>
      <c r="U1104" s="35"/>
      <c r="V1104" s="35"/>
      <c r="W1104" s="35"/>
      <c r="X1104" s="35"/>
      <c r="Y1104" s="35"/>
      <c r="Z1104" s="35"/>
      <c r="AA1104" s="35"/>
      <c r="AB1104" s="35"/>
    </row>
    <row r="1105" ht="15.75" customHeight="1">
      <c r="A1105" s="35" t="s">
        <v>7178</v>
      </c>
      <c r="B1105" s="35">
        <v>2.0</v>
      </c>
      <c r="C1105" s="35"/>
      <c r="D1105" s="35"/>
      <c r="E1105" s="35"/>
      <c r="F1105" s="35"/>
      <c r="G1105" s="35"/>
      <c r="H1105" s="35"/>
      <c r="I1105" s="35"/>
      <c r="J1105" s="35"/>
      <c r="K1105" s="35"/>
      <c r="L1105" s="35"/>
      <c r="M1105" s="35"/>
      <c r="N1105" s="35"/>
      <c r="O1105" s="35"/>
      <c r="P1105" s="35"/>
      <c r="Q1105" s="35"/>
      <c r="R1105" s="35"/>
      <c r="S1105" s="35"/>
      <c r="T1105" s="35"/>
      <c r="U1105" s="35"/>
      <c r="V1105" s="35"/>
      <c r="W1105" s="35"/>
      <c r="X1105" s="35"/>
      <c r="Y1105" s="35"/>
      <c r="Z1105" s="35"/>
      <c r="AA1105" s="35"/>
      <c r="AB1105" s="35"/>
    </row>
    <row r="1106" ht="15.75" customHeight="1">
      <c r="A1106" s="35" t="s">
        <v>7181</v>
      </c>
      <c r="B1106" s="35">
        <v>2.0</v>
      </c>
      <c r="C1106" s="35"/>
      <c r="D1106" s="35"/>
      <c r="E1106" s="35"/>
      <c r="F1106" s="35"/>
      <c r="G1106" s="35"/>
      <c r="H1106" s="35"/>
      <c r="I1106" s="35"/>
      <c r="J1106" s="35"/>
      <c r="K1106" s="35"/>
      <c r="L1106" s="35"/>
      <c r="M1106" s="35"/>
      <c r="N1106" s="35"/>
      <c r="O1106" s="35"/>
      <c r="P1106" s="35"/>
      <c r="Q1106" s="35"/>
      <c r="R1106" s="35"/>
      <c r="S1106" s="35"/>
      <c r="T1106" s="35"/>
      <c r="U1106" s="35"/>
      <c r="V1106" s="35"/>
      <c r="W1106" s="35"/>
      <c r="X1106" s="35"/>
      <c r="Y1106" s="35"/>
      <c r="Z1106" s="35"/>
      <c r="AA1106" s="35"/>
      <c r="AB1106" s="35"/>
    </row>
    <row r="1107" ht="15.75" customHeight="1">
      <c r="A1107" s="35" t="s">
        <v>7182</v>
      </c>
      <c r="B1107" s="35">
        <v>2.0</v>
      </c>
      <c r="C1107" s="35"/>
      <c r="D1107" s="35"/>
      <c r="E1107" s="35"/>
      <c r="F1107" s="35"/>
      <c r="G1107" s="35"/>
      <c r="H1107" s="35"/>
      <c r="I1107" s="35"/>
      <c r="J1107" s="35"/>
      <c r="K1107" s="35"/>
      <c r="L1107" s="35"/>
      <c r="M1107" s="35"/>
      <c r="N1107" s="35"/>
      <c r="O1107" s="35"/>
      <c r="P1107" s="35"/>
      <c r="Q1107" s="35"/>
      <c r="R1107" s="35"/>
      <c r="S1107" s="35"/>
      <c r="T1107" s="35"/>
      <c r="U1107" s="35"/>
      <c r="V1107" s="35"/>
      <c r="W1107" s="35"/>
      <c r="X1107" s="35"/>
      <c r="Y1107" s="35"/>
      <c r="Z1107" s="35"/>
      <c r="AA1107" s="35"/>
      <c r="AB1107" s="35"/>
    </row>
    <row r="1108" ht="15.75" customHeight="1">
      <c r="A1108" s="35" t="s">
        <v>7183</v>
      </c>
      <c r="B1108" s="35">
        <v>2.0</v>
      </c>
      <c r="C1108" s="35"/>
      <c r="D1108" s="35"/>
      <c r="E1108" s="35"/>
      <c r="F1108" s="35"/>
      <c r="G1108" s="35"/>
      <c r="H1108" s="35"/>
      <c r="I1108" s="35"/>
      <c r="J1108" s="35"/>
      <c r="K1108" s="35"/>
      <c r="L1108" s="35"/>
      <c r="M1108" s="35"/>
      <c r="N1108" s="35"/>
      <c r="O1108" s="35"/>
      <c r="P1108" s="35"/>
      <c r="Q1108" s="35"/>
      <c r="R1108" s="35"/>
      <c r="S1108" s="35"/>
      <c r="T1108" s="35"/>
      <c r="U1108" s="35"/>
      <c r="V1108" s="35"/>
      <c r="W1108" s="35"/>
      <c r="X1108" s="35"/>
      <c r="Y1108" s="35"/>
      <c r="Z1108" s="35"/>
      <c r="AA1108" s="35"/>
      <c r="AB1108" s="35"/>
    </row>
    <row r="1109" ht="15.75" customHeight="1">
      <c r="A1109" s="35" t="s">
        <v>7186</v>
      </c>
      <c r="B1109" s="35">
        <v>2.0</v>
      </c>
      <c r="C1109" s="35"/>
      <c r="D1109" s="35"/>
      <c r="E1109" s="35"/>
      <c r="F1109" s="35"/>
      <c r="G1109" s="35"/>
      <c r="H1109" s="35"/>
      <c r="I1109" s="35"/>
      <c r="J1109" s="35"/>
      <c r="K1109" s="35"/>
      <c r="L1109" s="35"/>
      <c r="M1109" s="35"/>
      <c r="N1109" s="35"/>
      <c r="O1109" s="35"/>
      <c r="P1109" s="35"/>
      <c r="Q1109" s="35"/>
      <c r="R1109" s="35"/>
      <c r="S1109" s="35"/>
      <c r="T1109" s="35"/>
      <c r="U1109" s="35"/>
      <c r="V1109" s="35"/>
      <c r="W1109" s="35"/>
      <c r="X1109" s="35"/>
      <c r="Y1109" s="35"/>
      <c r="Z1109" s="35"/>
      <c r="AA1109" s="35"/>
      <c r="AB1109" s="35"/>
    </row>
    <row r="1110" ht="15.75" customHeight="1">
      <c r="A1110" s="35" t="s">
        <v>7189</v>
      </c>
      <c r="B1110" s="35">
        <v>2.0</v>
      </c>
      <c r="C1110" s="35"/>
      <c r="D1110" s="35"/>
      <c r="E1110" s="35"/>
      <c r="F1110" s="35"/>
      <c r="G1110" s="35"/>
      <c r="H1110" s="35"/>
      <c r="I1110" s="35"/>
      <c r="J1110" s="35"/>
      <c r="K1110" s="35"/>
      <c r="L1110" s="35"/>
      <c r="M1110" s="35"/>
      <c r="N1110" s="35"/>
      <c r="O1110" s="35"/>
      <c r="P1110" s="35"/>
      <c r="Q1110" s="35"/>
      <c r="R1110" s="35"/>
      <c r="S1110" s="35"/>
      <c r="T1110" s="35"/>
      <c r="U1110" s="35"/>
      <c r="V1110" s="35"/>
      <c r="W1110" s="35"/>
      <c r="X1110" s="35"/>
      <c r="Y1110" s="35"/>
      <c r="Z1110" s="35"/>
      <c r="AA1110" s="35"/>
      <c r="AB1110" s="35"/>
    </row>
    <row r="1111" ht="15.75" customHeight="1">
      <c r="A1111" s="35" t="s">
        <v>7192</v>
      </c>
      <c r="B1111" s="35">
        <v>2.0</v>
      </c>
      <c r="C1111" s="35"/>
      <c r="D1111" s="35"/>
      <c r="E1111" s="35"/>
      <c r="F1111" s="35"/>
      <c r="G1111" s="35"/>
      <c r="H1111" s="35"/>
      <c r="I1111" s="35"/>
      <c r="J1111" s="35"/>
      <c r="K1111" s="35"/>
      <c r="L1111" s="35"/>
      <c r="M1111" s="35"/>
      <c r="N1111" s="35"/>
      <c r="O1111" s="35"/>
      <c r="P1111" s="35"/>
      <c r="Q1111" s="35"/>
      <c r="R1111" s="35"/>
      <c r="S1111" s="35"/>
      <c r="T1111" s="35"/>
      <c r="U1111" s="35"/>
      <c r="V1111" s="35"/>
      <c r="W1111" s="35"/>
      <c r="X1111" s="35"/>
      <c r="Y1111" s="35"/>
      <c r="Z1111" s="35"/>
      <c r="AA1111" s="35"/>
      <c r="AB1111" s="35"/>
    </row>
    <row r="1112" ht="15.75" customHeight="1">
      <c r="A1112" s="35" t="s">
        <v>7195</v>
      </c>
      <c r="B1112" s="35">
        <v>2.0</v>
      </c>
      <c r="C1112" s="35"/>
      <c r="D1112" s="35"/>
      <c r="E1112" s="35"/>
      <c r="F1112" s="35"/>
      <c r="G1112" s="35"/>
      <c r="H1112" s="35"/>
      <c r="I1112" s="35"/>
      <c r="J1112" s="35"/>
      <c r="K1112" s="35"/>
      <c r="L1112" s="35"/>
      <c r="M1112" s="35"/>
      <c r="N1112" s="35"/>
      <c r="O1112" s="35"/>
      <c r="P1112" s="35"/>
      <c r="Q1112" s="35"/>
      <c r="R1112" s="35"/>
      <c r="S1112" s="35"/>
      <c r="T1112" s="35"/>
      <c r="U1112" s="35"/>
      <c r="V1112" s="35"/>
      <c r="W1112" s="35"/>
      <c r="X1112" s="35"/>
      <c r="Y1112" s="35"/>
      <c r="Z1112" s="35"/>
      <c r="AA1112" s="35"/>
      <c r="AB1112" s="35"/>
    </row>
    <row r="1113" ht="15.75" customHeight="1">
      <c r="A1113" s="35" t="s">
        <v>7199</v>
      </c>
      <c r="B1113" s="35">
        <v>2.0</v>
      </c>
      <c r="C1113" s="35"/>
      <c r="D1113" s="35"/>
      <c r="E1113" s="35"/>
      <c r="F1113" s="35"/>
      <c r="G1113" s="35"/>
      <c r="H1113" s="35"/>
      <c r="I1113" s="35"/>
      <c r="J1113" s="35"/>
      <c r="K1113" s="35"/>
      <c r="L1113" s="35"/>
      <c r="M1113" s="35"/>
      <c r="N1113" s="35"/>
      <c r="O1113" s="35"/>
      <c r="P1113" s="35"/>
      <c r="Q1113" s="35"/>
      <c r="R1113" s="35"/>
      <c r="S1113" s="35"/>
      <c r="T1113" s="35"/>
      <c r="U1113" s="35"/>
      <c r="V1113" s="35"/>
      <c r="W1113" s="35"/>
      <c r="X1113" s="35"/>
      <c r="Y1113" s="35"/>
      <c r="Z1113" s="35"/>
      <c r="AA1113" s="35"/>
      <c r="AB1113" s="35"/>
    </row>
    <row r="1114" ht="15.75" customHeight="1">
      <c r="A1114" s="35" t="s">
        <v>7202</v>
      </c>
      <c r="B1114" s="35">
        <v>2.0</v>
      </c>
      <c r="C1114" s="35"/>
      <c r="D1114" s="35"/>
      <c r="E1114" s="35"/>
      <c r="F1114" s="35"/>
      <c r="G1114" s="35"/>
      <c r="H1114" s="35"/>
      <c r="I1114" s="35"/>
      <c r="J1114" s="35"/>
      <c r="K1114" s="35"/>
      <c r="L1114" s="35"/>
      <c r="M1114" s="35"/>
      <c r="N1114" s="35"/>
      <c r="O1114" s="35"/>
      <c r="P1114" s="35"/>
      <c r="Q1114" s="35"/>
      <c r="R1114" s="35"/>
      <c r="S1114" s="35"/>
      <c r="T1114" s="35"/>
      <c r="U1114" s="35"/>
      <c r="V1114" s="35"/>
      <c r="W1114" s="35"/>
      <c r="X1114" s="35"/>
      <c r="Y1114" s="35"/>
      <c r="Z1114" s="35"/>
      <c r="AA1114" s="35"/>
      <c r="AB1114" s="35"/>
    </row>
    <row r="1115" ht="15.75" customHeight="1">
      <c r="A1115" s="35" t="s">
        <v>7206</v>
      </c>
      <c r="B1115" s="35">
        <v>2.0</v>
      </c>
      <c r="C1115" s="35"/>
      <c r="D1115" s="35"/>
      <c r="E1115" s="35"/>
      <c r="F1115" s="35"/>
      <c r="G1115" s="35"/>
      <c r="H1115" s="35"/>
      <c r="I1115" s="35"/>
      <c r="J1115" s="35"/>
      <c r="K1115" s="35"/>
      <c r="L1115" s="35"/>
      <c r="M1115" s="35"/>
      <c r="N1115" s="35"/>
      <c r="O1115" s="35"/>
      <c r="P1115" s="35"/>
      <c r="Q1115" s="35"/>
      <c r="R1115" s="35"/>
      <c r="S1115" s="35"/>
      <c r="T1115" s="35"/>
      <c r="U1115" s="35"/>
      <c r="V1115" s="35"/>
      <c r="W1115" s="35"/>
      <c r="X1115" s="35"/>
      <c r="Y1115" s="35"/>
      <c r="Z1115" s="35"/>
      <c r="AA1115" s="35"/>
      <c r="AB1115" s="35"/>
    </row>
    <row r="1116" ht="15.75" customHeight="1">
      <c r="A1116" s="35" t="s">
        <v>7210</v>
      </c>
      <c r="B1116" s="35">
        <v>2.0</v>
      </c>
      <c r="C1116" s="35"/>
      <c r="D1116" s="35"/>
      <c r="E1116" s="35"/>
      <c r="F1116" s="35"/>
      <c r="G1116" s="35"/>
      <c r="H1116" s="35"/>
      <c r="I1116" s="35"/>
      <c r="J1116" s="35"/>
      <c r="K1116" s="35"/>
      <c r="L1116" s="35"/>
      <c r="M1116" s="35"/>
      <c r="N1116" s="35"/>
      <c r="O1116" s="35"/>
      <c r="P1116" s="35"/>
      <c r="Q1116" s="35"/>
      <c r="R1116" s="35"/>
      <c r="S1116" s="35"/>
      <c r="T1116" s="35"/>
      <c r="U1116" s="35"/>
      <c r="V1116" s="35"/>
      <c r="W1116" s="35"/>
      <c r="X1116" s="35"/>
      <c r="Y1116" s="35"/>
      <c r="Z1116" s="35"/>
      <c r="AA1116" s="35"/>
      <c r="AB1116" s="35"/>
    </row>
    <row r="1117" ht="15.75" customHeight="1">
      <c r="A1117" s="35" t="s">
        <v>7213</v>
      </c>
      <c r="B1117" s="35">
        <v>2.0</v>
      </c>
      <c r="C1117" s="35"/>
      <c r="D1117" s="35"/>
      <c r="E1117" s="35"/>
      <c r="F1117" s="35"/>
      <c r="G1117" s="35"/>
      <c r="H1117" s="35"/>
      <c r="I1117" s="35"/>
      <c r="J1117" s="35"/>
      <c r="K1117" s="35"/>
      <c r="L1117" s="35"/>
      <c r="M1117" s="35"/>
      <c r="N1117" s="35"/>
      <c r="O1117" s="35"/>
      <c r="P1117" s="35"/>
      <c r="Q1117" s="35"/>
      <c r="R1117" s="35"/>
      <c r="S1117" s="35"/>
      <c r="T1117" s="35"/>
      <c r="U1117" s="35"/>
      <c r="V1117" s="35"/>
      <c r="W1117" s="35"/>
      <c r="X1117" s="35"/>
      <c r="Y1117" s="35"/>
      <c r="Z1117" s="35"/>
      <c r="AA1117" s="35"/>
      <c r="AB1117" s="35"/>
    </row>
    <row r="1118" ht="15.75" customHeight="1">
      <c r="A1118" s="35" t="s">
        <v>7216</v>
      </c>
      <c r="B1118" s="35">
        <v>2.0</v>
      </c>
      <c r="C1118" s="35"/>
      <c r="D1118" s="35"/>
      <c r="E1118" s="35"/>
      <c r="F1118" s="35"/>
      <c r="G1118" s="35"/>
      <c r="H1118" s="35"/>
      <c r="I1118" s="35"/>
      <c r="J1118" s="35"/>
      <c r="K1118" s="35"/>
      <c r="L1118" s="35"/>
      <c r="M1118" s="35"/>
      <c r="N1118" s="35"/>
      <c r="O1118" s="35"/>
      <c r="P1118" s="35"/>
      <c r="Q1118" s="35"/>
      <c r="R1118" s="35"/>
      <c r="S1118" s="35"/>
      <c r="T1118" s="35"/>
      <c r="U1118" s="35"/>
      <c r="V1118" s="35"/>
      <c r="W1118" s="35"/>
      <c r="X1118" s="35"/>
      <c r="Y1118" s="35"/>
      <c r="Z1118" s="35"/>
      <c r="AA1118" s="35"/>
      <c r="AB1118" s="35"/>
    </row>
    <row r="1119" ht="15.75" customHeight="1">
      <c r="A1119" s="35" t="s">
        <v>7220</v>
      </c>
      <c r="B1119" s="35">
        <v>2.0</v>
      </c>
      <c r="C1119" s="35"/>
      <c r="D1119" s="35"/>
      <c r="E1119" s="35"/>
      <c r="F1119" s="35"/>
      <c r="G1119" s="35"/>
      <c r="H1119" s="35"/>
      <c r="I1119" s="35"/>
      <c r="J1119" s="35"/>
      <c r="K1119" s="35"/>
      <c r="L1119" s="35"/>
      <c r="M1119" s="35"/>
      <c r="N1119" s="35"/>
      <c r="O1119" s="35"/>
      <c r="P1119" s="35"/>
      <c r="Q1119" s="35"/>
      <c r="R1119" s="35"/>
      <c r="S1119" s="35"/>
      <c r="T1119" s="35"/>
      <c r="U1119" s="35"/>
      <c r="V1119" s="35"/>
      <c r="W1119" s="35"/>
      <c r="X1119" s="35"/>
      <c r="Y1119" s="35"/>
      <c r="Z1119" s="35"/>
      <c r="AA1119" s="35"/>
      <c r="AB1119" s="35"/>
    </row>
    <row r="1120" ht="15.75" customHeight="1">
      <c r="A1120" s="35" t="s">
        <v>7223</v>
      </c>
      <c r="B1120" s="35">
        <v>2.0</v>
      </c>
      <c r="C1120" s="35"/>
      <c r="D1120" s="35"/>
      <c r="E1120" s="35"/>
      <c r="F1120" s="35"/>
      <c r="G1120" s="35"/>
      <c r="H1120" s="35"/>
      <c r="I1120" s="35"/>
      <c r="J1120" s="35"/>
      <c r="K1120" s="35"/>
      <c r="L1120" s="35"/>
      <c r="M1120" s="35"/>
      <c r="N1120" s="35"/>
      <c r="O1120" s="35"/>
      <c r="P1120" s="35"/>
      <c r="Q1120" s="35"/>
      <c r="R1120" s="35"/>
      <c r="S1120" s="35"/>
      <c r="T1120" s="35"/>
      <c r="U1120" s="35"/>
      <c r="V1120" s="35"/>
      <c r="W1120" s="35"/>
      <c r="X1120" s="35"/>
      <c r="Y1120" s="35"/>
      <c r="Z1120" s="35"/>
      <c r="AA1120" s="35"/>
      <c r="AB1120" s="35"/>
    </row>
    <row r="1121" ht="15.75" customHeight="1">
      <c r="A1121" s="35" t="s">
        <v>7226</v>
      </c>
      <c r="B1121" s="35">
        <v>2.0</v>
      </c>
      <c r="C1121" s="35"/>
      <c r="D1121" s="35"/>
      <c r="E1121" s="35"/>
      <c r="F1121" s="35"/>
      <c r="G1121" s="35"/>
      <c r="H1121" s="35"/>
      <c r="I1121" s="35"/>
      <c r="J1121" s="35"/>
      <c r="K1121" s="35"/>
      <c r="L1121" s="35"/>
      <c r="M1121" s="35"/>
      <c r="N1121" s="35"/>
      <c r="O1121" s="35"/>
      <c r="P1121" s="35"/>
      <c r="Q1121" s="35"/>
      <c r="R1121" s="35"/>
      <c r="S1121" s="35"/>
      <c r="T1121" s="35"/>
      <c r="U1121" s="35"/>
      <c r="V1121" s="35"/>
      <c r="W1121" s="35"/>
      <c r="X1121" s="35"/>
      <c r="Y1121" s="35"/>
      <c r="Z1121" s="35"/>
      <c r="AA1121" s="35"/>
      <c r="AB1121" s="35"/>
    </row>
    <row r="1122" ht="15.75" customHeight="1">
      <c r="A1122" s="35" t="s">
        <v>7230</v>
      </c>
      <c r="B1122" s="35">
        <v>2.0</v>
      </c>
      <c r="C1122" s="35"/>
      <c r="D1122" s="35"/>
      <c r="E1122" s="35"/>
      <c r="F1122" s="35"/>
      <c r="G1122" s="35"/>
      <c r="H1122" s="35"/>
      <c r="I1122" s="35"/>
      <c r="J1122" s="35"/>
      <c r="K1122" s="35"/>
      <c r="L1122" s="35"/>
      <c r="M1122" s="35"/>
      <c r="N1122" s="35"/>
      <c r="O1122" s="35"/>
      <c r="P1122" s="35"/>
      <c r="Q1122" s="35"/>
      <c r="R1122" s="35"/>
      <c r="S1122" s="35"/>
      <c r="T1122" s="35"/>
      <c r="U1122" s="35"/>
      <c r="V1122" s="35"/>
      <c r="W1122" s="35"/>
      <c r="X1122" s="35"/>
      <c r="Y1122" s="35"/>
      <c r="Z1122" s="35"/>
      <c r="AA1122" s="35"/>
      <c r="AB1122" s="35"/>
    </row>
    <row r="1123" ht="15.75" customHeight="1">
      <c r="A1123" s="35" t="s">
        <v>7235</v>
      </c>
      <c r="B1123" s="35">
        <v>2.0</v>
      </c>
      <c r="C1123" s="35"/>
      <c r="D1123" s="35"/>
      <c r="E1123" s="35"/>
      <c r="F1123" s="35"/>
      <c r="G1123" s="35"/>
      <c r="H1123" s="35"/>
      <c r="I1123" s="35"/>
      <c r="J1123" s="35"/>
      <c r="K1123" s="35"/>
      <c r="L1123" s="35"/>
      <c r="M1123" s="35"/>
      <c r="N1123" s="35"/>
      <c r="O1123" s="35"/>
      <c r="P1123" s="35"/>
      <c r="Q1123" s="35"/>
      <c r="R1123" s="35"/>
      <c r="S1123" s="35"/>
      <c r="T1123" s="35"/>
      <c r="U1123" s="35"/>
      <c r="V1123" s="35"/>
      <c r="W1123" s="35"/>
      <c r="X1123" s="35"/>
      <c r="Y1123" s="35"/>
      <c r="Z1123" s="35"/>
      <c r="AA1123" s="35"/>
      <c r="AB1123" s="35"/>
    </row>
    <row r="1124" ht="15.75" customHeight="1">
      <c r="A1124" s="35" t="s">
        <v>7238</v>
      </c>
      <c r="B1124" s="35">
        <v>2.0</v>
      </c>
      <c r="C1124" s="35"/>
      <c r="D1124" s="35"/>
      <c r="E1124" s="35"/>
      <c r="F1124" s="35"/>
      <c r="G1124" s="35"/>
      <c r="H1124" s="35"/>
      <c r="I1124" s="35"/>
      <c r="J1124" s="35"/>
      <c r="K1124" s="35"/>
      <c r="L1124" s="35"/>
      <c r="M1124" s="35"/>
      <c r="N1124" s="35"/>
      <c r="O1124" s="35"/>
      <c r="P1124" s="35"/>
      <c r="Q1124" s="35"/>
      <c r="R1124" s="35"/>
      <c r="S1124" s="35"/>
      <c r="T1124" s="35"/>
      <c r="U1124" s="35"/>
      <c r="V1124" s="35"/>
      <c r="W1124" s="35"/>
      <c r="X1124" s="35"/>
      <c r="Y1124" s="35"/>
      <c r="Z1124" s="35"/>
      <c r="AA1124" s="35"/>
      <c r="AB1124" s="35"/>
    </row>
    <row r="1125" ht="15.75" customHeight="1">
      <c r="A1125" s="35" t="s">
        <v>7242</v>
      </c>
      <c r="B1125" s="35">
        <v>2.0</v>
      </c>
      <c r="C1125" s="35"/>
      <c r="D1125" s="35"/>
      <c r="E1125" s="35"/>
      <c r="F1125" s="35"/>
      <c r="G1125" s="35"/>
      <c r="H1125" s="35"/>
      <c r="I1125" s="35"/>
      <c r="J1125" s="35"/>
      <c r="K1125" s="35"/>
      <c r="L1125" s="35"/>
      <c r="M1125" s="35"/>
      <c r="N1125" s="35"/>
      <c r="O1125" s="35"/>
      <c r="P1125" s="35"/>
      <c r="Q1125" s="35"/>
      <c r="R1125" s="35"/>
      <c r="S1125" s="35"/>
      <c r="T1125" s="35"/>
      <c r="U1125" s="35"/>
      <c r="V1125" s="35"/>
      <c r="W1125" s="35"/>
      <c r="X1125" s="35"/>
      <c r="Y1125" s="35"/>
      <c r="Z1125" s="35"/>
      <c r="AA1125" s="35"/>
      <c r="AB1125" s="35"/>
    </row>
    <row r="1126" ht="15.75" customHeight="1">
      <c r="A1126" s="35" t="s">
        <v>7245</v>
      </c>
      <c r="B1126" s="35">
        <v>2.0</v>
      </c>
      <c r="C1126" s="35"/>
      <c r="D1126" s="35"/>
      <c r="E1126" s="35"/>
      <c r="F1126" s="35"/>
      <c r="G1126" s="35"/>
      <c r="H1126" s="35"/>
      <c r="I1126" s="35"/>
      <c r="J1126" s="35"/>
      <c r="K1126" s="35"/>
      <c r="L1126" s="35"/>
      <c r="M1126" s="35"/>
      <c r="N1126" s="35"/>
      <c r="O1126" s="35"/>
      <c r="P1126" s="35"/>
      <c r="Q1126" s="35"/>
      <c r="R1126" s="35"/>
      <c r="S1126" s="35"/>
      <c r="T1126" s="35"/>
      <c r="U1126" s="35"/>
      <c r="V1126" s="35"/>
      <c r="W1126" s="35"/>
      <c r="X1126" s="35"/>
      <c r="Y1126" s="35"/>
      <c r="Z1126" s="35"/>
      <c r="AA1126" s="35"/>
      <c r="AB1126" s="35"/>
    </row>
    <row r="1127" ht="15.75" customHeight="1">
      <c r="A1127" s="35" t="s">
        <v>7248</v>
      </c>
      <c r="B1127" s="35">
        <v>2.0</v>
      </c>
      <c r="C1127" s="35"/>
      <c r="D1127" s="35"/>
      <c r="E1127" s="35"/>
      <c r="F1127" s="35"/>
      <c r="G1127" s="35"/>
      <c r="H1127" s="35"/>
      <c r="I1127" s="35"/>
      <c r="J1127" s="35"/>
      <c r="K1127" s="35"/>
      <c r="L1127" s="35"/>
      <c r="M1127" s="35"/>
      <c r="N1127" s="35"/>
      <c r="O1127" s="35"/>
      <c r="P1127" s="35"/>
      <c r="Q1127" s="35"/>
      <c r="R1127" s="35"/>
      <c r="S1127" s="35"/>
      <c r="T1127" s="35"/>
      <c r="U1127" s="35"/>
      <c r="V1127" s="35"/>
      <c r="W1127" s="35"/>
      <c r="X1127" s="35"/>
      <c r="Y1127" s="35"/>
      <c r="Z1127" s="35"/>
      <c r="AA1127" s="35"/>
      <c r="AB1127" s="35"/>
    </row>
    <row r="1128" ht="15.75" customHeight="1">
      <c r="A1128" s="35" t="s">
        <v>7251</v>
      </c>
      <c r="B1128" s="35">
        <v>2.0</v>
      </c>
      <c r="C1128" s="35"/>
      <c r="D1128" s="35"/>
      <c r="E1128" s="35"/>
      <c r="F1128" s="35"/>
      <c r="G1128" s="35"/>
      <c r="H1128" s="35"/>
      <c r="I1128" s="35"/>
      <c r="J1128" s="35"/>
      <c r="K1128" s="35"/>
      <c r="L1128" s="35"/>
      <c r="M1128" s="35"/>
      <c r="N1128" s="35"/>
      <c r="O1128" s="35"/>
      <c r="P1128" s="35"/>
      <c r="Q1128" s="35"/>
      <c r="R1128" s="35"/>
      <c r="S1128" s="35"/>
      <c r="T1128" s="35"/>
      <c r="U1128" s="35"/>
      <c r="V1128" s="35"/>
      <c r="W1128" s="35"/>
      <c r="X1128" s="35"/>
      <c r="Y1128" s="35"/>
      <c r="Z1128" s="35"/>
      <c r="AA1128" s="35"/>
      <c r="AB1128" s="35"/>
    </row>
    <row r="1129" ht="15.75" customHeight="1">
      <c r="A1129" s="35" t="s">
        <v>7254</v>
      </c>
      <c r="B1129" s="35">
        <v>2.0</v>
      </c>
      <c r="C1129" s="35"/>
      <c r="D1129" s="35"/>
      <c r="E1129" s="35"/>
      <c r="F1129" s="35"/>
      <c r="G1129" s="35"/>
      <c r="H1129" s="35"/>
      <c r="I1129" s="35"/>
      <c r="J1129" s="35"/>
      <c r="K1129" s="35"/>
      <c r="L1129" s="35"/>
      <c r="M1129" s="35"/>
      <c r="N1129" s="35"/>
      <c r="O1129" s="35"/>
      <c r="P1129" s="35"/>
      <c r="Q1129" s="35"/>
      <c r="R1129" s="35"/>
      <c r="S1129" s="35"/>
      <c r="T1129" s="35"/>
      <c r="U1129" s="35"/>
      <c r="V1129" s="35"/>
      <c r="W1129" s="35"/>
      <c r="X1129" s="35"/>
      <c r="Y1129" s="35"/>
      <c r="Z1129" s="35"/>
      <c r="AA1129" s="35"/>
      <c r="AB1129" s="35"/>
    </row>
    <row r="1130" ht="15.75" customHeight="1">
      <c r="A1130" s="35" t="s">
        <v>7257</v>
      </c>
      <c r="B1130" s="35">
        <v>2.0</v>
      </c>
      <c r="C1130" s="35"/>
      <c r="D1130" s="35"/>
      <c r="E1130" s="35"/>
      <c r="F1130" s="35"/>
      <c r="G1130" s="35"/>
      <c r="H1130" s="35"/>
      <c r="I1130" s="35"/>
      <c r="J1130" s="35"/>
      <c r="K1130" s="35"/>
      <c r="L1130" s="35"/>
      <c r="M1130" s="35"/>
      <c r="N1130" s="35"/>
      <c r="O1130" s="35"/>
      <c r="P1130" s="35"/>
      <c r="Q1130" s="35"/>
      <c r="R1130" s="35"/>
      <c r="S1130" s="35"/>
      <c r="T1130" s="35"/>
      <c r="U1130" s="35"/>
      <c r="V1130" s="35"/>
      <c r="W1130" s="35"/>
      <c r="X1130" s="35"/>
      <c r="Y1130" s="35"/>
      <c r="Z1130" s="35"/>
      <c r="AA1130" s="35"/>
      <c r="AB1130" s="35"/>
    </row>
    <row r="1131" ht="15.75" customHeight="1">
      <c r="A1131" s="35" t="s">
        <v>7260</v>
      </c>
      <c r="B1131" s="35">
        <v>2.0</v>
      </c>
      <c r="C1131" s="35"/>
      <c r="D1131" s="35"/>
      <c r="E1131" s="35"/>
      <c r="F1131" s="35"/>
      <c r="G1131" s="35"/>
      <c r="H1131" s="35"/>
      <c r="I1131" s="35"/>
      <c r="J1131" s="35"/>
      <c r="K1131" s="35"/>
      <c r="L1131" s="35"/>
      <c r="M1131" s="35"/>
      <c r="N1131" s="35"/>
      <c r="O1131" s="35"/>
      <c r="P1131" s="35"/>
      <c r="Q1131" s="35"/>
      <c r="R1131" s="35"/>
      <c r="S1131" s="35"/>
      <c r="T1131" s="35"/>
      <c r="U1131" s="35"/>
      <c r="V1131" s="35"/>
      <c r="W1131" s="35"/>
      <c r="X1131" s="35"/>
      <c r="Y1131" s="35"/>
      <c r="Z1131" s="35"/>
      <c r="AA1131" s="35"/>
      <c r="AB1131" s="35"/>
    </row>
    <row r="1132" ht="15.75" customHeight="1">
      <c r="A1132" s="35" t="s">
        <v>7264</v>
      </c>
      <c r="B1132" s="35">
        <v>2.0</v>
      </c>
      <c r="C1132" s="35"/>
      <c r="D1132" s="35"/>
      <c r="E1132" s="35"/>
      <c r="F1132" s="35"/>
      <c r="G1132" s="35"/>
      <c r="H1132" s="35"/>
      <c r="I1132" s="35"/>
      <c r="J1132" s="35"/>
      <c r="K1132" s="35"/>
      <c r="L1132" s="35"/>
      <c r="M1132" s="35"/>
      <c r="N1132" s="35"/>
      <c r="O1132" s="35"/>
      <c r="P1132" s="35"/>
      <c r="Q1132" s="35"/>
      <c r="R1132" s="35"/>
      <c r="S1132" s="35"/>
      <c r="T1132" s="35"/>
      <c r="U1132" s="35"/>
      <c r="V1132" s="35"/>
      <c r="W1132" s="35"/>
      <c r="X1132" s="35"/>
      <c r="Y1132" s="35"/>
      <c r="Z1132" s="35"/>
      <c r="AA1132" s="35"/>
      <c r="AB1132" s="35"/>
    </row>
    <row r="1133" ht="15.75" customHeight="1">
      <c r="A1133" s="35" t="s">
        <v>7267</v>
      </c>
      <c r="B1133" s="35">
        <v>2.0</v>
      </c>
      <c r="C1133" s="35"/>
      <c r="D1133" s="35"/>
      <c r="E1133" s="35"/>
      <c r="F1133" s="35"/>
      <c r="G1133" s="35"/>
      <c r="H1133" s="35"/>
      <c r="I1133" s="35"/>
      <c r="J1133" s="35"/>
      <c r="K1133" s="35"/>
      <c r="L1133" s="35"/>
      <c r="M1133" s="35"/>
      <c r="N1133" s="35"/>
      <c r="O1133" s="35"/>
      <c r="P1133" s="35"/>
      <c r="Q1133" s="35"/>
      <c r="R1133" s="35"/>
      <c r="S1133" s="35"/>
      <c r="T1133" s="35"/>
      <c r="U1133" s="35"/>
      <c r="V1133" s="35"/>
      <c r="W1133" s="35"/>
      <c r="X1133" s="35"/>
      <c r="Y1133" s="35"/>
      <c r="Z1133" s="35"/>
      <c r="AA1133" s="35"/>
      <c r="AB1133" s="35"/>
    </row>
    <row r="1134" ht="15.75" customHeight="1">
      <c r="A1134" s="35" t="s">
        <v>7270</v>
      </c>
      <c r="B1134" s="35">
        <v>2.0</v>
      </c>
      <c r="C1134" s="35"/>
      <c r="D1134" s="35"/>
      <c r="E1134" s="35"/>
      <c r="F1134" s="35"/>
      <c r="G1134" s="35"/>
      <c r="H1134" s="35"/>
      <c r="I1134" s="35"/>
      <c r="J1134" s="35"/>
      <c r="K1134" s="35"/>
      <c r="L1134" s="35"/>
      <c r="M1134" s="35"/>
      <c r="N1134" s="35"/>
      <c r="O1134" s="35"/>
      <c r="P1134" s="35"/>
      <c r="Q1134" s="35"/>
      <c r="R1134" s="35"/>
      <c r="S1134" s="35"/>
      <c r="T1134" s="35"/>
      <c r="U1134" s="35"/>
      <c r="V1134" s="35"/>
      <c r="W1134" s="35"/>
      <c r="X1134" s="35"/>
      <c r="Y1134" s="35"/>
      <c r="Z1134" s="35"/>
      <c r="AA1134" s="35"/>
      <c r="AB1134" s="35"/>
    </row>
    <row r="1135" ht="15.75" customHeight="1">
      <c r="A1135" s="35" t="s">
        <v>7273</v>
      </c>
      <c r="B1135" s="35">
        <v>2.0</v>
      </c>
      <c r="C1135" s="35"/>
      <c r="D1135" s="35"/>
      <c r="E1135" s="35"/>
      <c r="F1135" s="35"/>
      <c r="G1135" s="35"/>
      <c r="H1135" s="35"/>
      <c r="I1135" s="35"/>
      <c r="J1135" s="35"/>
      <c r="K1135" s="35"/>
      <c r="L1135" s="35"/>
      <c r="M1135" s="35"/>
      <c r="N1135" s="35"/>
      <c r="O1135" s="35"/>
      <c r="P1135" s="35"/>
      <c r="Q1135" s="35"/>
      <c r="R1135" s="35"/>
      <c r="S1135" s="35"/>
      <c r="T1135" s="35"/>
      <c r="U1135" s="35"/>
      <c r="V1135" s="35"/>
      <c r="W1135" s="35"/>
      <c r="X1135" s="35"/>
      <c r="Y1135" s="35"/>
      <c r="Z1135" s="35"/>
      <c r="AA1135" s="35"/>
      <c r="AB1135" s="35"/>
    </row>
    <row r="1136" ht="15.75" customHeight="1">
      <c r="A1136" s="35" t="s">
        <v>7277</v>
      </c>
      <c r="B1136" s="35">
        <v>2.0</v>
      </c>
      <c r="C1136" s="35"/>
      <c r="D1136" s="35"/>
      <c r="E1136" s="35"/>
      <c r="F1136" s="35"/>
      <c r="G1136" s="35"/>
      <c r="H1136" s="35"/>
      <c r="I1136" s="35"/>
      <c r="J1136" s="35"/>
      <c r="K1136" s="35"/>
      <c r="L1136" s="35"/>
      <c r="M1136" s="35"/>
      <c r="N1136" s="35"/>
      <c r="O1136" s="35"/>
      <c r="P1136" s="35"/>
      <c r="Q1136" s="35"/>
      <c r="R1136" s="35"/>
      <c r="S1136" s="35"/>
      <c r="T1136" s="35"/>
      <c r="U1136" s="35"/>
      <c r="V1136" s="35"/>
      <c r="W1136" s="35"/>
      <c r="X1136" s="35"/>
      <c r="Y1136" s="35"/>
      <c r="Z1136" s="35"/>
      <c r="AA1136" s="35"/>
      <c r="AB1136" s="35"/>
    </row>
    <row r="1137" ht="15.75" customHeight="1">
      <c r="A1137" s="35" t="s">
        <v>7280</v>
      </c>
      <c r="B1137" s="35">
        <v>2.0</v>
      </c>
      <c r="C1137" s="35"/>
      <c r="D1137" s="35"/>
      <c r="E1137" s="35"/>
      <c r="F1137" s="35"/>
      <c r="G1137" s="35"/>
      <c r="H1137" s="35"/>
      <c r="I1137" s="35"/>
      <c r="J1137" s="35"/>
      <c r="K1137" s="35"/>
      <c r="L1137" s="35"/>
      <c r="M1137" s="35"/>
      <c r="N1137" s="35"/>
      <c r="O1137" s="35"/>
      <c r="P1137" s="35"/>
      <c r="Q1137" s="35"/>
      <c r="R1137" s="35"/>
      <c r="S1137" s="35"/>
      <c r="T1137" s="35"/>
      <c r="U1137" s="35"/>
      <c r="V1137" s="35"/>
      <c r="W1137" s="35"/>
      <c r="X1137" s="35"/>
      <c r="Y1137" s="35"/>
      <c r="Z1137" s="35"/>
      <c r="AA1137" s="35"/>
      <c r="AB1137" s="35"/>
    </row>
    <row r="1138" ht="15.75" customHeight="1">
      <c r="A1138" s="35" t="s">
        <v>7283</v>
      </c>
      <c r="B1138" s="35">
        <v>2.0</v>
      </c>
      <c r="C1138" s="35"/>
      <c r="D1138" s="35"/>
      <c r="E1138" s="35"/>
      <c r="F1138" s="35"/>
      <c r="G1138" s="35"/>
      <c r="H1138" s="35"/>
      <c r="I1138" s="35"/>
      <c r="J1138" s="35"/>
      <c r="K1138" s="35"/>
      <c r="L1138" s="35"/>
      <c r="M1138" s="35"/>
      <c r="N1138" s="35"/>
      <c r="O1138" s="35"/>
      <c r="P1138" s="35"/>
      <c r="Q1138" s="35"/>
      <c r="R1138" s="35"/>
      <c r="S1138" s="35"/>
      <c r="T1138" s="35"/>
      <c r="U1138" s="35"/>
      <c r="V1138" s="35"/>
      <c r="W1138" s="35"/>
      <c r="X1138" s="35"/>
      <c r="Y1138" s="35"/>
      <c r="Z1138" s="35"/>
      <c r="AA1138" s="35"/>
      <c r="AB1138" s="35"/>
    </row>
    <row r="1139" ht="15.75" customHeight="1">
      <c r="A1139" s="35" t="s">
        <v>7286</v>
      </c>
      <c r="B1139" s="35">
        <v>2.0</v>
      </c>
      <c r="C1139" s="35"/>
      <c r="D1139" s="35"/>
      <c r="E1139" s="35"/>
      <c r="F1139" s="35"/>
      <c r="G1139" s="35"/>
      <c r="H1139" s="35"/>
      <c r="I1139" s="35"/>
      <c r="J1139" s="35"/>
      <c r="K1139" s="35"/>
      <c r="L1139" s="35"/>
      <c r="M1139" s="35"/>
      <c r="N1139" s="35"/>
      <c r="O1139" s="35"/>
      <c r="P1139" s="35"/>
      <c r="Q1139" s="35"/>
      <c r="R1139" s="35"/>
      <c r="S1139" s="35"/>
      <c r="T1139" s="35"/>
      <c r="U1139" s="35"/>
      <c r="V1139" s="35"/>
      <c r="W1139" s="35"/>
      <c r="X1139" s="35"/>
      <c r="Y1139" s="35"/>
      <c r="Z1139" s="35"/>
      <c r="AA1139" s="35"/>
      <c r="AB1139" s="35"/>
    </row>
    <row r="1140" ht="15.75" customHeight="1">
      <c r="A1140" s="35" t="s">
        <v>7290</v>
      </c>
      <c r="B1140" s="35">
        <v>2.0</v>
      </c>
      <c r="C1140" s="35"/>
      <c r="D1140" s="35"/>
      <c r="E1140" s="35"/>
      <c r="F1140" s="35"/>
      <c r="G1140" s="35"/>
      <c r="H1140" s="35"/>
      <c r="I1140" s="35"/>
      <c r="J1140" s="35"/>
      <c r="K1140" s="35"/>
      <c r="L1140" s="35"/>
      <c r="M1140" s="35"/>
      <c r="N1140" s="35"/>
      <c r="O1140" s="35"/>
      <c r="P1140" s="35"/>
      <c r="Q1140" s="35"/>
      <c r="R1140" s="35"/>
      <c r="S1140" s="35"/>
      <c r="T1140" s="35"/>
      <c r="U1140" s="35"/>
      <c r="V1140" s="35"/>
      <c r="W1140" s="35"/>
      <c r="X1140" s="35"/>
      <c r="Y1140" s="35"/>
      <c r="Z1140" s="35"/>
      <c r="AA1140" s="35"/>
      <c r="AB1140" s="35"/>
    </row>
    <row r="1141" ht="15.75" customHeight="1">
      <c r="A1141" s="35" t="s">
        <v>7293</v>
      </c>
      <c r="B1141" s="35">
        <v>2.0</v>
      </c>
      <c r="C1141" s="35"/>
      <c r="D1141" s="35"/>
      <c r="E1141" s="35"/>
      <c r="F1141" s="35"/>
      <c r="G1141" s="35"/>
      <c r="H1141" s="35"/>
      <c r="I1141" s="35"/>
      <c r="J1141" s="35"/>
      <c r="K1141" s="35"/>
      <c r="L1141" s="35"/>
      <c r="M1141" s="35"/>
      <c r="N1141" s="35"/>
      <c r="O1141" s="35"/>
      <c r="P1141" s="35"/>
      <c r="Q1141" s="35"/>
      <c r="R1141" s="35"/>
      <c r="S1141" s="35"/>
      <c r="T1141" s="35"/>
      <c r="U1141" s="35"/>
      <c r="V1141" s="35"/>
      <c r="W1141" s="35"/>
      <c r="X1141" s="35"/>
      <c r="Y1141" s="35"/>
      <c r="Z1141" s="35"/>
      <c r="AA1141" s="35"/>
      <c r="AB1141" s="35"/>
    </row>
    <row r="1142" ht="15.75" customHeight="1">
      <c r="A1142" s="35" t="s">
        <v>7296</v>
      </c>
      <c r="B1142" s="35">
        <v>2.0</v>
      </c>
      <c r="C1142" s="35"/>
      <c r="D1142" s="35"/>
      <c r="E1142" s="35"/>
      <c r="F1142" s="35"/>
      <c r="G1142" s="35"/>
      <c r="H1142" s="35"/>
      <c r="I1142" s="35"/>
      <c r="J1142" s="35"/>
      <c r="K1142" s="35"/>
      <c r="L1142" s="35"/>
      <c r="M1142" s="35"/>
      <c r="N1142" s="35"/>
      <c r="O1142" s="35"/>
      <c r="P1142" s="35"/>
      <c r="Q1142" s="35"/>
      <c r="R1142" s="35"/>
      <c r="S1142" s="35"/>
      <c r="T1142" s="35"/>
      <c r="U1142" s="35"/>
      <c r="V1142" s="35"/>
      <c r="W1142" s="35"/>
      <c r="X1142" s="35"/>
      <c r="Y1142" s="35"/>
      <c r="Z1142" s="35"/>
      <c r="AA1142" s="35"/>
      <c r="AB1142" s="35"/>
    </row>
    <row r="1143" ht="15.75" customHeight="1">
      <c r="A1143" s="35" t="s">
        <v>7298</v>
      </c>
      <c r="B1143" s="35">
        <v>2.0</v>
      </c>
      <c r="C1143" s="35"/>
      <c r="D1143" s="35"/>
      <c r="E1143" s="35"/>
      <c r="F1143" s="35"/>
      <c r="G1143" s="35"/>
      <c r="H1143" s="35"/>
      <c r="I1143" s="35"/>
      <c r="J1143" s="35"/>
      <c r="K1143" s="35"/>
      <c r="L1143" s="35"/>
      <c r="M1143" s="35"/>
      <c r="N1143" s="35"/>
      <c r="O1143" s="35"/>
      <c r="P1143" s="35"/>
      <c r="Q1143" s="35"/>
      <c r="R1143" s="35"/>
      <c r="S1143" s="35"/>
      <c r="T1143" s="35"/>
      <c r="U1143" s="35"/>
      <c r="V1143" s="35"/>
      <c r="W1143" s="35"/>
      <c r="X1143" s="35"/>
      <c r="Y1143" s="35"/>
      <c r="Z1143" s="35"/>
      <c r="AA1143" s="35"/>
      <c r="AB1143" s="35"/>
    </row>
    <row r="1144" ht="15.75" customHeight="1">
      <c r="A1144" s="35" t="s">
        <v>7302</v>
      </c>
      <c r="B1144" s="35">
        <v>2.0</v>
      </c>
      <c r="C1144" s="35"/>
      <c r="D1144" s="35"/>
      <c r="E1144" s="35"/>
      <c r="F1144" s="35"/>
      <c r="G1144" s="35"/>
      <c r="H1144" s="35"/>
      <c r="I1144" s="35"/>
      <c r="J1144" s="35"/>
      <c r="K1144" s="35"/>
      <c r="L1144" s="35"/>
      <c r="M1144" s="35"/>
      <c r="N1144" s="35"/>
      <c r="O1144" s="35"/>
      <c r="P1144" s="35"/>
      <c r="Q1144" s="35"/>
      <c r="R1144" s="35"/>
      <c r="S1144" s="35"/>
      <c r="T1144" s="35"/>
      <c r="U1144" s="35"/>
      <c r="V1144" s="35"/>
      <c r="W1144" s="35"/>
      <c r="X1144" s="35"/>
      <c r="Y1144" s="35"/>
      <c r="Z1144" s="35"/>
      <c r="AA1144" s="35"/>
      <c r="AB1144" s="35"/>
    </row>
    <row r="1145" ht="15.75" customHeight="1">
      <c r="A1145" s="35" t="s">
        <v>7305</v>
      </c>
      <c r="B1145" s="35">
        <v>2.0</v>
      </c>
      <c r="C1145" s="35"/>
      <c r="D1145" s="35"/>
      <c r="E1145" s="35"/>
      <c r="F1145" s="35"/>
      <c r="G1145" s="35"/>
      <c r="H1145" s="35"/>
      <c r="I1145" s="35"/>
      <c r="J1145" s="35"/>
      <c r="K1145" s="35"/>
      <c r="L1145" s="35"/>
      <c r="M1145" s="35"/>
      <c r="N1145" s="35"/>
      <c r="O1145" s="35"/>
      <c r="P1145" s="35"/>
      <c r="Q1145" s="35"/>
      <c r="R1145" s="35"/>
      <c r="S1145" s="35"/>
      <c r="T1145" s="35"/>
      <c r="U1145" s="35"/>
      <c r="V1145" s="35"/>
      <c r="W1145" s="35"/>
      <c r="X1145" s="35"/>
      <c r="Y1145" s="35"/>
      <c r="Z1145" s="35"/>
      <c r="AA1145" s="35"/>
      <c r="AB1145" s="35"/>
    </row>
    <row r="1146" ht="15.75" customHeight="1">
      <c r="A1146" s="35" t="s">
        <v>7308</v>
      </c>
      <c r="B1146" s="35">
        <v>2.0</v>
      </c>
      <c r="C1146" s="35"/>
      <c r="D1146" s="35"/>
      <c r="E1146" s="35"/>
      <c r="F1146" s="35"/>
      <c r="G1146" s="35"/>
      <c r="H1146" s="35"/>
      <c r="I1146" s="35"/>
      <c r="J1146" s="35"/>
      <c r="K1146" s="35"/>
      <c r="L1146" s="35"/>
      <c r="M1146" s="35"/>
      <c r="N1146" s="35"/>
      <c r="O1146" s="35"/>
      <c r="P1146" s="35"/>
      <c r="Q1146" s="35"/>
      <c r="R1146" s="35"/>
      <c r="S1146" s="35"/>
      <c r="T1146" s="35"/>
      <c r="U1146" s="35"/>
      <c r="V1146" s="35"/>
      <c r="W1146" s="35"/>
      <c r="X1146" s="35"/>
      <c r="Y1146" s="35"/>
      <c r="Z1146" s="35"/>
      <c r="AA1146" s="35"/>
      <c r="AB1146" s="35"/>
    </row>
    <row r="1147" ht="15.75" customHeight="1">
      <c r="A1147" s="35" t="s">
        <v>7311</v>
      </c>
      <c r="B1147" s="35">
        <v>2.0</v>
      </c>
      <c r="C1147" s="35"/>
      <c r="D1147" s="35"/>
      <c r="E1147" s="35"/>
      <c r="F1147" s="35"/>
      <c r="G1147" s="35"/>
      <c r="H1147" s="35"/>
      <c r="I1147" s="35"/>
      <c r="J1147" s="35"/>
      <c r="K1147" s="35"/>
      <c r="L1147" s="35"/>
      <c r="M1147" s="35"/>
      <c r="N1147" s="35"/>
      <c r="O1147" s="35"/>
      <c r="P1147" s="35"/>
      <c r="Q1147" s="35"/>
      <c r="R1147" s="35"/>
      <c r="S1147" s="35"/>
      <c r="T1147" s="35"/>
      <c r="U1147" s="35"/>
      <c r="V1147" s="35"/>
      <c r="W1147" s="35"/>
      <c r="X1147" s="35"/>
      <c r="Y1147" s="35"/>
      <c r="Z1147" s="35"/>
      <c r="AA1147" s="35"/>
      <c r="AB1147" s="35"/>
    </row>
    <row r="1148" ht="15.75" customHeight="1">
      <c r="A1148" s="35" t="s">
        <v>7314</v>
      </c>
      <c r="B1148" s="35">
        <v>2.0</v>
      </c>
      <c r="C1148" s="35"/>
      <c r="D1148" s="35"/>
      <c r="E1148" s="35"/>
      <c r="F1148" s="35"/>
      <c r="G1148" s="35"/>
      <c r="H1148" s="35"/>
      <c r="I1148" s="35"/>
      <c r="J1148" s="35"/>
      <c r="K1148" s="35"/>
      <c r="L1148" s="35"/>
      <c r="M1148" s="35"/>
      <c r="N1148" s="35"/>
      <c r="O1148" s="35"/>
      <c r="P1148" s="35"/>
      <c r="Q1148" s="35"/>
      <c r="R1148" s="35"/>
      <c r="S1148" s="35"/>
      <c r="T1148" s="35"/>
      <c r="U1148" s="35"/>
      <c r="V1148" s="35"/>
      <c r="W1148" s="35"/>
      <c r="X1148" s="35"/>
      <c r="Y1148" s="35"/>
      <c r="Z1148" s="35"/>
      <c r="AA1148" s="35"/>
      <c r="AB1148" s="35"/>
    </row>
    <row r="1149" ht="15.75" customHeight="1">
      <c r="A1149" s="35" t="s">
        <v>7317</v>
      </c>
      <c r="B1149" s="35">
        <v>2.0</v>
      </c>
      <c r="C1149" s="35"/>
      <c r="D1149" s="35"/>
      <c r="E1149" s="35"/>
      <c r="F1149" s="35"/>
      <c r="G1149" s="35"/>
      <c r="H1149" s="35"/>
      <c r="I1149" s="35"/>
      <c r="J1149" s="35"/>
      <c r="K1149" s="35"/>
      <c r="L1149" s="35"/>
      <c r="M1149" s="35"/>
      <c r="N1149" s="35"/>
      <c r="O1149" s="35"/>
      <c r="P1149" s="35"/>
      <c r="Q1149" s="35"/>
      <c r="R1149" s="35"/>
      <c r="S1149" s="35"/>
      <c r="T1149" s="35"/>
      <c r="U1149" s="35"/>
      <c r="V1149" s="35"/>
      <c r="W1149" s="35"/>
      <c r="X1149" s="35"/>
      <c r="Y1149" s="35"/>
      <c r="Z1149" s="35"/>
      <c r="AA1149" s="35"/>
      <c r="AB1149" s="35"/>
    </row>
    <row r="1150" ht="15.75" customHeight="1">
      <c r="A1150" s="35" t="s">
        <v>7321</v>
      </c>
      <c r="B1150" s="35">
        <v>2.0</v>
      </c>
      <c r="C1150" s="35"/>
      <c r="D1150" s="35"/>
      <c r="E1150" s="35"/>
      <c r="F1150" s="35"/>
      <c r="G1150" s="35"/>
      <c r="H1150" s="35"/>
      <c r="I1150" s="35"/>
      <c r="J1150" s="35"/>
      <c r="K1150" s="35"/>
      <c r="L1150" s="35"/>
      <c r="M1150" s="35"/>
      <c r="N1150" s="35"/>
      <c r="O1150" s="35"/>
      <c r="P1150" s="35"/>
      <c r="Q1150" s="35"/>
      <c r="R1150" s="35"/>
      <c r="S1150" s="35"/>
      <c r="T1150" s="35"/>
      <c r="U1150" s="35"/>
      <c r="V1150" s="35"/>
      <c r="W1150" s="35"/>
      <c r="X1150" s="35"/>
      <c r="Y1150" s="35"/>
      <c r="Z1150" s="35"/>
      <c r="AA1150" s="35"/>
      <c r="AB1150" s="35"/>
    </row>
    <row r="1151" ht="15.75" customHeight="1">
      <c r="A1151" s="35" t="s">
        <v>7324</v>
      </c>
      <c r="B1151" s="35">
        <v>2.0</v>
      </c>
      <c r="C1151" s="35"/>
      <c r="D1151" s="35"/>
      <c r="E1151" s="35"/>
      <c r="F1151" s="35"/>
      <c r="G1151" s="35"/>
      <c r="H1151" s="35"/>
      <c r="I1151" s="35"/>
      <c r="J1151" s="35"/>
      <c r="K1151" s="35"/>
      <c r="L1151" s="35"/>
      <c r="M1151" s="35"/>
      <c r="N1151" s="35"/>
      <c r="O1151" s="35"/>
      <c r="P1151" s="35"/>
      <c r="Q1151" s="35"/>
      <c r="R1151" s="35"/>
      <c r="S1151" s="35"/>
      <c r="T1151" s="35"/>
      <c r="U1151" s="35"/>
      <c r="V1151" s="35"/>
      <c r="W1151" s="35"/>
      <c r="X1151" s="35"/>
      <c r="Y1151" s="35"/>
      <c r="Z1151" s="35"/>
      <c r="AA1151" s="35"/>
      <c r="AB1151" s="35"/>
    </row>
    <row r="1152" ht="15.75" customHeight="1">
      <c r="A1152" s="35" t="s">
        <v>7327</v>
      </c>
      <c r="B1152" s="35">
        <v>2.0</v>
      </c>
      <c r="C1152" s="35"/>
      <c r="D1152" s="35"/>
      <c r="E1152" s="35"/>
      <c r="F1152" s="35"/>
      <c r="G1152" s="35"/>
      <c r="H1152" s="35"/>
      <c r="I1152" s="35"/>
      <c r="J1152" s="35"/>
      <c r="K1152" s="35"/>
      <c r="L1152" s="35"/>
      <c r="M1152" s="35"/>
      <c r="N1152" s="35"/>
      <c r="O1152" s="35"/>
      <c r="P1152" s="35"/>
      <c r="Q1152" s="35"/>
      <c r="R1152" s="35"/>
      <c r="S1152" s="35"/>
      <c r="T1152" s="35"/>
      <c r="U1152" s="35"/>
      <c r="V1152" s="35"/>
      <c r="W1152" s="35"/>
      <c r="X1152" s="35"/>
      <c r="Y1152" s="35"/>
      <c r="Z1152" s="35"/>
      <c r="AA1152" s="35"/>
      <c r="AB1152" s="35"/>
    </row>
    <row r="1153" ht="15.75" customHeight="1">
      <c r="A1153" s="35" t="s">
        <v>7331</v>
      </c>
      <c r="B1153" s="35">
        <v>2.0</v>
      </c>
      <c r="C1153" s="35"/>
      <c r="D1153" s="35"/>
      <c r="E1153" s="35"/>
      <c r="F1153" s="35"/>
      <c r="G1153" s="35"/>
      <c r="H1153" s="35"/>
      <c r="I1153" s="35"/>
      <c r="J1153" s="35"/>
      <c r="K1153" s="35"/>
      <c r="L1153" s="35"/>
      <c r="M1153" s="35"/>
      <c r="N1153" s="35"/>
      <c r="O1153" s="35"/>
      <c r="P1153" s="35"/>
      <c r="Q1153" s="35"/>
      <c r="R1153" s="35"/>
      <c r="S1153" s="35"/>
      <c r="T1153" s="35"/>
      <c r="U1153" s="35"/>
      <c r="V1153" s="35"/>
      <c r="W1153" s="35"/>
      <c r="X1153" s="35"/>
      <c r="Y1153" s="35"/>
      <c r="Z1153" s="35"/>
      <c r="AA1153" s="35"/>
      <c r="AB1153" s="35"/>
    </row>
    <row r="1154" ht="15.75" customHeight="1">
      <c r="A1154" s="35" t="s">
        <v>7333</v>
      </c>
      <c r="B1154" s="35">
        <v>2.0</v>
      </c>
      <c r="C1154" s="35"/>
      <c r="D1154" s="35"/>
      <c r="E1154" s="35"/>
      <c r="F1154" s="35"/>
      <c r="G1154" s="35"/>
      <c r="H1154" s="35"/>
      <c r="I1154" s="35"/>
      <c r="J1154" s="35"/>
      <c r="K1154" s="35"/>
      <c r="L1154" s="35"/>
      <c r="M1154" s="35"/>
      <c r="N1154" s="35"/>
      <c r="O1154" s="35"/>
      <c r="P1154" s="35"/>
      <c r="Q1154" s="35"/>
      <c r="R1154" s="35"/>
      <c r="S1154" s="35"/>
      <c r="T1154" s="35"/>
      <c r="U1154" s="35"/>
      <c r="V1154" s="35"/>
      <c r="W1154" s="35"/>
      <c r="X1154" s="35"/>
      <c r="Y1154" s="35"/>
      <c r="Z1154" s="35"/>
      <c r="AA1154" s="35"/>
      <c r="AB1154" s="35"/>
    </row>
    <row r="1155" ht="15.75" customHeight="1">
      <c r="A1155" s="35" t="s">
        <v>7337</v>
      </c>
      <c r="B1155" s="35">
        <v>2.0</v>
      </c>
      <c r="C1155" s="35"/>
      <c r="D1155" s="35"/>
      <c r="E1155" s="35"/>
      <c r="F1155" s="35"/>
      <c r="G1155" s="35"/>
      <c r="H1155" s="35"/>
      <c r="I1155" s="35"/>
      <c r="J1155" s="35"/>
      <c r="K1155" s="35"/>
      <c r="L1155" s="35"/>
      <c r="M1155" s="35"/>
      <c r="N1155" s="35"/>
      <c r="O1155" s="35"/>
      <c r="P1155" s="35"/>
      <c r="Q1155" s="35"/>
      <c r="R1155" s="35"/>
      <c r="S1155" s="35"/>
      <c r="T1155" s="35"/>
      <c r="U1155" s="35"/>
      <c r="V1155" s="35"/>
      <c r="W1155" s="35"/>
      <c r="X1155" s="35"/>
      <c r="Y1155" s="35"/>
      <c r="Z1155" s="35"/>
      <c r="AA1155" s="35"/>
      <c r="AB1155" s="35"/>
    </row>
    <row r="1156" ht="15.75" customHeight="1">
      <c r="A1156" s="35" t="s">
        <v>3782</v>
      </c>
      <c r="B1156" s="35">
        <v>2.0</v>
      </c>
      <c r="C1156" s="35"/>
      <c r="D1156" s="35"/>
      <c r="E1156" s="35"/>
      <c r="F1156" s="35"/>
      <c r="G1156" s="35"/>
      <c r="H1156" s="35"/>
      <c r="I1156" s="35"/>
      <c r="J1156" s="35"/>
      <c r="K1156" s="35"/>
      <c r="L1156" s="35"/>
      <c r="M1156" s="35"/>
      <c r="N1156" s="35"/>
      <c r="O1156" s="35"/>
      <c r="P1156" s="35"/>
      <c r="Q1156" s="35"/>
      <c r="R1156" s="35"/>
      <c r="S1156" s="35"/>
      <c r="T1156" s="35"/>
      <c r="U1156" s="35"/>
      <c r="V1156" s="35"/>
      <c r="W1156" s="35"/>
      <c r="X1156" s="35"/>
      <c r="Y1156" s="35"/>
      <c r="Z1156" s="35"/>
      <c r="AA1156" s="35"/>
      <c r="AB1156" s="35"/>
    </row>
    <row r="1157" ht="15.75" customHeight="1">
      <c r="A1157" s="35" t="s">
        <v>7342</v>
      </c>
      <c r="B1157" s="35">
        <v>2.0</v>
      </c>
      <c r="C1157" s="35"/>
      <c r="D1157" s="35"/>
      <c r="E1157" s="35"/>
      <c r="F1157" s="35"/>
      <c r="G1157" s="35"/>
      <c r="H1157" s="35"/>
      <c r="I1157" s="35"/>
      <c r="J1157" s="35"/>
      <c r="K1157" s="35"/>
      <c r="L1157" s="35"/>
      <c r="M1157" s="35"/>
      <c r="N1157" s="35"/>
      <c r="O1157" s="35"/>
      <c r="P1157" s="35"/>
      <c r="Q1157" s="35"/>
      <c r="R1157" s="35"/>
      <c r="S1157" s="35"/>
      <c r="T1157" s="35"/>
      <c r="U1157" s="35"/>
      <c r="V1157" s="35"/>
      <c r="W1157" s="35"/>
      <c r="X1157" s="35"/>
      <c r="Y1157" s="35"/>
      <c r="Z1157" s="35"/>
      <c r="AA1157" s="35"/>
      <c r="AB1157" s="35"/>
    </row>
    <row r="1158" ht="15.75" customHeight="1">
      <c r="A1158" s="35" t="s">
        <v>7346</v>
      </c>
      <c r="B1158" s="35">
        <v>2.0</v>
      </c>
      <c r="C1158" s="35"/>
      <c r="D1158" s="35"/>
      <c r="E1158" s="35"/>
      <c r="F1158" s="35"/>
      <c r="G1158" s="35"/>
      <c r="H1158" s="35"/>
      <c r="I1158" s="35"/>
      <c r="J1158" s="35"/>
      <c r="K1158" s="35"/>
      <c r="L1158" s="35"/>
      <c r="M1158" s="35"/>
      <c r="N1158" s="35"/>
      <c r="O1158" s="35"/>
      <c r="P1158" s="35"/>
      <c r="Q1158" s="35"/>
      <c r="R1158" s="35"/>
      <c r="S1158" s="35"/>
      <c r="T1158" s="35"/>
      <c r="U1158" s="35"/>
      <c r="V1158" s="35"/>
      <c r="W1158" s="35"/>
      <c r="X1158" s="35"/>
      <c r="Y1158" s="35"/>
      <c r="Z1158" s="35"/>
      <c r="AA1158" s="35"/>
      <c r="AB1158" s="35"/>
    </row>
    <row r="1159" ht="15.75" customHeight="1">
      <c r="A1159" s="35" t="s">
        <v>7349</v>
      </c>
      <c r="B1159" s="35">
        <v>2.0</v>
      </c>
      <c r="C1159" s="35"/>
      <c r="D1159" s="35"/>
      <c r="E1159" s="35"/>
      <c r="F1159" s="35"/>
      <c r="G1159" s="35"/>
      <c r="H1159" s="35"/>
      <c r="I1159" s="35"/>
      <c r="J1159" s="35"/>
      <c r="K1159" s="35"/>
      <c r="L1159" s="35"/>
      <c r="M1159" s="35"/>
      <c r="N1159" s="35"/>
      <c r="O1159" s="35"/>
      <c r="P1159" s="35"/>
      <c r="Q1159" s="35"/>
      <c r="R1159" s="35"/>
      <c r="S1159" s="35"/>
      <c r="T1159" s="35"/>
      <c r="U1159" s="35"/>
      <c r="V1159" s="35"/>
      <c r="W1159" s="35"/>
      <c r="X1159" s="35"/>
      <c r="Y1159" s="35"/>
      <c r="Z1159" s="35"/>
      <c r="AA1159" s="35"/>
      <c r="AB1159" s="35"/>
    </row>
    <row r="1160" ht="15.75" customHeight="1">
      <c r="A1160" s="35" t="s">
        <v>7353</v>
      </c>
      <c r="B1160" s="35">
        <v>2.0</v>
      </c>
      <c r="C1160" s="35"/>
      <c r="D1160" s="35"/>
      <c r="E1160" s="35"/>
      <c r="F1160" s="35"/>
      <c r="G1160" s="35"/>
      <c r="H1160" s="35"/>
      <c r="I1160" s="35"/>
      <c r="J1160" s="35"/>
      <c r="K1160" s="35"/>
      <c r="L1160" s="35"/>
      <c r="M1160" s="35"/>
      <c r="N1160" s="35"/>
      <c r="O1160" s="35"/>
      <c r="P1160" s="35"/>
      <c r="Q1160" s="35"/>
      <c r="R1160" s="35"/>
      <c r="S1160" s="35"/>
      <c r="T1160" s="35"/>
      <c r="U1160" s="35"/>
      <c r="V1160" s="35"/>
      <c r="W1160" s="35"/>
      <c r="X1160" s="35"/>
      <c r="Y1160" s="35"/>
      <c r="Z1160" s="35"/>
      <c r="AA1160" s="35"/>
      <c r="AB1160" s="35"/>
    </row>
    <row r="1161" ht="15.75" customHeight="1">
      <c r="A1161" s="35" t="s">
        <v>7356</v>
      </c>
      <c r="B1161" s="35">
        <v>2.0</v>
      </c>
      <c r="C1161" s="35"/>
      <c r="D1161" s="35"/>
      <c r="E1161" s="35"/>
      <c r="F1161" s="35"/>
      <c r="G1161" s="35"/>
      <c r="H1161" s="35"/>
      <c r="I1161" s="35"/>
      <c r="J1161" s="35"/>
      <c r="K1161" s="35"/>
      <c r="L1161" s="35"/>
      <c r="M1161" s="35"/>
      <c r="N1161" s="35"/>
      <c r="O1161" s="35"/>
      <c r="P1161" s="35"/>
      <c r="Q1161" s="35"/>
      <c r="R1161" s="35"/>
      <c r="S1161" s="35"/>
      <c r="T1161" s="35"/>
      <c r="U1161" s="35"/>
      <c r="V1161" s="35"/>
      <c r="W1161" s="35"/>
      <c r="X1161" s="35"/>
      <c r="Y1161" s="35"/>
      <c r="Z1161" s="35"/>
      <c r="AA1161" s="35"/>
      <c r="AB1161" s="35"/>
    </row>
    <row r="1162" ht="15.75" customHeight="1">
      <c r="A1162" s="35" t="s">
        <v>7359</v>
      </c>
      <c r="B1162" s="35">
        <v>2.0</v>
      </c>
      <c r="C1162" s="35"/>
      <c r="D1162" s="35"/>
      <c r="E1162" s="35"/>
      <c r="F1162" s="35"/>
      <c r="G1162" s="35"/>
      <c r="H1162" s="35"/>
      <c r="I1162" s="35"/>
      <c r="J1162" s="35"/>
      <c r="K1162" s="35"/>
      <c r="L1162" s="35"/>
      <c r="M1162" s="35"/>
      <c r="N1162" s="35"/>
      <c r="O1162" s="35"/>
      <c r="P1162" s="35"/>
      <c r="Q1162" s="35"/>
      <c r="R1162" s="35"/>
      <c r="S1162" s="35"/>
      <c r="T1162" s="35"/>
      <c r="U1162" s="35"/>
      <c r="V1162" s="35"/>
      <c r="W1162" s="35"/>
      <c r="X1162" s="35"/>
      <c r="Y1162" s="35"/>
      <c r="Z1162" s="35"/>
      <c r="AA1162" s="35"/>
      <c r="AB1162" s="35"/>
    </row>
    <row r="1163" ht="15.75" customHeight="1">
      <c r="A1163" s="35" t="s">
        <v>7362</v>
      </c>
      <c r="B1163" s="35">
        <v>2.0</v>
      </c>
      <c r="C1163" s="35"/>
      <c r="D1163" s="35"/>
      <c r="E1163" s="35"/>
      <c r="F1163" s="35"/>
      <c r="G1163" s="35"/>
      <c r="H1163" s="35"/>
      <c r="I1163" s="35"/>
      <c r="J1163" s="35"/>
      <c r="K1163" s="35"/>
      <c r="L1163" s="35"/>
      <c r="M1163" s="35"/>
      <c r="N1163" s="35"/>
      <c r="O1163" s="35"/>
      <c r="P1163" s="35"/>
      <c r="Q1163" s="35"/>
      <c r="R1163" s="35"/>
      <c r="S1163" s="35"/>
      <c r="T1163" s="35"/>
      <c r="U1163" s="35"/>
      <c r="V1163" s="35"/>
      <c r="W1163" s="35"/>
      <c r="X1163" s="35"/>
      <c r="Y1163" s="35"/>
      <c r="Z1163" s="35"/>
      <c r="AA1163" s="35"/>
      <c r="AB1163" s="35"/>
    </row>
    <row r="1164" ht="15.75" customHeight="1">
      <c r="A1164" s="35" t="s">
        <v>7366</v>
      </c>
      <c r="B1164" s="35">
        <v>2.0</v>
      </c>
      <c r="C1164" s="35"/>
      <c r="D1164" s="35"/>
      <c r="E1164" s="35"/>
      <c r="F1164" s="35"/>
      <c r="G1164" s="35"/>
      <c r="H1164" s="35"/>
      <c r="I1164" s="35"/>
      <c r="J1164" s="35"/>
      <c r="K1164" s="35"/>
      <c r="L1164" s="35"/>
      <c r="M1164" s="35"/>
      <c r="N1164" s="35"/>
      <c r="O1164" s="35"/>
      <c r="P1164" s="35"/>
      <c r="Q1164" s="35"/>
      <c r="R1164" s="35"/>
      <c r="S1164" s="35"/>
      <c r="T1164" s="35"/>
      <c r="U1164" s="35"/>
      <c r="V1164" s="35"/>
      <c r="W1164" s="35"/>
      <c r="X1164" s="35"/>
      <c r="Y1164" s="35"/>
      <c r="Z1164" s="35"/>
      <c r="AA1164" s="35"/>
      <c r="AB1164" s="35"/>
    </row>
    <row r="1165" ht="15.75" customHeight="1">
      <c r="A1165" s="35" t="s">
        <v>7369</v>
      </c>
      <c r="B1165" s="35">
        <v>2.0</v>
      </c>
      <c r="C1165" s="35"/>
      <c r="D1165" s="35"/>
      <c r="E1165" s="35"/>
      <c r="F1165" s="35"/>
      <c r="G1165" s="35"/>
      <c r="H1165" s="35"/>
      <c r="I1165" s="35"/>
      <c r="J1165" s="35"/>
      <c r="K1165" s="35"/>
      <c r="L1165" s="35"/>
      <c r="M1165" s="35"/>
      <c r="N1165" s="35"/>
      <c r="O1165" s="35"/>
      <c r="P1165" s="35"/>
      <c r="Q1165" s="35"/>
      <c r="R1165" s="35"/>
      <c r="S1165" s="35"/>
      <c r="T1165" s="35"/>
      <c r="U1165" s="35"/>
      <c r="V1165" s="35"/>
      <c r="W1165" s="35"/>
      <c r="X1165" s="35"/>
      <c r="Y1165" s="35"/>
      <c r="Z1165" s="35"/>
      <c r="AA1165" s="35"/>
      <c r="AB1165" s="35"/>
    </row>
    <row r="1166" ht="15.75" customHeight="1">
      <c r="A1166" s="35" t="s">
        <v>7372</v>
      </c>
      <c r="B1166" s="35">
        <v>2.0</v>
      </c>
      <c r="C1166" s="35"/>
      <c r="D1166" s="35"/>
      <c r="E1166" s="35"/>
      <c r="F1166" s="35"/>
      <c r="G1166" s="35"/>
      <c r="H1166" s="35"/>
      <c r="I1166" s="35"/>
      <c r="J1166" s="35"/>
      <c r="K1166" s="35"/>
      <c r="L1166" s="35"/>
      <c r="M1166" s="35"/>
      <c r="N1166" s="35"/>
      <c r="O1166" s="35"/>
      <c r="P1166" s="35"/>
      <c r="Q1166" s="35"/>
      <c r="R1166" s="35"/>
      <c r="S1166" s="35"/>
      <c r="T1166" s="35"/>
      <c r="U1166" s="35"/>
      <c r="V1166" s="35"/>
      <c r="W1166" s="35"/>
      <c r="X1166" s="35"/>
      <c r="Y1166" s="35"/>
      <c r="Z1166" s="35"/>
      <c r="AA1166" s="35"/>
      <c r="AB1166" s="35"/>
    </row>
    <row r="1167" ht="15.75" customHeight="1">
      <c r="A1167" s="35" t="s">
        <v>7375</v>
      </c>
      <c r="B1167" s="35">
        <v>2.0</v>
      </c>
      <c r="C1167" s="35"/>
      <c r="D1167" s="35"/>
      <c r="E1167" s="35"/>
      <c r="F1167" s="35"/>
      <c r="G1167" s="35"/>
      <c r="H1167" s="35"/>
      <c r="I1167" s="35"/>
      <c r="J1167" s="35"/>
      <c r="K1167" s="35"/>
      <c r="L1167" s="35"/>
      <c r="M1167" s="35"/>
      <c r="N1167" s="35"/>
      <c r="O1167" s="35"/>
      <c r="P1167" s="35"/>
      <c r="Q1167" s="35"/>
      <c r="R1167" s="35"/>
      <c r="S1167" s="35"/>
      <c r="T1167" s="35"/>
      <c r="U1167" s="35"/>
      <c r="V1167" s="35"/>
      <c r="W1167" s="35"/>
      <c r="X1167" s="35"/>
      <c r="Y1167" s="35"/>
      <c r="Z1167" s="35"/>
      <c r="AA1167" s="35"/>
      <c r="AB1167" s="35"/>
    </row>
    <row r="1168" ht="15.75" customHeight="1">
      <c r="A1168" s="35" t="s">
        <v>7379</v>
      </c>
      <c r="B1168" s="35">
        <v>2.0</v>
      </c>
      <c r="C1168" s="35"/>
      <c r="D1168" s="35"/>
      <c r="E1168" s="35"/>
      <c r="F1168" s="35"/>
      <c r="G1168" s="35"/>
      <c r="H1168" s="35"/>
      <c r="I1168" s="35"/>
      <c r="J1168" s="35"/>
      <c r="K1168" s="35"/>
      <c r="L1168" s="35"/>
      <c r="M1168" s="35"/>
      <c r="N1168" s="35"/>
      <c r="O1168" s="35"/>
      <c r="P1168" s="35"/>
      <c r="Q1168" s="35"/>
      <c r="R1168" s="35"/>
      <c r="S1168" s="35"/>
      <c r="T1168" s="35"/>
      <c r="U1168" s="35"/>
      <c r="V1168" s="35"/>
      <c r="W1168" s="35"/>
      <c r="X1168" s="35"/>
      <c r="Y1168" s="35"/>
      <c r="Z1168" s="35"/>
      <c r="AA1168" s="35"/>
      <c r="AB1168" s="35"/>
    </row>
    <row r="1169" ht="15.75" customHeight="1">
      <c r="A1169" s="35" t="s">
        <v>7382</v>
      </c>
      <c r="B1169" s="35">
        <v>2.0</v>
      </c>
      <c r="C1169" s="35"/>
      <c r="D1169" s="35"/>
      <c r="E1169" s="35"/>
      <c r="F1169" s="35"/>
      <c r="G1169" s="35"/>
      <c r="H1169" s="35"/>
      <c r="I1169" s="35"/>
      <c r="J1169" s="35"/>
      <c r="K1169" s="35"/>
      <c r="L1169" s="35"/>
      <c r="M1169" s="35"/>
      <c r="N1169" s="35"/>
      <c r="O1169" s="35"/>
      <c r="P1169" s="35"/>
      <c r="Q1169" s="35"/>
      <c r="R1169" s="35"/>
      <c r="S1169" s="35"/>
      <c r="T1169" s="35"/>
      <c r="U1169" s="35"/>
      <c r="V1169" s="35"/>
      <c r="W1169" s="35"/>
      <c r="X1169" s="35"/>
      <c r="Y1169" s="35"/>
      <c r="Z1169" s="35"/>
      <c r="AA1169" s="35"/>
      <c r="AB1169" s="35"/>
    </row>
    <row r="1170" ht="15.75" customHeight="1">
      <c r="A1170" s="35" t="s">
        <v>7386</v>
      </c>
      <c r="B1170" s="35">
        <v>2.0</v>
      </c>
      <c r="C1170" s="35"/>
      <c r="D1170" s="35"/>
      <c r="E1170" s="35"/>
      <c r="F1170" s="35"/>
      <c r="G1170" s="35"/>
      <c r="H1170" s="35"/>
      <c r="I1170" s="35"/>
      <c r="J1170" s="35"/>
      <c r="K1170" s="35"/>
      <c r="L1170" s="35"/>
      <c r="M1170" s="35"/>
      <c r="N1170" s="35"/>
      <c r="O1170" s="35"/>
      <c r="P1170" s="35"/>
      <c r="Q1170" s="35"/>
      <c r="R1170" s="35"/>
      <c r="S1170" s="35"/>
      <c r="T1170" s="35"/>
      <c r="U1170" s="35"/>
      <c r="V1170" s="35"/>
      <c r="W1170" s="35"/>
      <c r="X1170" s="35"/>
      <c r="Y1170" s="35"/>
      <c r="Z1170" s="35"/>
      <c r="AA1170" s="35"/>
      <c r="AB1170" s="35"/>
    </row>
    <row r="1171" ht="15.75" customHeight="1">
      <c r="A1171" s="35" t="s">
        <v>7389</v>
      </c>
      <c r="B1171" s="35">
        <v>2.0</v>
      </c>
      <c r="C1171" s="35"/>
      <c r="D1171" s="35"/>
      <c r="E1171" s="35"/>
      <c r="F1171" s="35"/>
      <c r="G1171" s="35"/>
      <c r="H1171" s="35"/>
      <c r="I1171" s="35"/>
      <c r="J1171" s="35"/>
      <c r="K1171" s="35"/>
      <c r="L1171" s="35"/>
      <c r="M1171" s="35"/>
      <c r="N1171" s="35"/>
      <c r="O1171" s="35"/>
      <c r="P1171" s="35"/>
      <c r="Q1171" s="35"/>
      <c r="R1171" s="35"/>
      <c r="S1171" s="35"/>
      <c r="T1171" s="35"/>
      <c r="U1171" s="35"/>
      <c r="V1171" s="35"/>
      <c r="W1171" s="35"/>
      <c r="X1171" s="35"/>
      <c r="Y1171" s="35"/>
      <c r="Z1171" s="35"/>
      <c r="AA1171" s="35"/>
      <c r="AB1171" s="35"/>
    </row>
    <row r="1172" ht="15.75" customHeight="1">
      <c r="A1172" s="35" t="s">
        <v>7392</v>
      </c>
      <c r="B1172" s="35">
        <v>2.0</v>
      </c>
      <c r="C1172" s="35"/>
      <c r="D1172" s="35"/>
      <c r="E1172" s="35"/>
      <c r="F1172" s="35"/>
      <c r="G1172" s="35"/>
      <c r="H1172" s="35"/>
      <c r="I1172" s="35"/>
      <c r="J1172" s="35"/>
      <c r="K1172" s="35"/>
      <c r="L1172" s="35"/>
      <c r="M1172" s="35"/>
      <c r="N1172" s="35"/>
      <c r="O1172" s="35"/>
      <c r="P1172" s="35"/>
      <c r="Q1172" s="35"/>
      <c r="R1172" s="35"/>
      <c r="S1172" s="35"/>
      <c r="T1172" s="35"/>
      <c r="U1172" s="35"/>
      <c r="V1172" s="35"/>
      <c r="W1172" s="35"/>
      <c r="X1172" s="35"/>
      <c r="Y1172" s="35"/>
      <c r="Z1172" s="35"/>
      <c r="AA1172" s="35"/>
      <c r="AB1172" s="35"/>
    </row>
    <row r="1173" ht="15.75" customHeight="1">
      <c r="A1173" s="35" t="s">
        <v>7395</v>
      </c>
      <c r="B1173" s="35">
        <v>2.0</v>
      </c>
      <c r="C1173" s="35"/>
      <c r="D1173" s="35"/>
      <c r="E1173" s="35"/>
      <c r="F1173" s="35"/>
      <c r="G1173" s="35"/>
      <c r="H1173" s="35"/>
      <c r="I1173" s="35"/>
      <c r="J1173" s="35"/>
      <c r="K1173" s="35"/>
      <c r="L1173" s="35"/>
      <c r="M1173" s="35"/>
      <c r="N1173" s="35"/>
      <c r="O1173" s="35"/>
      <c r="P1173" s="35"/>
      <c r="Q1173" s="35"/>
      <c r="R1173" s="35"/>
      <c r="S1173" s="35"/>
      <c r="T1173" s="35"/>
      <c r="U1173" s="35"/>
      <c r="V1173" s="35"/>
      <c r="W1173" s="35"/>
      <c r="X1173" s="35"/>
      <c r="Y1173" s="35"/>
      <c r="Z1173" s="35"/>
      <c r="AA1173" s="35"/>
      <c r="AB1173" s="35"/>
    </row>
    <row r="1174" ht="15.75" customHeight="1">
      <c r="A1174" s="35" t="s">
        <v>7399</v>
      </c>
      <c r="B1174" s="35">
        <v>2.0</v>
      </c>
      <c r="C1174" s="35"/>
      <c r="D1174" s="35"/>
      <c r="E1174" s="35"/>
      <c r="F1174" s="35"/>
      <c r="G1174" s="35"/>
      <c r="H1174" s="35"/>
      <c r="I1174" s="35"/>
      <c r="J1174" s="35"/>
      <c r="K1174" s="35"/>
      <c r="L1174" s="35"/>
      <c r="M1174" s="35"/>
      <c r="N1174" s="35"/>
      <c r="O1174" s="35"/>
      <c r="P1174" s="35"/>
      <c r="Q1174" s="35"/>
      <c r="R1174" s="35"/>
      <c r="S1174" s="35"/>
      <c r="T1174" s="35"/>
      <c r="U1174" s="35"/>
      <c r="V1174" s="35"/>
      <c r="W1174" s="35"/>
      <c r="X1174" s="35"/>
      <c r="Y1174" s="35"/>
      <c r="Z1174" s="35"/>
      <c r="AA1174" s="35"/>
      <c r="AB1174" s="35"/>
    </row>
    <row r="1175" ht="15.75" customHeight="1">
      <c r="A1175" s="35" t="s">
        <v>7402</v>
      </c>
      <c r="B1175" s="35">
        <v>2.0</v>
      </c>
      <c r="C1175" s="35"/>
      <c r="D1175" s="35"/>
      <c r="E1175" s="35"/>
      <c r="F1175" s="35"/>
      <c r="G1175" s="35"/>
      <c r="H1175" s="35"/>
      <c r="I1175" s="35"/>
      <c r="J1175" s="35"/>
      <c r="K1175" s="35"/>
      <c r="L1175" s="35"/>
      <c r="M1175" s="35"/>
      <c r="N1175" s="35"/>
      <c r="O1175" s="35"/>
      <c r="P1175" s="35"/>
      <c r="Q1175" s="35"/>
      <c r="R1175" s="35"/>
      <c r="S1175" s="35"/>
      <c r="T1175" s="35"/>
      <c r="U1175" s="35"/>
      <c r="V1175" s="35"/>
      <c r="W1175" s="35"/>
      <c r="X1175" s="35"/>
      <c r="Y1175" s="35"/>
      <c r="Z1175" s="35"/>
      <c r="AA1175" s="35"/>
      <c r="AB1175" s="35"/>
    </row>
    <row r="1176" ht="15.75" customHeight="1">
      <c r="A1176" s="35" t="s">
        <v>7405</v>
      </c>
      <c r="B1176" s="35">
        <v>2.0</v>
      </c>
      <c r="C1176" s="35"/>
      <c r="D1176" s="35"/>
      <c r="E1176" s="35"/>
      <c r="F1176" s="35"/>
      <c r="G1176" s="35"/>
      <c r="H1176" s="35"/>
      <c r="I1176" s="35"/>
      <c r="J1176" s="35"/>
      <c r="K1176" s="35"/>
      <c r="L1176" s="35"/>
      <c r="M1176" s="35"/>
      <c r="N1176" s="35"/>
      <c r="O1176" s="35"/>
      <c r="P1176" s="35"/>
      <c r="Q1176" s="35"/>
      <c r="R1176" s="35"/>
      <c r="S1176" s="35"/>
      <c r="T1176" s="35"/>
      <c r="U1176" s="35"/>
      <c r="V1176" s="35"/>
      <c r="W1176" s="35"/>
      <c r="X1176" s="35"/>
      <c r="Y1176" s="35"/>
      <c r="Z1176" s="35"/>
      <c r="AA1176" s="35"/>
      <c r="AB1176" s="35"/>
    </row>
    <row r="1177" ht="15.75" customHeight="1">
      <c r="A1177" s="35" t="s">
        <v>7408</v>
      </c>
      <c r="B1177" s="35">
        <v>2.0</v>
      </c>
      <c r="C1177" s="35"/>
      <c r="D1177" s="35"/>
      <c r="E1177" s="35"/>
      <c r="F1177" s="35"/>
      <c r="G1177" s="35"/>
      <c r="H1177" s="35"/>
      <c r="I1177" s="35"/>
      <c r="J1177" s="35"/>
      <c r="K1177" s="35"/>
      <c r="L1177" s="35"/>
      <c r="M1177" s="35"/>
      <c r="N1177" s="35"/>
      <c r="O1177" s="35"/>
      <c r="P1177" s="35"/>
      <c r="Q1177" s="35"/>
      <c r="R1177" s="35"/>
      <c r="S1177" s="35"/>
      <c r="T1177" s="35"/>
      <c r="U1177" s="35"/>
      <c r="V1177" s="35"/>
      <c r="W1177" s="35"/>
      <c r="X1177" s="35"/>
      <c r="Y1177" s="35"/>
      <c r="Z1177" s="35"/>
      <c r="AA1177" s="35"/>
      <c r="AB1177" s="35"/>
    </row>
    <row r="1178" ht="15.75" customHeight="1">
      <c r="A1178" s="35" t="s">
        <v>7411</v>
      </c>
      <c r="B1178" s="35">
        <v>2.0</v>
      </c>
      <c r="C1178" s="35"/>
      <c r="D1178" s="35"/>
      <c r="E1178" s="35"/>
      <c r="F1178" s="35"/>
      <c r="G1178" s="35"/>
      <c r="H1178" s="35"/>
      <c r="I1178" s="35"/>
      <c r="J1178" s="35"/>
      <c r="K1178" s="35"/>
      <c r="L1178" s="35"/>
      <c r="M1178" s="35"/>
      <c r="N1178" s="35"/>
      <c r="O1178" s="35"/>
      <c r="P1178" s="35"/>
      <c r="Q1178" s="35"/>
      <c r="R1178" s="35"/>
      <c r="S1178" s="35"/>
      <c r="T1178" s="35"/>
      <c r="U1178" s="35"/>
      <c r="V1178" s="35"/>
      <c r="W1178" s="35"/>
      <c r="X1178" s="35"/>
      <c r="Y1178" s="35"/>
      <c r="Z1178" s="35"/>
      <c r="AA1178" s="35"/>
      <c r="AB1178" s="35"/>
    </row>
    <row r="1179" ht="15.75" customHeight="1">
      <c r="A1179" s="35" t="s">
        <v>7415</v>
      </c>
      <c r="B1179" s="35">
        <v>2.0</v>
      </c>
      <c r="C1179" s="35"/>
      <c r="D1179" s="35"/>
      <c r="E1179" s="35"/>
      <c r="F1179" s="35"/>
      <c r="G1179" s="35"/>
      <c r="H1179" s="35"/>
      <c r="I1179" s="35"/>
      <c r="J1179" s="35"/>
      <c r="K1179" s="35"/>
      <c r="L1179" s="35"/>
      <c r="M1179" s="35"/>
      <c r="N1179" s="35"/>
      <c r="O1179" s="35"/>
      <c r="P1179" s="35"/>
      <c r="Q1179" s="35"/>
      <c r="R1179" s="35"/>
      <c r="S1179" s="35"/>
      <c r="T1179" s="35"/>
      <c r="U1179" s="35"/>
      <c r="V1179" s="35"/>
      <c r="W1179" s="35"/>
      <c r="X1179" s="35"/>
      <c r="Y1179" s="35"/>
      <c r="Z1179" s="35"/>
      <c r="AA1179" s="35"/>
      <c r="AB1179" s="35"/>
    </row>
    <row r="1180" ht="15.75" customHeight="1">
      <c r="A1180" s="35" t="s">
        <v>7418</v>
      </c>
      <c r="B1180" s="35">
        <v>2.0</v>
      </c>
      <c r="C1180" s="35"/>
      <c r="D1180" s="35"/>
      <c r="E1180" s="35"/>
      <c r="F1180" s="35"/>
      <c r="G1180" s="35"/>
      <c r="H1180" s="35"/>
      <c r="I1180" s="35"/>
      <c r="J1180" s="35"/>
      <c r="K1180" s="35"/>
      <c r="L1180" s="35"/>
      <c r="M1180" s="35"/>
      <c r="N1180" s="35"/>
      <c r="O1180" s="35"/>
      <c r="P1180" s="35"/>
      <c r="Q1180" s="35"/>
      <c r="R1180" s="35"/>
      <c r="S1180" s="35"/>
      <c r="T1180" s="35"/>
      <c r="U1180" s="35"/>
      <c r="V1180" s="35"/>
      <c r="W1180" s="35"/>
      <c r="X1180" s="35"/>
      <c r="Y1180" s="35"/>
      <c r="Z1180" s="35"/>
      <c r="AA1180" s="35"/>
      <c r="AB1180" s="35"/>
    </row>
    <row r="1181" ht="15.75" customHeight="1">
      <c r="A1181" s="35" t="s">
        <v>7421</v>
      </c>
      <c r="B1181" s="35">
        <v>2.0</v>
      </c>
      <c r="C1181" s="35"/>
      <c r="D1181" s="35"/>
      <c r="E1181" s="35"/>
      <c r="F1181" s="35"/>
      <c r="G1181" s="35"/>
      <c r="H1181" s="35"/>
      <c r="I1181" s="35"/>
      <c r="J1181" s="35"/>
      <c r="K1181" s="35"/>
      <c r="L1181" s="35"/>
      <c r="M1181" s="35"/>
      <c r="N1181" s="35"/>
      <c r="O1181" s="35"/>
      <c r="P1181" s="35"/>
      <c r="Q1181" s="35"/>
      <c r="R1181" s="35"/>
      <c r="S1181" s="35"/>
      <c r="T1181" s="35"/>
      <c r="U1181" s="35"/>
      <c r="V1181" s="35"/>
      <c r="W1181" s="35"/>
      <c r="X1181" s="35"/>
      <c r="Y1181" s="35"/>
      <c r="Z1181" s="35"/>
      <c r="AA1181" s="35"/>
      <c r="AB1181" s="35"/>
    </row>
    <row r="1182" ht="15.75" customHeight="1">
      <c r="A1182" s="35" t="s">
        <v>7424</v>
      </c>
      <c r="B1182" s="35">
        <v>2.0</v>
      </c>
      <c r="C1182" s="35"/>
      <c r="D1182" s="35"/>
      <c r="E1182" s="35"/>
      <c r="F1182" s="35"/>
      <c r="G1182" s="35"/>
      <c r="H1182" s="35"/>
      <c r="I1182" s="35"/>
      <c r="J1182" s="35"/>
      <c r="K1182" s="35"/>
      <c r="L1182" s="35"/>
      <c r="M1182" s="35"/>
      <c r="N1182" s="35"/>
      <c r="O1182" s="35"/>
      <c r="P1182" s="35"/>
      <c r="Q1182" s="35"/>
      <c r="R1182" s="35"/>
      <c r="S1182" s="35"/>
      <c r="T1182" s="35"/>
      <c r="U1182" s="35"/>
      <c r="V1182" s="35"/>
      <c r="W1182" s="35"/>
      <c r="X1182" s="35"/>
      <c r="Y1182" s="35"/>
      <c r="Z1182" s="35"/>
      <c r="AA1182" s="35"/>
      <c r="AB1182" s="35"/>
    </row>
    <row r="1183" ht="15.75" customHeight="1">
      <c r="A1183" s="35" t="s">
        <v>7427</v>
      </c>
      <c r="B1183" s="35">
        <v>2.0</v>
      </c>
      <c r="C1183" s="35"/>
      <c r="D1183" s="35"/>
      <c r="E1183" s="35"/>
      <c r="F1183" s="35"/>
      <c r="G1183" s="35"/>
      <c r="H1183" s="35"/>
      <c r="I1183" s="35"/>
      <c r="J1183" s="35"/>
      <c r="K1183" s="35"/>
      <c r="L1183" s="35"/>
      <c r="M1183" s="35"/>
      <c r="N1183" s="35"/>
      <c r="O1183" s="35"/>
      <c r="P1183" s="35"/>
      <c r="Q1183" s="35"/>
      <c r="R1183" s="35"/>
      <c r="S1183" s="35"/>
      <c r="T1183" s="35"/>
      <c r="U1183" s="35"/>
      <c r="V1183" s="35"/>
      <c r="W1183" s="35"/>
      <c r="X1183" s="35"/>
      <c r="Y1183" s="35"/>
      <c r="Z1183" s="35"/>
      <c r="AA1183" s="35"/>
      <c r="AB1183" s="35"/>
    </row>
    <row r="1184" ht="15.75" customHeight="1">
      <c r="A1184" s="35" t="s">
        <v>7432</v>
      </c>
      <c r="B1184" s="35">
        <v>2.0</v>
      </c>
      <c r="C1184" s="35"/>
      <c r="D1184" s="35"/>
      <c r="E1184" s="35"/>
      <c r="F1184" s="35"/>
      <c r="G1184" s="35"/>
      <c r="H1184" s="35"/>
      <c r="I1184" s="35"/>
      <c r="J1184" s="35"/>
      <c r="K1184" s="35"/>
      <c r="L1184" s="35"/>
      <c r="M1184" s="35"/>
      <c r="N1184" s="35"/>
      <c r="O1184" s="35"/>
      <c r="P1184" s="35"/>
      <c r="Q1184" s="35"/>
      <c r="R1184" s="35"/>
      <c r="S1184" s="35"/>
      <c r="T1184" s="35"/>
      <c r="U1184" s="35"/>
      <c r="V1184" s="35"/>
      <c r="W1184" s="35"/>
      <c r="X1184" s="35"/>
      <c r="Y1184" s="35"/>
      <c r="Z1184" s="35"/>
      <c r="AA1184" s="35"/>
      <c r="AB1184" s="35"/>
    </row>
    <row r="1185" ht="15.75" customHeight="1">
      <c r="A1185" s="35" t="s">
        <v>7435</v>
      </c>
      <c r="B1185" s="35">
        <v>2.0</v>
      </c>
      <c r="C1185" s="35"/>
      <c r="D1185" s="35"/>
      <c r="E1185" s="35"/>
      <c r="F1185" s="35"/>
      <c r="G1185" s="35"/>
      <c r="H1185" s="35"/>
      <c r="I1185" s="35"/>
      <c r="J1185" s="35"/>
      <c r="K1185" s="35"/>
      <c r="L1185" s="35"/>
      <c r="M1185" s="35"/>
      <c r="N1185" s="35"/>
      <c r="O1185" s="35"/>
      <c r="P1185" s="35"/>
      <c r="Q1185" s="35"/>
      <c r="R1185" s="35"/>
      <c r="S1185" s="35"/>
      <c r="T1185" s="35"/>
      <c r="U1185" s="35"/>
      <c r="V1185" s="35"/>
      <c r="W1185" s="35"/>
      <c r="X1185" s="35"/>
      <c r="Y1185" s="35"/>
      <c r="Z1185" s="35"/>
      <c r="AA1185" s="35"/>
      <c r="AB1185" s="35"/>
    </row>
    <row r="1186" ht="15.75" customHeight="1">
      <c r="A1186" s="35" t="s">
        <v>7438</v>
      </c>
      <c r="B1186" s="35">
        <v>2.0</v>
      </c>
      <c r="C1186" s="35"/>
      <c r="D1186" s="35"/>
      <c r="E1186" s="35"/>
      <c r="F1186" s="35"/>
      <c r="G1186" s="35"/>
      <c r="H1186" s="35"/>
      <c r="I1186" s="35"/>
      <c r="J1186" s="35"/>
      <c r="K1186" s="35"/>
      <c r="L1186" s="35"/>
      <c r="M1186" s="35"/>
      <c r="N1186" s="35"/>
      <c r="O1186" s="35"/>
      <c r="P1186" s="35"/>
      <c r="Q1186" s="35"/>
      <c r="R1186" s="35"/>
      <c r="S1186" s="35"/>
      <c r="T1186" s="35"/>
      <c r="U1186" s="35"/>
      <c r="V1186" s="35"/>
      <c r="W1186" s="35"/>
      <c r="X1186" s="35"/>
      <c r="Y1186" s="35"/>
      <c r="Z1186" s="35"/>
      <c r="AA1186" s="35"/>
      <c r="AB1186" s="35"/>
    </row>
    <row r="1187" ht="15.75" customHeight="1">
      <c r="A1187" s="35" t="s">
        <v>7441</v>
      </c>
      <c r="B1187" s="35">
        <v>2.0</v>
      </c>
      <c r="C1187" s="35"/>
      <c r="D1187" s="35"/>
      <c r="E1187" s="35"/>
      <c r="F1187" s="35"/>
      <c r="G1187" s="35"/>
      <c r="H1187" s="35"/>
      <c r="I1187" s="35"/>
      <c r="J1187" s="35"/>
      <c r="K1187" s="35"/>
      <c r="L1187" s="35"/>
      <c r="M1187" s="35"/>
      <c r="N1187" s="35"/>
      <c r="O1187" s="35"/>
      <c r="P1187" s="35"/>
      <c r="Q1187" s="35"/>
      <c r="R1187" s="35"/>
      <c r="S1187" s="35"/>
      <c r="T1187" s="35"/>
      <c r="U1187" s="35"/>
      <c r="V1187" s="35"/>
      <c r="W1187" s="35"/>
      <c r="X1187" s="35"/>
      <c r="Y1187" s="35"/>
      <c r="Z1187" s="35"/>
      <c r="AA1187" s="35"/>
      <c r="AB1187" s="35"/>
    </row>
    <row r="1188" ht="15.75" customHeight="1">
      <c r="A1188" s="35" t="s">
        <v>7445</v>
      </c>
      <c r="B1188" s="35">
        <v>2.0</v>
      </c>
      <c r="C1188" s="35"/>
      <c r="D1188" s="35"/>
      <c r="E1188" s="35"/>
      <c r="F1188" s="35"/>
      <c r="G1188" s="35"/>
      <c r="H1188" s="35"/>
      <c r="I1188" s="35"/>
      <c r="J1188" s="35"/>
      <c r="K1188" s="35"/>
      <c r="L1188" s="35"/>
      <c r="M1188" s="35"/>
      <c r="N1188" s="35"/>
      <c r="O1188" s="35"/>
      <c r="P1188" s="35"/>
      <c r="Q1188" s="35"/>
      <c r="R1188" s="35"/>
      <c r="S1188" s="35"/>
      <c r="T1188" s="35"/>
      <c r="U1188" s="35"/>
      <c r="V1188" s="35"/>
      <c r="W1188" s="35"/>
      <c r="X1188" s="35"/>
      <c r="Y1188" s="35"/>
      <c r="Z1188" s="35"/>
      <c r="AA1188" s="35"/>
      <c r="AB1188" s="35"/>
    </row>
    <row r="1189" ht="15.75" customHeight="1">
      <c r="A1189" s="35" t="s">
        <v>7448</v>
      </c>
      <c r="B1189" s="35">
        <v>2.0</v>
      </c>
      <c r="C1189" s="35"/>
      <c r="D1189" s="35"/>
      <c r="E1189" s="35"/>
      <c r="F1189" s="35"/>
      <c r="G1189" s="35"/>
      <c r="H1189" s="35"/>
      <c r="I1189" s="35"/>
      <c r="J1189" s="35"/>
      <c r="K1189" s="35"/>
      <c r="L1189" s="35"/>
      <c r="M1189" s="35"/>
      <c r="N1189" s="35"/>
      <c r="O1189" s="35"/>
      <c r="P1189" s="35"/>
      <c r="Q1189" s="35"/>
      <c r="R1189" s="35"/>
      <c r="S1189" s="35"/>
      <c r="T1189" s="35"/>
      <c r="U1189" s="35"/>
      <c r="V1189" s="35"/>
      <c r="W1189" s="35"/>
      <c r="X1189" s="35"/>
      <c r="Y1189" s="35"/>
      <c r="Z1189" s="35"/>
      <c r="AA1189" s="35"/>
      <c r="AB1189" s="35"/>
    </row>
    <row r="1190" ht="15.75" customHeight="1">
      <c r="A1190" s="35" t="s">
        <v>7451</v>
      </c>
      <c r="B1190" s="35">
        <v>2.0</v>
      </c>
      <c r="C1190" s="35"/>
      <c r="D1190" s="35"/>
      <c r="E1190" s="35"/>
      <c r="F1190" s="35"/>
      <c r="G1190" s="35"/>
      <c r="H1190" s="35"/>
      <c r="I1190" s="35"/>
      <c r="J1190" s="35"/>
      <c r="K1190" s="35"/>
      <c r="L1190" s="35"/>
      <c r="M1190" s="35"/>
      <c r="N1190" s="35"/>
      <c r="O1190" s="35"/>
      <c r="P1190" s="35"/>
      <c r="Q1190" s="35"/>
      <c r="R1190" s="35"/>
      <c r="S1190" s="35"/>
      <c r="T1190" s="35"/>
      <c r="U1190" s="35"/>
      <c r="V1190" s="35"/>
      <c r="W1190" s="35"/>
      <c r="X1190" s="35"/>
      <c r="Y1190" s="35"/>
      <c r="Z1190" s="35"/>
      <c r="AA1190" s="35"/>
      <c r="AB1190" s="35"/>
    </row>
    <row r="1191" ht="15.75" customHeight="1">
      <c r="A1191" s="35" t="s">
        <v>7454</v>
      </c>
      <c r="B1191" s="35">
        <v>2.0</v>
      </c>
      <c r="C1191" s="35"/>
      <c r="D1191" s="35"/>
      <c r="E1191" s="35"/>
      <c r="F1191" s="35"/>
      <c r="G1191" s="35"/>
      <c r="H1191" s="35"/>
      <c r="I1191" s="35"/>
      <c r="J1191" s="35"/>
      <c r="K1191" s="35"/>
      <c r="L1191" s="35"/>
      <c r="M1191" s="35"/>
      <c r="N1191" s="35"/>
      <c r="O1191" s="35"/>
      <c r="P1191" s="35"/>
      <c r="Q1191" s="35"/>
      <c r="R1191" s="35"/>
      <c r="S1191" s="35"/>
      <c r="T1191" s="35"/>
      <c r="U1191" s="35"/>
      <c r="V1191" s="35"/>
      <c r="W1191" s="35"/>
      <c r="X1191" s="35"/>
      <c r="Y1191" s="35"/>
      <c r="Z1191" s="35"/>
      <c r="AA1191" s="35"/>
      <c r="AB1191" s="35"/>
    </row>
    <row r="1192" ht="15.75" customHeight="1">
      <c r="A1192" s="35" t="s">
        <v>7458</v>
      </c>
      <c r="B1192" s="35">
        <v>2.0</v>
      </c>
      <c r="C1192" s="35"/>
      <c r="D1192" s="35"/>
      <c r="E1192" s="35"/>
      <c r="F1192" s="35"/>
      <c r="G1192" s="35"/>
      <c r="H1192" s="35"/>
      <c r="I1192" s="35"/>
      <c r="J1192" s="35"/>
      <c r="K1192" s="35"/>
      <c r="L1192" s="35"/>
      <c r="M1192" s="35"/>
      <c r="N1192" s="35"/>
      <c r="O1192" s="35"/>
      <c r="P1192" s="35"/>
      <c r="Q1192" s="35"/>
      <c r="R1192" s="35"/>
      <c r="S1192" s="35"/>
      <c r="T1192" s="35"/>
      <c r="U1192" s="35"/>
      <c r="V1192" s="35"/>
      <c r="W1192" s="35"/>
      <c r="X1192" s="35"/>
      <c r="Y1192" s="35"/>
      <c r="Z1192" s="35"/>
      <c r="AA1192" s="35"/>
      <c r="AB1192" s="35"/>
    </row>
    <row r="1193" ht="15.75" customHeight="1">
      <c r="A1193" s="35" t="s">
        <v>7461</v>
      </c>
      <c r="B1193" s="35">
        <v>2.0</v>
      </c>
      <c r="C1193" s="35"/>
      <c r="D1193" s="35"/>
      <c r="E1193" s="35"/>
      <c r="F1193" s="35"/>
      <c r="G1193" s="35"/>
      <c r="H1193" s="35"/>
      <c r="I1193" s="35"/>
      <c r="J1193" s="35"/>
      <c r="K1193" s="35"/>
      <c r="L1193" s="35"/>
      <c r="M1193" s="35"/>
      <c r="N1193" s="35"/>
      <c r="O1193" s="35"/>
      <c r="P1193" s="35"/>
      <c r="Q1193" s="35"/>
      <c r="R1193" s="35"/>
      <c r="S1193" s="35"/>
      <c r="T1193" s="35"/>
      <c r="U1193" s="35"/>
      <c r="V1193" s="35"/>
      <c r="W1193" s="35"/>
      <c r="X1193" s="35"/>
      <c r="Y1193" s="35"/>
      <c r="Z1193" s="35"/>
      <c r="AA1193" s="35"/>
      <c r="AB1193" s="35"/>
    </row>
    <row r="1194" ht="15.75" customHeight="1">
      <c r="A1194" s="35" t="s">
        <v>7464</v>
      </c>
      <c r="B1194" s="35">
        <v>2.0</v>
      </c>
      <c r="C1194" s="35"/>
      <c r="D1194" s="35"/>
      <c r="E1194" s="35"/>
      <c r="F1194" s="35"/>
      <c r="G1194" s="35"/>
      <c r="H1194" s="35"/>
      <c r="I1194" s="35"/>
      <c r="J1194" s="35"/>
      <c r="K1194" s="35"/>
      <c r="L1194" s="35"/>
      <c r="M1194" s="35"/>
      <c r="N1194" s="35"/>
      <c r="O1194" s="35"/>
      <c r="P1194" s="35"/>
      <c r="Q1194" s="35"/>
      <c r="R1194" s="35"/>
      <c r="S1194" s="35"/>
      <c r="T1194" s="35"/>
      <c r="U1194" s="35"/>
      <c r="V1194" s="35"/>
      <c r="W1194" s="35"/>
      <c r="X1194" s="35"/>
      <c r="Y1194" s="35"/>
      <c r="Z1194" s="35"/>
      <c r="AA1194" s="35"/>
      <c r="AB1194" s="35"/>
    </row>
    <row r="1195" ht="15.75" customHeight="1">
      <c r="A1195" s="35" t="s">
        <v>7467</v>
      </c>
      <c r="B1195" s="35">
        <v>2.0</v>
      </c>
      <c r="C1195" s="35"/>
      <c r="D1195" s="35"/>
      <c r="E1195" s="35"/>
      <c r="F1195" s="35"/>
      <c r="G1195" s="35"/>
      <c r="H1195" s="35"/>
      <c r="I1195" s="35"/>
      <c r="J1195" s="35"/>
      <c r="K1195" s="35"/>
      <c r="L1195" s="35"/>
      <c r="M1195" s="35"/>
      <c r="N1195" s="35"/>
      <c r="O1195" s="35"/>
      <c r="P1195" s="35"/>
      <c r="Q1195" s="35"/>
      <c r="R1195" s="35"/>
      <c r="S1195" s="35"/>
      <c r="T1195" s="35"/>
      <c r="U1195" s="35"/>
      <c r="V1195" s="35"/>
      <c r="W1195" s="35"/>
      <c r="X1195" s="35"/>
      <c r="Y1195" s="35"/>
      <c r="Z1195" s="35"/>
      <c r="AA1195" s="35"/>
      <c r="AB1195" s="35"/>
    </row>
    <row r="1196" ht="15.75" customHeight="1">
      <c r="A1196" s="35" t="s">
        <v>7470</v>
      </c>
      <c r="B1196" s="35">
        <v>2.0</v>
      </c>
      <c r="C1196" s="35"/>
      <c r="D1196" s="35"/>
      <c r="E1196" s="35"/>
      <c r="F1196" s="35"/>
      <c r="G1196" s="35"/>
      <c r="H1196" s="35"/>
      <c r="I1196" s="35"/>
      <c r="J1196" s="35"/>
      <c r="K1196" s="35"/>
      <c r="L1196" s="35"/>
      <c r="M1196" s="35"/>
      <c r="N1196" s="35"/>
      <c r="O1196" s="35"/>
      <c r="P1196" s="35"/>
      <c r="Q1196" s="35"/>
      <c r="R1196" s="35"/>
      <c r="S1196" s="35"/>
      <c r="T1196" s="35"/>
      <c r="U1196" s="35"/>
      <c r="V1196" s="35"/>
      <c r="W1196" s="35"/>
      <c r="X1196" s="35"/>
      <c r="Y1196" s="35"/>
      <c r="Z1196" s="35"/>
      <c r="AA1196" s="35"/>
      <c r="AB1196" s="35"/>
    </row>
    <row r="1197" ht="15.75" customHeight="1">
      <c r="A1197" s="35" t="s">
        <v>7472</v>
      </c>
      <c r="B1197" s="35">
        <v>2.0</v>
      </c>
      <c r="C1197" s="35"/>
      <c r="D1197" s="35"/>
      <c r="E1197" s="35"/>
      <c r="F1197" s="35"/>
      <c r="G1197" s="35"/>
      <c r="H1197" s="35"/>
      <c r="I1197" s="35"/>
      <c r="J1197" s="35"/>
      <c r="K1197" s="35"/>
      <c r="L1197" s="35"/>
      <c r="M1197" s="35"/>
      <c r="N1197" s="35"/>
      <c r="O1197" s="35"/>
      <c r="P1197" s="35"/>
      <c r="Q1197" s="35"/>
      <c r="R1197" s="35"/>
      <c r="S1197" s="35"/>
      <c r="T1197" s="35"/>
      <c r="U1197" s="35"/>
      <c r="V1197" s="35"/>
      <c r="W1197" s="35"/>
      <c r="X1197" s="35"/>
      <c r="Y1197" s="35"/>
      <c r="Z1197" s="35"/>
      <c r="AA1197" s="35"/>
      <c r="AB1197" s="35"/>
    </row>
    <row r="1198" ht="15.75" customHeight="1">
      <c r="A1198" s="35" t="s">
        <v>7475</v>
      </c>
      <c r="B1198" s="35">
        <v>2.0</v>
      </c>
      <c r="C1198" s="35"/>
      <c r="D1198" s="35"/>
      <c r="E1198" s="35"/>
      <c r="F1198" s="35"/>
      <c r="G1198" s="35"/>
      <c r="H1198" s="35"/>
      <c r="I1198" s="35"/>
      <c r="J1198" s="35"/>
      <c r="K1198" s="35"/>
      <c r="L1198" s="35"/>
      <c r="M1198" s="35"/>
      <c r="N1198" s="35"/>
      <c r="O1198" s="35"/>
      <c r="P1198" s="35"/>
      <c r="Q1198" s="35"/>
      <c r="R1198" s="35"/>
      <c r="S1198" s="35"/>
      <c r="T1198" s="35"/>
      <c r="U1198" s="35"/>
      <c r="V1198" s="35"/>
      <c r="W1198" s="35"/>
      <c r="X1198" s="35"/>
      <c r="Y1198" s="35"/>
      <c r="Z1198" s="35"/>
      <c r="AA1198" s="35"/>
      <c r="AB1198" s="35"/>
    </row>
    <row r="1199" ht="15.75" customHeight="1">
      <c r="A1199" s="35" t="s">
        <v>7478</v>
      </c>
      <c r="B1199" s="35">
        <v>2.0</v>
      </c>
      <c r="C1199" s="35"/>
      <c r="D1199" s="35"/>
      <c r="E1199" s="35"/>
      <c r="F1199" s="35"/>
      <c r="G1199" s="35"/>
      <c r="H1199" s="35"/>
      <c r="I1199" s="35"/>
      <c r="J1199" s="35"/>
      <c r="K1199" s="35"/>
      <c r="L1199" s="35"/>
      <c r="M1199" s="35"/>
      <c r="N1199" s="35"/>
      <c r="O1199" s="35"/>
      <c r="P1199" s="35"/>
      <c r="Q1199" s="35"/>
      <c r="R1199" s="35"/>
      <c r="S1199" s="35"/>
      <c r="T1199" s="35"/>
      <c r="U1199" s="35"/>
      <c r="V1199" s="35"/>
      <c r="W1199" s="35"/>
      <c r="X1199" s="35"/>
      <c r="Y1199" s="35"/>
      <c r="Z1199" s="35"/>
      <c r="AA1199" s="35"/>
      <c r="AB1199" s="35"/>
    </row>
    <row r="1200" ht="15.75" customHeight="1">
      <c r="A1200" s="35" t="s">
        <v>7482</v>
      </c>
      <c r="B1200" s="35">
        <v>2.0</v>
      </c>
      <c r="C1200" s="35"/>
      <c r="D1200" s="35"/>
      <c r="E1200" s="35"/>
      <c r="F1200" s="35"/>
      <c r="G1200" s="35"/>
      <c r="H1200" s="35"/>
      <c r="I1200" s="35"/>
      <c r="J1200" s="35"/>
      <c r="K1200" s="35"/>
      <c r="L1200" s="35"/>
      <c r="M1200" s="35"/>
      <c r="N1200" s="35"/>
      <c r="O1200" s="35"/>
      <c r="P1200" s="35"/>
      <c r="Q1200" s="35"/>
      <c r="R1200" s="35"/>
      <c r="S1200" s="35"/>
      <c r="T1200" s="35"/>
      <c r="U1200" s="35"/>
      <c r="V1200" s="35"/>
      <c r="W1200" s="35"/>
      <c r="X1200" s="35"/>
      <c r="Y1200" s="35"/>
      <c r="Z1200" s="35"/>
      <c r="AA1200" s="35"/>
      <c r="AB1200" s="35"/>
    </row>
    <row r="1201" ht="15.75" customHeight="1">
      <c r="A1201" s="35" t="s">
        <v>7485</v>
      </c>
      <c r="B1201" s="35">
        <v>2.0</v>
      </c>
      <c r="C1201" s="35"/>
      <c r="D1201" s="35"/>
      <c r="E1201" s="35"/>
      <c r="F1201" s="35"/>
      <c r="G1201" s="35"/>
      <c r="H1201" s="35"/>
      <c r="I1201" s="35"/>
      <c r="J1201" s="35"/>
      <c r="K1201" s="35"/>
      <c r="L1201" s="35"/>
      <c r="M1201" s="35"/>
      <c r="N1201" s="35"/>
      <c r="O1201" s="35"/>
      <c r="P1201" s="35"/>
      <c r="Q1201" s="35"/>
      <c r="R1201" s="35"/>
      <c r="S1201" s="35"/>
      <c r="T1201" s="35"/>
      <c r="U1201" s="35"/>
      <c r="V1201" s="35"/>
      <c r="W1201" s="35"/>
      <c r="X1201" s="35"/>
      <c r="Y1201" s="35"/>
      <c r="Z1201" s="35"/>
      <c r="AA1201" s="35"/>
      <c r="AB1201" s="35"/>
    </row>
    <row r="1202" ht="15.75" customHeight="1">
      <c r="A1202" s="35" t="s">
        <v>7488</v>
      </c>
      <c r="B1202" s="35">
        <v>2.0</v>
      </c>
      <c r="C1202" s="35"/>
      <c r="D1202" s="35"/>
      <c r="E1202" s="35"/>
      <c r="F1202" s="35"/>
      <c r="G1202" s="35"/>
      <c r="H1202" s="35"/>
      <c r="I1202" s="35"/>
      <c r="J1202" s="35"/>
      <c r="K1202" s="35"/>
      <c r="L1202" s="35"/>
      <c r="M1202" s="35"/>
      <c r="N1202" s="35"/>
      <c r="O1202" s="35"/>
      <c r="P1202" s="35"/>
      <c r="Q1202" s="35"/>
      <c r="R1202" s="35"/>
      <c r="S1202" s="35"/>
      <c r="T1202" s="35"/>
      <c r="U1202" s="35"/>
      <c r="V1202" s="35"/>
      <c r="W1202" s="35"/>
      <c r="X1202" s="35"/>
      <c r="Y1202" s="35"/>
      <c r="Z1202" s="35"/>
      <c r="AA1202" s="35"/>
      <c r="AB1202" s="35"/>
    </row>
    <row r="1203" ht="15.75" customHeight="1">
      <c r="A1203" s="35" t="s">
        <v>7492</v>
      </c>
      <c r="B1203" s="35">
        <v>2.0</v>
      </c>
      <c r="C1203" s="35"/>
      <c r="D1203" s="35"/>
      <c r="E1203" s="35"/>
      <c r="F1203" s="35"/>
      <c r="G1203" s="35"/>
      <c r="H1203" s="35"/>
      <c r="I1203" s="35"/>
      <c r="J1203" s="35"/>
      <c r="K1203" s="35"/>
      <c r="L1203" s="35"/>
      <c r="M1203" s="35"/>
      <c r="N1203" s="35"/>
      <c r="O1203" s="35"/>
      <c r="P1203" s="35"/>
      <c r="Q1203" s="35"/>
      <c r="R1203" s="35"/>
      <c r="S1203" s="35"/>
      <c r="T1203" s="35"/>
      <c r="U1203" s="35"/>
      <c r="V1203" s="35"/>
      <c r="W1203" s="35"/>
      <c r="X1203" s="35"/>
      <c r="Y1203" s="35"/>
      <c r="Z1203" s="35"/>
      <c r="AA1203" s="35"/>
      <c r="AB1203" s="35"/>
    </row>
    <row r="1204" ht="15.75" customHeight="1">
      <c r="A1204" s="35" t="s">
        <v>7495</v>
      </c>
      <c r="B1204" s="35">
        <v>2.0</v>
      </c>
      <c r="C1204" s="35"/>
      <c r="D1204" s="35"/>
      <c r="E1204" s="35"/>
      <c r="F1204" s="35"/>
      <c r="G1204" s="35"/>
      <c r="H1204" s="35"/>
      <c r="I1204" s="35"/>
      <c r="J1204" s="35"/>
      <c r="K1204" s="35"/>
      <c r="L1204" s="35"/>
      <c r="M1204" s="35"/>
      <c r="N1204" s="35"/>
      <c r="O1204" s="35"/>
      <c r="P1204" s="35"/>
      <c r="Q1204" s="35"/>
      <c r="R1204" s="35"/>
      <c r="S1204" s="35"/>
      <c r="T1204" s="35"/>
      <c r="U1204" s="35"/>
      <c r="V1204" s="35"/>
      <c r="W1204" s="35"/>
      <c r="X1204" s="35"/>
      <c r="Y1204" s="35"/>
      <c r="Z1204" s="35"/>
      <c r="AA1204" s="35"/>
      <c r="AB1204" s="35"/>
    </row>
    <row r="1205" ht="15.75" customHeight="1">
      <c r="A1205" s="35" t="s">
        <v>7498</v>
      </c>
      <c r="B1205" s="35">
        <v>2.0</v>
      </c>
      <c r="C1205" s="35"/>
      <c r="D1205" s="35"/>
      <c r="E1205" s="35"/>
      <c r="F1205" s="35"/>
      <c r="G1205" s="35"/>
      <c r="H1205" s="35"/>
      <c r="I1205" s="35"/>
      <c r="J1205" s="35"/>
      <c r="K1205" s="35"/>
      <c r="L1205" s="35"/>
      <c r="M1205" s="35"/>
      <c r="N1205" s="35"/>
      <c r="O1205" s="35"/>
      <c r="P1205" s="35"/>
      <c r="Q1205" s="35"/>
      <c r="R1205" s="35"/>
      <c r="S1205" s="35"/>
      <c r="T1205" s="35"/>
      <c r="U1205" s="35"/>
      <c r="V1205" s="35"/>
      <c r="W1205" s="35"/>
      <c r="X1205" s="35"/>
      <c r="Y1205" s="35"/>
      <c r="Z1205" s="35"/>
      <c r="AA1205" s="35"/>
      <c r="AB1205" s="35"/>
    </row>
    <row r="1206" ht="15.75" customHeight="1">
      <c r="A1206" s="35" t="s">
        <v>7501</v>
      </c>
      <c r="B1206" s="35">
        <v>2.0</v>
      </c>
      <c r="C1206" s="35"/>
      <c r="D1206" s="35"/>
      <c r="E1206" s="35"/>
      <c r="F1206" s="35"/>
      <c r="G1206" s="35"/>
      <c r="H1206" s="35"/>
      <c r="I1206" s="35"/>
      <c r="J1206" s="35"/>
      <c r="K1206" s="35"/>
      <c r="L1206" s="35"/>
      <c r="M1206" s="35"/>
      <c r="N1206" s="35"/>
      <c r="O1206" s="35"/>
      <c r="P1206" s="35"/>
      <c r="Q1206" s="35"/>
      <c r="R1206" s="35"/>
      <c r="S1206" s="35"/>
      <c r="T1206" s="35"/>
      <c r="U1206" s="35"/>
      <c r="V1206" s="35"/>
      <c r="W1206" s="35"/>
      <c r="X1206" s="35"/>
      <c r="Y1206" s="35"/>
      <c r="Z1206" s="35"/>
      <c r="AA1206" s="35"/>
      <c r="AB1206" s="35"/>
    </row>
    <row r="1207" ht="15.75" customHeight="1">
      <c r="A1207" s="35" t="s">
        <v>7503</v>
      </c>
      <c r="B1207" s="35">
        <v>2.0</v>
      </c>
      <c r="C1207" s="35"/>
      <c r="D1207" s="35"/>
      <c r="E1207" s="35"/>
      <c r="F1207" s="35"/>
      <c r="G1207" s="35"/>
      <c r="H1207" s="35"/>
      <c r="I1207" s="35"/>
      <c r="J1207" s="35"/>
      <c r="K1207" s="35"/>
      <c r="L1207" s="35"/>
      <c r="M1207" s="35"/>
      <c r="N1207" s="35"/>
      <c r="O1207" s="35"/>
      <c r="P1207" s="35"/>
      <c r="Q1207" s="35"/>
      <c r="R1207" s="35"/>
      <c r="S1207" s="35"/>
      <c r="T1207" s="35"/>
      <c r="U1207" s="35"/>
      <c r="V1207" s="35"/>
      <c r="W1207" s="35"/>
      <c r="X1207" s="35"/>
      <c r="Y1207" s="35"/>
      <c r="Z1207" s="35"/>
      <c r="AA1207" s="35"/>
      <c r="AB1207" s="35"/>
    </row>
    <row r="1208" ht="15.75" customHeight="1">
      <c r="A1208" s="35" t="s">
        <v>7506</v>
      </c>
      <c r="B1208" s="35">
        <v>2.0</v>
      </c>
      <c r="C1208" s="35"/>
      <c r="D1208" s="35"/>
      <c r="E1208" s="35"/>
      <c r="F1208" s="35"/>
      <c r="G1208" s="35"/>
      <c r="H1208" s="35"/>
      <c r="I1208" s="35"/>
      <c r="J1208" s="35"/>
      <c r="K1208" s="35"/>
      <c r="L1208" s="35"/>
      <c r="M1208" s="35"/>
      <c r="N1208" s="35"/>
      <c r="O1208" s="35"/>
      <c r="P1208" s="35"/>
      <c r="Q1208" s="35"/>
      <c r="R1208" s="35"/>
      <c r="S1208" s="35"/>
      <c r="T1208" s="35"/>
      <c r="U1208" s="35"/>
      <c r="V1208" s="35"/>
      <c r="W1208" s="35"/>
      <c r="X1208" s="35"/>
      <c r="Y1208" s="35"/>
      <c r="Z1208" s="35"/>
      <c r="AA1208" s="35"/>
      <c r="AB1208" s="35"/>
    </row>
    <row r="1209" ht="15.75" customHeight="1">
      <c r="A1209" s="35" t="s">
        <v>7510</v>
      </c>
      <c r="B1209" s="35">
        <v>2.0</v>
      </c>
      <c r="C1209" s="35"/>
      <c r="D1209" s="35"/>
      <c r="E1209" s="35"/>
      <c r="F1209" s="35"/>
      <c r="G1209" s="35"/>
      <c r="H1209" s="35"/>
      <c r="I1209" s="35"/>
      <c r="J1209" s="35"/>
      <c r="K1209" s="35"/>
      <c r="L1209" s="35"/>
      <c r="M1209" s="35"/>
      <c r="N1209" s="35"/>
      <c r="O1209" s="35"/>
      <c r="P1209" s="35"/>
      <c r="Q1209" s="35"/>
      <c r="R1209" s="35"/>
      <c r="S1209" s="35"/>
      <c r="T1209" s="35"/>
      <c r="U1209" s="35"/>
      <c r="V1209" s="35"/>
      <c r="W1209" s="35"/>
      <c r="X1209" s="35"/>
      <c r="Y1209" s="35"/>
      <c r="Z1209" s="35"/>
      <c r="AA1209" s="35"/>
      <c r="AB1209" s="35"/>
    </row>
    <row r="1210" ht="15.75" customHeight="1">
      <c r="A1210" s="35" t="s">
        <v>7513</v>
      </c>
      <c r="B1210" s="35">
        <v>2.0</v>
      </c>
      <c r="C1210" s="35"/>
      <c r="D1210" s="35"/>
      <c r="E1210" s="35"/>
      <c r="F1210" s="35"/>
      <c r="G1210" s="35"/>
      <c r="H1210" s="35"/>
      <c r="I1210" s="35"/>
      <c r="J1210" s="35"/>
      <c r="K1210" s="35"/>
      <c r="L1210" s="35"/>
      <c r="M1210" s="35"/>
      <c r="N1210" s="35"/>
      <c r="O1210" s="35"/>
      <c r="P1210" s="35"/>
      <c r="Q1210" s="35"/>
      <c r="R1210" s="35"/>
      <c r="S1210" s="35"/>
      <c r="T1210" s="35"/>
      <c r="U1210" s="35"/>
      <c r="V1210" s="35"/>
      <c r="W1210" s="35"/>
      <c r="X1210" s="35"/>
      <c r="Y1210" s="35"/>
      <c r="Z1210" s="35"/>
      <c r="AA1210" s="35"/>
      <c r="AB1210" s="35"/>
    </row>
    <row r="1211" ht="15.75" customHeight="1">
      <c r="A1211" s="35" t="s">
        <v>7516</v>
      </c>
      <c r="B1211" s="35">
        <v>2.0</v>
      </c>
      <c r="C1211" s="35"/>
      <c r="D1211" s="35"/>
      <c r="E1211" s="35"/>
      <c r="F1211" s="35"/>
      <c r="G1211" s="35"/>
      <c r="H1211" s="35"/>
      <c r="I1211" s="35"/>
      <c r="J1211" s="35"/>
      <c r="K1211" s="35"/>
      <c r="L1211" s="35"/>
      <c r="M1211" s="35"/>
      <c r="N1211" s="35"/>
      <c r="O1211" s="35"/>
      <c r="P1211" s="35"/>
      <c r="Q1211" s="35"/>
      <c r="R1211" s="35"/>
      <c r="S1211" s="35"/>
      <c r="T1211" s="35"/>
      <c r="U1211" s="35"/>
      <c r="V1211" s="35"/>
      <c r="W1211" s="35"/>
      <c r="X1211" s="35"/>
      <c r="Y1211" s="35"/>
      <c r="Z1211" s="35"/>
      <c r="AA1211" s="35"/>
      <c r="AB1211" s="35"/>
    </row>
    <row r="1212" ht="15.75" customHeight="1">
      <c r="A1212" s="35" t="s">
        <v>7518</v>
      </c>
      <c r="B1212" s="35">
        <v>2.0</v>
      </c>
      <c r="C1212" s="35"/>
      <c r="D1212" s="35"/>
      <c r="E1212" s="35"/>
      <c r="F1212" s="35"/>
      <c r="G1212" s="35"/>
      <c r="H1212" s="35"/>
      <c r="I1212" s="35"/>
      <c r="J1212" s="35"/>
      <c r="K1212" s="35"/>
      <c r="L1212" s="35"/>
      <c r="M1212" s="35"/>
      <c r="N1212" s="35"/>
      <c r="O1212" s="35"/>
      <c r="P1212" s="35"/>
      <c r="Q1212" s="35"/>
      <c r="R1212" s="35"/>
      <c r="S1212" s="35"/>
      <c r="T1212" s="35"/>
      <c r="U1212" s="35"/>
      <c r="V1212" s="35"/>
      <c r="W1212" s="35"/>
      <c r="X1212" s="35"/>
      <c r="Y1212" s="35"/>
      <c r="Z1212" s="35"/>
      <c r="AA1212" s="35"/>
      <c r="AB1212" s="35"/>
    </row>
    <row r="1213" ht="15.75" customHeight="1">
      <c r="A1213" s="35" t="s">
        <v>7521</v>
      </c>
      <c r="B1213" s="35">
        <v>2.0</v>
      </c>
      <c r="C1213" s="35"/>
      <c r="D1213" s="35"/>
      <c r="E1213" s="35"/>
      <c r="F1213" s="35"/>
      <c r="G1213" s="35"/>
      <c r="H1213" s="35"/>
      <c r="I1213" s="35"/>
      <c r="J1213" s="35"/>
      <c r="K1213" s="35"/>
      <c r="L1213" s="35"/>
      <c r="M1213" s="35"/>
      <c r="N1213" s="35"/>
      <c r="O1213" s="35"/>
      <c r="P1213" s="35"/>
      <c r="Q1213" s="35"/>
      <c r="R1213" s="35"/>
      <c r="S1213" s="35"/>
      <c r="T1213" s="35"/>
      <c r="U1213" s="35"/>
      <c r="V1213" s="35"/>
      <c r="W1213" s="35"/>
      <c r="X1213" s="35"/>
      <c r="Y1213" s="35"/>
      <c r="Z1213" s="35"/>
      <c r="AA1213" s="35"/>
      <c r="AB1213" s="35"/>
    </row>
    <row r="1214" ht="15.75" customHeight="1">
      <c r="A1214" s="35" t="s">
        <v>7525</v>
      </c>
      <c r="B1214" s="35">
        <v>2.0</v>
      </c>
      <c r="C1214" s="35"/>
      <c r="D1214" s="35"/>
      <c r="E1214" s="35"/>
      <c r="F1214" s="35"/>
      <c r="G1214" s="35"/>
      <c r="H1214" s="35"/>
      <c r="I1214" s="35"/>
      <c r="J1214" s="35"/>
      <c r="K1214" s="35"/>
      <c r="L1214" s="35"/>
      <c r="M1214" s="35"/>
      <c r="N1214" s="35"/>
      <c r="O1214" s="35"/>
      <c r="P1214" s="35"/>
      <c r="Q1214" s="35"/>
      <c r="R1214" s="35"/>
      <c r="S1214" s="35"/>
      <c r="T1214" s="35"/>
      <c r="U1214" s="35"/>
      <c r="V1214" s="35"/>
      <c r="W1214" s="35"/>
      <c r="X1214" s="35"/>
      <c r="Y1214" s="35"/>
      <c r="Z1214" s="35"/>
      <c r="AA1214" s="35"/>
      <c r="AB1214" s="35"/>
    </row>
    <row r="1215" ht="15.75" customHeight="1">
      <c r="A1215" s="35" t="s">
        <v>7528</v>
      </c>
      <c r="B1215" s="35">
        <v>2.0</v>
      </c>
      <c r="C1215" s="35"/>
      <c r="D1215" s="35"/>
      <c r="E1215" s="35"/>
      <c r="F1215" s="35"/>
      <c r="G1215" s="35"/>
      <c r="H1215" s="35"/>
      <c r="I1215" s="35"/>
      <c r="J1215" s="35"/>
      <c r="K1215" s="35"/>
      <c r="L1215" s="35"/>
      <c r="M1215" s="35"/>
      <c r="N1215" s="35"/>
      <c r="O1215" s="35"/>
      <c r="P1215" s="35"/>
      <c r="Q1215" s="35"/>
      <c r="R1215" s="35"/>
      <c r="S1215" s="35"/>
      <c r="T1215" s="35"/>
      <c r="U1215" s="35"/>
      <c r="V1215" s="35"/>
      <c r="W1215" s="35"/>
      <c r="X1215" s="35"/>
      <c r="Y1215" s="35"/>
      <c r="Z1215" s="35"/>
      <c r="AA1215" s="35"/>
      <c r="AB1215" s="35"/>
    </row>
    <row r="1216" ht="15.75" customHeight="1">
      <c r="A1216" s="35" t="s">
        <v>7529</v>
      </c>
      <c r="B1216" s="35">
        <v>2.0</v>
      </c>
      <c r="C1216" s="35"/>
      <c r="D1216" s="35"/>
      <c r="E1216" s="35"/>
      <c r="F1216" s="35"/>
      <c r="G1216" s="35"/>
      <c r="H1216" s="35"/>
      <c r="I1216" s="35"/>
      <c r="J1216" s="35"/>
      <c r="K1216" s="35"/>
      <c r="L1216" s="35"/>
      <c r="M1216" s="35"/>
      <c r="N1216" s="35"/>
      <c r="O1216" s="35"/>
      <c r="P1216" s="35"/>
      <c r="Q1216" s="35"/>
      <c r="R1216" s="35"/>
      <c r="S1216" s="35"/>
      <c r="T1216" s="35"/>
      <c r="U1216" s="35"/>
      <c r="V1216" s="35"/>
      <c r="W1216" s="35"/>
      <c r="X1216" s="35"/>
      <c r="Y1216" s="35"/>
      <c r="Z1216" s="35"/>
      <c r="AA1216" s="35"/>
      <c r="AB1216" s="35"/>
    </row>
    <row r="1217" ht="15.75" customHeight="1">
      <c r="A1217" s="35" t="s">
        <v>7530</v>
      </c>
      <c r="B1217" s="35">
        <v>2.0</v>
      </c>
      <c r="C1217" s="35"/>
      <c r="D1217" s="35"/>
      <c r="E1217" s="35"/>
      <c r="F1217" s="35"/>
      <c r="G1217" s="35"/>
      <c r="H1217" s="35"/>
      <c r="I1217" s="35"/>
      <c r="J1217" s="35"/>
      <c r="K1217" s="35"/>
      <c r="L1217" s="35"/>
      <c r="M1217" s="35"/>
      <c r="N1217" s="35"/>
      <c r="O1217" s="35"/>
      <c r="P1217" s="35"/>
      <c r="Q1217" s="35"/>
      <c r="R1217" s="35"/>
      <c r="S1217" s="35"/>
      <c r="T1217" s="35"/>
      <c r="U1217" s="35"/>
      <c r="V1217" s="35"/>
      <c r="W1217" s="35"/>
      <c r="X1217" s="35"/>
      <c r="Y1217" s="35"/>
      <c r="Z1217" s="35"/>
      <c r="AA1217" s="35"/>
      <c r="AB1217" s="35"/>
    </row>
    <row r="1218" ht="15.75" customHeight="1">
      <c r="A1218" s="35" t="s">
        <v>7533</v>
      </c>
      <c r="B1218" s="35">
        <v>2.0</v>
      </c>
      <c r="C1218" s="35"/>
      <c r="D1218" s="35"/>
      <c r="E1218" s="35"/>
      <c r="F1218" s="35"/>
      <c r="G1218" s="35"/>
      <c r="H1218" s="35"/>
      <c r="I1218" s="35"/>
      <c r="J1218" s="35"/>
      <c r="K1218" s="35"/>
      <c r="L1218" s="35"/>
      <c r="M1218" s="35"/>
      <c r="N1218" s="35"/>
      <c r="O1218" s="35"/>
      <c r="P1218" s="35"/>
      <c r="Q1218" s="35"/>
      <c r="R1218" s="35"/>
      <c r="S1218" s="35"/>
      <c r="T1218" s="35"/>
      <c r="U1218" s="35"/>
      <c r="V1218" s="35"/>
      <c r="W1218" s="35"/>
      <c r="X1218" s="35"/>
      <c r="Y1218" s="35"/>
      <c r="Z1218" s="35"/>
      <c r="AA1218" s="35"/>
      <c r="AB1218" s="35"/>
    </row>
    <row r="1219" ht="15.75" customHeight="1">
      <c r="A1219" s="35" t="s">
        <v>7537</v>
      </c>
      <c r="B1219" s="35">
        <v>2.0</v>
      </c>
      <c r="C1219" s="35"/>
      <c r="D1219" s="35"/>
      <c r="E1219" s="35"/>
      <c r="F1219" s="35"/>
      <c r="G1219" s="35"/>
      <c r="H1219" s="35"/>
      <c r="I1219" s="35"/>
      <c r="J1219" s="35"/>
      <c r="K1219" s="35"/>
      <c r="L1219" s="35"/>
      <c r="M1219" s="35"/>
      <c r="N1219" s="35"/>
      <c r="O1219" s="35"/>
      <c r="P1219" s="35"/>
      <c r="Q1219" s="35"/>
      <c r="R1219" s="35"/>
      <c r="S1219" s="35"/>
      <c r="T1219" s="35"/>
      <c r="U1219" s="35"/>
      <c r="V1219" s="35"/>
      <c r="W1219" s="35"/>
      <c r="X1219" s="35"/>
      <c r="Y1219" s="35"/>
      <c r="Z1219" s="35"/>
      <c r="AA1219" s="35"/>
      <c r="AB1219" s="35"/>
    </row>
    <row r="1220" ht="15.75" customHeight="1">
      <c r="A1220" s="35" t="s">
        <v>7541</v>
      </c>
      <c r="B1220" s="35">
        <v>2.0</v>
      </c>
      <c r="C1220" s="35"/>
      <c r="D1220" s="35"/>
      <c r="E1220" s="35"/>
      <c r="F1220" s="35"/>
      <c r="G1220" s="35"/>
      <c r="H1220" s="35"/>
      <c r="I1220" s="35"/>
      <c r="J1220" s="35"/>
      <c r="K1220" s="35"/>
      <c r="L1220" s="35"/>
      <c r="M1220" s="35"/>
      <c r="N1220" s="35"/>
      <c r="O1220" s="35"/>
      <c r="P1220" s="35"/>
      <c r="Q1220" s="35"/>
      <c r="R1220" s="35"/>
      <c r="S1220" s="35"/>
      <c r="T1220" s="35"/>
      <c r="U1220" s="35"/>
      <c r="V1220" s="35"/>
      <c r="W1220" s="35"/>
      <c r="X1220" s="35"/>
      <c r="Y1220" s="35"/>
      <c r="Z1220" s="35"/>
      <c r="AA1220" s="35"/>
      <c r="AB1220" s="35"/>
    </row>
    <row r="1221" ht="15.75" customHeight="1">
      <c r="A1221" s="35" t="s">
        <v>7544</v>
      </c>
      <c r="B1221" s="35">
        <v>2.0</v>
      </c>
      <c r="C1221" s="35"/>
      <c r="D1221" s="35"/>
      <c r="E1221" s="35"/>
      <c r="F1221" s="35"/>
      <c r="G1221" s="35"/>
      <c r="H1221" s="35"/>
      <c r="I1221" s="35"/>
      <c r="J1221" s="35"/>
      <c r="K1221" s="35"/>
      <c r="L1221" s="35"/>
      <c r="M1221" s="35"/>
      <c r="N1221" s="35"/>
      <c r="O1221" s="35"/>
      <c r="P1221" s="35"/>
      <c r="Q1221" s="35"/>
      <c r="R1221" s="35"/>
      <c r="S1221" s="35"/>
      <c r="T1221" s="35"/>
      <c r="U1221" s="35"/>
      <c r="V1221" s="35"/>
      <c r="W1221" s="35"/>
      <c r="X1221" s="35"/>
      <c r="Y1221" s="35"/>
      <c r="Z1221" s="35"/>
      <c r="AA1221" s="35"/>
      <c r="AB1221" s="35"/>
    </row>
    <row r="1222" ht="15.75" customHeight="1">
      <c r="A1222" s="35" t="s">
        <v>7547</v>
      </c>
      <c r="B1222" s="35">
        <v>2.0</v>
      </c>
      <c r="C1222" s="35"/>
      <c r="D1222" s="35"/>
      <c r="E1222" s="35"/>
      <c r="F1222" s="35"/>
      <c r="G1222" s="35"/>
      <c r="H1222" s="35"/>
      <c r="I1222" s="35"/>
      <c r="J1222" s="35"/>
      <c r="K1222" s="35"/>
      <c r="L1222" s="35"/>
      <c r="M1222" s="35"/>
      <c r="N1222" s="35"/>
      <c r="O1222" s="35"/>
      <c r="P1222" s="35"/>
      <c r="Q1222" s="35"/>
      <c r="R1222" s="35"/>
      <c r="S1222" s="35"/>
      <c r="T1222" s="35"/>
      <c r="U1222" s="35"/>
      <c r="V1222" s="35"/>
      <c r="W1222" s="35"/>
      <c r="X1222" s="35"/>
      <c r="Y1222" s="35"/>
      <c r="Z1222" s="35"/>
      <c r="AA1222" s="35"/>
      <c r="AB1222" s="35"/>
    </row>
    <row r="1223" ht="15.75" customHeight="1">
      <c r="A1223" s="35" t="s">
        <v>7550</v>
      </c>
      <c r="B1223" s="35">
        <v>2.0</v>
      </c>
      <c r="C1223" s="35"/>
      <c r="D1223" s="35"/>
      <c r="E1223" s="35"/>
      <c r="F1223" s="35"/>
      <c r="G1223" s="35"/>
      <c r="H1223" s="35"/>
      <c r="I1223" s="35"/>
      <c r="J1223" s="35"/>
      <c r="K1223" s="35"/>
      <c r="L1223" s="35"/>
      <c r="M1223" s="35"/>
      <c r="N1223" s="35"/>
      <c r="O1223" s="35"/>
      <c r="P1223" s="35"/>
      <c r="Q1223" s="35"/>
      <c r="R1223" s="35"/>
      <c r="S1223" s="35"/>
      <c r="T1223" s="35"/>
      <c r="U1223" s="35"/>
      <c r="V1223" s="35"/>
      <c r="W1223" s="35"/>
      <c r="X1223" s="35"/>
      <c r="Y1223" s="35"/>
      <c r="Z1223" s="35"/>
      <c r="AA1223" s="35"/>
      <c r="AB1223" s="35"/>
    </row>
    <row r="1224" ht="15.75" customHeight="1">
      <c r="A1224" s="35" t="s">
        <v>7554</v>
      </c>
      <c r="B1224" s="35">
        <v>2.0</v>
      </c>
      <c r="C1224" s="35"/>
      <c r="D1224" s="35"/>
      <c r="E1224" s="35"/>
      <c r="F1224" s="35"/>
      <c r="G1224" s="35"/>
      <c r="H1224" s="35"/>
      <c r="I1224" s="35"/>
      <c r="J1224" s="35"/>
      <c r="K1224" s="35"/>
      <c r="L1224" s="35"/>
      <c r="M1224" s="35"/>
      <c r="N1224" s="35"/>
      <c r="O1224" s="35"/>
      <c r="P1224" s="35"/>
      <c r="Q1224" s="35"/>
      <c r="R1224" s="35"/>
      <c r="S1224" s="35"/>
      <c r="T1224" s="35"/>
      <c r="U1224" s="35"/>
      <c r="V1224" s="35"/>
      <c r="W1224" s="35"/>
      <c r="X1224" s="35"/>
      <c r="Y1224" s="35"/>
      <c r="Z1224" s="35"/>
      <c r="AA1224" s="35"/>
      <c r="AB1224" s="35"/>
    </row>
    <row r="1225" ht="15.75" customHeight="1">
      <c r="A1225" s="35" t="s">
        <v>7557</v>
      </c>
      <c r="B1225" s="35">
        <v>2.0</v>
      </c>
      <c r="C1225" s="35"/>
      <c r="D1225" s="35"/>
      <c r="E1225" s="35"/>
      <c r="F1225" s="35"/>
      <c r="G1225" s="35"/>
      <c r="H1225" s="35"/>
      <c r="I1225" s="35"/>
      <c r="J1225" s="35"/>
      <c r="K1225" s="35"/>
      <c r="L1225" s="35"/>
      <c r="M1225" s="35"/>
      <c r="N1225" s="35"/>
      <c r="O1225" s="35"/>
      <c r="P1225" s="35"/>
      <c r="Q1225" s="35"/>
      <c r="R1225" s="35"/>
      <c r="S1225" s="35"/>
      <c r="T1225" s="35"/>
      <c r="U1225" s="35"/>
      <c r="V1225" s="35"/>
      <c r="W1225" s="35"/>
      <c r="X1225" s="35"/>
      <c r="Y1225" s="35"/>
      <c r="Z1225" s="35"/>
      <c r="AA1225" s="35"/>
      <c r="AB1225" s="35"/>
    </row>
    <row r="1226" ht="15.75" customHeight="1">
      <c r="A1226" s="35" t="s">
        <v>7560</v>
      </c>
      <c r="B1226" s="35">
        <v>2.0</v>
      </c>
      <c r="C1226" s="35"/>
      <c r="D1226" s="35"/>
      <c r="E1226" s="35"/>
      <c r="F1226" s="35"/>
      <c r="G1226" s="35"/>
      <c r="H1226" s="35"/>
      <c r="I1226" s="35"/>
      <c r="J1226" s="35"/>
      <c r="K1226" s="35"/>
      <c r="L1226" s="35"/>
      <c r="M1226" s="35"/>
      <c r="N1226" s="35"/>
      <c r="O1226" s="35"/>
      <c r="P1226" s="35"/>
      <c r="Q1226" s="35"/>
      <c r="R1226" s="35"/>
      <c r="S1226" s="35"/>
      <c r="T1226" s="35"/>
      <c r="U1226" s="35"/>
      <c r="V1226" s="35"/>
      <c r="W1226" s="35"/>
      <c r="X1226" s="35"/>
      <c r="Y1226" s="35"/>
      <c r="Z1226" s="35"/>
      <c r="AA1226" s="35"/>
      <c r="AB1226" s="35"/>
    </row>
    <row r="1227" ht="15.75" customHeight="1">
      <c r="A1227" s="35" t="s">
        <v>7563</v>
      </c>
      <c r="B1227" s="35">
        <v>2.0</v>
      </c>
      <c r="C1227" s="35"/>
      <c r="D1227" s="35"/>
      <c r="E1227" s="35"/>
      <c r="F1227" s="35"/>
      <c r="G1227" s="35"/>
      <c r="H1227" s="35"/>
      <c r="I1227" s="35"/>
      <c r="J1227" s="35"/>
      <c r="K1227" s="35"/>
      <c r="L1227" s="35"/>
      <c r="M1227" s="35"/>
      <c r="N1227" s="35"/>
      <c r="O1227" s="35"/>
      <c r="P1227" s="35"/>
      <c r="Q1227" s="35"/>
      <c r="R1227" s="35"/>
      <c r="S1227" s="35"/>
      <c r="T1227" s="35"/>
      <c r="U1227" s="35"/>
      <c r="V1227" s="35"/>
      <c r="W1227" s="35"/>
      <c r="X1227" s="35"/>
      <c r="Y1227" s="35"/>
      <c r="Z1227" s="35"/>
      <c r="AA1227" s="35"/>
      <c r="AB1227" s="35"/>
    </row>
    <row r="1228" ht="15.75" customHeight="1">
      <c r="A1228" s="35" t="s">
        <v>7567</v>
      </c>
      <c r="B1228" s="35">
        <v>2.0</v>
      </c>
      <c r="C1228" s="35"/>
      <c r="D1228" s="35"/>
      <c r="E1228" s="35"/>
      <c r="F1228" s="35"/>
      <c r="G1228" s="35"/>
      <c r="H1228" s="35"/>
      <c r="I1228" s="35"/>
      <c r="J1228" s="35"/>
      <c r="K1228" s="35"/>
      <c r="L1228" s="35"/>
      <c r="M1228" s="35"/>
      <c r="N1228" s="35"/>
      <c r="O1228" s="35"/>
      <c r="P1228" s="35"/>
      <c r="Q1228" s="35"/>
      <c r="R1228" s="35"/>
      <c r="S1228" s="35"/>
      <c r="T1228" s="35"/>
      <c r="U1228" s="35"/>
      <c r="V1228" s="35"/>
      <c r="W1228" s="35"/>
      <c r="X1228" s="35"/>
      <c r="Y1228" s="35"/>
      <c r="Z1228" s="35"/>
      <c r="AA1228" s="35"/>
      <c r="AB1228" s="35"/>
    </row>
    <row r="1229" ht="15.75" customHeight="1">
      <c r="A1229" s="35" t="s">
        <v>7571</v>
      </c>
      <c r="B1229" s="35">
        <v>2.0</v>
      </c>
      <c r="C1229" s="35"/>
      <c r="D1229" s="35"/>
      <c r="E1229" s="35"/>
      <c r="F1229" s="35"/>
      <c r="G1229" s="35"/>
      <c r="H1229" s="35"/>
      <c r="I1229" s="35"/>
      <c r="J1229" s="35"/>
      <c r="K1229" s="35"/>
      <c r="L1229" s="35"/>
      <c r="M1229" s="35"/>
      <c r="N1229" s="35"/>
      <c r="O1229" s="35"/>
      <c r="P1229" s="35"/>
      <c r="Q1229" s="35"/>
      <c r="R1229" s="35"/>
      <c r="S1229" s="35"/>
      <c r="T1229" s="35"/>
      <c r="U1229" s="35"/>
      <c r="V1229" s="35"/>
      <c r="W1229" s="35"/>
      <c r="X1229" s="35"/>
      <c r="Y1229" s="35"/>
      <c r="Z1229" s="35"/>
      <c r="AA1229" s="35"/>
      <c r="AB1229" s="35"/>
    </row>
    <row r="1230" ht="15.75" customHeight="1">
      <c r="A1230" s="35" t="s">
        <v>7574</v>
      </c>
      <c r="B1230" s="35">
        <v>2.0</v>
      </c>
      <c r="C1230" s="35"/>
      <c r="D1230" s="35"/>
      <c r="E1230" s="35"/>
      <c r="F1230" s="35"/>
      <c r="G1230" s="35"/>
      <c r="H1230" s="35"/>
      <c r="I1230" s="35"/>
      <c r="J1230" s="35"/>
      <c r="K1230" s="35"/>
      <c r="L1230" s="35"/>
      <c r="M1230" s="35"/>
      <c r="N1230" s="35"/>
      <c r="O1230" s="35"/>
      <c r="P1230" s="35"/>
      <c r="Q1230" s="35"/>
      <c r="R1230" s="35"/>
      <c r="S1230" s="35"/>
      <c r="T1230" s="35"/>
      <c r="U1230" s="35"/>
      <c r="V1230" s="35"/>
      <c r="W1230" s="35"/>
      <c r="X1230" s="35"/>
      <c r="Y1230" s="35"/>
      <c r="Z1230" s="35"/>
      <c r="AA1230" s="35"/>
      <c r="AB1230" s="35"/>
    </row>
    <row r="1231" ht="15.75" customHeight="1">
      <c r="A1231" s="35" t="s">
        <v>7577</v>
      </c>
      <c r="B1231" s="35">
        <v>2.0</v>
      </c>
      <c r="C1231" s="35"/>
      <c r="D1231" s="35"/>
      <c r="E1231" s="35"/>
      <c r="F1231" s="35"/>
      <c r="G1231" s="35"/>
      <c r="H1231" s="35"/>
      <c r="I1231" s="35"/>
      <c r="J1231" s="35"/>
      <c r="K1231" s="35"/>
      <c r="L1231" s="35"/>
      <c r="M1231" s="35"/>
      <c r="N1231" s="35"/>
      <c r="O1231" s="35"/>
      <c r="P1231" s="35"/>
      <c r="Q1231" s="35"/>
      <c r="R1231" s="35"/>
      <c r="S1231" s="35"/>
      <c r="T1231" s="35"/>
      <c r="U1231" s="35"/>
      <c r="V1231" s="35"/>
      <c r="W1231" s="35"/>
      <c r="X1231" s="35"/>
      <c r="Y1231" s="35"/>
      <c r="Z1231" s="35"/>
      <c r="AA1231" s="35"/>
      <c r="AB1231" s="35"/>
    </row>
    <row r="1232" ht="15.75" customHeight="1">
      <c r="A1232" s="35" t="s">
        <v>7580</v>
      </c>
      <c r="B1232" s="35">
        <v>2.0</v>
      </c>
      <c r="C1232" s="35"/>
      <c r="D1232" s="35"/>
      <c r="E1232" s="35"/>
      <c r="F1232" s="35"/>
      <c r="G1232" s="35"/>
      <c r="H1232" s="35"/>
      <c r="I1232" s="35"/>
      <c r="J1232" s="35"/>
      <c r="K1232" s="35"/>
      <c r="L1232" s="35"/>
      <c r="M1232" s="35"/>
      <c r="N1232" s="35"/>
      <c r="O1232" s="35"/>
      <c r="P1232" s="35"/>
      <c r="Q1232" s="35"/>
      <c r="R1232" s="35"/>
      <c r="S1232" s="35"/>
      <c r="T1232" s="35"/>
      <c r="U1232" s="35"/>
      <c r="V1232" s="35"/>
      <c r="W1232" s="35"/>
      <c r="X1232" s="35"/>
      <c r="Y1232" s="35"/>
      <c r="Z1232" s="35"/>
      <c r="AA1232" s="35"/>
      <c r="AB1232" s="35"/>
    </row>
    <row r="1233" ht="15.75" customHeight="1">
      <c r="A1233" s="35" t="s">
        <v>7584</v>
      </c>
      <c r="B1233" s="35">
        <v>2.0</v>
      </c>
      <c r="C1233" s="35"/>
      <c r="D1233" s="35"/>
      <c r="E1233" s="35"/>
      <c r="F1233" s="35"/>
      <c r="G1233" s="35"/>
      <c r="H1233" s="35"/>
      <c r="I1233" s="35"/>
      <c r="J1233" s="35"/>
      <c r="K1233" s="35"/>
      <c r="L1233" s="35"/>
      <c r="M1233" s="35"/>
      <c r="N1233" s="35"/>
      <c r="O1233" s="35"/>
      <c r="P1233" s="35"/>
      <c r="Q1233" s="35"/>
      <c r="R1233" s="35"/>
      <c r="S1233" s="35"/>
      <c r="T1233" s="35"/>
      <c r="U1233" s="35"/>
      <c r="V1233" s="35"/>
      <c r="W1233" s="35"/>
      <c r="X1233" s="35"/>
      <c r="Y1233" s="35"/>
      <c r="Z1233" s="35"/>
      <c r="AA1233" s="35"/>
      <c r="AB1233" s="35"/>
    </row>
    <row r="1234" ht="15.75" customHeight="1">
      <c r="A1234" s="35" t="s">
        <v>7587</v>
      </c>
      <c r="B1234" s="35">
        <v>2.0</v>
      </c>
      <c r="C1234" s="35"/>
      <c r="D1234" s="35"/>
      <c r="E1234" s="35"/>
      <c r="F1234" s="35"/>
      <c r="G1234" s="35"/>
      <c r="H1234" s="35"/>
      <c r="I1234" s="35"/>
      <c r="J1234" s="35"/>
      <c r="K1234" s="35"/>
      <c r="L1234" s="35"/>
      <c r="M1234" s="35"/>
      <c r="N1234" s="35"/>
      <c r="O1234" s="35"/>
      <c r="P1234" s="35"/>
      <c r="Q1234" s="35"/>
      <c r="R1234" s="35"/>
      <c r="S1234" s="35"/>
      <c r="T1234" s="35"/>
      <c r="U1234" s="35"/>
      <c r="V1234" s="35"/>
      <c r="W1234" s="35"/>
      <c r="X1234" s="35"/>
      <c r="Y1234" s="35"/>
      <c r="Z1234" s="35"/>
      <c r="AA1234" s="35"/>
      <c r="AB1234" s="35"/>
    </row>
    <row r="1235" ht="15.75" customHeight="1">
      <c r="A1235" s="35" t="s">
        <v>7590</v>
      </c>
      <c r="B1235" s="35">
        <v>2.0</v>
      </c>
      <c r="C1235" s="35"/>
      <c r="D1235" s="35"/>
      <c r="E1235" s="35"/>
      <c r="F1235" s="35"/>
      <c r="G1235" s="35"/>
      <c r="H1235" s="35"/>
      <c r="I1235" s="35"/>
      <c r="J1235" s="35"/>
      <c r="K1235" s="35"/>
      <c r="L1235" s="35"/>
      <c r="M1235" s="35"/>
      <c r="N1235" s="35"/>
      <c r="O1235" s="35"/>
      <c r="P1235" s="35"/>
      <c r="Q1235" s="35"/>
      <c r="R1235" s="35"/>
      <c r="S1235" s="35"/>
      <c r="T1235" s="35"/>
      <c r="U1235" s="35"/>
      <c r="V1235" s="35"/>
      <c r="W1235" s="35"/>
      <c r="X1235" s="35"/>
      <c r="Y1235" s="35"/>
      <c r="Z1235" s="35"/>
      <c r="AA1235" s="35"/>
      <c r="AB1235" s="35"/>
    </row>
    <row r="1236" ht="15.75" customHeight="1">
      <c r="A1236" s="35" t="s">
        <v>7593</v>
      </c>
      <c r="B1236" s="35">
        <v>2.0</v>
      </c>
      <c r="C1236" s="35"/>
      <c r="D1236" s="35"/>
      <c r="E1236" s="35"/>
      <c r="F1236" s="35"/>
      <c r="G1236" s="35"/>
      <c r="H1236" s="35"/>
      <c r="I1236" s="35"/>
      <c r="J1236" s="35"/>
      <c r="K1236" s="35"/>
      <c r="L1236" s="35"/>
      <c r="M1236" s="35"/>
      <c r="N1236" s="35"/>
      <c r="O1236" s="35"/>
      <c r="P1236" s="35"/>
      <c r="Q1236" s="35"/>
      <c r="R1236" s="35"/>
      <c r="S1236" s="35"/>
      <c r="T1236" s="35"/>
      <c r="U1236" s="35"/>
      <c r="V1236" s="35"/>
      <c r="W1236" s="35"/>
      <c r="X1236" s="35"/>
      <c r="Y1236" s="35"/>
      <c r="Z1236" s="35"/>
      <c r="AA1236" s="35"/>
      <c r="AB1236" s="35"/>
    </row>
    <row r="1237" ht="15.75" customHeight="1">
      <c r="A1237" s="35" t="s">
        <v>7596</v>
      </c>
      <c r="B1237" s="35">
        <v>2.0</v>
      </c>
      <c r="C1237" s="35"/>
      <c r="D1237" s="35"/>
      <c r="E1237" s="35"/>
      <c r="F1237" s="35"/>
      <c r="G1237" s="35"/>
      <c r="H1237" s="35"/>
      <c r="I1237" s="35"/>
      <c r="J1237" s="35"/>
      <c r="K1237" s="35"/>
      <c r="L1237" s="35"/>
      <c r="M1237" s="35"/>
      <c r="N1237" s="35"/>
      <c r="O1237" s="35"/>
      <c r="P1237" s="35"/>
      <c r="Q1237" s="35"/>
      <c r="R1237" s="35"/>
      <c r="S1237" s="35"/>
      <c r="T1237" s="35"/>
      <c r="U1237" s="35"/>
      <c r="V1237" s="35"/>
      <c r="W1237" s="35"/>
      <c r="X1237" s="35"/>
      <c r="Y1237" s="35"/>
      <c r="Z1237" s="35"/>
      <c r="AA1237" s="35"/>
      <c r="AB1237" s="35"/>
    </row>
    <row r="1238" ht="15.75" customHeight="1">
      <c r="A1238" s="35" t="s">
        <v>7600</v>
      </c>
      <c r="B1238" s="35">
        <v>2.0</v>
      </c>
      <c r="C1238" s="35"/>
      <c r="D1238" s="35"/>
      <c r="E1238" s="35"/>
      <c r="F1238" s="35"/>
      <c r="G1238" s="35"/>
      <c r="H1238" s="35"/>
      <c r="I1238" s="35"/>
      <c r="J1238" s="35"/>
      <c r="K1238" s="35"/>
      <c r="L1238" s="35"/>
      <c r="M1238" s="35"/>
      <c r="N1238" s="35"/>
      <c r="O1238" s="35"/>
      <c r="P1238" s="35"/>
      <c r="Q1238" s="35"/>
      <c r="R1238" s="35"/>
      <c r="S1238" s="35"/>
      <c r="T1238" s="35"/>
      <c r="U1238" s="35"/>
      <c r="V1238" s="35"/>
      <c r="W1238" s="35"/>
      <c r="X1238" s="35"/>
      <c r="Y1238" s="35"/>
      <c r="Z1238" s="35"/>
      <c r="AA1238" s="35"/>
      <c r="AB1238" s="35"/>
    </row>
    <row r="1239" ht="15.75" customHeight="1">
      <c r="A1239" s="35" t="s">
        <v>7603</v>
      </c>
      <c r="B1239" s="35">
        <v>2.0</v>
      </c>
      <c r="C1239" s="35"/>
      <c r="D1239" s="35"/>
      <c r="E1239" s="35"/>
      <c r="F1239" s="35"/>
      <c r="G1239" s="35"/>
      <c r="H1239" s="35"/>
      <c r="I1239" s="35"/>
      <c r="J1239" s="35"/>
      <c r="K1239" s="35"/>
      <c r="L1239" s="35"/>
      <c r="M1239" s="35"/>
      <c r="N1239" s="35"/>
      <c r="O1239" s="35"/>
      <c r="P1239" s="35"/>
      <c r="Q1239" s="35"/>
      <c r="R1239" s="35"/>
      <c r="S1239" s="35"/>
      <c r="T1239" s="35"/>
      <c r="U1239" s="35"/>
      <c r="V1239" s="35"/>
      <c r="W1239" s="35"/>
      <c r="X1239" s="35"/>
      <c r="Y1239" s="35"/>
      <c r="Z1239" s="35"/>
      <c r="AA1239" s="35"/>
      <c r="AB1239" s="35"/>
    </row>
    <row r="1240" ht="15.75" customHeight="1">
      <c r="A1240" s="35" t="s">
        <v>7606</v>
      </c>
      <c r="B1240" s="35">
        <v>1.0</v>
      </c>
      <c r="C1240" s="35"/>
      <c r="D1240" s="35"/>
      <c r="E1240" s="35"/>
      <c r="F1240" s="35"/>
      <c r="G1240" s="35"/>
      <c r="H1240" s="35"/>
      <c r="I1240" s="35"/>
      <c r="J1240" s="35"/>
      <c r="K1240" s="35"/>
      <c r="L1240" s="35"/>
      <c r="M1240" s="35"/>
      <c r="N1240" s="35"/>
      <c r="O1240" s="35"/>
      <c r="P1240" s="35"/>
      <c r="Q1240" s="35"/>
      <c r="R1240" s="35"/>
      <c r="S1240" s="35"/>
      <c r="T1240" s="35"/>
      <c r="U1240" s="35"/>
      <c r="V1240" s="35"/>
      <c r="W1240" s="35"/>
      <c r="X1240" s="35"/>
      <c r="Y1240" s="35"/>
      <c r="Z1240" s="35"/>
      <c r="AA1240" s="35"/>
      <c r="AB1240" s="35"/>
    </row>
    <row r="1241" ht="15.75" customHeight="1">
      <c r="A1241" s="35" t="s">
        <v>7609</v>
      </c>
      <c r="B1241" s="35">
        <v>1.0</v>
      </c>
      <c r="C1241" s="35"/>
      <c r="D1241" s="35"/>
      <c r="E1241" s="35"/>
      <c r="F1241" s="35"/>
      <c r="G1241" s="35"/>
      <c r="H1241" s="35"/>
      <c r="I1241" s="35"/>
      <c r="J1241" s="35"/>
      <c r="K1241" s="35"/>
      <c r="L1241" s="35"/>
      <c r="M1241" s="35"/>
      <c r="N1241" s="35"/>
      <c r="O1241" s="35"/>
      <c r="P1241" s="35"/>
      <c r="Q1241" s="35"/>
      <c r="R1241" s="35"/>
      <c r="S1241" s="35"/>
      <c r="T1241" s="35"/>
      <c r="U1241" s="35"/>
      <c r="V1241" s="35"/>
      <c r="W1241" s="35"/>
      <c r="X1241" s="35"/>
      <c r="Y1241" s="35"/>
      <c r="Z1241" s="35"/>
      <c r="AA1241" s="35"/>
      <c r="AB1241" s="35"/>
    </row>
    <row r="1242" ht="15.75" customHeight="1">
      <c r="A1242" s="35" t="s">
        <v>7613</v>
      </c>
      <c r="B1242" s="35">
        <v>1.0</v>
      </c>
      <c r="C1242" s="35"/>
      <c r="D1242" s="35"/>
      <c r="E1242" s="35"/>
      <c r="F1242" s="35"/>
      <c r="G1242" s="35"/>
      <c r="H1242" s="35"/>
      <c r="I1242" s="35"/>
      <c r="J1242" s="35"/>
      <c r="K1242" s="35"/>
      <c r="L1242" s="35"/>
      <c r="M1242" s="35"/>
      <c r="N1242" s="35"/>
      <c r="O1242" s="35"/>
      <c r="P1242" s="35"/>
      <c r="Q1242" s="35"/>
      <c r="R1242" s="35"/>
      <c r="S1242" s="35"/>
      <c r="T1242" s="35"/>
      <c r="U1242" s="35"/>
      <c r="V1242" s="35"/>
      <c r="W1242" s="35"/>
      <c r="X1242" s="35"/>
      <c r="Y1242" s="35"/>
      <c r="Z1242" s="35"/>
      <c r="AA1242" s="35"/>
      <c r="AB1242" s="35"/>
    </row>
    <row r="1243" ht="15.75" customHeight="1">
      <c r="A1243" s="35" t="s">
        <v>7616</v>
      </c>
      <c r="B1243" s="35">
        <v>1.0</v>
      </c>
      <c r="C1243" s="35"/>
      <c r="D1243" s="35"/>
      <c r="E1243" s="35"/>
      <c r="F1243" s="35"/>
      <c r="G1243" s="35"/>
      <c r="H1243" s="35"/>
      <c r="I1243" s="35"/>
      <c r="J1243" s="35"/>
      <c r="K1243" s="35"/>
      <c r="L1243" s="35"/>
      <c r="M1243" s="35"/>
      <c r="N1243" s="35"/>
      <c r="O1243" s="35"/>
      <c r="P1243" s="35"/>
      <c r="Q1243" s="35"/>
      <c r="R1243" s="35"/>
      <c r="S1243" s="35"/>
      <c r="T1243" s="35"/>
      <c r="U1243" s="35"/>
      <c r="V1243" s="35"/>
      <c r="W1243" s="35"/>
      <c r="X1243" s="35"/>
      <c r="Y1243" s="35"/>
      <c r="Z1243" s="35"/>
      <c r="AA1243" s="35"/>
      <c r="AB1243" s="35"/>
    </row>
    <row r="1244" ht="15.75" customHeight="1">
      <c r="A1244" s="35" t="s">
        <v>7620</v>
      </c>
      <c r="B1244" s="35">
        <v>1.0</v>
      </c>
      <c r="C1244" s="35"/>
      <c r="D1244" s="35"/>
      <c r="E1244" s="35"/>
      <c r="F1244" s="35"/>
      <c r="G1244" s="35"/>
      <c r="H1244" s="35"/>
      <c r="I1244" s="35"/>
      <c r="J1244" s="35"/>
      <c r="K1244" s="35"/>
      <c r="L1244" s="35"/>
      <c r="M1244" s="35"/>
      <c r="N1244" s="35"/>
      <c r="O1244" s="35"/>
      <c r="P1244" s="35"/>
      <c r="Q1244" s="35"/>
      <c r="R1244" s="35"/>
      <c r="S1244" s="35"/>
      <c r="T1244" s="35"/>
      <c r="U1244" s="35"/>
      <c r="V1244" s="35"/>
      <c r="W1244" s="35"/>
      <c r="X1244" s="35"/>
      <c r="Y1244" s="35"/>
      <c r="Z1244" s="35"/>
      <c r="AA1244" s="35"/>
      <c r="AB1244" s="35"/>
    </row>
    <row r="1245" ht="15.75" customHeight="1">
      <c r="A1245" s="35" t="s">
        <v>7623</v>
      </c>
      <c r="B1245" s="35">
        <v>1.0</v>
      </c>
      <c r="C1245" s="35"/>
      <c r="D1245" s="35"/>
      <c r="E1245" s="35"/>
      <c r="F1245" s="35"/>
      <c r="G1245" s="35"/>
      <c r="H1245" s="35"/>
      <c r="I1245" s="35"/>
      <c r="J1245" s="35"/>
      <c r="K1245" s="35"/>
      <c r="L1245" s="35"/>
      <c r="M1245" s="35"/>
      <c r="N1245" s="35"/>
      <c r="O1245" s="35"/>
      <c r="P1245" s="35"/>
      <c r="Q1245" s="35"/>
      <c r="R1245" s="35"/>
      <c r="S1245" s="35"/>
      <c r="T1245" s="35"/>
      <c r="U1245" s="35"/>
      <c r="V1245" s="35"/>
      <c r="W1245" s="35"/>
      <c r="X1245" s="35"/>
      <c r="Y1245" s="35"/>
      <c r="Z1245" s="35"/>
      <c r="AA1245" s="35"/>
      <c r="AB1245" s="35"/>
    </row>
    <row r="1246" ht="15.75" customHeight="1">
      <c r="A1246" s="35" t="s">
        <v>7626</v>
      </c>
      <c r="B1246" s="35">
        <v>1.0</v>
      </c>
      <c r="C1246" s="35"/>
      <c r="D1246" s="35"/>
      <c r="E1246" s="35"/>
      <c r="F1246" s="35"/>
      <c r="G1246" s="35"/>
      <c r="H1246" s="35"/>
      <c r="I1246" s="35"/>
      <c r="J1246" s="35"/>
      <c r="K1246" s="35"/>
      <c r="L1246" s="35"/>
      <c r="M1246" s="35"/>
      <c r="N1246" s="35"/>
      <c r="O1246" s="35"/>
      <c r="P1246" s="35"/>
      <c r="Q1246" s="35"/>
      <c r="R1246" s="35"/>
      <c r="S1246" s="35"/>
      <c r="T1246" s="35"/>
      <c r="U1246" s="35"/>
      <c r="V1246" s="35"/>
      <c r="W1246" s="35"/>
      <c r="X1246" s="35"/>
      <c r="Y1246" s="35"/>
      <c r="Z1246" s="35"/>
      <c r="AA1246" s="35"/>
      <c r="AB1246" s="35"/>
    </row>
    <row r="1247" ht="15.75" customHeight="1">
      <c r="A1247" s="35" t="s">
        <v>7630</v>
      </c>
      <c r="B1247" s="35">
        <v>1.0</v>
      </c>
      <c r="C1247" s="35"/>
      <c r="D1247" s="35"/>
      <c r="E1247" s="35"/>
      <c r="F1247" s="35"/>
      <c r="G1247" s="35"/>
      <c r="H1247" s="35"/>
      <c r="I1247" s="35"/>
      <c r="J1247" s="35"/>
      <c r="K1247" s="35"/>
      <c r="L1247" s="35"/>
      <c r="M1247" s="35"/>
      <c r="N1247" s="35"/>
      <c r="O1247" s="35"/>
      <c r="P1247" s="35"/>
      <c r="Q1247" s="35"/>
      <c r="R1247" s="35"/>
      <c r="S1247" s="35"/>
      <c r="T1247" s="35"/>
      <c r="U1247" s="35"/>
      <c r="V1247" s="35"/>
      <c r="W1247" s="35"/>
      <c r="X1247" s="35"/>
      <c r="Y1247" s="35"/>
      <c r="Z1247" s="35"/>
      <c r="AA1247" s="35"/>
      <c r="AB1247" s="35"/>
    </row>
    <row r="1248" ht="15.75" customHeight="1">
      <c r="A1248" s="35" t="s">
        <v>7633</v>
      </c>
      <c r="B1248" s="35">
        <v>1.0</v>
      </c>
      <c r="C1248" s="35"/>
      <c r="D1248" s="35"/>
      <c r="E1248" s="35"/>
      <c r="F1248" s="35"/>
      <c r="G1248" s="35"/>
      <c r="H1248" s="35"/>
      <c r="I1248" s="35"/>
      <c r="J1248" s="35"/>
      <c r="K1248" s="35"/>
      <c r="L1248" s="35"/>
      <c r="M1248" s="35"/>
      <c r="N1248" s="35"/>
      <c r="O1248" s="35"/>
      <c r="P1248" s="35"/>
      <c r="Q1248" s="35"/>
      <c r="R1248" s="35"/>
      <c r="S1248" s="35"/>
      <c r="T1248" s="35"/>
      <c r="U1248" s="35"/>
      <c r="V1248" s="35"/>
      <c r="W1248" s="35"/>
      <c r="X1248" s="35"/>
      <c r="Y1248" s="35"/>
      <c r="Z1248" s="35"/>
      <c r="AA1248" s="35"/>
      <c r="AB1248" s="35"/>
    </row>
    <row r="1249" ht="15.75" customHeight="1">
      <c r="A1249" s="35" t="s">
        <v>7636</v>
      </c>
      <c r="B1249" s="35">
        <v>1.0</v>
      </c>
      <c r="C1249" s="35"/>
      <c r="D1249" s="35"/>
      <c r="E1249" s="35"/>
      <c r="F1249" s="35"/>
      <c r="G1249" s="35"/>
      <c r="H1249" s="35"/>
      <c r="I1249" s="35"/>
      <c r="J1249" s="35"/>
      <c r="K1249" s="35"/>
      <c r="L1249" s="35"/>
      <c r="M1249" s="35"/>
      <c r="N1249" s="35"/>
      <c r="O1249" s="35"/>
      <c r="P1249" s="35"/>
      <c r="Q1249" s="35"/>
      <c r="R1249" s="35"/>
      <c r="S1249" s="35"/>
      <c r="T1249" s="35"/>
      <c r="U1249" s="35"/>
      <c r="V1249" s="35"/>
      <c r="W1249" s="35"/>
      <c r="X1249" s="35"/>
      <c r="Y1249" s="35"/>
      <c r="Z1249" s="35"/>
      <c r="AA1249" s="35"/>
      <c r="AB1249" s="35"/>
    </row>
    <row r="1250" ht="15.75" customHeight="1">
      <c r="A1250" s="35" t="s">
        <v>7640</v>
      </c>
      <c r="B1250" s="35">
        <v>1.0</v>
      </c>
      <c r="C1250" s="35"/>
      <c r="D1250" s="35"/>
      <c r="E1250" s="35"/>
      <c r="F1250" s="35"/>
      <c r="G1250" s="35"/>
      <c r="H1250" s="35"/>
      <c r="I1250" s="35"/>
      <c r="J1250" s="35"/>
      <c r="K1250" s="35"/>
      <c r="L1250" s="35"/>
      <c r="M1250" s="35"/>
      <c r="N1250" s="35"/>
      <c r="O1250" s="35"/>
      <c r="P1250" s="35"/>
      <c r="Q1250" s="35"/>
      <c r="R1250" s="35"/>
      <c r="S1250" s="35"/>
      <c r="T1250" s="35"/>
      <c r="U1250" s="35"/>
      <c r="V1250" s="35"/>
      <c r="W1250" s="35"/>
      <c r="X1250" s="35"/>
      <c r="Y1250" s="35"/>
      <c r="Z1250" s="35"/>
      <c r="AA1250" s="35"/>
      <c r="AB1250" s="35"/>
    </row>
    <row r="1251" ht="15.75" customHeight="1">
      <c r="A1251" s="35" t="s">
        <v>7643</v>
      </c>
      <c r="B1251" s="35">
        <v>1.0</v>
      </c>
      <c r="C1251" s="35"/>
      <c r="D1251" s="35"/>
      <c r="E1251" s="35"/>
      <c r="F1251" s="35"/>
      <c r="G1251" s="35"/>
      <c r="H1251" s="35"/>
      <c r="I1251" s="35"/>
      <c r="J1251" s="35"/>
      <c r="K1251" s="35"/>
      <c r="L1251" s="35"/>
      <c r="M1251" s="35"/>
      <c r="N1251" s="35"/>
      <c r="O1251" s="35"/>
      <c r="P1251" s="35"/>
      <c r="Q1251" s="35"/>
      <c r="R1251" s="35"/>
      <c r="S1251" s="35"/>
      <c r="T1251" s="35"/>
      <c r="U1251" s="35"/>
      <c r="V1251" s="35"/>
      <c r="W1251" s="35"/>
      <c r="X1251" s="35"/>
      <c r="Y1251" s="35"/>
      <c r="Z1251" s="35"/>
      <c r="AA1251" s="35"/>
      <c r="AB1251" s="35"/>
    </row>
    <row r="1252" ht="15.75" customHeight="1">
      <c r="A1252" s="35" t="s">
        <v>7646</v>
      </c>
      <c r="B1252" s="35">
        <v>1.0</v>
      </c>
      <c r="C1252" s="35"/>
      <c r="D1252" s="35"/>
      <c r="E1252" s="35"/>
      <c r="F1252" s="35"/>
      <c r="G1252" s="35"/>
      <c r="H1252" s="35"/>
      <c r="I1252" s="35"/>
      <c r="J1252" s="35"/>
      <c r="K1252" s="35"/>
      <c r="L1252" s="35"/>
      <c r="M1252" s="35"/>
      <c r="N1252" s="35"/>
      <c r="O1252" s="35"/>
      <c r="P1252" s="35"/>
      <c r="Q1252" s="35"/>
      <c r="R1252" s="35"/>
      <c r="S1252" s="35"/>
      <c r="T1252" s="35"/>
      <c r="U1252" s="35"/>
      <c r="V1252" s="35"/>
      <c r="W1252" s="35"/>
      <c r="X1252" s="35"/>
      <c r="Y1252" s="35"/>
      <c r="Z1252" s="35"/>
      <c r="AA1252" s="35"/>
      <c r="AB1252" s="35"/>
    </row>
    <row r="1253" ht="15.75" customHeight="1">
      <c r="A1253" s="35" t="s">
        <v>7649</v>
      </c>
      <c r="B1253" s="35">
        <v>1.0</v>
      </c>
      <c r="C1253" s="35"/>
      <c r="D1253" s="35"/>
      <c r="E1253" s="35"/>
      <c r="F1253" s="35"/>
      <c r="G1253" s="35"/>
      <c r="H1253" s="35"/>
      <c r="I1253" s="35"/>
      <c r="J1253" s="35"/>
      <c r="K1253" s="35"/>
      <c r="L1253" s="35"/>
      <c r="M1253" s="35"/>
      <c r="N1253" s="35"/>
      <c r="O1253" s="35"/>
      <c r="P1253" s="35"/>
      <c r="Q1253" s="35"/>
      <c r="R1253" s="35"/>
      <c r="S1253" s="35"/>
      <c r="T1253" s="35"/>
      <c r="U1253" s="35"/>
      <c r="V1253" s="35"/>
      <c r="W1253" s="35"/>
      <c r="X1253" s="35"/>
      <c r="Y1253" s="35"/>
      <c r="Z1253" s="35"/>
      <c r="AA1253" s="35"/>
      <c r="AB1253" s="35"/>
    </row>
    <row r="1254" ht="15.75" customHeight="1">
      <c r="A1254" s="35" t="s">
        <v>7652</v>
      </c>
      <c r="B1254" s="35">
        <v>1.0</v>
      </c>
      <c r="C1254" s="35"/>
      <c r="D1254" s="35"/>
      <c r="E1254" s="35"/>
      <c r="F1254" s="35"/>
      <c r="G1254" s="35"/>
      <c r="H1254" s="35"/>
      <c r="I1254" s="35"/>
      <c r="J1254" s="35"/>
      <c r="K1254" s="35"/>
      <c r="L1254" s="35"/>
      <c r="M1254" s="35"/>
      <c r="N1254" s="35"/>
      <c r="O1254" s="35"/>
      <c r="P1254" s="35"/>
      <c r="Q1254" s="35"/>
      <c r="R1254" s="35"/>
      <c r="S1254" s="35"/>
      <c r="T1254" s="35"/>
      <c r="U1254" s="35"/>
      <c r="V1254" s="35"/>
      <c r="W1254" s="35"/>
      <c r="X1254" s="35"/>
      <c r="Y1254" s="35"/>
      <c r="Z1254" s="35"/>
      <c r="AA1254" s="35"/>
      <c r="AB1254" s="35"/>
    </row>
    <row r="1255" ht="15.75" customHeight="1">
      <c r="A1255" s="35" t="s">
        <v>7656</v>
      </c>
      <c r="B1255" s="35">
        <v>1.0</v>
      </c>
      <c r="C1255" s="35"/>
      <c r="D1255" s="35"/>
      <c r="E1255" s="35"/>
      <c r="F1255" s="35"/>
      <c r="G1255" s="35"/>
      <c r="H1255" s="35"/>
      <c r="I1255" s="35"/>
      <c r="J1255" s="35"/>
      <c r="K1255" s="35"/>
      <c r="L1255" s="35"/>
      <c r="M1255" s="35"/>
      <c r="N1255" s="35"/>
      <c r="O1255" s="35"/>
      <c r="P1255" s="35"/>
      <c r="Q1255" s="35"/>
      <c r="R1255" s="35"/>
      <c r="S1255" s="35"/>
      <c r="T1255" s="35"/>
      <c r="U1255" s="35"/>
      <c r="V1255" s="35"/>
      <c r="W1255" s="35"/>
      <c r="X1255" s="35"/>
      <c r="Y1255" s="35"/>
      <c r="Z1255" s="35"/>
      <c r="AA1255" s="35"/>
      <c r="AB1255" s="35"/>
    </row>
    <row r="1256" ht="15.75" customHeight="1">
      <c r="A1256" s="35" t="s">
        <v>7659</v>
      </c>
      <c r="B1256" s="35">
        <v>1.0</v>
      </c>
      <c r="C1256" s="35"/>
      <c r="D1256" s="35"/>
      <c r="E1256" s="35"/>
      <c r="F1256" s="35"/>
      <c r="G1256" s="35"/>
      <c r="H1256" s="35"/>
      <c r="I1256" s="35"/>
      <c r="J1256" s="35"/>
      <c r="K1256" s="35"/>
      <c r="L1256" s="35"/>
      <c r="M1256" s="35"/>
      <c r="N1256" s="35"/>
      <c r="O1256" s="35"/>
      <c r="P1256" s="35"/>
      <c r="Q1256" s="35"/>
      <c r="R1256" s="35"/>
      <c r="S1256" s="35"/>
      <c r="T1256" s="35"/>
      <c r="U1256" s="35"/>
      <c r="V1256" s="35"/>
      <c r="W1256" s="35"/>
      <c r="X1256" s="35"/>
      <c r="Y1256" s="35"/>
      <c r="Z1256" s="35"/>
      <c r="AA1256" s="35"/>
      <c r="AB1256" s="35"/>
    </row>
    <row r="1257" ht="15.75" customHeight="1">
      <c r="A1257" s="35" t="s">
        <v>7662</v>
      </c>
      <c r="B1257" s="35">
        <v>1.0</v>
      </c>
      <c r="C1257" s="35"/>
      <c r="D1257" s="35"/>
      <c r="E1257" s="35"/>
      <c r="F1257" s="35"/>
      <c r="G1257" s="35"/>
      <c r="H1257" s="35"/>
      <c r="I1257" s="35"/>
      <c r="J1257" s="35"/>
      <c r="K1257" s="35"/>
      <c r="L1257" s="35"/>
      <c r="M1257" s="35"/>
      <c r="N1257" s="35"/>
      <c r="O1257" s="35"/>
      <c r="P1257" s="35"/>
      <c r="Q1257" s="35"/>
      <c r="R1257" s="35"/>
      <c r="S1257" s="35"/>
      <c r="T1257" s="35"/>
      <c r="U1257" s="35"/>
      <c r="V1257" s="35"/>
      <c r="W1257" s="35"/>
      <c r="X1257" s="35"/>
      <c r="Y1257" s="35"/>
      <c r="Z1257" s="35"/>
      <c r="AA1257" s="35"/>
      <c r="AB1257" s="35"/>
    </row>
    <row r="1258" ht="15.75" customHeight="1">
      <c r="A1258" s="35" t="s">
        <v>7665</v>
      </c>
      <c r="B1258" s="35">
        <v>1.0</v>
      </c>
      <c r="C1258" s="35"/>
      <c r="D1258" s="35"/>
      <c r="E1258" s="35"/>
      <c r="F1258" s="35"/>
      <c r="G1258" s="35"/>
      <c r="H1258" s="35"/>
      <c r="I1258" s="35"/>
      <c r="J1258" s="35"/>
      <c r="K1258" s="35"/>
      <c r="L1258" s="35"/>
      <c r="M1258" s="35"/>
      <c r="N1258" s="35"/>
      <c r="O1258" s="35"/>
      <c r="P1258" s="35"/>
      <c r="Q1258" s="35"/>
      <c r="R1258" s="35"/>
      <c r="S1258" s="35"/>
      <c r="T1258" s="35"/>
      <c r="U1258" s="35"/>
      <c r="V1258" s="35"/>
      <c r="W1258" s="35"/>
      <c r="X1258" s="35"/>
      <c r="Y1258" s="35"/>
      <c r="Z1258" s="35"/>
      <c r="AA1258" s="35"/>
      <c r="AB1258" s="35"/>
    </row>
    <row r="1259" ht="15.75" customHeight="1">
      <c r="A1259" s="35" t="s">
        <v>7669</v>
      </c>
      <c r="B1259" s="35">
        <v>1.0</v>
      </c>
      <c r="C1259" s="35"/>
      <c r="D1259" s="35"/>
      <c r="E1259" s="35"/>
      <c r="F1259" s="35"/>
      <c r="G1259" s="35"/>
      <c r="H1259" s="35"/>
      <c r="I1259" s="35"/>
      <c r="J1259" s="35"/>
      <c r="K1259" s="35"/>
      <c r="L1259" s="35"/>
      <c r="M1259" s="35"/>
      <c r="N1259" s="35"/>
      <c r="O1259" s="35"/>
      <c r="P1259" s="35"/>
      <c r="Q1259" s="35"/>
      <c r="R1259" s="35"/>
      <c r="S1259" s="35"/>
      <c r="T1259" s="35"/>
      <c r="U1259" s="35"/>
      <c r="V1259" s="35"/>
      <c r="W1259" s="35"/>
      <c r="X1259" s="35"/>
      <c r="Y1259" s="35"/>
      <c r="Z1259" s="35"/>
      <c r="AA1259" s="35"/>
      <c r="AB1259" s="35"/>
    </row>
    <row r="1260" ht="15.75" customHeight="1">
      <c r="A1260" s="35" t="s">
        <v>7672</v>
      </c>
      <c r="B1260" s="35">
        <v>1.0</v>
      </c>
      <c r="C1260" s="35"/>
      <c r="D1260" s="35"/>
      <c r="E1260" s="35"/>
      <c r="F1260" s="35"/>
      <c r="G1260" s="35"/>
      <c r="H1260" s="35"/>
      <c r="I1260" s="35"/>
      <c r="J1260" s="35"/>
      <c r="K1260" s="35"/>
      <c r="L1260" s="35"/>
      <c r="M1260" s="35"/>
      <c r="N1260" s="35"/>
      <c r="O1260" s="35"/>
      <c r="P1260" s="35"/>
      <c r="Q1260" s="35"/>
      <c r="R1260" s="35"/>
      <c r="S1260" s="35"/>
      <c r="T1260" s="35"/>
      <c r="U1260" s="35"/>
      <c r="V1260" s="35"/>
      <c r="W1260" s="35"/>
      <c r="X1260" s="35"/>
      <c r="Y1260" s="35"/>
      <c r="Z1260" s="35"/>
      <c r="AA1260" s="35"/>
      <c r="AB1260" s="35"/>
    </row>
    <row r="1261" ht="15.75" customHeight="1">
      <c r="A1261" s="35" t="s">
        <v>7675</v>
      </c>
      <c r="B1261" s="35">
        <v>1.0</v>
      </c>
      <c r="C1261" s="35"/>
      <c r="D1261" s="35"/>
      <c r="E1261" s="35"/>
      <c r="F1261" s="35"/>
      <c r="G1261" s="35"/>
      <c r="H1261" s="35"/>
      <c r="I1261" s="35"/>
      <c r="J1261" s="35"/>
      <c r="K1261" s="35"/>
      <c r="L1261" s="35"/>
      <c r="M1261" s="35"/>
      <c r="N1261" s="35"/>
      <c r="O1261" s="35"/>
      <c r="P1261" s="35"/>
      <c r="Q1261" s="35"/>
      <c r="R1261" s="35"/>
      <c r="S1261" s="35"/>
      <c r="T1261" s="35"/>
      <c r="U1261" s="35"/>
      <c r="V1261" s="35"/>
      <c r="W1261" s="35"/>
      <c r="X1261" s="35"/>
      <c r="Y1261" s="35"/>
      <c r="Z1261" s="35"/>
      <c r="AA1261" s="35"/>
      <c r="AB1261" s="35"/>
    </row>
    <row r="1262" ht="15.75" customHeight="1">
      <c r="A1262" s="35" t="s">
        <v>7678</v>
      </c>
      <c r="B1262" s="35">
        <v>1.0</v>
      </c>
      <c r="C1262" s="35"/>
      <c r="D1262" s="35"/>
      <c r="E1262" s="35"/>
      <c r="F1262" s="35"/>
      <c r="G1262" s="35"/>
      <c r="H1262" s="35"/>
      <c r="I1262" s="35"/>
      <c r="J1262" s="35"/>
      <c r="K1262" s="35"/>
      <c r="L1262" s="35"/>
      <c r="M1262" s="35"/>
      <c r="N1262" s="35"/>
      <c r="O1262" s="35"/>
      <c r="P1262" s="35"/>
      <c r="Q1262" s="35"/>
      <c r="R1262" s="35"/>
      <c r="S1262" s="35"/>
      <c r="T1262" s="35"/>
      <c r="U1262" s="35"/>
      <c r="V1262" s="35"/>
      <c r="W1262" s="35"/>
      <c r="X1262" s="35"/>
      <c r="Y1262" s="35"/>
      <c r="Z1262" s="35"/>
      <c r="AA1262" s="35"/>
      <c r="AB1262" s="35"/>
    </row>
    <row r="1263" ht="15.75" customHeight="1">
      <c r="A1263" s="35" t="s">
        <v>7682</v>
      </c>
      <c r="B1263" s="35">
        <v>1.0</v>
      </c>
      <c r="C1263" s="35"/>
      <c r="D1263" s="35"/>
      <c r="E1263" s="35"/>
      <c r="F1263" s="35"/>
      <c r="G1263" s="35"/>
      <c r="H1263" s="35"/>
      <c r="I1263" s="35"/>
      <c r="J1263" s="35"/>
      <c r="K1263" s="35"/>
      <c r="L1263" s="35"/>
      <c r="M1263" s="35"/>
      <c r="N1263" s="35"/>
      <c r="O1263" s="35"/>
      <c r="P1263" s="35"/>
      <c r="Q1263" s="35"/>
      <c r="R1263" s="35"/>
      <c r="S1263" s="35"/>
      <c r="T1263" s="35"/>
      <c r="U1263" s="35"/>
      <c r="V1263" s="35"/>
      <c r="W1263" s="35"/>
      <c r="X1263" s="35"/>
      <c r="Y1263" s="35"/>
      <c r="Z1263" s="35"/>
      <c r="AA1263" s="35"/>
      <c r="AB1263" s="35"/>
    </row>
    <row r="1264" ht="15.75" customHeight="1">
      <c r="A1264" s="35" t="s">
        <v>7685</v>
      </c>
      <c r="B1264" s="35">
        <v>1.0</v>
      </c>
      <c r="C1264" s="35"/>
      <c r="D1264" s="35"/>
      <c r="E1264" s="35"/>
      <c r="F1264" s="35"/>
      <c r="G1264" s="35"/>
      <c r="H1264" s="35"/>
      <c r="I1264" s="35"/>
      <c r="J1264" s="35"/>
      <c r="K1264" s="35"/>
      <c r="L1264" s="35"/>
      <c r="M1264" s="35"/>
      <c r="N1264" s="35"/>
      <c r="O1264" s="35"/>
      <c r="P1264" s="35"/>
      <c r="Q1264" s="35"/>
      <c r="R1264" s="35"/>
      <c r="S1264" s="35"/>
      <c r="T1264" s="35"/>
      <c r="U1264" s="35"/>
      <c r="V1264" s="35"/>
      <c r="W1264" s="35"/>
      <c r="X1264" s="35"/>
      <c r="Y1264" s="35"/>
      <c r="Z1264" s="35"/>
      <c r="AA1264" s="35"/>
      <c r="AB1264" s="35"/>
    </row>
    <row r="1265" ht="15.75" customHeight="1">
      <c r="A1265" s="35" t="s">
        <v>7688</v>
      </c>
      <c r="B1265" s="35">
        <v>1.0</v>
      </c>
      <c r="C1265" s="35"/>
      <c r="D1265" s="35"/>
      <c r="E1265" s="35"/>
      <c r="F1265" s="35"/>
      <c r="G1265" s="35"/>
      <c r="H1265" s="35"/>
      <c r="I1265" s="35"/>
      <c r="J1265" s="35"/>
      <c r="K1265" s="35"/>
      <c r="L1265" s="35"/>
      <c r="M1265" s="35"/>
      <c r="N1265" s="35"/>
      <c r="O1265" s="35"/>
      <c r="P1265" s="35"/>
      <c r="Q1265" s="35"/>
      <c r="R1265" s="35"/>
      <c r="S1265" s="35"/>
      <c r="T1265" s="35"/>
      <c r="U1265" s="35"/>
      <c r="V1265" s="35"/>
      <c r="W1265" s="35"/>
      <c r="X1265" s="35"/>
      <c r="Y1265" s="35"/>
      <c r="Z1265" s="35"/>
      <c r="AA1265" s="35"/>
      <c r="AB1265" s="35"/>
    </row>
    <row r="1266" ht="15.75" customHeight="1">
      <c r="A1266" s="35" t="s">
        <v>7691</v>
      </c>
      <c r="B1266" s="35">
        <v>1.0</v>
      </c>
      <c r="C1266" s="35"/>
      <c r="D1266" s="35"/>
      <c r="E1266" s="35"/>
      <c r="F1266" s="35"/>
      <c r="G1266" s="35"/>
      <c r="H1266" s="35"/>
      <c r="I1266" s="35"/>
      <c r="J1266" s="35"/>
      <c r="K1266" s="35"/>
      <c r="L1266" s="35"/>
      <c r="M1266" s="35"/>
      <c r="N1266" s="35"/>
      <c r="O1266" s="35"/>
      <c r="P1266" s="35"/>
      <c r="Q1266" s="35"/>
      <c r="R1266" s="35"/>
      <c r="S1266" s="35"/>
      <c r="T1266" s="35"/>
      <c r="U1266" s="35"/>
      <c r="V1266" s="35"/>
      <c r="W1266" s="35"/>
      <c r="X1266" s="35"/>
      <c r="Y1266" s="35"/>
      <c r="Z1266" s="35"/>
      <c r="AA1266" s="35"/>
      <c r="AB1266" s="35"/>
    </row>
    <row r="1267" ht="15.75" customHeight="1">
      <c r="A1267" s="35" t="s">
        <v>7695</v>
      </c>
      <c r="B1267" s="35">
        <v>1.0</v>
      </c>
      <c r="C1267" s="35"/>
      <c r="D1267" s="35"/>
      <c r="E1267" s="35"/>
      <c r="F1267" s="35"/>
      <c r="G1267" s="35"/>
      <c r="H1267" s="35"/>
      <c r="I1267" s="35"/>
      <c r="J1267" s="35"/>
      <c r="K1267" s="35"/>
      <c r="L1267" s="35"/>
      <c r="M1267" s="35"/>
      <c r="N1267" s="35"/>
      <c r="O1267" s="35"/>
      <c r="P1267" s="35"/>
      <c r="Q1267" s="35"/>
      <c r="R1267" s="35"/>
      <c r="S1267" s="35"/>
      <c r="T1267" s="35"/>
      <c r="U1267" s="35"/>
      <c r="V1267" s="35"/>
      <c r="W1267" s="35"/>
      <c r="X1267" s="35"/>
      <c r="Y1267" s="35"/>
      <c r="Z1267" s="35"/>
      <c r="AA1267" s="35"/>
      <c r="AB1267" s="35"/>
    </row>
    <row r="1268" ht="15.75" customHeight="1">
      <c r="A1268" s="35" t="s">
        <v>1846</v>
      </c>
      <c r="B1268" s="35">
        <v>1.0</v>
      </c>
      <c r="C1268" s="35"/>
      <c r="D1268" s="35"/>
      <c r="E1268" s="35"/>
      <c r="F1268" s="35"/>
      <c r="G1268" s="35"/>
      <c r="H1268" s="35"/>
      <c r="I1268" s="35"/>
      <c r="J1268" s="35"/>
      <c r="K1268" s="35"/>
      <c r="L1268" s="35"/>
      <c r="M1268" s="35"/>
      <c r="N1268" s="35"/>
      <c r="O1268" s="35"/>
      <c r="P1268" s="35"/>
      <c r="Q1268" s="35"/>
      <c r="R1268" s="35"/>
      <c r="S1268" s="35"/>
      <c r="T1268" s="35"/>
      <c r="U1268" s="35"/>
      <c r="V1268" s="35"/>
      <c r="W1268" s="35"/>
      <c r="X1268" s="35"/>
      <c r="Y1268" s="35"/>
      <c r="Z1268" s="35"/>
      <c r="AA1268" s="35"/>
      <c r="AB1268" s="35"/>
    </row>
    <row r="1269" ht="15.75" customHeight="1">
      <c r="A1269" s="35" t="s">
        <v>7701</v>
      </c>
      <c r="B1269" s="35">
        <v>1.0</v>
      </c>
      <c r="C1269" s="35"/>
      <c r="D1269" s="35"/>
      <c r="E1269" s="35"/>
      <c r="F1269" s="35"/>
      <c r="G1269" s="35"/>
      <c r="H1269" s="35"/>
      <c r="I1269" s="35"/>
      <c r="J1269" s="35"/>
      <c r="K1269" s="35"/>
      <c r="L1269" s="35"/>
      <c r="M1269" s="35"/>
      <c r="N1269" s="35"/>
      <c r="O1269" s="35"/>
      <c r="P1269" s="35"/>
      <c r="Q1269" s="35"/>
      <c r="R1269" s="35"/>
      <c r="S1269" s="35"/>
      <c r="T1269" s="35"/>
      <c r="U1269" s="35"/>
      <c r="V1269" s="35"/>
      <c r="W1269" s="35"/>
      <c r="X1269" s="35"/>
      <c r="Y1269" s="35"/>
      <c r="Z1269" s="35"/>
      <c r="AA1269" s="35"/>
      <c r="AB1269" s="35"/>
    </row>
    <row r="1270" ht="15.75" customHeight="1">
      <c r="A1270" s="35" t="s">
        <v>7704</v>
      </c>
      <c r="B1270" s="35">
        <v>1.0</v>
      </c>
      <c r="C1270" s="35"/>
      <c r="D1270" s="35"/>
      <c r="E1270" s="35"/>
      <c r="F1270" s="35"/>
      <c r="G1270" s="35"/>
      <c r="H1270" s="35"/>
      <c r="I1270" s="35"/>
      <c r="J1270" s="35"/>
      <c r="K1270" s="35"/>
      <c r="L1270" s="35"/>
      <c r="M1270" s="35"/>
      <c r="N1270" s="35"/>
      <c r="O1270" s="35"/>
      <c r="P1270" s="35"/>
      <c r="Q1270" s="35"/>
      <c r="R1270" s="35"/>
      <c r="S1270" s="35"/>
      <c r="T1270" s="35"/>
      <c r="U1270" s="35"/>
      <c r="V1270" s="35"/>
      <c r="W1270" s="35"/>
      <c r="X1270" s="35"/>
      <c r="Y1270" s="35"/>
      <c r="Z1270" s="35"/>
      <c r="AA1270" s="35"/>
      <c r="AB1270" s="35"/>
    </row>
    <row r="1271" ht="15.75" customHeight="1">
      <c r="A1271" s="35" t="s">
        <v>7707</v>
      </c>
      <c r="B1271" s="35">
        <v>1.0</v>
      </c>
      <c r="C1271" s="35"/>
      <c r="D1271" s="35"/>
      <c r="E1271" s="35"/>
      <c r="F1271" s="35"/>
      <c r="G1271" s="35"/>
      <c r="H1271" s="35"/>
      <c r="I1271" s="35"/>
      <c r="J1271" s="35"/>
      <c r="K1271" s="35"/>
      <c r="L1271" s="35"/>
      <c r="M1271" s="35"/>
      <c r="N1271" s="35"/>
      <c r="O1271" s="35"/>
      <c r="P1271" s="35"/>
      <c r="Q1271" s="35"/>
      <c r="R1271" s="35"/>
      <c r="S1271" s="35"/>
      <c r="T1271" s="35"/>
      <c r="U1271" s="35"/>
      <c r="V1271" s="35"/>
      <c r="W1271" s="35"/>
      <c r="X1271" s="35"/>
      <c r="Y1271" s="35"/>
      <c r="Z1271" s="35"/>
      <c r="AA1271" s="35"/>
      <c r="AB1271" s="35"/>
    </row>
    <row r="1272" ht="15.75" customHeight="1">
      <c r="A1272" s="35" t="s">
        <v>7711</v>
      </c>
      <c r="B1272" s="35">
        <v>1.0</v>
      </c>
      <c r="C1272" s="35"/>
      <c r="D1272" s="35"/>
      <c r="E1272" s="35"/>
      <c r="F1272" s="35"/>
      <c r="G1272" s="35"/>
      <c r="H1272" s="35"/>
      <c r="I1272" s="35"/>
      <c r="J1272" s="35"/>
      <c r="K1272" s="35"/>
      <c r="L1272" s="35"/>
      <c r="M1272" s="35"/>
      <c r="N1272" s="35"/>
      <c r="O1272" s="35"/>
      <c r="P1272" s="35"/>
      <c r="Q1272" s="35"/>
      <c r="R1272" s="35"/>
      <c r="S1272" s="35"/>
      <c r="T1272" s="35"/>
      <c r="U1272" s="35"/>
      <c r="V1272" s="35"/>
      <c r="W1272" s="35"/>
      <c r="X1272" s="35"/>
      <c r="Y1272" s="35"/>
      <c r="Z1272" s="35"/>
      <c r="AA1272" s="35"/>
      <c r="AB1272" s="35"/>
    </row>
    <row r="1273" ht="15.75" customHeight="1">
      <c r="A1273" s="35" t="s">
        <v>7714</v>
      </c>
      <c r="B1273" s="35">
        <v>1.0</v>
      </c>
      <c r="C1273" s="35"/>
      <c r="D1273" s="35"/>
      <c r="E1273" s="35"/>
      <c r="F1273" s="35"/>
      <c r="G1273" s="35"/>
      <c r="H1273" s="35"/>
      <c r="I1273" s="35"/>
      <c r="J1273" s="35"/>
      <c r="K1273" s="35"/>
      <c r="L1273" s="35"/>
      <c r="M1273" s="35"/>
      <c r="N1273" s="35"/>
      <c r="O1273" s="35"/>
      <c r="P1273" s="35"/>
      <c r="Q1273" s="35"/>
      <c r="R1273" s="35"/>
      <c r="S1273" s="35"/>
      <c r="T1273" s="35"/>
      <c r="U1273" s="35"/>
      <c r="V1273" s="35"/>
      <c r="W1273" s="35"/>
      <c r="X1273" s="35"/>
      <c r="Y1273" s="35"/>
      <c r="Z1273" s="35"/>
      <c r="AA1273" s="35"/>
      <c r="AB1273" s="35"/>
    </row>
    <row r="1274" ht="15.75" customHeight="1">
      <c r="A1274" s="35" t="s">
        <v>7717</v>
      </c>
      <c r="B1274" s="35">
        <v>1.0</v>
      </c>
      <c r="C1274" s="35"/>
      <c r="D1274" s="35"/>
      <c r="E1274" s="35"/>
      <c r="F1274" s="35"/>
      <c r="G1274" s="35"/>
      <c r="H1274" s="35"/>
      <c r="I1274" s="35"/>
      <c r="J1274" s="35"/>
      <c r="K1274" s="35"/>
      <c r="L1274" s="35"/>
      <c r="M1274" s="35"/>
      <c r="N1274" s="35"/>
      <c r="O1274" s="35"/>
      <c r="P1274" s="35"/>
      <c r="Q1274" s="35"/>
      <c r="R1274" s="35"/>
      <c r="S1274" s="35"/>
      <c r="T1274" s="35"/>
      <c r="U1274" s="35"/>
      <c r="V1274" s="35"/>
      <c r="W1274" s="35"/>
      <c r="X1274" s="35"/>
      <c r="Y1274" s="35"/>
      <c r="Z1274" s="35"/>
      <c r="AA1274" s="35"/>
      <c r="AB1274" s="35"/>
    </row>
    <row r="1275" ht="15.75" customHeight="1">
      <c r="A1275" s="35" t="s">
        <v>7721</v>
      </c>
      <c r="B1275" s="35">
        <v>1.0</v>
      </c>
      <c r="C1275" s="35"/>
      <c r="D1275" s="35"/>
      <c r="E1275" s="35"/>
      <c r="F1275" s="35"/>
      <c r="G1275" s="35"/>
      <c r="H1275" s="35"/>
      <c r="I1275" s="35"/>
      <c r="J1275" s="35"/>
      <c r="K1275" s="35"/>
      <c r="L1275" s="35"/>
      <c r="M1275" s="35"/>
      <c r="N1275" s="35"/>
      <c r="O1275" s="35"/>
      <c r="P1275" s="35"/>
      <c r="Q1275" s="35"/>
      <c r="R1275" s="35"/>
      <c r="S1275" s="35"/>
      <c r="T1275" s="35"/>
      <c r="U1275" s="35"/>
      <c r="V1275" s="35"/>
      <c r="W1275" s="35"/>
      <c r="X1275" s="35"/>
      <c r="Y1275" s="35"/>
      <c r="Z1275" s="35"/>
      <c r="AA1275" s="35"/>
      <c r="AB1275" s="35"/>
    </row>
    <row r="1276" ht="15.75" customHeight="1">
      <c r="A1276" s="35" t="s">
        <v>7724</v>
      </c>
      <c r="B1276" s="35">
        <v>1.0</v>
      </c>
      <c r="C1276" s="35"/>
      <c r="D1276" s="35"/>
      <c r="E1276" s="35"/>
      <c r="F1276" s="35"/>
      <c r="G1276" s="35"/>
      <c r="H1276" s="35"/>
      <c r="I1276" s="35"/>
      <c r="J1276" s="35"/>
      <c r="K1276" s="35"/>
      <c r="L1276" s="35"/>
      <c r="M1276" s="35"/>
      <c r="N1276" s="35"/>
      <c r="O1276" s="35"/>
      <c r="P1276" s="35"/>
      <c r="Q1276" s="35"/>
      <c r="R1276" s="35"/>
      <c r="S1276" s="35"/>
      <c r="T1276" s="35"/>
      <c r="U1276" s="35"/>
      <c r="V1276" s="35"/>
      <c r="W1276" s="35"/>
      <c r="X1276" s="35"/>
      <c r="Y1276" s="35"/>
      <c r="Z1276" s="35"/>
      <c r="AA1276" s="35"/>
      <c r="AB1276" s="35"/>
    </row>
    <row r="1277" ht="15.75" customHeight="1">
      <c r="A1277" s="35" t="s">
        <v>7727</v>
      </c>
      <c r="B1277" s="35">
        <v>1.0</v>
      </c>
      <c r="C1277" s="35"/>
      <c r="D1277" s="35"/>
      <c r="E1277" s="35"/>
      <c r="F1277" s="35"/>
      <c r="G1277" s="35"/>
      <c r="H1277" s="35"/>
      <c r="I1277" s="35"/>
      <c r="J1277" s="35"/>
      <c r="K1277" s="35"/>
      <c r="L1277" s="35"/>
      <c r="M1277" s="35"/>
      <c r="N1277" s="35"/>
      <c r="O1277" s="35"/>
      <c r="P1277" s="35"/>
      <c r="Q1277" s="35"/>
      <c r="R1277" s="35"/>
      <c r="S1277" s="35"/>
      <c r="T1277" s="35"/>
      <c r="U1277" s="35"/>
      <c r="V1277" s="35"/>
      <c r="W1277" s="35"/>
      <c r="X1277" s="35"/>
      <c r="Y1277" s="35"/>
      <c r="Z1277" s="35"/>
      <c r="AA1277" s="35"/>
      <c r="AB1277" s="35"/>
    </row>
    <row r="1278" ht="15.75" customHeight="1">
      <c r="A1278" s="35" t="s">
        <v>7730</v>
      </c>
      <c r="B1278" s="35">
        <v>1.0</v>
      </c>
      <c r="C1278" s="35"/>
      <c r="D1278" s="35"/>
      <c r="E1278" s="35"/>
      <c r="F1278" s="35"/>
      <c r="G1278" s="35"/>
      <c r="H1278" s="35"/>
      <c r="I1278" s="35"/>
      <c r="J1278" s="35"/>
      <c r="K1278" s="35"/>
      <c r="L1278" s="35"/>
      <c r="M1278" s="35"/>
      <c r="N1278" s="35"/>
      <c r="O1278" s="35"/>
      <c r="P1278" s="35"/>
      <c r="Q1278" s="35"/>
      <c r="R1278" s="35"/>
      <c r="S1278" s="35"/>
      <c r="T1278" s="35"/>
      <c r="U1278" s="35"/>
      <c r="V1278" s="35"/>
      <c r="W1278" s="35"/>
      <c r="X1278" s="35"/>
      <c r="Y1278" s="35"/>
      <c r="Z1278" s="35"/>
      <c r="AA1278" s="35"/>
      <c r="AB1278" s="35"/>
    </row>
    <row r="1279" ht="15.75" customHeight="1">
      <c r="A1279" s="35" t="s">
        <v>7733</v>
      </c>
      <c r="B1279" s="35">
        <v>1.0</v>
      </c>
      <c r="C1279" s="35"/>
      <c r="D1279" s="35"/>
      <c r="E1279" s="35"/>
      <c r="F1279" s="35"/>
      <c r="G1279" s="35"/>
      <c r="H1279" s="35"/>
      <c r="I1279" s="35"/>
      <c r="J1279" s="35"/>
      <c r="K1279" s="35"/>
      <c r="L1279" s="35"/>
      <c r="M1279" s="35"/>
      <c r="N1279" s="35"/>
      <c r="O1279" s="35"/>
      <c r="P1279" s="35"/>
      <c r="Q1279" s="35"/>
      <c r="R1279" s="35"/>
      <c r="S1279" s="35"/>
      <c r="T1279" s="35"/>
      <c r="U1279" s="35"/>
      <c r="V1279" s="35"/>
      <c r="W1279" s="35"/>
      <c r="X1279" s="35"/>
      <c r="Y1279" s="35"/>
      <c r="Z1279" s="35"/>
      <c r="AA1279" s="35"/>
      <c r="AB1279" s="35"/>
    </row>
    <row r="1280" ht="15.75" customHeight="1">
      <c r="A1280" s="35" t="s">
        <v>7737</v>
      </c>
      <c r="B1280" s="35">
        <v>1.0</v>
      </c>
      <c r="C1280" s="35"/>
      <c r="D1280" s="35"/>
      <c r="E1280" s="35"/>
      <c r="F1280" s="35"/>
      <c r="G1280" s="35"/>
      <c r="H1280" s="35"/>
      <c r="I1280" s="35"/>
      <c r="J1280" s="35"/>
      <c r="K1280" s="35"/>
      <c r="L1280" s="35"/>
      <c r="M1280" s="35"/>
      <c r="N1280" s="35"/>
      <c r="O1280" s="35"/>
      <c r="P1280" s="35"/>
      <c r="Q1280" s="35"/>
      <c r="R1280" s="35"/>
      <c r="S1280" s="35"/>
      <c r="T1280" s="35"/>
      <c r="U1280" s="35"/>
      <c r="V1280" s="35"/>
      <c r="W1280" s="35"/>
      <c r="X1280" s="35"/>
      <c r="Y1280" s="35"/>
      <c r="Z1280" s="35"/>
      <c r="AA1280" s="35"/>
      <c r="AB1280" s="35"/>
    </row>
    <row r="1281" ht="15.75" customHeight="1">
      <c r="A1281" s="35" t="s">
        <v>7740</v>
      </c>
      <c r="B1281" s="35">
        <v>1.0</v>
      </c>
      <c r="C1281" s="35"/>
      <c r="D1281" s="35"/>
      <c r="E1281" s="35"/>
      <c r="F1281" s="35"/>
      <c r="G1281" s="35"/>
      <c r="H1281" s="35"/>
      <c r="I1281" s="35"/>
      <c r="J1281" s="35"/>
      <c r="K1281" s="35"/>
      <c r="L1281" s="35"/>
      <c r="M1281" s="35"/>
      <c r="N1281" s="35"/>
      <c r="O1281" s="35"/>
      <c r="P1281" s="35"/>
      <c r="Q1281" s="35"/>
      <c r="R1281" s="35"/>
      <c r="S1281" s="35"/>
      <c r="T1281" s="35"/>
      <c r="U1281" s="35"/>
      <c r="V1281" s="35"/>
      <c r="W1281" s="35"/>
      <c r="X1281" s="35"/>
      <c r="Y1281" s="35"/>
      <c r="Z1281" s="35"/>
      <c r="AA1281" s="35"/>
      <c r="AB1281" s="35"/>
    </row>
    <row r="1282" ht="15.75" customHeight="1">
      <c r="A1282" s="35" t="s">
        <v>7744</v>
      </c>
      <c r="B1282" s="35">
        <v>1.0</v>
      </c>
      <c r="C1282" s="35"/>
      <c r="D1282" s="35"/>
      <c r="E1282" s="35"/>
      <c r="F1282" s="35"/>
      <c r="G1282" s="35"/>
      <c r="H1282" s="35"/>
      <c r="I1282" s="35"/>
      <c r="J1282" s="35"/>
      <c r="K1282" s="35"/>
      <c r="L1282" s="35"/>
      <c r="M1282" s="35"/>
      <c r="N1282" s="35"/>
      <c r="O1282" s="35"/>
      <c r="P1282" s="35"/>
      <c r="Q1282" s="35"/>
      <c r="R1282" s="35"/>
      <c r="S1282" s="35"/>
      <c r="T1282" s="35"/>
      <c r="U1282" s="35"/>
      <c r="V1282" s="35"/>
      <c r="W1282" s="35"/>
      <c r="X1282" s="35"/>
      <c r="Y1282" s="35"/>
      <c r="Z1282" s="35"/>
      <c r="AA1282" s="35"/>
      <c r="AB1282" s="35"/>
    </row>
    <row r="1283" ht="15.75" customHeight="1">
      <c r="A1283" s="35" t="s">
        <v>7747</v>
      </c>
      <c r="B1283" s="35">
        <v>1.0</v>
      </c>
      <c r="C1283" s="35"/>
      <c r="D1283" s="35"/>
      <c r="E1283" s="35"/>
      <c r="F1283" s="35"/>
      <c r="G1283" s="35"/>
      <c r="H1283" s="35"/>
      <c r="I1283" s="35"/>
      <c r="J1283" s="35"/>
      <c r="K1283" s="35"/>
      <c r="L1283" s="35"/>
      <c r="M1283" s="35"/>
      <c r="N1283" s="35"/>
      <c r="O1283" s="35"/>
      <c r="P1283" s="35"/>
      <c r="Q1283" s="35"/>
      <c r="R1283" s="35"/>
      <c r="S1283" s="35"/>
      <c r="T1283" s="35"/>
      <c r="U1283" s="35"/>
      <c r="V1283" s="35"/>
      <c r="W1283" s="35"/>
      <c r="X1283" s="35"/>
      <c r="Y1283" s="35"/>
      <c r="Z1283" s="35"/>
      <c r="AA1283" s="35"/>
      <c r="AB1283" s="35"/>
    </row>
    <row r="1284" ht="15.75" customHeight="1">
      <c r="A1284" s="35" t="s">
        <v>7751</v>
      </c>
      <c r="B1284" s="35">
        <v>1.0</v>
      </c>
      <c r="C1284" s="35"/>
      <c r="D1284" s="35"/>
      <c r="E1284" s="35"/>
      <c r="F1284" s="35"/>
      <c r="G1284" s="35"/>
      <c r="H1284" s="35"/>
      <c r="I1284" s="35"/>
      <c r="J1284" s="35"/>
      <c r="K1284" s="35"/>
      <c r="L1284" s="35"/>
      <c r="M1284" s="35"/>
      <c r="N1284" s="35"/>
      <c r="O1284" s="35"/>
      <c r="P1284" s="35"/>
      <c r="Q1284" s="35"/>
      <c r="R1284" s="35"/>
      <c r="S1284" s="35"/>
      <c r="T1284" s="35"/>
      <c r="U1284" s="35"/>
      <c r="V1284" s="35"/>
      <c r="W1284" s="35"/>
      <c r="X1284" s="35"/>
      <c r="Y1284" s="35"/>
      <c r="Z1284" s="35"/>
      <c r="AA1284" s="35"/>
      <c r="AB1284" s="35"/>
    </row>
    <row r="1285" ht="15.75" customHeight="1">
      <c r="A1285" s="35" t="s">
        <v>7754</v>
      </c>
      <c r="B1285" s="35">
        <v>1.0</v>
      </c>
      <c r="C1285" s="35"/>
      <c r="D1285" s="35"/>
      <c r="E1285" s="35"/>
      <c r="F1285" s="35"/>
      <c r="G1285" s="35"/>
      <c r="H1285" s="35"/>
      <c r="I1285" s="35"/>
      <c r="J1285" s="35"/>
      <c r="K1285" s="35"/>
      <c r="L1285" s="35"/>
      <c r="M1285" s="35"/>
      <c r="N1285" s="35"/>
      <c r="O1285" s="35"/>
      <c r="P1285" s="35"/>
      <c r="Q1285" s="35"/>
      <c r="R1285" s="35"/>
      <c r="S1285" s="35"/>
      <c r="T1285" s="35"/>
      <c r="U1285" s="35"/>
      <c r="V1285" s="35"/>
      <c r="W1285" s="35"/>
      <c r="X1285" s="35"/>
      <c r="Y1285" s="35"/>
      <c r="Z1285" s="35"/>
      <c r="AA1285" s="35"/>
      <c r="AB1285" s="35"/>
    </row>
    <row r="1286" ht="15.75" customHeight="1">
      <c r="A1286" s="35" t="s">
        <v>7757</v>
      </c>
      <c r="B1286" s="35">
        <v>1.0</v>
      </c>
      <c r="C1286" s="35"/>
      <c r="D1286" s="35"/>
      <c r="E1286" s="35"/>
      <c r="F1286" s="35"/>
      <c r="G1286" s="35"/>
      <c r="H1286" s="35"/>
      <c r="I1286" s="35"/>
      <c r="J1286" s="35"/>
      <c r="K1286" s="35"/>
      <c r="L1286" s="35"/>
      <c r="M1286" s="35"/>
      <c r="N1286" s="35"/>
      <c r="O1286" s="35"/>
      <c r="P1286" s="35"/>
      <c r="Q1286" s="35"/>
      <c r="R1286" s="35"/>
      <c r="S1286" s="35"/>
      <c r="T1286" s="35"/>
      <c r="U1286" s="35"/>
      <c r="V1286" s="35"/>
      <c r="W1286" s="35"/>
      <c r="X1286" s="35"/>
      <c r="Y1286" s="35"/>
      <c r="Z1286" s="35"/>
      <c r="AA1286" s="35"/>
      <c r="AB1286" s="35"/>
    </row>
    <row r="1287" ht="15.75" customHeight="1">
      <c r="A1287" s="35" t="s">
        <v>7760</v>
      </c>
      <c r="B1287" s="35">
        <v>1.0</v>
      </c>
      <c r="C1287" s="35"/>
      <c r="D1287" s="35"/>
      <c r="E1287" s="35"/>
      <c r="F1287" s="35"/>
      <c r="G1287" s="35"/>
      <c r="H1287" s="35"/>
      <c r="I1287" s="35"/>
      <c r="J1287" s="35"/>
      <c r="K1287" s="35"/>
      <c r="L1287" s="35"/>
      <c r="M1287" s="35"/>
      <c r="N1287" s="35"/>
      <c r="O1287" s="35"/>
      <c r="P1287" s="35"/>
      <c r="Q1287" s="35"/>
      <c r="R1287" s="35"/>
      <c r="S1287" s="35"/>
      <c r="T1287" s="35"/>
      <c r="U1287" s="35"/>
      <c r="V1287" s="35"/>
      <c r="W1287" s="35"/>
      <c r="X1287" s="35"/>
      <c r="Y1287" s="35"/>
      <c r="Z1287" s="35"/>
      <c r="AA1287" s="35"/>
      <c r="AB1287" s="35"/>
    </row>
    <row r="1288" ht="15.75" customHeight="1">
      <c r="A1288" s="35" t="s">
        <v>7763</v>
      </c>
      <c r="B1288" s="35">
        <v>1.0</v>
      </c>
      <c r="C1288" s="35"/>
      <c r="D1288" s="35"/>
      <c r="E1288" s="35"/>
      <c r="F1288" s="35"/>
      <c r="G1288" s="35"/>
      <c r="H1288" s="35"/>
      <c r="I1288" s="35"/>
      <c r="J1288" s="35"/>
      <c r="K1288" s="35"/>
      <c r="L1288" s="35"/>
      <c r="M1288" s="35"/>
      <c r="N1288" s="35"/>
      <c r="O1288" s="35"/>
      <c r="P1288" s="35"/>
      <c r="Q1288" s="35"/>
      <c r="R1288" s="35"/>
      <c r="S1288" s="35"/>
      <c r="T1288" s="35"/>
      <c r="U1288" s="35"/>
      <c r="V1288" s="35"/>
      <c r="W1288" s="35"/>
      <c r="X1288" s="35"/>
      <c r="Y1288" s="35"/>
      <c r="Z1288" s="35"/>
      <c r="AA1288" s="35"/>
      <c r="AB1288" s="35"/>
    </row>
    <row r="1289" ht="15.75" customHeight="1">
      <c r="A1289" s="35" t="s">
        <v>7767</v>
      </c>
      <c r="B1289" s="35">
        <v>1.0</v>
      </c>
      <c r="C1289" s="35"/>
      <c r="D1289" s="35"/>
      <c r="E1289" s="35"/>
      <c r="F1289" s="35"/>
      <c r="G1289" s="35"/>
      <c r="H1289" s="35"/>
      <c r="I1289" s="35"/>
      <c r="J1289" s="35"/>
      <c r="K1289" s="35"/>
      <c r="L1289" s="35"/>
      <c r="M1289" s="35"/>
      <c r="N1289" s="35"/>
      <c r="O1289" s="35"/>
      <c r="P1289" s="35"/>
      <c r="Q1289" s="35"/>
      <c r="R1289" s="35"/>
      <c r="S1289" s="35"/>
      <c r="T1289" s="35"/>
      <c r="U1289" s="35"/>
      <c r="V1289" s="35"/>
      <c r="W1289" s="35"/>
      <c r="X1289" s="35"/>
      <c r="Y1289" s="35"/>
      <c r="Z1289" s="35"/>
      <c r="AA1289" s="35"/>
      <c r="AB1289" s="35"/>
    </row>
    <row r="1290" ht="15.75" customHeight="1">
      <c r="A1290" s="35" t="s">
        <v>7771</v>
      </c>
      <c r="B1290" s="35">
        <v>1.0</v>
      </c>
      <c r="C1290" s="35"/>
      <c r="D1290" s="35"/>
      <c r="E1290" s="35"/>
      <c r="F1290" s="35"/>
      <c r="G1290" s="35"/>
      <c r="H1290" s="35"/>
      <c r="I1290" s="35"/>
      <c r="J1290" s="35"/>
      <c r="K1290" s="35"/>
      <c r="L1290" s="35"/>
      <c r="M1290" s="35"/>
      <c r="N1290" s="35"/>
      <c r="O1290" s="35"/>
      <c r="P1290" s="35"/>
      <c r="Q1290" s="35"/>
      <c r="R1290" s="35"/>
      <c r="S1290" s="35"/>
      <c r="T1290" s="35"/>
      <c r="U1290" s="35"/>
      <c r="V1290" s="35"/>
      <c r="W1290" s="35"/>
      <c r="X1290" s="35"/>
      <c r="Y1290" s="35"/>
      <c r="Z1290" s="35"/>
      <c r="AA1290" s="35"/>
      <c r="AB1290" s="35"/>
    </row>
    <row r="1291" ht="15.75" customHeight="1">
      <c r="A1291" s="35" t="s">
        <v>7774</v>
      </c>
      <c r="B1291" s="35">
        <v>1.0</v>
      </c>
      <c r="C1291" s="35"/>
      <c r="D1291" s="35"/>
      <c r="E1291" s="35"/>
      <c r="F1291" s="35"/>
      <c r="G1291" s="35"/>
      <c r="H1291" s="35"/>
      <c r="I1291" s="35"/>
      <c r="J1291" s="35"/>
      <c r="K1291" s="35"/>
      <c r="L1291" s="35"/>
      <c r="M1291" s="35"/>
      <c r="N1291" s="35"/>
      <c r="O1291" s="35"/>
      <c r="P1291" s="35"/>
      <c r="Q1291" s="35"/>
      <c r="R1291" s="35"/>
      <c r="S1291" s="35"/>
      <c r="T1291" s="35"/>
      <c r="U1291" s="35"/>
      <c r="V1291" s="35"/>
      <c r="W1291" s="35"/>
      <c r="X1291" s="35"/>
      <c r="Y1291" s="35"/>
      <c r="Z1291" s="35"/>
      <c r="AA1291" s="35"/>
      <c r="AB1291" s="35"/>
    </row>
    <row r="1292" ht="15.75" customHeight="1">
      <c r="A1292" s="35" t="s">
        <v>7777</v>
      </c>
      <c r="B1292" s="35">
        <v>1.0</v>
      </c>
      <c r="C1292" s="35"/>
      <c r="D1292" s="35"/>
      <c r="E1292" s="35"/>
      <c r="F1292" s="35"/>
      <c r="G1292" s="35"/>
      <c r="H1292" s="35"/>
      <c r="I1292" s="35"/>
      <c r="J1292" s="35"/>
      <c r="K1292" s="35"/>
      <c r="L1292" s="35"/>
      <c r="M1292" s="35"/>
      <c r="N1292" s="35"/>
      <c r="O1292" s="35"/>
      <c r="P1292" s="35"/>
      <c r="Q1292" s="35"/>
      <c r="R1292" s="35"/>
      <c r="S1292" s="35"/>
      <c r="T1292" s="35"/>
      <c r="U1292" s="35"/>
      <c r="V1292" s="35"/>
      <c r="W1292" s="35"/>
      <c r="X1292" s="35"/>
      <c r="Y1292" s="35"/>
      <c r="Z1292" s="35"/>
      <c r="AA1292" s="35"/>
      <c r="AB1292" s="35"/>
    </row>
    <row r="1293" ht="15.75" customHeight="1">
      <c r="A1293" s="35" t="s">
        <v>7780</v>
      </c>
      <c r="B1293" s="35">
        <v>1.0</v>
      </c>
      <c r="C1293" s="35"/>
      <c r="D1293" s="35"/>
      <c r="E1293" s="35"/>
      <c r="F1293" s="35"/>
      <c r="G1293" s="35"/>
      <c r="H1293" s="35"/>
      <c r="I1293" s="35"/>
      <c r="J1293" s="35"/>
      <c r="K1293" s="35"/>
      <c r="L1293" s="35"/>
      <c r="M1293" s="35"/>
      <c r="N1293" s="35"/>
      <c r="O1293" s="35"/>
      <c r="P1293" s="35"/>
      <c r="Q1293" s="35"/>
      <c r="R1293" s="35"/>
      <c r="S1293" s="35"/>
      <c r="T1293" s="35"/>
      <c r="U1293" s="35"/>
      <c r="V1293" s="35"/>
      <c r="W1293" s="35"/>
      <c r="X1293" s="35"/>
      <c r="Y1293" s="35"/>
      <c r="Z1293" s="35"/>
      <c r="AA1293" s="35"/>
      <c r="AB1293" s="35"/>
    </row>
    <row r="1294" ht="15.75" customHeight="1">
      <c r="A1294" s="35" t="s">
        <v>7784</v>
      </c>
      <c r="B1294" s="35">
        <v>1.0</v>
      </c>
      <c r="C1294" s="35"/>
      <c r="D1294" s="35"/>
      <c r="E1294" s="35"/>
      <c r="F1294" s="35"/>
      <c r="G1294" s="35"/>
      <c r="H1294" s="35"/>
      <c r="I1294" s="35"/>
      <c r="J1294" s="35"/>
      <c r="K1294" s="35"/>
      <c r="L1294" s="35"/>
      <c r="M1294" s="35"/>
      <c r="N1294" s="35"/>
      <c r="O1294" s="35"/>
      <c r="P1294" s="35"/>
      <c r="Q1294" s="35"/>
      <c r="R1294" s="35"/>
      <c r="S1294" s="35"/>
      <c r="T1294" s="35"/>
      <c r="U1294" s="35"/>
      <c r="V1294" s="35"/>
      <c r="W1294" s="35"/>
      <c r="X1294" s="35"/>
      <c r="Y1294" s="35"/>
      <c r="Z1294" s="35"/>
      <c r="AA1294" s="35"/>
      <c r="AB1294" s="35"/>
    </row>
    <row r="1295" ht="15.75" customHeight="1">
      <c r="A1295" s="35" t="s">
        <v>7787</v>
      </c>
      <c r="B1295" s="35">
        <v>1.0</v>
      </c>
      <c r="C1295" s="35"/>
      <c r="D1295" s="35"/>
      <c r="E1295" s="35"/>
      <c r="F1295" s="35"/>
      <c r="G1295" s="35"/>
      <c r="H1295" s="35"/>
      <c r="I1295" s="35"/>
      <c r="J1295" s="35"/>
      <c r="K1295" s="35"/>
      <c r="L1295" s="35"/>
      <c r="M1295" s="35"/>
      <c r="N1295" s="35"/>
      <c r="O1295" s="35"/>
      <c r="P1295" s="35"/>
      <c r="Q1295" s="35"/>
      <c r="R1295" s="35"/>
      <c r="S1295" s="35"/>
      <c r="T1295" s="35"/>
      <c r="U1295" s="35"/>
      <c r="V1295" s="35"/>
      <c r="W1295" s="35"/>
      <c r="X1295" s="35"/>
      <c r="Y1295" s="35"/>
      <c r="Z1295" s="35"/>
      <c r="AA1295" s="35"/>
      <c r="AB1295" s="35"/>
    </row>
    <row r="1296" ht="15.75" customHeight="1">
      <c r="A1296" s="35" t="s">
        <v>7790</v>
      </c>
      <c r="B1296" s="35">
        <v>1.0</v>
      </c>
      <c r="C1296" s="35"/>
      <c r="D1296" s="35"/>
      <c r="E1296" s="35"/>
      <c r="F1296" s="35"/>
      <c r="G1296" s="35"/>
      <c r="H1296" s="35"/>
      <c r="I1296" s="35"/>
      <c r="J1296" s="35"/>
      <c r="K1296" s="35"/>
      <c r="L1296" s="35"/>
      <c r="M1296" s="35"/>
      <c r="N1296" s="35"/>
      <c r="O1296" s="35"/>
      <c r="P1296" s="35"/>
      <c r="Q1296" s="35"/>
      <c r="R1296" s="35"/>
      <c r="S1296" s="35"/>
      <c r="T1296" s="35"/>
      <c r="U1296" s="35"/>
      <c r="V1296" s="35"/>
      <c r="W1296" s="35"/>
      <c r="X1296" s="35"/>
      <c r="Y1296" s="35"/>
      <c r="Z1296" s="35"/>
      <c r="AA1296" s="35"/>
      <c r="AB1296" s="35"/>
    </row>
    <row r="1297" ht="15.75" customHeight="1">
      <c r="A1297" s="35" t="s">
        <v>7793</v>
      </c>
      <c r="B1297" s="35">
        <v>1.0</v>
      </c>
      <c r="C1297" s="35"/>
      <c r="D1297" s="35"/>
      <c r="E1297" s="35"/>
      <c r="F1297" s="35"/>
      <c r="G1297" s="35"/>
      <c r="H1297" s="35"/>
      <c r="I1297" s="35"/>
      <c r="J1297" s="35"/>
      <c r="K1297" s="35"/>
      <c r="L1297" s="35"/>
      <c r="M1297" s="35"/>
      <c r="N1297" s="35"/>
      <c r="O1297" s="35"/>
      <c r="P1297" s="35"/>
      <c r="Q1297" s="35"/>
      <c r="R1297" s="35"/>
      <c r="S1297" s="35"/>
      <c r="T1297" s="35"/>
      <c r="U1297" s="35"/>
      <c r="V1297" s="35"/>
      <c r="W1297" s="35"/>
      <c r="X1297" s="35"/>
      <c r="Y1297" s="35"/>
      <c r="Z1297" s="35"/>
      <c r="AA1297" s="35"/>
      <c r="AB1297" s="35"/>
    </row>
    <row r="1298" ht="15.75" customHeight="1">
      <c r="A1298" s="35" t="s">
        <v>7797</v>
      </c>
      <c r="B1298" s="35">
        <v>1.0</v>
      </c>
      <c r="C1298" s="35"/>
      <c r="D1298" s="35"/>
      <c r="E1298" s="35"/>
      <c r="F1298" s="35"/>
      <c r="G1298" s="35"/>
      <c r="H1298" s="35"/>
      <c r="I1298" s="35"/>
      <c r="J1298" s="35"/>
      <c r="K1298" s="35"/>
      <c r="L1298" s="35"/>
      <c r="M1298" s="35"/>
      <c r="N1298" s="35"/>
      <c r="O1298" s="35"/>
      <c r="P1298" s="35"/>
      <c r="Q1298" s="35"/>
      <c r="R1298" s="35"/>
      <c r="S1298" s="35"/>
      <c r="T1298" s="35"/>
      <c r="U1298" s="35"/>
      <c r="V1298" s="35"/>
      <c r="W1298" s="35"/>
      <c r="X1298" s="35"/>
      <c r="Y1298" s="35"/>
      <c r="Z1298" s="35"/>
      <c r="AA1298" s="35"/>
      <c r="AB1298" s="35"/>
    </row>
    <row r="1299" ht="15.75" customHeight="1">
      <c r="A1299" s="35" t="s">
        <v>7800</v>
      </c>
      <c r="B1299" s="35">
        <v>1.0</v>
      </c>
      <c r="C1299" s="35"/>
      <c r="D1299" s="35"/>
      <c r="E1299" s="35"/>
      <c r="F1299" s="35"/>
      <c r="G1299" s="35"/>
      <c r="H1299" s="35"/>
      <c r="I1299" s="35"/>
      <c r="J1299" s="35"/>
      <c r="K1299" s="35"/>
      <c r="L1299" s="35"/>
      <c r="M1299" s="35"/>
      <c r="N1299" s="35"/>
      <c r="O1299" s="35"/>
      <c r="P1299" s="35"/>
      <c r="Q1299" s="35"/>
      <c r="R1299" s="35"/>
      <c r="S1299" s="35"/>
      <c r="T1299" s="35"/>
      <c r="U1299" s="35"/>
      <c r="V1299" s="35"/>
      <c r="W1299" s="35"/>
      <c r="X1299" s="35"/>
      <c r="Y1299" s="35"/>
      <c r="Z1299" s="35"/>
      <c r="AA1299" s="35"/>
      <c r="AB1299" s="35"/>
    </row>
    <row r="1300" ht="15.75" customHeight="1">
      <c r="A1300" s="35" t="s">
        <v>7803</v>
      </c>
      <c r="B1300" s="35">
        <v>1.0</v>
      </c>
      <c r="C1300" s="35"/>
      <c r="D1300" s="35"/>
      <c r="E1300" s="35"/>
      <c r="F1300" s="35"/>
      <c r="G1300" s="35"/>
      <c r="H1300" s="35"/>
      <c r="I1300" s="35"/>
      <c r="J1300" s="35"/>
      <c r="K1300" s="35"/>
      <c r="L1300" s="35"/>
      <c r="M1300" s="35"/>
      <c r="N1300" s="35"/>
      <c r="O1300" s="35"/>
      <c r="P1300" s="35"/>
      <c r="Q1300" s="35"/>
      <c r="R1300" s="35"/>
      <c r="S1300" s="35"/>
      <c r="T1300" s="35"/>
      <c r="U1300" s="35"/>
      <c r="V1300" s="35"/>
      <c r="W1300" s="35"/>
      <c r="X1300" s="35"/>
      <c r="Y1300" s="35"/>
      <c r="Z1300" s="35"/>
      <c r="AA1300" s="35"/>
      <c r="AB1300" s="35"/>
    </row>
    <row r="1301" ht="15.75" customHeight="1">
      <c r="A1301" s="35" t="s">
        <v>7806</v>
      </c>
      <c r="B1301" s="35">
        <v>1.0</v>
      </c>
      <c r="C1301" s="35"/>
      <c r="D1301" s="35"/>
      <c r="E1301" s="35"/>
      <c r="F1301" s="35"/>
      <c r="G1301" s="35"/>
      <c r="H1301" s="35"/>
      <c r="I1301" s="35"/>
      <c r="J1301" s="35"/>
      <c r="K1301" s="35"/>
      <c r="L1301" s="35"/>
      <c r="M1301" s="35"/>
      <c r="N1301" s="35"/>
      <c r="O1301" s="35"/>
      <c r="P1301" s="35"/>
      <c r="Q1301" s="35"/>
      <c r="R1301" s="35"/>
      <c r="S1301" s="35"/>
      <c r="T1301" s="35"/>
      <c r="U1301" s="35"/>
      <c r="V1301" s="35"/>
      <c r="W1301" s="35"/>
      <c r="X1301" s="35"/>
      <c r="Y1301" s="35"/>
      <c r="Z1301" s="35"/>
      <c r="AA1301" s="35"/>
      <c r="AB1301" s="35"/>
    </row>
    <row r="1302" ht="15.75" customHeight="1">
      <c r="A1302" s="35" t="s">
        <v>7809</v>
      </c>
      <c r="B1302" s="35">
        <v>1.0</v>
      </c>
      <c r="C1302" s="35"/>
      <c r="D1302" s="35"/>
      <c r="E1302" s="35"/>
      <c r="F1302" s="35"/>
      <c r="G1302" s="35"/>
      <c r="H1302" s="35"/>
      <c r="I1302" s="35"/>
      <c r="J1302" s="35"/>
      <c r="K1302" s="35"/>
      <c r="L1302" s="35"/>
      <c r="M1302" s="35"/>
      <c r="N1302" s="35"/>
      <c r="O1302" s="35"/>
      <c r="P1302" s="35"/>
      <c r="Q1302" s="35"/>
      <c r="R1302" s="35"/>
      <c r="S1302" s="35"/>
      <c r="T1302" s="35"/>
      <c r="U1302" s="35"/>
      <c r="V1302" s="35"/>
      <c r="W1302" s="35"/>
      <c r="X1302" s="35"/>
      <c r="Y1302" s="35"/>
      <c r="Z1302" s="35"/>
      <c r="AA1302" s="35"/>
      <c r="AB1302" s="35"/>
    </row>
    <row r="1303" ht="15.75" customHeight="1">
      <c r="A1303" s="35" t="s">
        <v>7813</v>
      </c>
      <c r="B1303" s="35">
        <v>1.0</v>
      </c>
      <c r="C1303" s="35"/>
      <c r="D1303" s="35"/>
      <c r="E1303" s="35"/>
      <c r="F1303" s="35"/>
      <c r="G1303" s="35"/>
      <c r="H1303" s="35"/>
      <c r="I1303" s="35"/>
      <c r="J1303" s="35"/>
      <c r="K1303" s="35"/>
      <c r="L1303" s="35"/>
      <c r="M1303" s="35"/>
      <c r="N1303" s="35"/>
      <c r="O1303" s="35"/>
      <c r="P1303" s="35"/>
      <c r="Q1303" s="35"/>
      <c r="R1303" s="35"/>
      <c r="S1303" s="35"/>
      <c r="T1303" s="35"/>
      <c r="U1303" s="35"/>
      <c r="V1303" s="35"/>
      <c r="W1303" s="35"/>
      <c r="X1303" s="35"/>
      <c r="Y1303" s="35"/>
      <c r="Z1303" s="35"/>
      <c r="AA1303" s="35"/>
      <c r="AB1303" s="35"/>
    </row>
    <row r="1304" ht="15.75" customHeight="1">
      <c r="A1304" s="35" t="s">
        <v>7816</v>
      </c>
      <c r="B1304" s="35">
        <v>1.0</v>
      </c>
      <c r="C1304" s="35"/>
      <c r="D1304" s="35"/>
      <c r="E1304" s="35"/>
      <c r="F1304" s="35"/>
      <c r="G1304" s="35"/>
      <c r="H1304" s="35"/>
      <c r="I1304" s="35"/>
      <c r="J1304" s="35"/>
      <c r="K1304" s="35"/>
      <c r="L1304" s="35"/>
      <c r="M1304" s="35"/>
      <c r="N1304" s="35"/>
      <c r="O1304" s="35"/>
      <c r="P1304" s="35"/>
      <c r="Q1304" s="35"/>
      <c r="R1304" s="35"/>
      <c r="S1304" s="35"/>
      <c r="T1304" s="35"/>
      <c r="U1304" s="35"/>
      <c r="V1304" s="35"/>
      <c r="W1304" s="35"/>
      <c r="X1304" s="35"/>
      <c r="Y1304" s="35"/>
      <c r="Z1304" s="35"/>
      <c r="AA1304" s="35"/>
      <c r="AB1304" s="35"/>
    </row>
    <row r="1305" ht="15.75" customHeight="1">
      <c r="A1305" s="35" t="s">
        <v>7819</v>
      </c>
      <c r="B1305" s="35">
        <v>1.0</v>
      </c>
      <c r="C1305" s="35"/>
      <c r="D1305" s="35"/>
      <c r="E1305" s="35"/>
      <c r="F1305" s="35"/>
      <c r="G1305" s="35"/>
      <c r="H1305" s="35"/>
      <c r="I1305" s="35"/>
      <c r="J1305" s="35"/>
      <c r="K1305" s="35"/>
      <c r="L1305" s="35"/>
      <c r="M1305" s="35"/>
      <c r="N1305" s="35"/>
      <c r="O1305" s="35"/>
      <c r="P1305" s="35"/>
      <c r="Q1305" s="35"/>
      <c r="R1305" s="35"/>
      <c r="S1305" s="35"/>
      <c r="T1305" s="35"/>
      <c r="U1305" s="35"/>
      <c r="V1305" s="35"/>
      <c r="W1305" s="35"/>
      <c r="X1305" s="35"/>
      <c r="Y1305" s="35"/>
      <c r="Z1305" s="35"/>
      <c r="AA1305" s="35"/>
      <c r="AB1305" s="35"/>
    </row>
    <row r="1306" ht="15.75" customHeight="1">
      <c r="A1306" s="35" t="s">
        <v>7822</v>
      </c>
      <c r="B1306" s="35">
        <v>1.0</v>
      </c>
      <c r="C1306" s="35"/>
      <c r="D1306" s="35"/>
      <c r="E1306" s="35"/>
      <c r="F1306" s="35"/>
      <c r="G1306" s="35"/>
      <c r="H1306" s="35"/>
      <c r="I1306" s="35"/>
      <c r="J1306" s="35"/>
      <c r="K1306" s="35"/>
      <c r="L1306" s="35"/>
      <c r="M1306" s="35"/>
      <c r="N1306" s="35"/>
      <c r="O1306" s="35"/>
      <c r="P1306" s="35"/>
      <c r="Q1306" s="35"/>
      <c r="R1306" s="35"/>
      <c r="S1306" s="35"/>
      <c r="T1306" s="35"/>
      <c r="U1306" s="35"/>
      <c r="V1306" s="35"/>
      <c r="W1306" s="35"/>
      <c r="X1306" s="35"/>
      <c r="Y1306" s="35"/>
      <c r="Z1306" s="35"/>
      <c r="AA1306" s="35"/>
      <c r="AB1306" s="35"/>
    </row>
    <row r="1307" ht="15.75" customHeight="1">
      <c r="A1307" s="35" t="s">
        <v>7826</v>
      </c>
      <c r="B1307" s="35">
        <v>1.0</v>
      </c>
      <c r="C1307" s="35"/>
      <c r="D1307" s="35"/>
      <c r="E1307" s="35"/>
      <c r="F1307" s="35"/>
      <c r="G1307" s="35"/>
      <c r="H1307" s="35"/>
      <c r="I1307" s="35"/>
      <c r="J1307" s="35"/>
      <c r="K1307" s="35"/>
      <c r="L1307" s="35"/>
      <c r="M1307" s="35"/>
      <c r="N1307" s="35"/>
      <c r="O1307" s="35"/>
      <c r="P1307" s="35"/>
      <c r="Q1307" s="35"/>
      <c r="R1307" s="35"/>
      <c r="S1307" s="35"/>
      <c r="T1307" s="35"/>
      <c r="U1307" s="35"/>
      <c r="V1307" s="35"/>
      <c r="W1307" s="35"/>
      <c r="X1307" s="35"/>
      <c r="Y1307" s="35"/>
      <c r="Z1307" s="35"/>
      <c r="AA1307" s="35"/>
      <c r="AB1307" s="35"/>
    </row>
    <row r="1308" ht="15.75" customHeight="1">
      <c r="A1308" s="35" t="s">
        <v>7831</v>
      </c>
      <c r="B1308" s="35">
        <v>1.0</v>
      </c>
      <c r="C1308" s="35"/>
      <c r="D1308" s="35"/>
      <c r="E1308" s="35"/>
      <c r="F1308" s="35"/>
      <c r="G1308" s="35"/>
      <c r="H1308" s="35"/>
      <c r="I1308" s="35"/>
      <c r="J1308" s="35"/>
      <c r="K1308" s="35"/>
      <c r="L1308" s="35"/>
      <c r="M1308" s="35"/>
      <c r="N1308" s="35"/>
      <c r="O1308" s="35"/>
      <c r="P1308" s="35"/>
      <c r="Q1308" s="35"/>
      <c r="R1308" s="35"/>
      <c r="S1308" s="35"/>
      <c r="T1308" s="35"/>
      <c r="U1308" s="35"/>
      <c r="V1308" s="35"/>
      <c r="W1308" s="35"/>
      <c r="X1308" s="35"/>
      <c r="Y1308" s="35"/>
      <c r="Z1308" s="35"/>
      <c r="AA1308" s="35"/>
      <c r="AB1308" s="35"/>
    </row>
    <row r="1309" ht="15.75" customHeight="1">
      <c r="A1309" s="35" t="s">
        <v>7834</v>
      </c>
      <c r="B1309" s="35">
        <v>1.0</v>
      </c>
      <c r="C1309" s="35"/>
      <c r="D1309" s="35"/>
      <c r="E1309" s="35"/>
      <c r="F1309" s="35"/>
      <c r="G1309" s="35"/>
      <c r="H1309" s="35"/>
      <c r="I1309" s="35"/>
      <c r="J1309" s="35"/>
      <c r="K1309" s="35"/>
      <c r="L1309" s="35"/>
      <c r="M1309" s="35"/>
      <c r="N1309" s="35"/>
      <c r="O1309" s="35"/>
      <c r="P1309" s="35"/>
      <c r="Q1309" s="35"/>
      <c r="R1309" s="35"/>
      <c r="S1309" s="35"/>
      <c r="T1309" s="35"/>
      <c r="U1309" s="35"/>
      <c r="V1309" s="35"/>
      <c r="W1309" s="35"/>
      <c r="X1309" s="35"/>
      <c r="Y1309" s="35"/>
      <c r="Z1309" s="35"/>
      <c r="AA1309" s="35"/>
      <c r="AB1309" s="35"/>
    </row>
    <row r="1310" ht="15.75" customHeight="1">
      <c r="A1310" s="35" t="s">
        <v>7837</v>
      </c>
      <c r="B1310" s="35">
        <v>1.0</v>
      </c>
      <c r="C1310" s="35"/>
      <c r="D1310" s="35"/>
      <c r="E1310" s="35"/>
      <c r="F1310" s="35"/>
      <c r="G1310" s="35"/>
      <c r="H1310" s="35"/>
      <c r="I1310" s="35"/>
      <c r="J1310" s="35"/>
      <c r="K1310" s="35"/>
      <c r="L1310" s="35"/>
      <c r="M1310" s="35"/>
      <c r="N1310" s="35"/>
      <c r="O1310" s="35"/>
      <c r="P1310" s="35"/>
      <c r="Q1310" s="35"/>
      <c r="R1310" s="35"/>
      <c r="S1310" s="35"/>
      <c r="T1310" s="35"/>
      <c r="U1310" s="35"/>
      <c r="V1310" s="35"/>
      <c r="W1310" s="35"/>
      <c r="X1310" s="35"/>
      <c r="Y1310" s="35"/>
      <c r="Z1310" s="35"/>
      <c r="AA1310" s="35"/>
      <c r="AB1310" s="35"/>
    </row>
    <row r="1311" ht="15.75" customHeight="1">
      <c r="A1311" s="35" t="s">
        <v>7841</v>
      </c>
      <c r="B1311" s="35">
        <v>1.0</v>
      </c>
      <c r="C1311" s="35"/>
      <c r="D1311" s="35"/>
      <c r="E1311" s="35"/>
      <c r="F1311" s="35"/>
      <c r="G1311" s="35"/>
      <c r="H1311" s="35"/>
      <c r="I1311" s="35"/>
      <c r="J1311" s="35"/>
      <c r="K1311" s="35"/>
      <c r="L1311" s="35"/>
      <c r="M1311" s="35"/>
      <c r="N1311" s="35"/>
      <c r="O1311" s="35"/>
      <c r="P1311" s="35"/>
      <c r="Q1311" s="35"/>
      <c r="R1311" s="35"/>
      <c r="S1311" s="35"/>
      <c r="T1311" s="35"/>
      <c r="U1311" s="35"/>
      <c r="V1311" s="35"/>
      <c r="W1311" s="35"/>
      <c r="X1311" s="35"/>
      <c r="Y1311" s="35"/>
      <c r="Z1311" s="35"/>
      <c r="AA1311" s="35"/>
      <c r="AB1311" s="35"/>
    </row>
    <row r="1312" ht="15.75" customHeight="1">
      <c r="A1312" s="35" t="s">
        <v>7844</v>
      </c>
      <c r="B1312" s="35">
        <v>1.0</v>
      </c>
      <c r="C1312" s="35"/>
      <c r="D1312" s="35"/>
      <c r="E1312" s="35"/>
      <c r="F1312" s="35"/>
      <c r="G1312" s="35"/>
      <c r="H1312" s="35"/>
      <c r="I1312" s="35"/>
      <c r="J1312" s="35"/>
      <c r="K1312" s="35"/>
      <c r="L1312" s="35"/>
      <c r="M1312" s="35"/>
      <c r="N1312" s="35"/>
      <c r="O1312" s="35"/>
      <c r="P1312" s="35"/>
      <c r="Q1312" s="35"/>
      <c r="R1312" s="35"/>
      <c r="S1312" s="35"/>
      <c r="T1312" s="35"/>
      <c r="U1312" s="35"/>
      <c r="V1312" s="35"/>
      <c r="W1312" s="35"/>
      <c r="X1312" s="35"/>
      <c r="Y1312" s="35"/>
      <c r="Z1312" s="35"/>
      <c r="AA1312" s="35"/>
      <c r="AB1312" s="35"/>
    </row>
    <row r="1313" ht="15.75" customHeight="1">
      <c r="A1313" s="35" t="s">
        <v>7847</v>
      </c>
      <c r="B1313" s="35">
        <v>1.0</v>
      </c>
      <c r="C1313" s="35"/>
      <c r="D1313" s="35"/>
      <c r="E1313" s="35"/>
      <c r="F1313" s="35"/>
      <c r="G1313" s="35"/>
      <c r="H1313" s="35"/>
      <c r="I1313" s="35"/>
      <c r="J1313" s="35"/>
      <c r="K1313" s="35"/>
      <c r="L1313" s="35"/>
      <c r="M1313" s="35"/>
      <c r="N1313" s="35"/>
      <c r="O1313" s="35"/>
      <c r="P1313" s="35"/>
      <c r="Q1313" s="35"/>
      <c r="R1313" s="35"/>
      <c r="S1313" s="35"/>
      <c r="T1313" s="35"/>
      <c r="U1313" s="35"/>
      <c r="V1313" s="35"/>
      <c r="W1313" s="35"/>
      <c r="X1313" s="35"/>
      <c r="Y1313" s="35"/>
      <c r="Z1313" s="35"/>
      <c r="AA1313" s="35"/>
      <c r="AB1313" s="35"/>
    </row>
    <row r="1314" ht="15.75" customHeight="1">
      <c r="A1314" s="35" t="s">
        <v>7850</v>
      </c>
      <c r="B1314" s="35">
        <v>1.0</v>
      </c>
      <c r="C1314" s="35"/>
      <c r="D1314" s="35"/>
      <c r="E1314" s="35"/>
      <c r="F1314" s="35"/>
      <c r="G1314" s="35"/>
      <c r="H1314" s="35"/>
      <c r="I1314" s="35"/>
      <c r="J1314" s="35"/>
      <c r="K1314" s="35"/>
      <c r="L1314" s="35"/>
      <c r="M1314" s="35"/>
      <c r="N1314" s="35"/>
      <c r="O1314" s="35"/>
      <c r="P1314" s="35"/>
      <c r="Q1314" s="35"/>
      <c r="R1314" s="35"/>
      <c r="S1314" s="35"/>
      <c r="T1314" s="35"/>
      <c r="U1314" s="35"/>
      <c r="V1314" s="35"/>
      <c r="W1314" s="35"/>
      <c r="X1314" s="35"/>
      <c r="Y1314" s="35"/>
      <c r="Z1314" s="35"/>
      <c r="AA1314" s="35"/>
      <c r="AB1314" s="35"/>
    </row>
    <row r="1315" ht="15.75" customHeight="1">
      <c r="A1315" s="35" t="s">
        <v>7853</v>
      </c>
      <c r="B1315" s="35">
        <v>1.0</v>
      </c>
      <c r="C1315" s="35"/>
      <c r="D1315" s="35"/>
      <c r="E1315" s="35"/>
      <c r="F1315" s="35"/>
      <c r="G1315" s="35"/>
      <c r="H1315" s="35"/>
      <c r="I1315" s="35"/>
      <c r="J1315" s="35"/>
      <c r="K1315" s="35"/>
      <c r="L1315" s="35"/>
      <c r="M1315" s="35"/>
      <c r="N1315" s="35"/>
      <c r="O1315" s="35"/>
      <c r="P1315" s="35"/>
      <c r="Q1315" s="35"/>
      <c r="R1315" s="35"/>
      <c r="S1315" s="35"/>
      <c r="T1315" s="35"/>
      <c r="U1315" s="35"/>
      <c r="V1315" s="35"/>
      <c r="W1315" s="35"/>
      <c r="X1315" s="35"/>
      <c r="Y1315" s="35"/>
      <c r="Z1315" s="35"/>
      <c r="AA1315" s="35"/>
      <c r="AB1315" s="35"/>
    </row>
    <row r="1316" ht="15.75" customHeight="1">
      <c r="A1316" s="35" t="s">
        <v>7857</v>
      </c>
      <c r="B1316" s="35">
        <v>1.0</v>
      </c>
      <c r="C1316" s="35"/>
      <c r="D1316" s="35"/>
      <c r="E1316" s="35"/>
      <c r="F1316" s="35"/>
      <c r="G1316" s="35"/>
      <c r="H1316" s="35"/>
      <c r="I1316" s="35"/>
      <c r="J1316" s="35"/>
      <c r="K1316" s="35"/>
      <c r="L1316" s="35"/>
      <c r="M1316" s="35"/>
      <c r="N1316" s="35"/>
      <c r="O1316" s="35"/>
      <c r="P1316" s="35"/>
      <c r="Q1316" s="35"/>
      <c r="R1316" s="35"/>
      <c r="S1316" s="35"/>
      <c r="T1316" s="35"/>
      <c r="U1316" s="35"/>
      <c r="V1316" s="35"/>
      <c r="W1316" s="35"/>
      <c r="X1316" s="35"/>
      <c r="Y1316" s="35"/>
      <c r="Z1316" s="35"/>
      <c r="AA1316" s="35"/>
      <c r="AB1316" s="35"/>
    </row>
    <row r="1317" ht="15.75" customHeight="1">
      <c r="A1317" s="35" t="s">
        <v>7860</v>
      </c>
      <c r="B1317" s="35">
        <v>1.0</v>
      </c>
      <c r="C1317" s="35"/>
      <c r="D1317" s="35"/>
      <c r="E1317" s="35"/>
      <c r="F1317" s="35"/>
      <c r="G1317" s="35"/>
      <c r="H1317" s="35"/>
      <c r="I1317" s="35"/>
      <c r="J1317" s="35"/>
      <c r="K1317" s="35"/>
      <c r="L1317" s="35"/>
      <c r="M1317" s="35"/>
      <c r="N1317" s="35"/>
      <c r="O1317" s="35"/>
      <c r="P1317" s="35"/>
      <c r="Q1317" s="35"/>
      <c r="R1317" s="35"/>
      <c r="S1317" s="35"/>
      <c r="T1317" s="35"/>
      <c r="U1317" s="35"/>
      <c r="V1317" s="35"/>
      <c r="W1317" s="35"/>
      <c r="X1317" s="35"/>
      <c r="Y1317" s="35"/>
      <c r="Z1317" s="35"/>
      <c r="AA1317" s="35"/>
      <c r="AB1317" s="35"/>
    </row>
    <row r="1318" ht="15.75" customHeight="1">
      <c r="A1318" s="35" t="s">
        <v>7863</v>
      </c>
      <c r="B1318" s="35">
        <v>1.0</v>
      </c>
      <c r="C1318" s="35"/>
      <c r="D1318" s="35"/>
      <c r="E1318" s="35"/>
      <c r="F1318" s="35"/>
      <c r="G1318" s="35"/>
      <c r="H1318" s="35"/>
      <c r="I1318" s="35"/>
      <c r="J1318" s="35"/>
      <c r="K1318" s="35"/>
      <c r="L1318" s="35"/>
      <c r="M1318" s="35"/>
      <c r="N1318" s="35"/>
      <c r="O1318" s="35"/>
      <c r="P1318" s="35"/>
      <c r="Q1318" s="35"/>
      <c r="R1318" s="35"/>
      <c r="S1318" s="35"/>
      <c r="T1318" s="35"/>
      <c r="U1318" s="35"/>
      <c r="V1318" s="35"/>
      <c r="W1318" s="35"/>
      <c r="X1318" s="35"/>
      <c r="Y1318" s="35"/>
      <c r="Z1318" s="35"/>
      <c r="AA1318" s="35"/>
      <c r="AB1318" s="35"/>
    </row>
    <row r="1319" ht="15.75" customHeight="1">
      <c r="A1319" s="35" t="s">
        <v>7866</v>
      </c>
      <c r="B1319" s="35">
        <v>1.0</v>
      </c>
      <c r="C1319" s="35"/>
      <c r="D1319" s="35"/>
      <c r="E1319" s="35"/>
      <c r="F1319" s="35"/>
      <c r="G1319" s="35"/>
      <c r="H1319" s="35"/>
      <c r="I1319" s="35"/>
      <c r="J1319" s="35"/>
      <c r="K1319" s="35"/>
      <c r="L1319" s="35"/>
      <c r="M1319" s="35"/>
      <c r="N1319" s="35"/>
      <c r="O1319" s="35"/>
      <c r="P1319" s="35"/>
      <c r="Q1319" s="35"/>
      <c r="R1319" s="35"/>
      <c r="S1319" s="35"/>
      <c r="T1319" s="35"/>
      <c r="U1319" s="35"/>
      <c r="V1319" s="35"/>
      <c r="W1319" s="35"/>
      <c r="X1319" s="35"/>
      <c r="Y1319" s="35"/>
      <c r="Z1319" s="35"/>
      <c r="AA1319" s="35"/>
      <c r="AB1319" s="35"/>
    </row>
    <row r="1320" ht="15.75" customHeight="1">
      <c r="A1320" s="35" t="s">
        <v>7870</v>
      </c>
      <c r="B1320" s="35">
        <v>1.0</v>
      </c>
      <c r="C1320" s="35"/>
      <c r="D1320" s="35"/>
      <c r="E1320" s="35"/>
      <c r="F1320" s="35"/>
      <c r="G1320" s="35"/>
      <c r="H1320" s="35"/>
      <c r="I1320" s="35"/>
      <c r="J1320" s="35"/>
      <c r="K1320" s="35"/>
      <c r="L1320" s="35"/>
      <c r="M1320" s="35"/>
      <c r="N1320" s="35"/>
      <c r="O1320" s="35"/>
      <c r="P1320" s="35"/>
      <c r="Q1320" s="35"/>
      <c r="R1320" s="35"/>
      <c r="S1320" s="35"/>
      <c r="T1320" s="35"/>
      <c r="U1320" s="35"/>
      <c r="V1320" s="35"/>
      <c r="W1320" s="35"/>
      <c r="X1320" s="35"/>
      <c r="Y1320" s="35"/>
      <c r="Z1320" s="35"/>
      <c r="AA1320" s="35"/>
      <c r="AB1320" s="35"/>
    </row>
    <row r="1321" ht="15.75" customHeight="1">
      <c r="A1321" s="35" t="s">
        <v>7873</v>
      </c>
      <c r="B1321" s="35">
        <v>1.0</v>
      </c>
      <c r="C1321" s="35"/>
      <c r="D1321" s="35"/>
      <c r="E1321" s="35"/>
      <c r="F1321" s="35"/>
      <c r="G1321" s="35"/>
      <c r="H1321" s="35"/>
      <c r="I1321" s="35"/>
      <c r="J1321" s="35"/>
      <c r="K1321" s="35"/>
      <c r="L1321" s="35"/>
      <c r="M1321" s="35"/>
      <c r="N1321" s="35"/>
      <c r="O1321" s="35"/>
      <c r="P1321" s="35"/>
      <c r="Q1321" s="35"/>
      <c r="R1321" s="35"/>
      <c r="S1321" s="35"/>
      <c r="T1321" s="35"/>
      <c r="U1321" s="35"/>
      <c r="V1321" s="35"/>
      <c r="W1321" s="35"/>
      <c r="X1321" s="35"/>
      <c r="Y1321" s="35"/>
      <c r="Z1321" s="35"/>
      <c r="AA1321" s="35"/>
      <c r="AB1321" s="35"/>
    </row>
    <row r="1322" ht="15.75" customHeight="1">
      <c r="A1322" s="35" t="s">
        <v>7876</v>
      </c>
      <c r="B1322" s="35">
        <v>1.0</v>
      </c>
      <c r="C1322" s="35"/>
      <c r="D1322" s="35"/>
      <c r="E1322" s="35"/>
      <c r="F1322" s="35"/>
      <c r="G1322" s="35"/>
      <c r="H1322" s="35"/>
      <c r="I1322" s="35"/>
      <c r="J1322" s="35"/>
      <c r="K1322" s="35"/>
      <c r="L1322" s="35"/>
      <c r="M1322" s="35"/>
      <c r="N1322" s="35"/>
      <c r="O1322" s="35"/>
      <c r="P1322" s="35"/>
      <c r="Q1322" s="35"/>
      <c r="R1322" s="35"/>
      <c r="S1322" s="35"/>
      <c r="T1322" s="35"/>
      <c r="U1322" s="35"/>
      <c r="V1322" s="35"/>
      <c r="W1322" s="35"/>
      <c r="X1322" s="35"/>
      <c r="Y1322" s="35"/>
      <c r="Z1322" s="35"/>
      <c r="AA1322" s="35"/>
      <c r="AB1322" s="35"/>
    </row>
    <row r="1323" ht="15.75" customHeight="1">
      <c r="A1323" s="35" t="s">
        <v>7879</v>
      </c>
      <c r="B1323" s="35">
        <v>1.0</v>
      </c>
      <c r="C1323" s="35"/>
      <c r="D1323" s="35"/>
      <c r="E1323" s="35"/>
      <c r="F1323" s="35"/>
      <c r="G1323" s="35"/>
      <c r="H1323" s="35"/>
      <c r="I1323" s="35"/>
      <c r="J1323" s="35"/>
      <c r="K1323" s="35"/>
      <c r="L1323" s="35"/>
      <c r="M1323" s="35"/>
      <c r="N1323" s="35"/>
      <c r="O1323" s="35"/>
      <c r="P1323" s="35"/>
      <c r="Q1323" s="35"/>
      <c r="R1323" s="35"/>
      <c r="S1323" s="35"/>
      <c r="T1323" s="35"/>
      <c r="U1323" s="35"/>
      <c r="V1323" s="35"/>
      <c r="W1323" s="35"/>
      <c r="X1323" s="35"/>
      <c r="Y1323" s="35"/>
      <c r="Z1323" s="35"/>
      <c r="AA1323" s="35"/>
      <c r="AB1323" s="35"/>
    </row>
    <row r="1324" ht="15.75" customHeight="1">
      <c r="A1324" s="35" t="s">
        <v>7883</v>
      </c>
      <c r="B1324" s="35">
        <v>1.0</v>
      </c>
      <c r="C1324" s="35"/>
      <c r="D1324" s="35"/>
      <c r="E1324" s="35"/>
      <c r="F1324" s="35"/>
      <c r="G1324" s="35"/>
      <c r="H1324" s="35"/>
      <c r="I1324" s="35"/>
      <c r="J1324" s="35"/>
      <c r="K1324" s="35"/>
      <c r="L1324" s="35"/>
      <c r="M1324" s="35"/>
      <c r="N1324" s="35"/>
      <c r="O1324" s="35"/>
      <c r="P1324" s="35"/>
      <c r="Q1324" s="35"/>
      <c r="R1324" s="35"/>
      <c r="S1324" s="35"/>
      <c r="T1324" s="35"/>
      <c r="U1324" s="35"/>
      <c r="V1324" s="35"/>
      <c r="W1324" s="35"/>
      <c r="X1324" s="35"/>
      <c r="Y1324" s="35"/>
      <c r="Z1324" s="35"/>
      <c r="AA1324" s="35"/>
      <c r="AB1324" s="35"/>
    </row>
    <row r="1325" ht="15.75" customHeight="1">
      <c r="A1325" s="35" t="s">
        <v>7886</v>
      </c>
      <c r="B1325" s="35">
        <v>1.0</v>
      </c>
      <c r="C1325" s="35"/>
      <c r="D1325" s="35"/>
      <c r="E1325" s="35"/>
      <c r="F1325" s="35"/>
      <c r="G1325" s="35"/>
      <c r="H1325" s="35"/>
      <c r="I1325" s="35"/>
      <c r="J1325" s="35"/>
      <c r="K1325" s="35"/>
      <c r="L1325" s="35"/>
      <c r="M1325" s="35"/>
      <c r="N1325" s="35"/>
      <c r="O1325" s="35"/>
      <c r="P1325" s="35"/>
      <c r="Q1325" s="35"/>
      <c r="R1325" s="35"/>
      <c r="S1325" s="35"/>
      <c r="T1325" s="35"/>
      <c r="U1325" s="35"/>
      <c r="V1325" s="35"/>
      <c r="W1325" s="35"/>
      <c r="X1325" s="35"/>
      <c r="Y1325" s="35"/>
      <c r="Z1325" s="35"/>
      <c r="AA1325" s="35"/>
      <c r="AB1325" s="35"/>
    </row>
    <row r="1326" ht="15.75" customHeight="1">
      <c r="A1326" s="35" t="s">
        <v>7889</v>
      </c>
      <c r="B1326" s="35">
        <v>1.0</v>
      </c>
      <c r="C1326" s="35"/>
      <c r="D1326" s="35"/>
      <c r="E1326" s="35"/>
      <c r="F1326" s="35"/>
      <c r="G1326" s="35"/>
      <c r="H1326" s="35"/>
      <c r="I1326" s="35"/>
      <c r="J1326" s="35"/>
      <c r="K1326" s="35"/>
      <c r="L1326" s="35"/>
      <c r="M1326" s="35"/>
      <c r="N1326" s="35"/>
      <c r="O1326" s="35"/>
      <c r="P1326" s="35"/>
      <c r="Q1326" s="35"/>
      <c r="R1326" s="35"/>
      <c r="S1326" s="35"/>
      <c r="T1326" s="35"/>
      <c r="U1326" s="35"/>
      <c r="V1326" s="35"/>
      <c r="W1326" s="35"/>
      <c r="X1326" s="35"/>
      <c r="Y1326" s="35"/>
      <c r="Z1326" s="35"/>
      <c r="AA1326" s="35"/>
      <c r="AB1326" s="35"/>
    </row>
    <row r="1327" ht="15.75" customHeight="1">
      <c r="A1327" s="35" t="s">
        <v>7892</v>
      </c>
      <c r="B1327" s="35">
        <v>1.0</v>
      </c>
      <c r="C1327" s="35"/>
      <c r="D1327" s="35"/>
      <c r="E1327" s="35"/>
      <c r="F1327" s="35"/>
      <c r="G1327" s="35"/>
      <c r="H1327" s="35"/>
      <c r="I1327" s="35"/>
      <c r="J1327" s="35"/>
      <c r="K1327" s="35"/>
      <c r="L1327" s="35"/>
      <c r="M1327" s="35"/>
      <c r="N1327" s="35"/>
      <c r="O1327" s="35"/>
      <c r="P1327" s="35"/>
      <c r="Q1327" s="35"/>
      <c r="R1327" s="35"/>
      <c r="S1327" s="35"/>
      <c r="T1327" s="35"/>
      <c r="U1327" s="35"/>
      <c r="V1327" s="35"/>
      <c r="W1327" s="35"/>
      <c r="X1327" s="35"/>
      <c r="Y1327" s="35"/>
      <c r="Z1327" s="35"/>
      <c r="AA1327" s="35"/>
      <c r="AB1327" s="35"/>
    </row>
    <row r="1328" ht="15.75" customHeight="1">
      <c r="A1328" s="35" t="s">
        <v>7895</v>
      </c>
      <c r="B1328" s="35">
        <v>1.0</v>
      </c>
      <c r="C1328" s="35"/>
      <c r="D1328" s="35"/>
      <c r="E1328" s="35"/>
      <c r="F1328" s="35"/>
      <c r="G1328" s="35"/>
      <c r="H1328" s="35"/>
      <c r="I1328" s="35"/>
      <c r="J1328" s="35"/>
      <c r="K1328" s="35"/>
      <c r="L1328" s="35"/>
      <c r="M1328" s="35"/>
      <c r="N1328" s="35"/>
      <c r="O1328" s="35"/>
      <c r="P1328" s="35"/>
      <c r="Q1328" s="35"/>
      <c r="R1328" s="35"/>
      <c r="S1328" s="35"/>
      <c r="T1328" s="35"/>
      <c r="U1328" s="35"/>
      <c r="V1328" s="35"/>
      <c r="W1328" s="35"/>
      <c r="X1328" s="35"/>
      <c r="Y1328" s="35"/>
      <c r="Z1328" s="35"/>
      <c r="AA1328" s="35"/>
      <c r="AB1328" s="35"/>
    </row>
    <row r="1329" ht="15.75" customHeight="1">
      <c r="A1329" s="35" t="s">
        <v>7899</v>
      </c>
      <c r="B1329" s="35">
        <v>1.0</v>
      </c>
      <c r="C1329" s="35"/>
      <c r="D1329" s="35"/>
      <c r="E1329" s="35"/>
      <c r="F1329" s="35"/>
      <c r="G1329" s="35"/>
      <c r="H1329" s="35"/>
      <c r="I1329" s="35"/>
      <c r="J1329" s="35"/>
      <c r="K1329" s="35"/>
      <c r="L1329" s="35"/>
      <c r="M1329" s="35"/>
      <c r="N1329" s="35"/>
      <c r="O1329" s="35"/>
      <c r="P1329" s="35"/>
      <c r="Q1329" s="35"/>
      <c r="R1329" s="35"/>
      <c r="S1329" s="35"/>
      <c r="T1329" s="35"/>
      <c r="U1329" s="35"/>
      <c r="V1329" s="35"/>
      <c r="W1329" s="35"/>
      <c r="X1329" s="35"/>
      <c r="Y1329" s="35"/>
      <c r="Z1329" s="35"/>
      <c r="AA1329" s="35"/>
      <c r="AB1329" s="35"/>
    </row>
    <row r="1330" ht="15.75" customHeight="1">
      <c r="A1330" s="35" t="s">
        <v>7902</v>
      </c>
      <c r="B1330" s="35">
        <v>1.0</v>
      </c>
      <c r="C1330" s="35"/>
      <c r="D1330" s="35"/>
      <c r="E1330" s="35"/>
      <c r="F1330" s="35"/>
      <c r="G1330" s="35"/>
      <c r="H1330" s="35"/>
      <c r="I1330" s="35"/>
      <c r="J1330" s="35"/>
      <c r="K1330" s="35"/>
      <c r="L1330" s="35"/>
      <c r="M1330" s="35"/>
      <c r="N1330" s="35"/>
      <c r="O1330" s="35"/>
      <c r="P1330" s="35"/>
      <c r="Q1330" s="35"/>
      <c r="R1330" s="35"/>
      <c r="S1330" s="35"/>
      <c r="T1330" s="35"/>
      <c r="U1330" s="35"/>
      <c r="V1330" s="35"/>
      <c r="W1330" s="35"/>
      <c r="X1330" s="35"/>
      <c r="Y1330" s="35"/>
      <c r="Z1330" s="35"/>
      <c r="AA1330" s="35"/>
      <c r="AB1330" s="35"/>
    </row>
    <row r="1331" ht="15.75" customHeight="1">
      <c r="A1331" s="35" t="s">
        <v>7906</v>
      </c>
      <c r="B1331" s="35">
        <v>1.0</v>
      </c>
      <c r="C1331" s="35"/>
      <c r="D1331" s="35"/>
      <c r="E1331" s="35"/>
      <c r="F1331" s="35"/>
      <c r="G1331" s="35"/>
      <c r="H1331" s="35"/>
      <c r="I1331" s="35"/>
      <c r="J1331" s="35"/>
      <c r="K1331" s="35"/>
      <c r="L1331" s="35"/>
      <c r="M1331" s="35"/>
      <c r="N1331" s="35"/>
      <c r="O1331" s="35"/>
      <c r="P1331" s="35"/>
      <c r="Q1331" s="35"/>
      <c r="R1331" s="35"/>
      <c r="S1331" s="35"/>
      <c r="T1331" s="35"/>
      <c r="U1331" s="35"/>
      <c r="V1331" s="35"/>
      <c r="W1331" s="35"/>
      <c r="X1331" s="35"/>
      <c r="Y1331" s="35"/>
      <c r="Z1331" s="35"/>
      <c r="AA1331" s="35"/>
      <c r="AB1331" s="35"/>
    </row>
    <row r="1332" ht="15.75" customHeight="1">
      <c r="A1332" s="35" t="s">
        <v>7909</v>
      </c>
      <c r="B1332" s="35">
        <v>1.0</v>
      </c>
      <c r="C1332" s="35"/>
      <c r="D1332" s="35"/>
      <c r="E1332" s="35"/>
      <c r="F1332" s="35"/>
      <c r="G1332" s="35"/>
      <c r="H1332" s="35"/>
      <c r="I1332" s="35"/>
      <c r="J1332" s="35"/>
      <c r="K1332" s="35"/>
      <c r="L1332" s="35"/>
      <c r="M1332" s="35"/>
      <c r="N1332" s="35"/>
      <c r="O1332" s="35"/>
      <c r="P1332" s="35"/>
      <c r="Q1332" s="35"/>
      <c r="R1332" s="35"/>
      <c r="S1332" s="35"/>
      <c r="T1332" s="35"/>
      <c r="U1332" s="35"/>
      <c r="V1332" s="35"/>
      <c r="W1332" s="35"/>
      <c r="X1332" s="35"/>
      <c r="Y1332" s="35"/>
      <c r="Z1332" s="35"/>
      <c r="AA1332" s="35"/>
      <c r="AB1332" s="35"/>
    </row>
    <row r="1333" ht="15.75" customHeight="1">
      <c r="A1333" s="35" t="s">
        <v>7912</v>
      </c>
      <c r="B1333" s="35">
        <v>1.0</v>
      </c>
      <c r="C1333" s="35"/>
      <c r="D1333" s="35"/>
      <c r="E1333" s="35"/>
      <c r="F1333" s="35"/>
      <c r="G1333" s="35"/>
      <c r="H1333" s="35"/>
      <c r="I1333" s="35"/>
      <c r="J1333" s="35"/>
      <c r="K1333" s="35"/>
      <c r="L1333" s="35"/>
      <c r="M1333" s="35"/>
      <c r="N1333" s="35"/>
      <c r="O1333" s="35"/>
      <c r="P1333" s="35"/>
      <c r="Q1333" s="35"/>
      <c r="R1333" s="35"/>
      <c r="S1333" s="35"/>
      <c r="T1333" s="35"/>
      <c r="U1333" s="35"/>
      <c r="V1333" s="35"/>
      <c r="W1333" s="35"/>
      <c r="X1333" s="35"/>
      <c r="Y1333" s="35"/>
      <c r="Z1333" s="35"/>
      <c r="AA1333" s="35"/>
      <c r="AB1333" s="35"/>
    </row>
    <row r="1334" ht="15.75" customHeight="1">
      <c r="A1334" s="35" t="s">
        <v>7915</v>
      </c>
      <c r="B1334" s="35">
        <v>1.0</v>
      </c>
      <c r="C1334" s="35"/>
      <c r="D1334" s="35"/>
      <c r="E1334" s="35"/>
      <c r="F1334" s="35"/>
      <c r="G1334" s="35"/>
      <c r="H1334" s="35"/>
      <c r="I1334" s="35"/>
      <c r="J1334" s="35"/>
      <c r="K1334" s="35"/>
      <c r="L1334" s="35"/>
      <c r="M1334" s="35"/>
      <c r="N1334" s="35"/>
      <c r="O1334" s="35"/>
      <c r="P1334" s="35"/>
      <c r="Q1334" s="35"/>
      <c r="R1334" s="35"/>
      <c r="S1334" s="35"/>
      <c r="T1334" s="35"/>
      <c r="U1334" s="35"/>
      <c r="V1334" s="35"/>
      <c r="W1334" s="35"/>
      <c r="X1334" s="35"/>
      <c r="Y1334" s="35"/>
      <c r="Z1334" s="35"/>
      <c r="AA1334" s="35"/>
      <c r="AB1334" s="35"/>
    </row>
    <row r="1335" ht="15.75" customHeight="1">
      <c r="A1335" s="35" t="s">
        <v>7919</v>
      </c>
      <c r="B1335" s="35">
        <v>1.0</v>
      </c>
      <c r="C1335" s="35"/>
      <c r="D1335" s="35"/>
      <c r="E1335" s="35"/>
      <c r="F1335" s="35"/>
      <c r="G1335" s="35"/>
      <c r="H1335" s="35"/>
      <c r="I1335" s="35"/>
      <c r="J1335" s="35"/>
      <c r="K1335" s="35"/>
      <c r="L1335" s="35"/>
      <c r="M1335" s="35"/>
      <c r="N1335" s="35"/>
      <c r="O1335" s="35"/>
      <c r="P1335" s="35"/>
      <c r="Q1335" s="35"/>
      <c r="R1335" s="35"/>
      <c r="S1335" s="35"/>
      <c r="T1335" s="35"/>
      <c r="U1335" s="35"/>
      <c r="V1335" s="35"/>
      <c r="W1335" s="35"/>
      <c r="X1335" s="35"/>
      <c r="Y1335" s="35"/>
      <c r="Z1335" s="35"/>
      <c r="AA1335" s="35"/>
      <c r="AB1335" s="35"/>
    </row>
    <row r="1336" ht="15.75" customHeight="1">
      <c r="A1336" s="35" t="s">
        <v>7922</v>
      </c>
      <c r="B1336" s="35">
        <v>1.0</v>
      </c>
      <c r="C1336" s="35"/>
      <c r="D1336" s="35"/>
      <c r="E1336" s="35"/>
      <c r="F1336" s="35"/>
      <c r="G1336" s="35"/>
      <c r="H1336" s="35"/>
      <c r="I1336" s="35"/>
      <c r="J1336" s="35"/>
      <c r="K1336" s="35"/>
      <c r="L1336" s="35"/>
      <c r="M1336" s="35"/>
      <c r="N1336" s="35"/>
      <c r="O1336" s="35"/>
      <c r="P1336" s="35"/>
      <c r="Q1336" s="35"/>
      <c r="R1336" s="35"/>
      <c r="S1336" s="35"/>
      <c r="T1336" s="35"/>
      <c r="U1336" s="35"/>
      <c r="V1336" s="35"/>
      <c r="W1336" s="35"/>
      <c r="X1336" s="35"/>
      <c r="Y1336" s="35"/>
      <c r="Z1336" s="35"/>
      <c r="AA1336" s="35"/>
      <c r="AB1336" s="35"/>
    </row>
    <row r="1337" ht="15.75" customHeight="1">
      <c r="A1337" s="35" t="s">
        <v>7925</v>
      </c>
      <c r="B1337" s="35">
        <v>1.0</v>
      </c>
      <c r="C1337" s="35"/>
      <c r="D1337" s="35"/>
      <c r="E1337" s="35"/>
      <c r="F1337" s="35"/>
      <c r="G1337" s="35"/>
      <c r="H1337" s="35"/>
      <c r="I1337" s="35"/>
      <c r="J1337" s="35"/>
      <c r="K1337" s="35"/>
      <c r="L1337" s="35"/>
      <c r="M1337" s="35"/>
      <c r="N1337" s="35"/>
      <c r="O1337" s="35"/>
      <c r="P1337" s="35"/>
      <c r="Q1337" s="35"/>
      <c r="R1337" s="35"/>
      <c r="S1337" s="35"/>
      <c r="T1337" s="35"/>
      <c r="U1337" s="35"/>
      <c r="V1337" s="35"/>
      <c r="W1337" s="35"/>
      <c r="X1337" s="35"/>
      <c r="Y1337" s="35"/>
      <c r="Z1337" s="35"/>
      <c r="AA1337" s="35"/>
      <c r="AB1337" s="35"/>
    </row>
    <row r="1338" ht="15.75" customHeight="1">
      <c r="A1338" s="35" t="s">
        <v>7928</v>
      </c>
      <c r="B1338" s="35">
        <v>1.0</v>
      </c>
      <c r="C1338" s="35"/>
      <c r="D1338" s="35"/>
      <c r="E1338" s="35"/>
      <c r="F1338" s="35"/>
      <c r="G1338" s="35"/>
      <c r="H1338" s="35"/>
      <c r="I1338" s="35"/>
      <c r="J1338" s="35"/>
      <c r="K1338" s="35"/>
      <c r="L1338" s="35"/>
      <c r="M1338" s="35"/>
      <c r="N1338" s="35"/>
      <c r="O1338" s="35"/>
      <c r="P1338" s="35"/>
      <c r="Q1338" s="35"/>
      <c r="R1338" s="35"/>
      <c r="S1338" s="35"/>
      <c r="T1338" s="35"/>
      <c r="U1338" s="35"/>
      <c r="V1338" s="35"/>
      <c r="W1338" s="35"/>
      <c r="X1338" s="35"/>
      <c r="Y1338" s="35"/>
      <c r="Z1338" s="35"/>
      <c r="AA1338" s="35"/>
      <c r="AB1338" s="35"/>
    </row>
    <row r="1339" ht="15.75" customHeight="1">
      <c r="A1339" s="35" t="s">
        <v>7931</v>
      </c>
      <c r="B1339" s="35">
        <v>1.0</v>
      </c>
      <c r="C1339" s="35"/>
      <c r="D1339" s="35"/>
      <c r="E1339" s="35"/>
      <c r="F1339" s="35"/>
      <c r="G1339" s="35"/>
      <c r="H1339" s="35"/>
      <c r="I1339" s="35"/>
      <c r="J1339" s="35"/>
      <c r="K1339" s="35"/>
      <c r="L1339" s="35"/>
      <c r="M1339" s="35"/>
      <c r="N1339" s="35"/>
      <c r="O1339" s="35"/>
      <c r="P1339" s="35"/>
      <c r="Q1339" s="35"/>
      <c r="R1339" s="35"/>
      <c r="S1339" s="35"/>
      <c r="T1339" s="35"/>
      <c r="U1339" s="35"/>
      <c r="V1339" s="35"/>
      <c r="W1339" s="35"/>
      <c r="X1339" s="35"/>
      <c r="Y1339" s="35"/>
      <c r="Z1339" s="35"/>
      <c r="AA1339" s="35"/>
      <c r="AB1339" s="35"/>
    </row>
    <row r="1340" ht="15.75" customHeight="1">
      <c r="A1340" s="35" t="s">
        <v>7934</v>
      </c>
      <c r="B1340" s="35">
        <v>1.0</v>
      </c>
      <c r="C1340" s="35"/>
      <c r="D1340" s="35"/>
      <c r="E1340" s="35"/>
      <c r="F1340" s="35"/>
      <c r="G1340" s="35"/>
      <c r="H1340" s="35"/>
      <c r="I1340" s="35"/>
      <c r="J1340" s="35"/>
      <c r="K1340" s="35"/>
      <c r="L1340" s="35"/>
      <c r="M1340" s="35"/>
      <c r="N1340" s="35"/>
      <c r="O1340" s="35"/>
      <c r="P1340" s="35"/>
      <c r="Q1340" s="35"/>
      <c r="R1340" s="35"/>
      <c r="S1340" s="35"/>
      <c r="T1340" s="35"/>
      <c r="U1340" s="35"/>
      <c r="V1340" s="35"/>
      <c r="W1340" s="35"/>
      <c r="X1340" s="35"/>
      <c r="Y1340" s="35"/>
      <c r="Z1340" s="35"/>
      <c r="AA1340" s="35"/>
      <c r="AB1340" s="35"/>
    </row>
    <row r="1341" ht="15.75" customHeight="1">
      <c r="A1341" s="35" t="s">
        <v>7938</v>
      </c>
      <c r="B1341" s="35">
        <v>1.0</v>
      </c>
      <c r="C1341" s="35"/>
      <c r="D1341" s="35"/>
      <c r="E1341" s="35"/>
      <c r="F1341" s="35"/>
      <c r="G1341" s="35"/>
      <c r="H1341" s="35"/>
      <c r="I1341" s="35"/>
      <c r="J1341" s="35"/>
      <c r="K1341" s="35"/>
      <c r="L1341" s="35"/>
      <c r="M1341" s="35"/>
      <c r="N1341" s="35"/>
      <c r="O1341" s="35"/>
      <c r="P1341" s="35"/>
      <c r="Q1341" s="35"/>
      <c r="R1341" s="35"/>
      <c r="S1341" s="35"/>
      <c r="T1341" s="35"/>
      <c r="U1341" s="35"/>
      <c r="V1341" s="35"/>
      <c r="W1341" s="35"/>
      <c r="X1341" s="35"/>
      <c r="Y1341" s="35"/>
      <c r="Z1341" s="35"/>
      <c r="AA1341" s="35"/>
      <c r="AB1341" s="35"/>
    </row>
    <row r="1342" ht="15.75" customHeight="1">
      <c r="A1342" s="35" t="s">
        <v>7941</v>
      </c>
      <c r="B1342" s="35">
        <v>1.0</v>
      </c>
      <c r="C1342" s="35"/>
      <c r="D1342" s="35"/>
      <c r="E1342" s="35"/>
      <c r="F1342" s="35"/>
      <c r="G1342" s="35"/>
      <c r="H1342" s="35"/>
      <c r="I1342" s="35"/>
      <c r="J1342" s="35"/>
      <c r="K1342" s="35"/>
      <c r="L1342" s="35"/>
      <c r="M1342" s="35"/>
      <c r="N1342" s="35"/>
      <c r="O1342" s="35"/>
      <c r="P1342" s="35"/>
      <c r="Q1342" s="35"/>
      <c r="R1342" s="35"/>
      <c r="S1342" s="35"/>
      <c r="T1342" s="35"/>
      <c r="U1342" s="35"/>
      <c r="V1342" s="35"/>
      <c r="W1342" s="35"/>
      <c r="X1342" s="35"/>
      <c r="Y1342" s="35"/>
      <c r="Z1342" s="35"/>
      <c r="AA1342" s="35"/>
      <c r="AB1342" s="35"/>
    </row>
    <row r="1343" ht="15.75" customHeight="1">
      <c r="A1343" s="35" t="s">
        <v>7944</v>
      </c>
      <c r="B1343" s="35">
        <v>1.0</v>
      </c>
      <c r="C1343" s="35"/>
      <c r="D1343" s="35"/>
      <c r="E1343" s="35"/>
      <c r="F1343" s="35"/>
      <c r="G1343" s="35"/>
      <c r="H1343" s="35"/>
      <c r="I1343" s="35"/>
      <c r="J1343" s="35"/>
      <c r="K1343" s="35"/>
      <c r="L1343" s="35"/>
      <c r="M1343" s="35"/>
      <c r="N1343" s="35"/>
      <c r="O1343" s="35"/>
      <c r="P1343" s="35"/>
      <c r="Q1343" s="35"/>
      <c r="R1343" s="35"/>
      <c r="S1343" s="35"/>
      <c r="T1343" s="35"/>
      <c r="U1343" s="35"/>
      <c r="V1343" s="35"/>
      <c r="W1343" s="35"/>
      <c r="X1343" s="35"/>
      <c r="Y1343" s="35"/>
      <c r="Z1343" s="35"/>
      <c r="AA1343" s="35"/>
      <c r="AB1343" s="35"/>
    </row>
    <row r="1344" ht="15.75" customHeight="1">
      <c r="A1344" s="35" t="s">
        <v>7947</v>
      </c>
      <c r="B1344" s="35">
        <v>1.0</v>
      </c>
      <c r="C1344" s="35"/>
      <c r="D1344" s="35"/>
      <c r="E1344" s="35"/>
      <c r="F1344" s="35"/>
      <c r="G1344" s="35"/>
      <c r="H1344" s="35"/>
      <c r="I1344" s="35"/>
      <c r="J1344" s="35"/>
      <c r="K1344" s="35"/>
      <c r="L1344" s="35"/>
      <c r="M1344" s="35"/>
      <c r="N1344" s="35"/>
      <c r="O1344" s="35"/>
      <c r="P1344" s="35"/>
      <c r="Q1344" s="35"/>
      <c r="R1344" s="35"/>
      <c r="S1344" s="35"/>
      <c r="T1344" s="35"/>
      <c r="U1344" s="35"/>
      <c r="V1344" s="35"/>
      <c r="W1344" s="35"/>
      <c r="X1344" s="35"/>
      <c r="Y1344" s="35"/>
      <c r="Z1344" s="35"/>
      <c r="AA1344" s="35"/>
      <c r="AB1344" s="35"/>
    </row>
    <row r="1345" ht="15.75" customHeight="1">
      <c r="A1345" s="35" t="s">
        <v>7951</v>
      </c>
      <c r="B1345" s="35">
        <v>1.0</v>
      </c>
      <c r="C1345" s="35"/>
      <c r="D1345" s="35"/>
      <c r="E1345" s="35"/>
      <c r="F1345" s="35"/>
      <c r="G1345" s="35"/>
      <c r="H1345" s="35"/>
      <c r="I1345" s="35"/>
      <c r="J1345" s="35"/>
      <c r="K1345" s="35"/>
      <c r="L1345" s="35"/>
      <c r="M1345" s="35"/>
      <c r="N1345" s="35"/>
      <c r="O1345" s="35"/>
      <c r="P1345" s="35"/>
      <c r="Q1345" s="35"/>
      <c r="R1345" s="35"/>
      <c r="S1345" s="35"/>
      <c r="T1345" s="35"/>
      <c r="U1345" s="35"/>
      <c r="V1345" s="35"/>
      <c r="W1345" s="35"/>
      <c r="X1345" s="35"/>
      <c r="Y1345" s="35"/>
      <c r="Z1345" s="35"/>
      <c r="AA1345" s="35"/>
      <c r="AB1345" s="35"/>
    </row>
    <row r="1346" ht="15.75" customHeight="1">
      <c r="A1346" s="35" t="s">
        <v>7954</v>
      </c>
      <c r="B1346" s="35">
        <v>1.0</v>
      </c>
      <c r="C1346" s="35"/>
      <c r="D1346" s="35"/>
      <c r="E1346" s="35"/>
      <c r="F1346" s="35"/>
      <c r="G1346" s="35"/>
      <c r="H1346" s="35"/>
      <c r="I1346" s="35"/>
      <c r="J1346" s="35"/>
      <c r="K1346" s="35"/>
      <c r="L1346" s="35"/>
      <c r="M1346" s="35"/>
      <c r="N1346" s="35"/>
      <c r="O1346" s="35"/>
      <c r="P1346" s="35"/>
      <c r="Q1346" s="35"/>
      <c r="R1346" s="35"/>
      <c r="S1346" s="35"/>
      <c r="T1346" s="35"/>
      <c r="U1346" s="35"/>
      <c r="V1346" s="35"/>
      <c r="W1346" s="35"/>
      <c r="X1346" s="35"/>
      <c r="Y1346" s="35"/>
      <c r="Z1346" s="35"/>
      <c r="AA1346" s="35"/>
      <c r="AB1346" s="35"/>
    </row>
    <row r="1347" ht="15.75" customHeight="1">
      <c r="A1347" s="35" t="s">
        <v>7957</v>
      </c>
      <c r="B1347" s="35">
        <v>1.0</v>
      </c>
      <c r="C1347" s="35"/>
      <c r="D1347" s="35"/>
      <c r="E1347" s="35"/>
      <c r="F1347" s="35"/>
      <c r="G1347" s="35"/>
      <c r="H1347" s="35"/>
      <c r="I1347" s="35"/>
      <c r="J1347" s="35"/>
      <c r="K1347" s="35"/>
      <c r="L1347" s="35"/>
      <c r="M1347" s="35"/>
      <c r="N1347" s="35"/>
      <c r="O1347" s="35"/>
      <c r="P1347" s="35"/>
      <c r="Q1347" s="35"/>
      <c r="R1347" s="35"/>
      <c r="S1347" s="35"/>
      <c r="T1347" s="35"/>
      <c r="U1347" s="35"/>
      <c r="V1347" s="35"/>
      <c r="W1347" s="35"/>
      <c r="X1347" s="35"/>
      <c r="Y1347" s="35"/>
      <c r="Z1347" s="35"/>
      <c r="AA1347" s="35"/>
      <c r="AB1347" s="35"/>
    </row>
    <row r="1348" ht="15.75" customHeight="1">
      <c r="A1348" s="35" t="s">
        <v>7960</v>
      </c>
      <c r="B1348" s="35">
        <v>1.0</v>
      </c>
      <c r="C1348" s="35"/>
      <c r="D1348" s="35"/>
      <c r="E1348" s="35"/>
      <c r="F1348" s="35"/>
      <c r="G1348" s="35"/>
      <c r="H1348" s="35"/>
      <c r="I1348" s="35"/>
      <c r="J1348" s="35"/>
      <c r="K1348" s="35"/>
      <c r="L1348" s="35"/>
      <c r="M1348" s="35"/>
      <c r="N1348" s="35"/>
      <c r="O1348" s="35"/>
      <c r="P1348" s="35"/>
      <c r="Q1348" s="35"/>
      <c r="R1348" s="35"/>
      <c r="S1348" s="35"/>
      <c r="T1348" s="35"/>
      <c r="U1348" s="35"/>
      <c r="V1348" s="35"/>
      <c r="W1348" s="35"/>
      <c r="X1348" s="35"/>
      <c r="Y1348" s="35"/>
      <c r="Z1348" s="35"/>
      <c r="AA1348" s="35"/>
      <c r="AB1348" s="35"/>
    </row>
    <row r="1349" ht="15.75" customHeight="1">
      <c r="A1349" s="35" t="s">
        <v>7963</v>
      </c>
      <c r="B1349" s="35">
        <v>1.0</v>
      </c>
      <c r="C1349" s="35"/>
      <c r="D1349" s="35"/>
      <c r="E1349" s="35"/>
      <c r="F1349" s="35"/>
      <c r="G1349" s="35"/>
      <c r="H1349" s="35"/>
      <c r="I1349" s="35"/>
      <c r="J1349" s="35"/>
      <c r="K1349" s="35"/>
      <c r="L1349" s="35"/>
      <c r="M1349" s="35"/>
      <c r="N1349" s="35"/>
      <c r="O1349" s="35"/>
      <c r="P1349" s="35"/>
      <c r="Q1349" s="35"/>
      <c r="R1349" s="35"/>
      <c r="S1349" s="35"/>
      <c r="T1349" s="35"/>
      <c r="U1349" s="35"/>
      <c r="V1349" s="35"/>
      <c r="W1349" s="35"/>
      <c r="X1349" s="35"/>
      <c r="Y1349" s="35"/>
      <c r="Z1349" s="35"/>
      <c r="AA1349" s="35"/>
      <c r="AB1349" s="35"/>
    </row>
    <row r="1350" ht="15.75" customHeight="1">
      <c r="A1350" s="35" t="s">
        <v>7967</v>
      </c>
      <c r="B1350" s="35">
        <v>1.0</v>
      </c>
      <c r="C1350" s="35"/>
      <c r="D1350" s="35"/>
      <c r="E1350" s="35"/>
      <c r="F1350" s="35"/>
      <c r="G1350" s="35"/>
      <c r="H1350" s="35"/>
      <c r="I1350" s="35"/>
      <c r="J1350" s="35"/>
      <c r="K1350" s="35"/>
      <c r="L1350" s="35"/>
      <c r="M1350" s="35"/>
      <c r="N1350" s="35"/>
      <c r="O1350" s="35"/>
      <c r="P1350" s="35"/>
      <c r="Q1350" s="35"/>
      <c r="R1350" s="35"/>
      <c r="S1350" s="35"/>
      <c r="T1350" s="35"/>
      <c r="U1350" s="35"/>
      <c r="V1350" s="35"/>
      <c r="W1350" s="35"/>
      <c r="X1350" s="35"/>
      <c r="Y1350" s="35"/>
      <c r="Z1350" s="35"/>
      <c r="AA1350" s="35"/>
      <c r="AB1350" s="35"/>
    </row>
    <row r="1351" ht="15.75" customHeight="1">
      <c r="A1351" s="35" t="s">
        <v>7970</v>
      </c>
      <c r="B1351" s="35">
        <v>1.0</v>
      </c>
      <c r="C1351" s="35"/>
      <c r="D1351" s="35"/>
      <c r="E1351" s="35"/>
      <c r="F1351" s="35"/>
      <c r="G1351" s="35"/>
      <c r="H1351" s="35"/>
      <c r="I1351" s="35"/>
      <c r="J1351" s="35"/>
      <c r="K1351" s="35"/>
      <c r="L1351" s="35"/>
      <c r="M1351" s="35"/>
      <c r="N1351" s="35"/>
      <c r="O1351" s="35"/>
      <c r="P1351" s="35"/>
      <c r="Q1351" s="35"/>
      <c r="R1351" s="35"/>
      <c r="S1351" s="35"/>
      <c r="T1351" s="35"/>
      <c r="U1351" s="35"/>
      <c r="V1351" s="35"/>
      <c r="W1351" s="35"/>
      <c r="X1351" s="35"/>
      <c r="Y1351" s="35"/>
      <c r="Z1351" s="35"/>
      <c r="AA1351" s="35"/>
      <c r="AB1351" s="35"/>
    </row>
    <row r="1352" ht="15.75" customHeight="1">
      <c r="A1352" s="35" t="s">
        <v>7973</v>
      </c>
      <c r="B1352" s="35">
        <v>1.0</v>
      </c>
      <c r="C1352" s="35"/>
      <c r="D1352" s="35"/>
      <c r="E1352" s="35"/>
      <c r="F1352" s="35"/>
      <c r="G1352" s="35"/>
      <c r="H1352" s="35"/>
      <c r="I1352" s="35"/>
      <c r="J1352" s="35"/>
      <c r="K1352" s="35"/>
      <c r="L1352" s="35"/>
      <c r="M1352" s="35"/>
      <c r="N1352" s="35"/>
      <c r="O1352" s="35"/>
      <c r="P1352" s="35"/>
      <c r="Q1352" s="35"/>
      <c r="R1352" s="35"/>
      <c r="S1352" s="35"/>
      <c r="T1352" s="35"/>
      <c r="U1352" s="35"/>
      <c r="V1352" s="35"/>
      <c r="W1352" s="35"/>
      <c r="X1352" s="35"/>
      <c r="Y1352" s="35"/>
      <c r="Z1352" s="35"/>
      <c r="AA1352" s="35"/>
      <c r="AB1352" s="35"/>
    </row>
    <row r="1353" ht="15.75" customHeight="1">
      <c r="A1353" s="35" t="s">
        <v>7976</v>
      </c>
      <c r="B1353" s="35">
        <v>1.0</v>
      </c>
      <c r="C1353" s="35"/>
      <c r="D1353" s="35"/>
      <c r="E1353" s="35"/>
      <c r="F1353" s="35"/>
      <c r="G1353" s="35"/>
      <c r="H1353" s="35"/>
      <c r="I1353" s="35"/>
      <c r="J1353" s="35"/>
      <c r="K1353" s="35"/>
      <c r="L1353" s="35"/>
      <c r="M1353" s="35"/>
      <c r="N1353" s="35"/>
      <c r="O1353" s="35"/>
      <c r="P1353" s="35"/>
      <c r="Q1353" s="35"/>
      <c r="R1353" s="35"/>
      <c r="S1353" s="35"/>
      <c r="T1353" s="35"/>
      <c r="U1353" s="35"/>
      <c r="V1353" s="35"/>
      <c r="W1353" s="35"/>
      <c r="X1353" s="35"/>
      <c r="Y1353" s="35"/>
      <c r="Z1353" s="35"/>
      <c r="AA1353" s="35"/>
      <c r="AB1353" s="35"/>
    </row>
    <row r="1354" ht="15.75" customHeight="1">
      <c r="A1354" s="35" t="s">
        <v>7980</v>
      </c>
      <c r="B1354" s="35">
        <v>1.0</v>
      </c>
      <c r="C1354" s="35"/>
      <c r="D1354" s="35"/>
      <c r="E1354" s="35"/>
      <c r="F1354" s="35"/>
      <c r="G1354" s="35"/>
      <c r="H1354" s="35"/>
      <c r="I1354" s="35"/>
      <c r="J1354" s="35"/>
      <c r="K1354" s="35"/>
      <c r="L1354" s="35"/>
      <c r="M1354" s="35"/>
      <c r="N1354" s="35"/>
      <c r="O1354" s="35"/>
      <c r="P1354" s="35"/>
      <c r="Q1354" s="35"/>
      <c r="R1354" s="35"/>
      <c r="S1354" s="35"/>
      <c r="T1354" s="35"/>
      <c r="U1354" s="35"/>
      <c r="V1354" s="35"/>
      <c r="W1354" s="35"/>
      <c r="X1354" s="35"/>
      <c r="Y1354" s="35"/>
      <c r="Z1354" s="35"/>
      <c r="AA1354" s="35"/>
      <c r="AB1354" s="35"/>
    </row>
    <row r="1355" ht="15.75" customHeight="1">
      <c r="A1355" s="35" t="s">
        <v>7983</v>
      </c>
      <c r="B1355" s="35">
        <v>1.0</v>
      </c>
      <c r="C1355" s="35"/>
      <c r="D1355" s="35"/>
      <c r="E1355" s="35"/>
      <c r="F1355" s="35"/>
      <c r="G1355" s="35"/>
      <c r="H1355" s="35"/>
      <c r="I1355" s="35"/>
      <c r="J1355" s="35"/>
      <c r="K1355" s="35"/>
      <c r="L1355" s="35"/>
      <c r="M1355" s="35"/>
      <c r="N1355" s="35"/>
      <c r="O1355" s="35"/>
      <c r="P1355" s="35"/>
      <c r="Q1355" s="35"/>
      <c r="R1355" s="35"/>
      <c r="S1355" s="35"/>
      <c r="T1355" s="35"/>
      <c r="U1355" s="35"/>
      <c r="V1355" s="35"/>
      <c r="W1355" s="35"/>
      <c r="X1355" s="35"/>
      <c r="Y1355" s="35"/>
      <c r="Z1355" s="35"/>
      <c r="AA1355" s="35"/>
      <c r="AB1355" s="35"/>
    </row>
    <row r="1356" ht="15.75" customHeight="1">
      <c r="A1356" s="35" t="s">
        <v>7986</v>
      </c>
      <c r="B1356" s="35">
        <v>1.0</v>
      </c>
      <c r="C1356" s="35"/>
      <c r="D1356" s="35"/>
      <c r="E1356" s="35"/>
      <c r="F1356" s="35"/>
      <c r="G1356" s="35"/>
      <c r="H1356" s="35"/>
      <c r="I1356" s="35"/>
      <c r="J1356" s="35"/>
      <c r="K1356" s="35"/>
      <c r="L1356" s="35"/>
      <c r="M1356" s="35"/>
      <c r="N1356" s="35"/>
      <c r="O1356" s="35"/>
      <c r="P1356" s="35"/>
      <c r="Q1356" s="35"/>
      <c r="R1356" s="35"/>
      <c r="S1356" s="35"/>
      <c r="T1356" s="35"/>
      <c r="U1356" s="35"/>
      <c r="V1356" s="35"/>
      <c r="W1356" s="35"/>
      <c r="X1356" s="35"/>
      <c r="Y1356" s="35"/>
      <c r="Z1356" s="35"/>
      <c r="AA1356" s="35"/>
      <c r="AB1356" s="35"/>
    </row>
    <row r="1357" ht="15.75" customHeight="1">
      <c r="A1357" s="35" t="s">
        <v>7989</v>
      </c>
      <c r="B1357" s="35">
        <v>1.0</v>
      </c>
      <c r="C1357" s="35"/>
      <c r="D1357" s="35"/>
      <c r="E1357" s="35"/>
      <c r="F1357" s="35"/>
      <c r="G1357" s="35"/>
      <c r="H1357" s="35"/>
      <c r="I1357" s="35"/>
      <c r="J1357" s="35"/>
      <c r="K1357" s="35"/>
      <c r="L1357" s="35"/>
      <c r="M1357" s="35"/>
      <c r="N1357" s="35"/>
      <c r="O1357" s="35"/>
      <c r="P1357" s="35"/>
      <c r="Q1357" s="35"/>
      <c r="R1357" s="35"/>
      <c r="S1357" s="35"/>
      <c r="T1357" s="35"/>
      <c r="U1357" s="35"/>
      <c r="V1357" s="35"/>
      <c r="W1357" s="35"/>
      <c r="X1357" s="35"/>
      <c r="Y1357" s="35"/>
      <c r="Z1357" s="35"/>
      <c r="AA1357" s="35"/>
      <c r="AB1357" s="35"/>
    </row>
    <row r="1358" ht="15.75" customHeight="1">
      <c r="A1358" s="35" t="s">
        <v>7992</v>
      </c>
      <c r="B1358" s="35">
        <v>1.0</v>
      </c>
      <c r="C1358" s="35"/>
      <c r="D1358" s="35"/>
      <c r="E1358" s="35"/>
      <c r="F1358" s="35"/>
      <c r="G1358" s="35"/>
      <c r="H1358" s="35"/>
      <c r="I1358" s="35"/>
      <c r="J1358" s="35"/>
      <c r="K1358" s="35"/>
      <c r="L1358" s="35"/>
      <c r="M1358" s="35"/>
      <c r="N1358" s="35"/>
      <c r="O1358" s="35"/>
      <c r="P1358" s="35"/>
      <c r="Q1358" s="35"/>
      <c r="R1358" s="35"/>
      <c r="S1358" s="35"/>
      <c r="T1358" s="35"/>
      <c r="U1358" s="35"/>
      <c r="V1358" s="35"/>
      <c r="W1358" s="35"/>
      <c r="X1358" s="35"/>
      <c r="Y1358" s="35"/>
      <c r="Z1358" s="35"/>
      <c r="AA1358" s="35"/>
      <c r="AB1358" s="35"/>
    </row>
    <row r="1359" ht="15.75" customHeight="1">
      <c r="A1359" s="35" t="s">
        <v>7996</v>
      </c>
      <c r="B1359" s="35">
        <v>1.0</v>
      </c>
      <c r="C1359" s="35"/>
      <c r="D1359" s="35"/>
      <c r="E1359" s="35"/>
      <c r="F1359" s="35"/>
      <c r="G1359" s="35"/>
      <c r="H1359" s="35"/>
      <c r="I1359" s="35"/>
      <c r="J1359" s="35"/>
      <c r="K1359" s="35"/>
      <c r="L1359" s="35"/>
      <c r="M1359" s="35"/>
      <c r="N1359" s="35"/>
      <c r="O1359" s="35"/>
      <c r="P1359" s="35"/>
      <c r="Q1359" s="35"/>
      <c r="R1359" s="35"/>
      <c r="S1359" s="35"/>
      <c r="T1359" s="35"/>
      <c r="U1359" s="35"/>
      <c r="V1359" s="35"/>
      <c r="W1359" s="35"/>
      <c r="X1359" s="35"/>
      <c r="Y1359" s="35"/>
      <c r="Z1359" s="35"/>
      <c r="AA1359" s="35"/>
      <c r="AB1359" s="35"/>
    </row>
    <row r="1360" ht="15.75" customHeight="1">
      <c r="A1360" s="35" t="s">
        <v>8000</v>
      </c>
      <c r="B1360" s="35">
        <v>1.0</v>
      </c>
      <c r="C1360" s="35"/>
      <c r="D1360" s="35"/>
      <c r="E1360" s="35"/>
      <c r="F1360" s="35"/>
      <c r="G1360" s="35"/>
      <c r="H1360" s="35"/>
      <c r="I1360" s="35"/>
      <c r="J1360" s="35"/>
      <c r="K1360" s="35"/>
      <c r="L1360" s="35"/>
      <c r="M1360" s="35"/>
      <c r="N1360" s="35"/>
      <c r="O1360" s="35"/>
      <c r="P1360" s="35"/>
      <c r="Q1360" s="35"/>
      <c r="R1360" s="35"/>
      <c r="S1360" s="35"/>
      <c r="T1360" s="35"/>
      <c r="U1360" s="35"/>
      <c r="V1360" s="35"/>
      <c r="W1360" s="35"/>
      <c r="X1360" s="35"/>
      <c r="Y1360" s="35"/>
      <c r="Z1360" s="35"/>
      <c r="AA1360" s="35"/>
      <c r="AB1360" s="35"/>
    </row>
    <row r="1361" ht="15.75" customHeight="1">
      <c r="A1361" s="35" t="s">
        <v>8003</v>
      </c>
      <c r="B1361" s="35">
        <v>1.0</v>
      </c>
      <c r="C1361" s="35"/>
      <c r="D1361" s="35"/>
      <c r="E1361" s="35"/>
      <c r="F1361" s="35"/>
      <c r="G1361" s="35"/>
      <c r="H1361" s="35"/>
      <c r="I1361" s="35"/>
      <c r="J1361" s="35"/>
      <c r="K1361" s="35"/>
      <c r="L1361" s="35"/>
      <c r="M1361" s="35"/>
      <c r="N1361" s="35"/>
      <c r="O1361" s="35"/>
      <c r="P1361" s="35"/>
      <c r="Q1361" s="35"/>
      <c r="R1361" s="35"/>
      <c r="S1361" s="35"/>
      <c r="T1361" s="35"/>
      <c r="U1361" s="35"/>
      <c r="V1361" s="35"/>
      <c r="W1361" s="35"/>
      <c r="X1361" s="35"/>
      <c r="Y1361" s="35"/>
      <c r="Z1361" s="35"/>
      <c r="AA1361" s="35"/>
      <c r="AB1361" s="35"/>
    </row>
    <row r="1362" ht="15.75" customHeight="1">
      <c r="A1362" s="35" t="s">
        <v>8006</v>
      </c>
      <c r="B1362" s="35">
        <v>1.0</v>
      </c>
      <c r="C1362" s="35"/>
      <c r="D1362" s="35"/>
      <c r="E1362" s="35"/>
      <c r="F1362" s="35"/>
      <c r="G1362" s="35"/>
      <c r="H1362" s="35"/>
      <c r="I1362" s="35"/>
      <c r="J1362" s="35"/>
      <c r="K1362" s="35"/>
      <c r="L1362" s="35"/>
      <c r="M1362" s="35"/>
      <c r="N1362" s="35"/>
      <c r="O1362" s="35"/>
      <c r="P1362" s="35"/>
      <c r="Q1362" s="35"/>
      <c r="R1362" s="35"/>
      <c r="S1362" s="35"/>
      <c r="T1362" s="35"/>
      <c r="U1362" s="35"/>
      <c r="V1362" s="35"/>
      <c r="W1362" s="35"/>
      <c r="X1362" s="35"/>
      <c r="Y1362" s="35"/>
      <c r="Z1362" s="35"/>
      <c r="AA1362" s="35"/>
      <c r="AB1362" s="35"/>
    </row>
    <row r="1363" ht="15.75" customHeight="1">
      <c r="A1363" s="35" t="s">
        <v>8009</v>
      </c>
      <c r="B1363" s="35">
        <v>1.0</v>
      </c>
      <c r="C1363" s="35"/>
      <c r="D1363" s="35"/>
      <c r="E1363" s="35"/>
      <c r="F1363" s="35"/>
      <c r="G1363" s="35"/>
      <c r="H1363" s="35"/>
      <c r="I1363" s="35"/>
      <c r="J1363" s="35"/>
      <c r="K1363" s="35"/>
      <c r="L1363" s="35"/>
      <c r="M1363" s="35"/>
      <c r="N1363" s="35"/>
      <c r="O1363" s="35"/>
      <c r="P1363" s="35"/>
      <c r="Q1363" s="35"/>
      <c r="R1363" s="35"/>
      <c r="S1363" s="35"/>
      <c r="T1363" s="35"/>
      <c r="U1363" s="35"/>
      <c r="V1363" s="35"/>
      <c r="W1363" s="35"/>
      <c r="X1363" s="35"/>
      <c r="Y1363" s="35"/>
      <c r="Z1363" s="35"/>
      <c r="AA1363" s="35"/>
      <c r="AB1363" s="35"/>
    </row>
    <row r="1364" ht="15.75" customHeight="1">
      <c r="A1364" s="35" t="s">
        <v>8013</v>
      </c>
      <c r="B1364" s="35">
        <v>1.0</v>
      </c>
      <c r="C1364" s="35"/>
      <c r="D1364" s="35"/>
      <c r="E1364" s="35"/>
      <c r="F1364" s="35"/>
      <c r="G1364" s="35"/>
      <c r="H1364" s="35"/>
      <c r="I1364" s="35"/>
      <c r="J1364" s="35"/>
      <c r="K1364" s="35"/>
      <c r="L1364" s="35"/>
      <c r="M1364" s="35"/>
      <c r="N1364" s="35"/>
      <c r="O1364" s="35"/>
      <c r="P1364" s="35"/>
      <c r="Q1364" s="35"/>
      <c r="R1364" s="35"/>
      <c r="S1364" s="35"/>
      <c r="T1364" s="35"/>
      <c r="U1364" s="35"/>
      <c r="V1364" s="35"/>
      <c r="W1364" s="35"/>
      <c r="X1364" s="35"/>
      <c r="Y1364" s="35"/>
      <c r="Z1364" s="35"/>
      <c r="AA1364" s="35"/>
      <c r="AB1364" s="35"/>
    </row>
    <row r="1365" ht="15.75" customHeight="1">
      <c r="A1365" s="35" t="s">
        <v>8016</v>
      </c>
      <c r="B1365" s="35">
        <v>1.0</v>
      </c>
      <c r="C1365" s="35"/>
      <c r="D1365" s="35"/>
      <c r="E1365" s="35"/>
      <c r="F1365" s="35"/>
      <c r="G1365" s="35"/>
      <c r="H1365" s="35"/>
      <c r="I1365" s="35"/>
      <c r="J1365" s="35"/>
      <c r="K1365" s="35"/>
      <c r="L1365" s="35"/>
      <c r="M1365" s="35"/>
      <c r="N1365" s="35"/>
      <c r="O1365" s="35"/>
      <c r="P1365" s="35"/>
      <c r="Q1365" s="35"/>
      <c r="R1365" s="35"/>
      <c r="S1365" s="35"/>
      <c r="T1365" s="35"/>
      <c r="U1365" s="35"/>
      <c r="V1365" s="35"/>
      <c r="W1365" s="35"/>
      <c r="X1365" s="35"/>
      <c r="Y1365" s="35"/>
      <c r="Z1365" s="35"/>
      <c r="AA1365" s="35"/>
      <c r="AB1365" s="35"/>
    </row>
    <row r="1366" ht="15.75" customHeight="1">
      <c r="A1366" s="35"/>
      <c r="B1366" s="35">
        <v>1.0</v>
      </c>
      <c r="C1366" s="35"/>
      <c r="D1366" s="35"/>
      <c r="E1366" s="35"/>
      <c r="F1366" s="35"/>
      <c r="G1366" s="35"/>
      <c r="H1366" s="35"/>
      <c r="I1366" s="35"/>
      <c r="J1366" s="35"/>
      <c r="K1366" s="35"/>
      <c r="L1366" s="35"/>
      <c r="M1366" s="35"/>
      <c r="N1366" s="35"/>
      <c r="O1366" s="35"/>
      <c r="P1366" s="35"/>
      <c r="Q1366" s="35"/>
      <c r="R1366" s="35"/>
      <c r="S1366" s="35"/>
      <c r="T1366" s="35"/>
      <c r="U1366" s="35"/>
      <c r="V1366" s="35"/>
      <c r="W1366" s="35"/>
      <c r="X1366" s="35"/>
      <c r="Y1366" s="35"/>
      <c r="Z1366" s="35"/>
      <c r="AA1366" s="35"/>
      <c r="AB1366" s="35"/>
    </row>
    <row r="1367" ht="15.75" customHeight="1">
      <c r="A1367" s="35" t="s">
        <v>8021</v>
      </c>
      <c r="B1367" s="35">
        <v>1.0</v>
      </c>
      <c r="C1367" s="35"/>
      <c r="D1367" s="35"/>
      <c r="E1367" s="35"/>
      <c r="F1367" s="35"/>
      <c r="G1367" s="35"/>
      <c r="H1367" s="35"/>
      <c r="I1367" s="35"/>
      <c r="J1367" s="35"/>
      <c r="K1367" s="35"/>
      <c r="L1367" s="35"/>
      <c r="M1367" s="35"/>
      <c r="N1367" s="35"/>
      <c r="O1367" s="35"/>
      <c r="P1367" s="35"/>
      <c r="Q1367" s="35"/>
      <c r="R1367" s="35"/>
      <c r="S1367" s="35"/>
      <c r="T1367" s="35"/>
      <c r="U1367" s="35"/>
      <c r="V1367" s="35"/>
      <c r="W1367" s="35"/>
      <c r="X1367" s="35"/>
      <c r="Y1367" s="35"/>
      <c r="Z1367" s="35"/>
      <c r="AA1367" s="35"/>
      <c r="AB1367" s="35"/>
    </row>
    <row r="1368" ht="15.75" customHeight="1">
      <c r="A1368" s="35" t="s">
        <v>8024</v>
      </c>
      <c r="B1368" s="35">
        <v>1.0</v>
      </c>
      <c r="C1368" s="35"/>
      <c r="D1368" s="35"/>
      <c r="E1368" s="35"/>
      <c r="F1368" s="35"/>
      <c r="G1368" s="35"/>
      <c r="H1368" s="35"/>
      <c r="I1368" s="35"/>
      <c r="J1368" s="35"/>
      <c r="K1368" s="35"/>
      <c r="L1368" s="35"/>
      <c r="M1368" s="35"/>
      <c r="N1368" s="35"/>
      <c r="O1368" s="35"/>
      <c r="P1368" s="35"/>
      <c r="Q1368" s="35"/>
      <c r="R1368" s="35"/>
      <c r="S1368" s="35"/>
      <c r="T1368" s="35"/>
      <c r="U1368" s="35"/>
      <c r="V1368" s="35"/>
      <c r="W1368" s="35"/>
      <c r="X1368" s="35"/>
      <c r="Y1368" s="35"/>
      <c r="Z1368" s="35"/>
      <c r="AA1368" s="35"/>
      <c r="AB1368" s="35"/>
    </row>
    <row r="1369" ht="15.75" customHeight="1">
      <c r="A1369" s="35" t="s">
        <v>8027</v>
      </c>
      <c r="B1369" s="35">
        <v>1.0</v>
      </c>
      <c r="C1369" s="35"/>
      <c r="D1369" s="35"/>
      <c r="E1369" s="35"/>
      <c r="F1369" s="35"/>
      <c r="G1369" s="35"/>
      <c r="H1369" s="35"/>
      <c r="I1369" s="35"/>
      <c r="J1369" s="35"/>
      <c r="K1369" s="35"/>
      <c r="L1369" s="35"/>
      <c r="M1369" s="35"/>
      <c r="N1369" s="35"/>
      <c r="O1369" s="35"/>
      <c r="P1369" s="35"/>
      <c r="Q1369" s="35"/>
      <c r="R1369" s="35"/>
      <c r="S1369" s="35"/>
      <c r="T1369" s="35"/>
      <c r="U1369" s="35"/>
      <c r="V1369" s="35"/>
      <c r="W1369" s="35"/>
      <c r="X1369" s="35"/>
      <c r="Y1369" s="35"/>
      <c r="Z1369" s="35"/>
      <c r="AA1369" s="35"/>
      <c r="AB1369" s="35"/>
    </row>
    <row r="1370" ht="15.75" customHeight="1">
      <c r="A1370" s="35" t="s">
        <v>8031</v>
      </c>
      <c r="B1370" s="35">
        <v>1.0</v>
      </c>
      <c r="C1370" s="35"/>
      <c r="D1370" s="35"/>
      <c r="E1370" s="35"/>
      <c r="F1370" s="35"/>
      <c r="G1370" s="35"/>
      <c r="H1370" s="35"/>
      <c r="I1370" s="35"/>
      <c r="J1370" s="35"/>
      <c r="K1370" s="35"/>
      <c r="L1370" s="35"/>
      <c r="M1370" s="35"/>
      <c r="N1370" s="35"/>
      <c r="O1370" s="35"/>
      <c r="P1370" s="35"/>
      <c r="Q1370" s="35"/>
      <c r="R1370" s="35"/>
      <c r="S1370" s="35"/>
      <c r="T1370" s="35"/>
      <c r="U1370" s="35"/>
      <c r="V1370" s="35"/>
      <c r="W1370" s="35"/>
      <c r="X1370" s="35"/>
      <c r="Y1370" s="35"/>
      <c r="Z1370" s="35"/>
      <c r="AA1370" s="35"/>
      <c r="AB1370" s="35"/>
    </row>
    <row r="1371" ht="15.75" customHeight="1">
      <c r="A1371" s="35" t="s">
        <v>8034</v>
      </c>
      <c r="B1371" s="35">
        <v>1.0</v>
      </c>
      <c r="C1371" s="35"/>
      <c r="D1371" s="35"/>
      <c r="E1371" s="35"/>
      <c r="F1371" s="35"/>
      <c r="G1371" s="35"/>
      <c r="H1371" s="35"/>
      <c r="I1371" s="35"/>
      <c r="J1371" s="35"/>
      <c r="K1371" s="35"/>
      <c r="L1371" s="35"/>
      <c r="M1371" s="35"/>
      <c r="N1371" s="35"/>
      <c r="O1371" s="35"/>
      <c r="P1371" s="35"/>
      <c r="Q1371" s="35"/>
      <c r="R1371" s="35"/>
      <c r="S1371" s="35"/>
      <c r="T1371" s="35"/>
      <c r="U1371" s="35"/>
      <c r="V1371" s="35"/>
      <c r="W1371" s="35"/>
      <c r="X1371" s="35"/>
      <c r="Y1371" s="35"/>
      <c r="Z1371" s="35"/>
      <c r="AA1371" s="35"/>
      <c r="AB1371" s="35"/>
    </row>
    <row r="1372" ht="15.75" customHeight="1">
      <c r="A1372" s="35" t="s">
        <v>8037</v>
      </c>
      <c r="B1372" s="35">
        <v>1.0</v>
      </c>
      <c r="C1372" s="35"/>
      <c r="D1372" s="35"/>
      <c r="E1372" s="35"/>
      <c r="F1372" s="35"/>
      <c r="G1372" s="35"/>
      <c r="H1372" s="35"/>
      <c r="I1372" s="35"/>
      <c r="J1372" s="35"/>
      <c r="K1372" s="35"/>
      <c r="L1372" s="35"/>
      <c r="M1372" s="35"/>
      <c r="N1372" s="35"/>
      <c r="O1372" s="35"/>
      <c r="P1372" s="35"/>
      <c r="Q1372" s="35"/>
      <c r="R1372" s="35"/>
      <c r="S1372" s="35"/>
      <c r="T1372" s="35"/>
      <c r="U1372" s="35"/>
      <c r="V1372" s="35"/>
      <c r="W1372" s="35"/>
      <c r="X1372" s="35"/>
      <c r="Y1372" s="35"/>
      <c r="Z1372" s="35"/>
      <c r="AA1372" s="35"/>
      <c r="AB1372" s="35"/>
    </row>
    <row r="1373" ht="15.75" customHeight="1">
      <c r="A1373" s="35" t="s">
        <v>8040</v>
      </c>
      <c r="B1373" s="35">
        <v>1.0</v>
      </c>
      <c r="C1373" s="35"/>
      <c r="D1373" s="35"/>
      <c r="E1373" s="35"/>
      <c r="F1373" s="35"/>
      <c r="G1373" s="35"/>
      <c r="H1373" s="35"/>
      <c r="I1373" s="35"/>
      <c r="J1373" s="35"/>
      <c r="K1373" s="35"/>
      <c r="L1373" s="35"/>
      <c r="M1373" s="35"/>
      <c r="N1373" s="35"/>
      <c r="O1373" s="35"/>
      <c r="P1373" s="35"/>
      <c r="Q1373" s="35"/>
      <c r="R1373" s="35"/>
      <c r="S1373" s="35"/>
      <c r="T1373" s="35"/>
      <c r="U1373" s="35"/>
      <c r="V1373" s="35"/>
      <c r="W1373" s="35"/>
      <c r="X1373" s="35"/>
      <c r="Y1373" s="35"/>
      <c r="Z1373" s="35"/>
      <c r="AA1373" s="35"/>
      <c r="AB1373" s="35"/>
    </row>
    <row r="1374" ht="15.75" customHeight="1">
      <c r="A1374" s="35" t="s">
        <v>8043</v>
      </c>
      <c r="B1374" s="35">
        <v>1.0</v>
      </c>
      <c r="C1374" s="35"/>
      <c r="D1374" s="35"/>
      <c r="E1374" s="35"/>
      <c r="F1374" s="35"/>
      <c r="G1374" s="35"/>
      <c r="H1374" s="35"/>
      <c r="I1374" s="35"/>
      <c r="J1374" s="35"/>
      <c r="K1374" s="35"/>
      <c r="L1374" s="35"/>
      <c r="M1374" s="35"/>
      <c r="N1374" s="35"/>
      <c r="O1374" s="35"/>
      <c r="P1374" s="35"/>
      <c r="Q1374" s="35"/>
      <c r="R1374" s="35"/>
      <c r="S1374" s="35"/>
      <c r="T1374" s="35"/>
      <c r="U1374" s="35"/>
      <c r="V1374" s="35"/>
      <c r="W1374" s="35"/>
      <c r="X1374" s="35"/>
      <c r="Y1374" s="35"/>
      <c r="Z1374" s="35"/>
      <c r="AA1374" s="35"/>
      <c r="AB1374" s="35"/>
    </row>
    <row r="1375" ht="15.75" customHeight="1">
      <c r="A1375" s="35" t="s">
        <v>8047</v>
      </c>
      <c r="B1375" s="35">
        <v>1.0</v>
      </c>
      <c r="C1375" s="35"/>
      <c r="D1375" s="35"/>
      <c r="E1375" s="35"/>
      <c r="F1375" s="35"/>
      <c r="G1375" s="35"/>
      <c r="H1375" s="35"/>
      <c r="I1375" s="35"/>
      <c r="J1375" s="35"/>
      <c r="K1375" s="35"/>
      <c r="L1375" s="35"/>
      <c r="M1375" s="35"/>
      <c r="N1375" s="35"/>
      <c r="O1375" s="35"/>
      <c r="P1375" s="35"/>
      <c r="Q1375" s="35"/>
      <c r="R1375" s="35"/>
      <c r="S1375" s="35"/>
      <c r="T1375" s="35"/>
      <c r="U1375" s="35"/>
      <c r="V1375" s="35"/>
      <c r="W1375" s="35"/>
      <c r="X1375" s="35"/>
      <c r="Y1375" s="35"/>
      <c r="Z1375" s="35"/>
      <c r="AA1375" s="35"/>
      <c r="AB1375" s="35"/>
    </row>
    <row r="1376" ht="15.75" customHeight="1">
      <c r="A1376" s="35" t="s">
        <v>8050</v>
      </c>
      <c r="B1376" s="35">
        <v>1.0</v>
      </c>
      <c r="C1376" s="35"/>
      <c r="D1376" s="35"/>
      <c r="E1376" s="35"/>
      <c r="F1376" s="35"/>
      <c r="G1376" s="35"/>
      <c r="H1376" s="35"/>
      <c r="I1376" s="35"/>
      <c r="J1376" s="35"/>
      <c r="K1376" s="35"/>
      <c r="L1376" s="35"/>
      <c r="M1376" s="35"/>
      <c r="N1376" s="35"/>
      <c r="O1376" s="35"/>
      <c r="P1376" s="35"/>
      <c r="Q1376" s="35"/>
      <c r="R1376" s="35"/>
      <c r="S1376" s="35"/>
      <c r="T1376" s="35"/>
      <c r="U1376" s="35"/>
      <c r="V1376" s="35"/>
      <c r="W1376" s="35"/>
      <c r="X1376" s="35"/>
      <c r="Y1376" s="35"/>
      <c r="Z1376" s="35"/>
      <c r="AA1376" s="35"/>
      <c r="AB1376" s="35"/>
    </row>
    <row r="1377" ht="15.75" customHeight="1">
      <c r="A1377" s="35" t="s">
        <v>8053</v>
      </c>
      <c r="B1377" s="35">
        <v>1.0</v>
      </c>
      <c r="C1377" s="35"/>
      <c r="D1377" s="35"/>
      <c r="E1377" s="35"/>
      <c r="F1377" s="35"/>
      <c r="G1377" s="35"/>
      <c r="H1377" s="35"/>
      <c r="I1377" s="35"/>
      <c r="J1377" s="35"/>
      <c r="K1377" s="35"/>
      <c r="L1377" s="35"/>
      <c r="M1377" s="35"/>
      <c r="N1377" s="35"/>
      <c r="O1377" s="35"/>
      <c r="P1377" s="35"/>
      <c r="Q1377" s="35"/>
      <c r="R1377" s="35"/>
      <c r="S1377" s="35"/>
      <c r="T1377" s="35"/>
      <c r="U1377" s="35"/>
      <c r="V1377" s="35"/>
      <c r="W1377" s="35"/>
      <c r="X1377" s="35"/>
      <c r="Y1377" s="35"/>
      <c r="Z1377" s="35"/>
      <c r="AA1377" s="35"/>
      <c r="AB1377" s="35"/>
    </row>
    <row r="1378" ht="15.75" customHeight="1">
      <c r="A1378" s="35" t="s">
        <v>8056</v>
      </c>
      <c r="B1378" s="35">
        <v>1.0</v>
      </c>
      <c r="C1378" s="35"/>
      <c r="D1378" s="35"/>
      <c r="E1378" s="35"/>
      <c r="F1378" s="35"/>
      <c r="G1378" s="35"/>
      <c r="H1378" s="35"/>
      <c r="I1378" s="35"/>
      <c r="J1378" s="35"/>
      <c r="K1378" s="35"/>
      <c r="L1378" s="35"/>
      <c r="M1378" s="35"/>
      <c r="N1378" s="35"/>
      <c r="O1378" s="35"/>
      <c r="P1378" s="35"/>
      <c r="Q1378" s="35"/>
      <c r="R1378" s="35"/>
      <c r="S1378" s="35"/>
      <c r="T1378" s="35"/>
      <c r="U1378" s="35"/>
      <c r="V1378" s="35"/>
      <c r="W1378" s="35"/>
      <c r="X1378" s="35"/>
      <c r="Y1378" s="35"/>
      <c r="Z1378" s="35"/>
      <c r="AA1378" s="35"/>
      <c r="AB1378" s="35"/>
    </row>
    <row r="1379" ht="15.75" customHeight="1">
      <c r="A1379" s="35" t="s">
        <v>8060</v>
      </c>
      <c r="B1379" s="35">
        <v>1.0</v>
      </c>
      <c r="C1379" s="35"/>
      <c r="D1379" s="35"/>
      <c r="E1379" s="35"/>
      <c r="F1379" s="35"/>
      <c r="G1379" s="35"/>
      <c r="H1379" s="35"/>
      <c r="I1379" s="35"/>
      <c r="J1379" s="35"/>
      <c r="K1379" s="35"/>
      <c r="L1379" s="35"/>
      <c r="M1379" s="35"/>
      <c r="N1379" s="35"/>
      <c r="O1379" s="35"/>
      <c r="P1379" s="35"/>
      <c r="Q1379" s="35"/>
      <c r="R1379" s="35"/>
      <c r="S1379" s="35"/>
      <c r="T1379" s="35"/>
      <c r="U1379" s="35"/>
      <c r="V1379" s="35"/>
      <c r="W1379" s="35"/>
      <c r="X1379" s="35"/>
      <c r="Y1379" s="35"/>
      <c r="Z1379" s="35"/>
      <c r="AA1379" s="35"/>
      <c r="AB1379" s="35"/>
    </row>
    <row r="1380" ht="15.75" customHeight="1">
      <c r="A1380" s="35" t="s">
        <v>8063</v>
      </c>
      <c r="B1380" s="35">
        <v>1.0</v>
      </c>
      <c r="C1380" s="35"/>
      <c r="D1380" s="35"/>
      <c r="E1380" s="35"/>
      <c r="F1380" s="35"/>
      <c r="G1380" s="35"/>
      <c r="H1380" s="35"/>
      <c r="I1380" s="35"/>
      <c r="J1380" s="35"/>
      <c r="K1380" s="35"/>
      <c r="L1380" s="35"/>
      <c r="M1380" s="35"/>
      <c r="N1380" s="35"/>
      <c r="O1380" s="35"/>
      <c r="P1380" s="35"/>
      <c r="Q1380" s="35"/>
      <c r="R1380" s="35"/>
      <c r="S1380" s="35"/>
      <c r="T1380" s="35"/>
      <c r="U1380" s="35"/>
      <c r="V1380" s="35"/>
      <c r="W1380" s="35"/>
      <c r="X1380" s="35"/>
      <c r="Y1380" s="35"/>
      <c r="Z1380" s="35"/>
      <c r="AA1380" s="35"/>
      <c r="AB1380" s="35"/>
    </row>
    <row r="1381" ht="15.75" customHeight="1">
      <c r="A1381" s="35" t="s">
        <v>8066</v>
      </c>
      <c r="B1381" s="35">
        <v>1.0</v>
      </c>
      <c r="C1381" s="35"/>
      <c r="D1381" s="35"/>
      <c r="E1381" s="35"/>
      <c r="F1381" s="35"/>
      <c r="G1381" s="35"/>
      <c r="H1381" s="35"/>
      <c r="I1381" s="35"/>
      <c r="J1381" s="35"/>
      <c r="K1381" s="35"/>
      <c r="L1381" s="35"/>
      <c r="M1381" s="35"/>
      <c r="N1381" s="35"/>
      <c r="O1381" s="35"/>
      <c r="P1381" s="35"/>
      <c r="Q1381" s="35"/>
      <c r="R1381" s="35"/>
      <c r="S1381" s="35"/>
      <c r="T1381" s="35"/>
      <c r="U1381" s="35"/>
      <c r="V1381" s="35"/>
      <c r="W1381" s="35"/>
      <c r="X1381" s="35"/>
      <c r="Y1381" s="35"/>
      <c r="Z1381" s="35"/>
      <c r="AA1381" s="35"/>
      <c r="AB1381" s="35"/>
    </row>
    <row r="1382" ht="15.75" customHeight="1">
      <c r="A1382" s="35" t="s">
        <v>8069</v>
      </c>
      <c r="B1382" s="35">
        <v>1.0</v>
      </c>
      <c r="C1382" s="35"/>
      <c r="D1382" s="35"/>
      <c r="E1382" s="35"/>
      <c r="F1382" s="35"/>
      <c r="G1382" s="35"/>
      <c r="H1382" s="35"/>
      <c r="I1382" s="35"/>
      <c r="J1382" s="35"/>
      <c r="K1382" s="35"/>
      <c r="L1382" s="35"/>
      <c r="M1382" s="35"/>
      <c r="N1382" s="35"/>
      <c r="O1382" s="35"/>
      <c r="P1382" s="35"/>
      <c r="Q1382" s="35"/>
      <c r="R1382" s="35"/>
      <c r="S1382" s="35"/>
      <c r="T1382" s="35"/>
      <c r="U1382" s="35"/>
      <c r="V1382" s="35"/>
      <c r="W1382" s="35"/>
      <c r="X1382" s="35"/>
      <c r="Y1382" s="35"/>
      <c r="Z1382" s="35"/>
      <c r="AA1382" s="35"/>
      <c r="AB1382" s="35"/>
    </row>
    <row r="1383" ht="15.75" customHeight="1">
      <c r="A1383" s="35" t="s">
        <v>8072</v>
      </c>
      <c r="B1383" s="35">
        <v>1.0</v>
      </c>
      <c r="C1383" s="35"/>
      <c r="D1383" s="35"/>
      <c r="E1383" s="35"/>
      <c r="F1383" s="35"/>
      <c r="G1383" s="35"/>
      <c r="H1383" s="35"/>
      <c r="I1383" s="35"/>
      <c r="J1383" s="35"/>
      <c r="K1383" s="35"/>
      <c r="L1383" s="35"/>
      <c r="M1383" s="35"/>
      <c r="N1383" s="35"/>
      <c r="O1383" s="35"/>
      <c r="P1383" s="35"/>
      <c r="Q1383" s="35"/>
      <c r="R1383" s="35"/>
      <c r="S1383" s="35"/>
      <c r="T1383" s="35"/>
      <c r="U1383" s="35"/>
      <c r="V1383" s="35"/>
      <c r="W1383" s="35"/>
      <c r="X1383" s="35"/>
      <c r="Y1383" s="35"/>
      <c r="Z1383" s="35"/>
      <c r="AA1383" s="35"/>
      <c r="AB1383" s="35"/>
    </row>
    <row r="1384" ht="15.75" customHeight="1">
      <c r="A1384" s="35" t="s">
        <v>8075</v>
      </c>
      <c r="B1384" s="35">
        <v>1.0</v>
      </c>
      <c r="C1384" s="35"/>
      <c r="D1384" s="35"/>
      <c r="E1384" s="35"/>
      <c r="F1384" s="35"/>
      <c r="G1384" s="35"/>
      <c r="H1384" s="35"/>
      <c r="I1384" s="35"/>
      <c r="J1384" s="35"/>
      <c r="K1384" s="35"/>
      <c r="L1384" s="35"/>
      <c r="M1384" s="35"/>
      <c r="N1384" s="35"/>
      <c r="O1384" s="35"/>
      <c r="P1384" s="35"/>
      <c r="Q1384" s="35"/>
      <c r="R1384" s="35"/>
      <c r="S1384" s="35"/>
      <c r="T1384" s="35"/>
      <c r="U1384" s="35"/>
      <c r="V1384" s="35"/>
      <c r="W1384" s="35"/>
      <c r="X1384" s="35"/>
      <c r="Y1384" s="35"/>
      <c r="Z1384" s="35"/>
      <c r="AA1384" s="35"/>
      <c r="AB1384" s="35"/>
    </row>
    <row r="1385" ht="15.75" customHeight="1">
      <c r="A1385" s="35" t="s">
        <v>8078</v>
      </c>
      <c r="B1385" s="35">
        <v>1.0</v>
      </c>
      <c r="C1385" s="35"/>
      <c r="D1385" s="35"/>
      <c r="E1385" s="35"/>
      <c r="F1385" s="35"/>
      <c r="G1385" s="35"/>
      <c r="H1385" s="35"/>
      <c r="I1385" s="35"/>
      <c r="J1385" s="35"/>
      <c r="K1385" s="35"/>
      <c r="L1385" s="35"/>
      <c r="M1385" s="35"/>
      <c r="N1385" s="35"/>
      <c r="O1385" s="35"/>
      <c r="P1385" s="35"/>
      <c r="Q1385" s="35"/>
      <c r="R1385" s="35"/>
      <c r="S1385" s="35"/>
      <c r="T1385" s="35"/>
      <c r="U1385" s="35"/>
      <c r="V1385" s="35"/>
      <c r="W1385" s="35"/>
      <c r="X1385" s="35"/>
      <c r="Y1385" s="35"/>
      <c r="Z1385" s="35"/>
      <c r="AA1385" s="35"/>
      <c r="AB1385" s="35"/>
    </row>
    <row r="1386" ht="15.75" customHeight="1">
      <c r="A1386" s="35" t="s">
        <v>8082</v>
      </c>
      <c r="B1386" s="35">
        <v>1.0</v>
      </c>
      <c r="C1386" s="35"/>
      <c r="D1386" s="35"/>
      <c r="E1386" s="35"/>
      <c r="F1386" s="35"/>
      <c r="G1386" s="35"/>
      <c r="H1386" s="35"/>
      <c r="I1386" s="35"/>
      <c r="J1386" s="35"/>
      <c r="K1386" s="35"/>
      <c r="L1386" s="35"/>
      <c r="M1386" s="35"/>
      <c r="N1386" s="35"/>
      <c r="O1386" s="35"/>
      <c r="P1386" s="35"/>
      <c r="Q1386" s="35"/>
      <c r="R1386" s="35"/>
      <c r="S1386" s="35"/>
      <c r="T1386" s="35"/>
      <c r="U1386" s="35"/>
      <c r="V1386" s="35"/>
      <c r="W1386" s="35"/>
      <c r="X1386" s="35"/>
      <c r="Y1386" s="35"/>
      <c r="Z1386" s="35"/>
      <c r="AA1386" s="35"/>
      <c r="AB1386" s="35"/>
    </row>
    <row r="1387" ht="15.75" customHeight="1">
      <c r="A1387" s="35" t="s">
        <v>8085</v>
      </c>
      <c r="B1387" s="35">
        <v>1.0</v>
      </c>
      <c r="C1387" s="35"/>
      <c r="D1387" s="35"/>
      <c r="E1387" s="35"/>
      <c r="F1387" s="35"/>
      <c r="G1387" s="35"/>
      <c r="H1387" s="35"/>
      <c r="I1387" s="35"/>
      <c r="J1387" s="35"/>
      <c r="K1387" s="35"/>
      <c r="L1387" s="35"/>
      <c r="M1387" s="35"/>
      <c r="N1387" s="35"/>
      <c r="O1387" s="35"/>
      <c r="P1387" s="35"/>
      <c r="Q1387" s="35"/>
      <c r="R1387" s="35"/>
      <c r="S1387" s="35"/>
      <c r="T1387" s="35"/>
      <c r="U1387" s="35"/>
      <c r="V1387" s="35"/>
      <c r="W1387" s="35"/>
      <c r="X1387" s="35"/>
      <c r="Y1387" s="35"/>
      <c r="Z1387" s="35"/>
      <c r="AA1387" s="35"/>
      <c r="AB1387" s="35"/>
    </row>
    <row r="1388" ht="15.75" customHeight="1">
      <c r="A1388" s="35" t="s">
        <v>8088</v>
      </c>
      <c r="B1388" s="35">
        <v>1.0</v>
      </c>
      <c r="C1388" s="35"/>
      <c r="D1388" s="35"/>
      <c r="E1388" s="35"/>
      <c r="F1388" s="35"/>
      <c r="G1388" s="35"/>
      <c r="H1388" s="35"/>
      <c r="I1388" s="35"/>
      <c r="J1388" s="35"/>
      <c r="K1388" s="35"/>
      <c r="L1388" s="35"/>
      <c r="M1388" s="35"/>
      <c r="N1388" s="35"/>
      <c r="O1388" s="35"/>
      <c r="P1388" s="35"/>
      <c r="Q1388" s="35"/>
      <c r="R1388" s="35"/>
      <c r="S1388" s="35"/>
      <c r="T1388" s="35"/>
      <c r="U1388" s="35"/>
      <c r="V1388" s="35"/>
      <c r="W1388" s="35"/>
      <c r="X1388" s="35"/>
      <c r="Y1388" s="35"/>
      <c r="Z1388" s="35"/>
      <c r="AA1388" s="35"/>
      <c r="AB1388" s="35"/>
    </row>
    <row r="1389" ht="15.75" customHeight="1">
      <c r="A1389" s="35" t="s">
        <v>8091</v>
      </c>
      <c r="B1389" s="35">
        <v>1.0</v>
      </c>
      <c r="C1389" s="35"/>
      <c r="D1389" s="35"/>
      <c r="E1389" s="35"/>
      <c r="F1389" s="35"/>
      <c r="G1389" s="35"/>
      <c r="H1389" s="35"/>
      <c r="I1389" s="35"/>
      <c r="J1389" s="35"/>
      <c r="K1389" s="35"/>
      <c r="L1389" s="35"/>
      <c r="M1389" s="35"/>
      <c r="N1389" s="35"/>
      <c r="O1389" s="35"/>
      <c r="P1389" s="35"/>
      <c r="Q1389" s="35"/>
      <c r="R1389" s="35"/>
      <c r="S1389" s="35"/>
      <c r="T1389" s="35"/>
      <c r="U1389" s="35"/>
      <c r="V1389" s="35"/>
      <c r="W1389" s="35"/>
      <c r="X1389" s="35"/>
      <c r="Y1389" s="35"/>
      <c r="Z1389" s="35"/>
      <c r="AA1389" s="35"/>
      <c r="AB1389" s="35"/>
    </row>
    <row r="1390" ht="15.75" customHeight="1">
      <c r="A1390" s="35" t="s">
        <v>8093</v>
      </c>
      <c r="B1390" s="35">
        <v>1.0</v>
      </c>
      <c r="C1390" s="35"/>
      <c r="D1390" s="35"/>
      <c r="E1390" s="35"/>
      <c r="F1390" s="35"/>
      <c r="G1390" s="35"/>
      <c r="H1390" s="35"/>
      <c r="I1390" s="35"/>
      <c r="J1390" s="35"/>
      <c r="K1390" s="35"/>
      <c r="L1390" s="35"/>
      <c r="M1390" s="35"/>
      <c r="N1390" s="35"/>
      <c r="O1390" s="35"/>
      <c r="P1390" s="35"/>
      <c r="Q1390" s="35"/>
      <c r="R1390" s="35"/>
      <c r="S1390" s="35"/>
      <c r="T1390" s="35"/>
      <c r="U1390" s="35"/>
      <c r="V1390" s="35"/>
      <c r="W1390" s="35"/>
      <c r="X1390" s="35"/>
      <c r="Y1390" s="35"/>
      <c r="Z1390" s="35"/>
      <c r="AA1390" s="35"/>
      <c r="AB1390" s="35"/>
    </row>
    <row r="1391" ht="15.75" customHeight="1">
      <c r="A1391" s="35" t="s">
        <v>8097</v>
      </c>
      <c r="B1391" s="35">
        <v>1.0</v>
      </c>
      <c r="C1391" s="35"/>
      <c r="D1391" s="35"/>
      <c r="E1391" s="35"/>
      <c r="F1391" s="35"/>
      <c r="G1391" s="35"/>
      <c r="H1391" s="35"/>
      <c r="I1391" s="35"/>
      <c r="J1391" s="35"/>
      <c r="K1391" s="35"/>
      <c r="L1391" s="35"/>
      <c r="M1391" s="35"/>
      <c r="N1391" s="35"/>
      <c r="O1391" s="35"/>
      <c r="P1391" s="35"/>
      <c r="Q1391" s="35"/>
      <c r="R1391" s="35"/>
      <c r="S1391" s="35"/>
      <c r="T1391" s="35"/>
      <c r="U1391" s="35"/>
      <c r="V1391" s="35"/>
      <c r="W1391" s="35"/>
      <c r="X1391" s="35"/>
      <c r="Y1391" s="35"/>
      <c r="Z1391" s="35"/>
      <c r="AA1391" s="35"/>
      <c r="AB1391" s="35"/>
    </row>
    <row r="1392" ht="15.75" customHeight="1">
      <c r="A1392" s="35" t="s">
        <v>8100</v>
      </c>
      <c r="B1392" s="35">
        <v>1.0</v>
      </c>
      <c r="C1392" s="35"/>
      <c r="D1392" s="35"/>
      <c r="E1392" s="35"/>
      <c r="F1392" s="35"/>
      <c r="G1392" s="35"/>
      <c r="H1392" s="35"/>
      <c r="I1392" s="35"/>
      <c r="J1392" s="35"/>
      <c r="K1392" s="35"/>
      <c r="L1392" s="35"/>
      <c r="M1392" s="35"/>
      <c r="N1392" s="35"/>
      <c r="O1392" s="35"/>
      <c r="P1392" s="35"/>
      <c r="Q1392" s="35"/>
      <c r="R1392" s="35"/>
      <c r="S1392" s="35"/>
      <c r="T1392" s="35"/>
      <c r="U1392" s="35"/>
      <c r="V1392" s="35"/>
      <c r="W1392" s="35"/>
      <c r="X1392" s="35"/>
      <c r="Y1392" s="35"/>
      <c r="Z1392" s="35"/>
      <c r="AA1392" s="35"/>
      <c r="AB1392" s="35"/>
    </row>
    <row r="1393" ht="15.75" customHeight="1">
      <c r="A1393" s="35" t="s">
        <v>8104</v>
      </c>
      <c r="B1393" s="35">
        <v>1.0</v>
      </c>
      <c r="C1393" s="35"/>
      <c r="D1393" s="35"/>
      <c r="E1393" s="35"/>
      <c r="F1393" s="35"/>
      <c r="G1393" s="35"/>
      <c r="H1393" s="35"/>
      <c r="I1393" s="35"/>
      <c r="J1393" s="35"/>
      <c r="K1393" s="35"/>
      <c r="L1393" s="35"/>
      <c r="M1393" s="35"/>
      <c r="N1393" s="35"/>
      <c r="O1393" s="35"/>
      <c r="P1393" s="35"/>
      <c r="Q1393" s="35"/>
      <c r="R1393" s="35"/>
      <c r="S1393" s="35"/>
      <c r="T1393" s="35"/>
      <c r="U1393" s="35"/>
      <c r="V1393" s="35"/>
      <c r="W1393" s="35"/>
      <c r="X1393" s="35"/>
      <c r="Y1393" s="35"/>
      <c r="Z1393" s="35"/>
      <c r="AA1393" s="35"/>
      <c r="AB1393" s="35"/>
    </row>
    <row r="1394" ht="15.75" customHeight="1">
      <c r="A1394" s="35" t="s">
        <v>8107</v>
      </c>
      <c r="B1394" s="35">
        <v>1.0</v>
      </c>
      <c r="C1394" s="35"/>
      <c r="D1394" s="35"/>
      <c r="E1394" s="35"/>
      <c r="F1394" s="35"/>
      <c r="G1394" s="35"/>
      <c r="H1394" s="35"/>
      <c r="I1394" s="35"/>
      <c r="J1394" s="35"/>
      <c r="K1394" s="35"/>
      <c r="L1394" s="35"/>
      <c r="M1394" s="35"/>
      <c r="N1394" s="35"/>
      <c r="O1394" s="35"/>
      <c r="P1394" s="35"/>
      <c r="Q1394" s="35"/>
      <c r="R1394" s="35"/>
      <c r="S1394" s="35"/>
      <c r="T1394" s="35"/>
      <c r="U1394" s="35"/>
      <c r="V1394" s="35"/>
      <c r="W1394" s="35"/>
      <c r="X1394" s="35"/>
      <c r="Y1394" s="35"/>
      <c r="Z1394" s="35"/>
      <c r="AA1394" s="35"/>
      <c r="AB1394" s="35"/>
    </row>
    <row r="1395" ht="15.75" customHeight="1">
      <c r="A1395" s="35" t="s">
        <v>8110</v>
      </c>
      <c r="B1395" s="35">
        <v>1.0</v>
      </c>
      <c r="C1395" s="35"/>
      <c r="D1395" s="35"/>
      <c r="E1395" s="35"/>
      <c r="F1395" s="35"/>
      <c r="G1395" s="35"/>
      <c r="H1395" s="35"/>
      <c r="I1395" s="35"/>
      <c r="J1395" s="35"/>
      <c r="K1395" s="35"/>
      <c r="L1395" s="35"/>
      <c r="M1395" s="35"/>
      <c r="N1395" s="35"/>
      <c r="O1395" s="35"/>
      <c r="P1395" s="35"/>
      <c r="Q1395" s="35"/>
      <c r="R1395" s="35"/>
      <c r="S1395" s="35"/>
      <c r="T1395" s="35"/>
      <c r="U1395" s="35"/>
      <c r="V1395" s="35"/>
      <c r="W1395" s="35"/>
      <c r="X1395" s="35"/>
      <c r="Y1395" s="35"/>
      <c r="Z1395" s="35"/>
      <c r="AA1395" s="35"/>
      <c r="AB1395" s="35"/>
    </row>
    <row r="1396" ht="15.75" customHeight="1">
      <c r="A1396" s="35" t="s">
        <v>8113</v>
      </c>
      <c r="B1396" s="35">
        <v>1.0</v>
      </c>
      <c r="C1396" s="35"/>
      <c r="D1396" s="35"/>
      <c r="E1396" s="35"/>
      <c r="F1396" s="35"/>
      <c r="G1396" s="35"/>
      <c r="H1396" s="35"/>
      <c r="I1396" s="35"/>
      <c r="J1396" s="35"/>
      <c r="K1396" s="35"/>
      <c r="L1396" s="35"/>
      <c r="M1396" s="35"/>
      <c r="N1396" s="35"/>
      <c r="O1396" s="35"/>
      <c r="P1396" s="35"/>
      <c r="Q1396" s="35"/>
      <c r="R1396" s="35"/>
      <c r="S1396" s="35"/>
      <c r="T1396" s="35"/>
      <c r="U1396" s="35"/>
      <c r="V1396" s="35"/>
      <c r="W1396" s="35"/>
      <c r="X1396" s="35"/>
      <c r="Y1396" s="35"/>
      <c r="Z1396" s="35"/>
      <c r="AA1396" s="35"/>
      <c r="AB1396" s="35"/>
    </row>
    <row r="1397" ht="15.75" customHeight="1">
      <c r="A1397" s="35" t="s">
        <v>8117</v>
      </c>
      <c r="B1397" s="35">
        <v>1.0</v>
      </c>
      <c r="C1397" s="35"/>
      <c r="D1397" s="35"/>
      <c r="E1397" s="35"/>
      <c r="F1397" s="35"/>
      <c r="G1397" s="35"/>
      <c r="H1397" s="35"/>
      <c r="I1397" s="35"/>
      <c r="J1397" s="35"/>
      <c r="K1397" s="35"/>
      <c r="L1397" s="35"/>
      <c r="M1397" s="35"/>
      <c r="N1397" s="35"/>
      <c r="O1397" s="35"/>
      <c r="P1397" s="35"/>
      <c r="Q1397" s="35"/>
      <c r="R1397" s="35"/>
      <c r="S1397" s="35"/>
      <c r="T1397" s="35"/>
      <c r="U1397" s="35"/>
      <c r="V1397" s="35"/>
      <c r="W1397" s="35"/>
      <c r="X1397" s="35"/>
      <c r="Y1397" s="35"/>
      <c r="Z1397" s="35"/>
      <c r="AA1397" s="35"/>
      <c r="AB1397" s="35"/>
    </row>
    <row r="1398" ht="15.75" customHeight="1">
      <c r="A1398" s="35" t="s">
        <v>8120</v>
      </c>
      <c r="B1398" s="35">
        <v>1.0</v>
      </c>
      <c r="C1398" s="35"/>
      <c r="D1398" s="35"/>
      <c r="E1398" s="35"/>
      <c r="F1398" s="35"/>
      <c r="G1398" s="35"/>
      <c r="H1398" s="35"/>
      <c r="I1398" s="35"/>
      <c r="J1398" s="35"/>
      <c r="K1398" s="35"/>
      <c r="L1398" s="35"/>
      <c r="M1398" s="35"/>
      <c r="N1398" s="35"/>
      <c r="O1398" s="35"/>
      <c r="P1398" s="35"/>
      <c r="Q1398" s="35"/>
      <c r="R1398" s="35"/>
      <c r="S1398" s="35"/>
      <c r="T1398" s="35"/>
      <c r="U1398" s="35"/>
      <c r="V1398" s="35"/>
      <c r="W1398" s="35"/>
      <c r="X1398" s="35"/>
      <c r="Y1398" s="35"/>
      <c r="Z1398" s="35"/>
      <c r="AA1398" s="35"/>
      <c r="AB1398" s="35"/>
    </row>
    <row r="1399" ht="15.75" customHeight="1">
      <c r="A1399" s="35" t="s">
        <v>8123</v>
      </c>
      <c r="B1399" s="35">
        <v>1.0</v>
      </c>
      <c r="C1399" s="35"/>
      <c r="D1399" s="35"/>
      <c r="E1399" s="35"/>
      <c r="F1399" s="35"/>
      <c r="G1399" s="35"/>
      <c r="H1399" s="35"/>
      <c r="I1399" s="35"/>
      <c r="J1399" s="35"/>
      <c r="K1399" s="35"/>
      <c r="L1399" s="35"/>
      <c r="M1399" s="35"/>
      <c r="N1399" s="35"/>
      <c r="O1399" s="35"/>
      <c r="P1399" s="35"/>
      <c r="Q1399" s="35"/>
      <c r="R1399" s="35"/>
      <c r="S1399" s="35"/>
      <c r="T1399" s="35"/>
      <c r="U1399" s="35"/>
      <c r="V1399" s="35"/>
      <c r="W1399" s="35"/>
      <c r="X1399" s="35"/>
      <c r="Y1399" s="35"/>
      <c r="Z1399" s="35"/>
      <c r="AA1399" s="35"/>
      <c r="AB1399" s="35"/>
    </row>
    <row r="1400" ht="15.75" customHeight="1">
      <c r="A1400" s="35" t="s">
        <v>8126</v>
      </c>
      <c r="B1400" s="35">
        <v>1.0</v>
      </c>
      <c r="C1400" s="35"/>
      <c r="D1400" s="35"/>
      <c r="E1400" s="35"/>
      <c r="F1400" s="35"/>
      <c r="G1400" s="35"/>
      <c r="H1400" s="35"/>
      <c r="I1400" s="35"/>
      <c r="J1400" s="35"/>
      <c r="K1400" s="35"/>
      <c r="L1400" s="35"/>
      <c r="M1400" s="35"/>
      <c r="N1400" s="35"/>
      <c r="O1400" s="35"/>
      <c r="P1400" s="35"/>
      <c r="Q1400" s="35"/>
      <c r="R1400" s="35"/>
      <c r="S1400" s="35"/>
      <c r="T1400" s="35"/>
      <c r="U1400" s="35"/>
      <c r="V1400" s="35"/>
      <c r="W1400" s="35"/>
      <c r="X1400" s="35"/>
      <c r="Y1400" s="35"/>
      <c r="Z1400" s="35"/>
      <c r="AA1400" s="35"/>
      <c r="AB1400" s="35"/>
    </row>
    <row r="1401" ht="15.75" customHeight="1">
      <c r="A1401" s="35" t="s">
        <v>8129</v>
      </c>
      <c r="B1401" s="35">
        <v>1.0</v>
      </c>
      <c r="C1401" s="35"/>
      <c r="D1401" s="35"/>
      <c r="E1401" s="35"/>
      <c r="F1401" s="35"/>
      <c r="G1401" s="35"/>
      <c r="H1401" s="35"/>
      <c r="I1401" s="35"/>
      <c r="J1401" s="35"/>
      <c r="K1401" s="35"/>
      <c r="L1401" s="35"/>
      <c r="M1401" s="35"/>
      <c r="N1401" s="35"/>
      <c r="O1401" s="35"/>
      <c r="P1401" s="35"/>
      <c r="Q1401" s="35"/>
      <c r="R1401" s="35"/>
      <c r="S1401" s="35"/>
      <c r="T1401" s="35"/>
      <c r="U1401" s="35"/>
      <c r="V1401" s="35"/>
      <c r="W1401" s="35"/>
      <c r="X1401" s="35"/>
      <c r="Y1401" s="35"/>
      <c r="Z1401" s="35"/>
      <c r="AA1401" s="35"/>
      <c r="AB1401" s="35"/>
    </row>
    <row r="1402" ht="15.75" customHeight="1">
      <c r="A1402" s="35" t="s">
        <v>8132</v>
      </c>
      <c r="B1402" s="35">
        <v>1.0</v>
      </c>
      <c r="C1402" s="35"/>
      <c r="D1402" s="35"/>
      <c r="E1402" s="35"/>
      <c r="F1402" s="35"/>
      <c r="G1402" s="35"/>
      <c r="H1402" s="35"/>
      <c r="I1402" s="35"/>
      <c r="J1402" s="35"/>
      <c r="K1402" s="35"/>
      <c r="L1402" s="35"/>
      <c r="M1402" s="35"/>
      <c r="N1402" s="35"/>
      <c r="O1402" s="35"/>
      <c r="P1402" s="35"/>
      <c r="Q1402" s="35"/>
      <c r="R1402" s="35"/>
      <c r="S1402" s="35"/>
      <c r="T1402" s="35"/>
      <c r="U1402" s="35"/>
      <c r="V1402" s="35"/>
      <c r="W1402" s="35"/>
      <c r="X1402" s="35"/>
      <c r="Y1402" s="35"/>
      <c r="Z1402" s="35"/>
      <c r="AA1402" s="35"/>
      <c r="AB1402" s="35"/>
    </row>
    <row r="1403" ht="15.75" customHeight="1">
      <c r="A1403" s="35" t="s">
        <v>8135</v>
      </c>
      <c r="B1403" s="35">
        <v>1.0</v>
      </c>
      <c r="C1403" s="35"/>
      <c r="D1403" s="35"/>
      <c r="E1403" s="35"/>
      <c r="F1403" s="35"/>
      <c r="G1403" s="35"/>
      <c r="H1403" s="35"/>
      <c r="I1403" s="35"/>
      <c r="J1403" s="35"/>
      <c r="K1403" s="35"/>
      <c r="L1403" s="35"/>
      <c r="M1403" s="35"/>
      <c r="N1403" s="35"/>
      <c r="O1403" s="35"/>
      <c r="P1403" s="35"/>
      <c r="Q1403" s="35"/>
      <c r="R1403" s="35"/>
      <c r="S1403" s="35"/>
      <c r="T1403" s="35"/>
      <c r="U1403" s="35"/>
      <c r="V1403" s="35"/>
      <c r="W1403" s="35"/>
      <c r="X1403" s="35"/>
      <c r="Y1403" s="35"/>
      <c r="Z1403" s="35"/>
      <c r="AA1403" s="35"/>
      <c r="AB1403" s="35"/>
    </row>
    <row r="1404" ht="15.75" customHeight="1">
      <c r="A1404" s="35" t="s">
        <v>8139</v>
      </c>
      <c r="B1404" s="35">
        <v>1.0</v>
      </c>
      <c r="C1404" s="35"/>
      <c r="D1404" s="35"/>
      <c r="E1404" s="35"/>
      <c r="F1404" s="35"/>
      <c r="G1404" s="35"/>
      <c r="H1404" s="35"/>
      <c r="I1404" s="35"/>
      <c r="J1404" s="35"/>
      <c r="K1404" s="35"/>
      <c r="L1404" s="35"/>
      <c r="M1404" s="35"/>
      <c r="N1404" s="35"/>
      <c r="O1404" s="35"/>
      <c r="P1404" s="35"/>
      <c r="Q1404" s="35"/>
      <c r="R1404" s="35"/>
      <c r="S1404" s="35"/>
      <c r="T1404" s="35"/>
      <c r="U1404" s="35"/>
      <c r="V1404" s="35"/>
      <c r="W1404" s="35"/>
      <c r="X1404" s="35"/>
      <c r="Y1404" s="35"/>
      <c r="Z1404" s="35"/>
      <c r="AA1404" s="35"/>
      <c r="AB1404" s="35"/>
    </row>
    <row r="1405" ht="15.75" customHeight="1">
      <c r="A1405" s="35" t="s">
        <v>8142</v>
      </c>
      <c r="B1405" s="35">
        <v>1.0</v>
      </c>
      <c r="C1405" s="35"/>
      <c r="D1405" s="35"/>
      <c r="E1405" s="35"/>
      <c r="F1405" s="35"/>
      <c r="G1405" s="35"/>
      <c r="H1405" s="35"/>
      <c r="I1405" s="35"/>
      <c r="J1405" s="35"/>
      <c r="K1405" s="35"/>
      <c r="L1405" s="35"/>
      <c r="M1405" s="35"/>
      <c r="N1405" s="35"/>
      <c r="O1405" s="35"/>
      <c r="P1405" s="35"/>
      <c r="Q1405" s="35"/>
      <c r="R1405" s="35"/>
      <c r="S1405" s="35"/>
      <c r="T1405" s="35"/>
      <c r="U1405" s="35"/>
      <c r="V1405" s="35"/>
      <c r="W1405" s="35"/>
      <c r="X1405" s="35"/>
      <c r="Y1405" s="35"/>
      <c r="Z1405" s="35"/>
      <c r="AA1405" s="35"/>
      <c r="AB1405" s="35"/>
    </row>
    <row r="1406" ht="15.75" customHeight="1">
      <c r="A1406" s="35" t="s">
        <v>8145</v>
      </c>
      <c r="B1406" s="35">
        <v>1.0</v>
      </c>
      <c r="C1406" s="35"/>
      <c r="D1406" s="35"/>
      <c r="E1406" s="35"/>
      <c r="F1406" s="35"/>
      <c r="G1406" s="35"/>
      <c r="H1406" s="35"/>
      <c r="I1406" s="35"/>
      <c r="J1406" s="35"/>
      <c r="K1406" s="35"/>
      <c r="L1406" s="35"/>
      <c r="M1406" s="35"/>
      <c r="N1406" s="35"/>
      <c r="O1406" s="35"/>
      <c r="P1406" s="35"/>
      <c r="Q1406" s="35"/>
      <c r="R1406" s="35"/>
      <c r="S1406" s="35"/>
      <c r="T1406" s="35"/>
      <c r="U1406" s="35"/>
      <c r="V1406" s="35"/>
      <c r="W1406" s="35"/>
      <c r="X1406" s="35"/>
      <c r="Y1406" s="35"/>
      <c r="Z1406" s="35"/>
      <c r="AA1406" s="35"/>
      <c r="AB1406" s="35"/>
    </row>
    <row r="1407" ht="15.75" customHeight="1">
      <c r="A1407" s="35" t="s">
        <v>8147</v>
      </c>
      <c r="B1407" s="35">
        <v>1.0</v>
      </c>
      <c r="C1407" s="35"/>
      <c r="D1407" s="35"/>
      <c r="E1407" s="35"/>
      <c r="F1407" s="35"/>
      <c r="G1407" s="35"/>
      <c r="H1407" s="35"/>
      <c r="I1407" s="35"/>
      <c r="J1407" s="35"/>
      <c r="K1407" s="35"/>
      <c r="L1407" s="35"/>
      <c r="M1407" s="35"/>
      <c r="N1407" s="35"/>
      <c r="O1407" s="35"/>
      <c r="P1407" s="35"/>
      <c r="Q1407" s="35"/>
      <c r="R1407" s="35"/>
      <c r="S1407" s="35"/>
      <c r="T1407" s="35"/>
      <c r="U1407" s="35"/>
      <c r="V1407" s="35"/>
      <c r="W1407" s="35"/>
      <c r="X1407" s="35"/>
      <c r="Y1407" s="35"/>
      <c r="Z1407" s="35"/>
      <c r="AA1407" s="35"/>
      <c r="AB1407" s="35"/>
    </row>
    <row r="1408" ht="15.75" customHeight="1">
      <c r="A1408" s="35" t="s">
        <v>8149</v>
      </c>
      <c r="B1408" s="35">
        <v>1.0</v>
      </c>
      <c r="C1408" s="35"/>
      <c r="D1408" s="35"/>
      <c r="E1408" s="35"/>
      <c r="F1408" s="35"/>
      <c r="G1408" s="35"/>
      <c r="H1408" s="35"/>
      <c r="I1408" s="35"/>
      <c r="J1408" s="35"/>
      <c r="K1408" s="35"/>
      <c r="L1408" s="35"/>
      <c r="M1408" s="35"/>
      <c r="N1408" s="35"/>
      <c r="O1408" s="35"/>
      <c r="P1408" s="35"/>
      <c r="Q1408" s="35"/>
      <c r="R1408" s="35"/>
      <c r="S1408" s="35"/>
      <c r="T1408" s="35"/>
      <c r="U1408" s="35"/>
      <c r="V1408" s="35"/>
      <c r="W1408" s="35"/>
      <c r="X1408" s="35"/>
      <c r="Y1408" s="35"/>
      <c r="Z1408" s="35"/>
      <c r="AA1408" s="35"/>
      <c r="AB1408" s="35"/>
    </row>
    <row r="1409" ht="15.75" customHeight="1">
      <c r="A1409" s="35" t="s">
        <v>8152</v>
      </c>
      <c r="B1409" s="35">
        <v>1.0</v>
      </c>
      <c r="C1409" s="35"/>
      <c r="D1409" s="35"/>
      <c r="E1409" s="35"/>
      <c r="F1409" s="35"/>
      <c r="G1409" s="35"/>
      <c r="H1409" s="35"/>
      <c r="I1409" s="35"/>
      <c r="J1409" s="35"/>
      <c r="K1409" s="35"/>
      <c r="L1409" s="35"/>
      <c r="M1409" s="35"/>
      <c r="N1409" s="35"/>
      <c r="O1409" s="35"/>
      <c r="P1409" s="35"/>
      <c r="Q1409" s="35"/>
      <c r="R1409" s="35"/>
      <c r="S1409" s="35"/>
      <c r="T1409" s="35"/>
      <c r="U1409" s="35"/>
      <c r="V1409" s="35"/>
      <c r="W1409" s="35"/>
      <c r="X1409" s="35"/>
      <c r="Y1409" s="35"/>
      <c r="Z1409" s="35"/>
      <c r="AA1409" s="35"/>
      <c r="AB1409" s="35"/>
    </row>
    <row r="1410" ht="15.75" customHeight="1">
      <c r="A1410" s="35" t="s">
        <v>8155</v>
      </c>
      <c r="B1410" s="35">
        <v>1.0</v>
      </c>
      <c r="C1410" s="35"/>
      <c r="D1410" s="35"/>
      <c r="E1410" s="35"/>
      <c r="F1410" s="35"/>
      <c r="G1410" s="35"/>
      <c r="H1410" s="35"/>
      <c r="I1410" s="35"/>
      <c r="J1410" s="35"/>
      <c r="K1410" s="35"/>
      <c r="L1410" s="35"/>
      <c r="M1410" s="35"/>
      <c r="N1410" s="35"/>
      <c r="O1410" s="35"/>
      <c r="P1410" s="35"/>
      <c r="Q1410" s="35"/>
      <c r="R1410" s="35"/>
      <c r="S1410" s="35"/>
      <c r="T1410" s="35"/>
      <c r="U1410" s="35"/>
      <c r="V1410" s="35"/>
      <c r="W1410" s="35"/>
      <c r="X1410" s="35"/>
      <c r="Y1410" s="35"/>
      <c r="Z1410" s="35"/>
      <c r="AA1410" s="35"/>
      <c r="AB1410" s="35"/>
    </row>
    <row r="1411" ht="15.75" customHeight="1">
      <c r="A1411" s="35" t="s">
        <v>8159</v>
      </c>
      <c r="B1411" s="35">
        <v>1.0</v>
      </c>
      <c r="C1411" s="35"/>
      <c r="D1411" s="35"/>
      <c r="E1411" s="35"/>
      <c r="F1411" s="35"/>
      <c r="G1411" s="35"/>
      <c r="H1411" s="35"/>
      <c r="I1411" s="35"/>
      <c r="J1411" s="35"/>
      <c r="K1411" s="35"/>
      <c r="L1411" s="35"/>
      <c r="M1411" s="35"/>
      <c r="N1411" s="35"/>
      <c r="O1411" s="35"/>
      <c r="P1411" s="35"/>
      <c r="Q1411" s="35"/>
      <c r="R1411" s="35"/>
      <c r="S1411" s="35"/>
      <c r="T1411" s="35"/>
      <c r="U1411" s="35"/>
      <c r="V1411" s="35"/>
      <c r="W1411" s="35"/>
      <c r="X1411" s="35"/>
      <c r="Y1411" s="35"/>
      <c r="Z1411" s="35"/>
      <c r="AA1411" s="35"/>
      <c r="AB1411" s="35"/>
    </row>
    <row r="1412" ht="15.75" customHeight="1">
      <c r="A1412" s="35" t="s">
        <v>8162</v>
      </c>
      <c r="B1412" s="35">
        <v>1.0</v>
      </c>
      <c r="C1412" s="35"/>
      <c r="D1412" s="35"/>
      <c r="E1412" s="35"/>
      <c r="F1412" s="35"/>
      <c r="G1412" s="35"/>
      <c r="H1412" s="35"/>
      <c r="I1412" s="35"/>
      <c r="J1412" s="35"/>
      <c r="K1412" s="35"/>
      <c r="L1412" s="35"/>
      <c r="M1412" s="35"/>
      <c r="N1412" s="35"/>
      <c r="O1412" s="35"/>
      <c r="P1412" s="35"/>
      <c r="Q1412" s="35"/>
      <c r="R1412" s="35"/>
      <c r="S1412" s="35"/>
      <c r="T1412" s="35"/>
      <c r="U1412" s="35"/>
      <c r="V1412" s="35"/>
      <c r="W1412" s="35"/>
      <c r="X1412" s="35"/>
      <c r="Y1412" s="35"/>
      <c r="Z1412" s="35"/>
      <c r="AA1412" s="35"/>
      <c r="AB1412" s="35"/>
    </row>
    <row r="1413" ht="15.75" customHeight="1">
      <c r="A1413" s="35" t="s">
        <v>8165</v>
      </c>
      <c r="B1413" s="35">
        <v>1.0</v>
      </c>
      <c r="C1413" s="35"/>
      <c r="D1413" s="35"/>
      <c r="E1413" s="35"/>
      <c r="F1413" s="35"/>
      <c r="G1413" s="35"/>
      <c r="H1413" s="35"/>
      <c r="I1413" s="35"/>
      <c r="J1413" s="35"/>
      <c r="K1413" s="35"/>
      <c r="L1413" s="35"/>
      <c r="M1413" s="35"/>
      <c r="N1413" s="35"/>
      <c r="O1413" s="35"/>
      <c r="P1413" s="35"/>
      <c r="Q1413" s="35"/>
      <c r="R1413" s="35"/>
      <c r="S1413" s="35"/>
      <c r="T1413" s="35"/>
      <c r="U1413" s="35"/>
      <c r="V1413" s="35"/>
      <c r="W1413" s="35"/>
      <c r="X1413" s="35"/>
      <c r="Y1413" s="35"/>
      <c r="Z1413" s="35"/>
      <c r="AA1413" s="35"/>
      <c r="AB1413" s="35"/>
    </row>
    <row r="1414" ht="15.75" customHeight="1">
      <c r="A1414" s="35" t="s">
        <v>8169</v>
      </c>
      <c r="B1414" s="35">
        <v>1.0</v>
      </c>
      <c r="C1414" s="35"/>
      <c r="D1414" s="35"/>
      <c r="E1414" s="35"/>
      <c r="F1414" s="35"/>
      <c r="G1414" s="35"/>
      <c r="H1414" s="35"/>
      <c r="I1414" s="35"/>
      <c r="J1414" s="35"/>
      <c r="K1414" s="35"/>
      <c r="L1414" s="35"/>
      <c r="M1414" s="35"/>
      <c r="N1414" s="35"/>
      <c r="O1414" s="35"/>
      <c r="P1414" s="35"/>
      <c r="Q1414" s="35"/>
      <c r="R1414" s="35"/>
      <c r="S1414" s="35"/>
      <c r="T1414" s="35"/>
      <c r="U1414" s="35"/>
      <c r="V1414" s="35"/>
      <c r="W1414" s="35"/>
      <c r="X1414" s="35"/>
      <c r="Y1414" s="35"/>
      <c r="Z1414" s="35"/>
      <c r="AA1414" s="35"/>
      <c r="AB1414" s="35"/>
    </row>
    <row r="1415" ht="15.75" customHeight="1">
      <c r="A1415" s="35" t="s">
        <v>8173</v>
      </c>
      <c r="B1415" s="35">
        <v>1.0</v>
      </c>
      <c r="C1415" s="35"/>
      <c r="D1415" s="35"/>
      <c r="E1415" s="35"/>
      <c r="F1415" s="35"/>
      <c r="G1415" s="35"/>
      <c r="H1415" s="35"/>
      <c r="I1415" s="35"/>
      <c r="J1415" s="35"/>
      <c r="K1415" s="35"/>
      <c r="L1415" s="35"/>
      <c r="M1415" s="35"/>
      <c r="N1415" s="35"/>
      <c r="O1415" s="35"/>
      <c r="P1415" s="35"/>
      <c r="Q1415" s="35"/>
      <c r="R1415" s="35"/>
      <c r="S1415" s="35"/>
      <c r="T1415" s="35"/>
      <c r="U1415" s="35"/>
      <c r="V1415" s="35"/>
      <c r="W1415" s="35"/>
      <c r="X1415" s="35"/>
      <c r="Y1415" s="35"/>
      <c r="Z1415" s="35"/>
      <c r="AA1415" s="35"/>
      <c r="AB1415" s="35"/>
    </row>
    <row r="1416" ht="15.75" customHeight="1">
      <c r="A1416" s="35" t="s">
        <v>8176</v>
      </c>
      <c r="B1416" s="35">
        <v>1.0</v>
      </c>
      <c r="C1416" s="35"/>
      <c r="D1416" s="35"/>
      <c r="E1416" s="35"/>
      <c r="F1416" s="35"/>
      <c r="G1416" s="35"/>
      <c r="H1416" s="35"/>
      <c r="I1416" s="35"/>
      <c r="J1416" s="35"/>
      <c r="K1416" s="35"/>
      <c r="L1416" s="35"/>
      <c r="M1416" s="35"/>
      <c r="N1416" s="35"/>
      <c r="O1416" s="35"/>
      <c r="P1416" s="35"/>
      <c r="Q1416" s="35"/>
      <c r="R1416" s="35"/>
      <c r="S1416" s="35"/>
      <c r="T1416" s="35"/>
      <c r="U1416" s="35"/>
      <c r="V1416" s="35"/>
      <c r="W1416" s="35"/>
      <c r="X1416" s="35"/>
      <c r="Y1416" s="35"/>
      <c r="Z1416" s="35"/>
      <c r="AA1416" s="35"/>
      <c r="AB1416" s="35"/>
    </row>
    <row r="1417" ht="15.75" customHeight="1">
      <c r="A1417" s="35" t="s">
        <v>8179</v>
      </c>
      <c r="B1417" s="35">
        <v>1.0</v>
      </c>
      <c r="C1417" s="35"/>
      <c r="D1417" s="35"/>
      <c r="E1417" s="35"/>
      <c r="F1417" s="35"/>
      <c r="G1417" s="35"/>
      <c r="H1417" s="35"/>
      <c r="I1417" s="35"/>
      <c r="J1417" s="35"/>
      <c r="K1417" s="35"/>
      <c r="L1417" s="35"/>
      <c r="M1417" s="35"/>
      <c r="N1417" s="35"/>
      <c r="O1417" s="35"/>
      <c r="P1417" s="35"/>
      <c r="Q1417" s="35"/>
      <c r="R1417" s="35"/>
      <c r="S1417" s="35"/>
      <c r="T1417" s="35"/>
      <c r="U1417" s="35"/>
      <c r="V1417" s="35"/>
      <c r="W1417" s="35"/>
      <c r="X1417" s="35"/>
      <c r="Y1417" s="35"/>
      <c r="Z1417" s="35"/>
      <c r="AA1417" s="35"/>
      <c r="AB1417" s="35"/>
    </row>
    <row r="1418" ht="15.75" customHeight="1">
      <c r="A1418" s="35" t="s">
        <v>8182</v>
      </c>
      <c r="B1418" s="35">
        <v>1.0</v>
      </c>
      <c r="C1418" s="35"/>
      <c r="D1418" s="35"/>
      <c r="E1418" s="35"/>
      <c r="F1418" s="35"/>
      <c r="G1418" s="35"/>
      <c r="H1418" s="35"/>
      <c r="I1418" s="35"/>
      <c r="J1418" s="35"/>
      <c r="K1418" s="35"/>
      <c r="L1418" s="35"/>
      <c r="M1418" s="35"/>
      <c r="N1418" s="35"/>
      <c r="O1418" s="35"/>
      <c r="P1418" s="35"/>
      <c r="Q1418" s="35"/>
      <c r="R1418" s="35"/>
      <c r="S1418" s="35"/>
      <c r="T1418" s="35"/>
      <c r="U1418" s="35"/>
      <c r="V1418" s="35"/>
      <c r="W1418" s="35"/>
      <c r="X1418" s="35"/>
      <c r="Y1418" s="35"/>
      <c r="Z1418" s="35"/>
      <c r="AA1418" s="35"/>
      <c r="AB1418" s="35"/>
    </row>
    <row r="1419" ht="15.75" customHeight="1">
      <c r="A1419" s="35" t="s">
        <v>8186</v>
      </c>
      <c r="B1419" s="35">
        <v>1.0</v>
      </c>
      <c r="C1419" s="35"/>
      <c r="D1419" s="35"/>
      <c r="E1419" s="35"/>
      <c r="F1419" s="35"/>
      <c r="G1419" s="35"/>
      <c r="H1419" s="35"/>
      <c r="I1419" s="35"/>
      <c r="J1419" s="35"/>
      <c r="K1419" s="35"/>
      <c r="L1419" s="35"/>
      <c r="M1419" s="35"/>
      <c r="N1419" s="35"/>
      <c r="O1419" s="35"/>
      <c r="P1419" s="35"/>
      <c r="Q1419" s="35"/>
      <c r="R1419" s="35"/>
      <c r="S1419" s="35"/>
      <c r="T1419" s="35"/>
      <c r="U1419" s="35"/>
      <c r="V1419" s="35"/>
      <c r="W1419" s="35"/>
      <c r="X1419" s="35"/>
      <c r="Y1419" s="35"/>
      <c r="Z1419" s="35"/>
      <c r="AA1419" s="35"/>
      <c r="AB1419" s="35"/>
    </row>
    <row r="1420" ht="15.75" customHeight="1">
      <c r="A1420" s="35" t="s">
        <v>8189</v>
      </c>
      <c r="B1420" s="35">
        <v>1.0</v>
      </c>
      <c r="C1420" s="35"/>
      <c r="D1420" s="35"/>
      <c r="E1420" s="35"/>
      <c r="F1420" s="35"/>
      <c r="G1420" s="35"/>
      <c r="H1420" s="35"/>
      <c r="I1420" s="35"/>
      <c r="J1420" s="35"/>
      <c r="K1420" s="35"/>
      <c r="L1420" s="35"/>
      <c r="M1420" s="35"/>
      <c r="N1420" s="35"/>
      <c r="O1420" s="35"/>
      <c r="P1420" s="35"/>
      <c r="Q1420" s="35"/>
      <c r="R1420" s="35"/>
      <c r="S1420" s="35"/>
      <c r="T1420" s="35"/>
      <c r="U1420" s="35"/>
      <c r="V1420" s="35"/>
      <c r="W1420" s="35"/>
      <c r="X1420" s="35"/>
      <c r="Y1420" s="35"/>
      <c r="Z1420" s="35"/>
      <c r="AA1420" s="35"/>
      <c r="AB1420" s="35"/>
    </row>
    <row r="1421" ht="15.75" customHeight="1">
      <c r="A1421" s="35" t="s">
        <v>8192</v>
      </c>
      <c r="B1421" s="35">
        <v>1.0</v>
      </c>
      <c r="C1421" s="35"/>
      <c r="D1421" s="35"/>
      <c r="E1421" s="35"/>
      <c r="F1421" s="35"/>
      <c r="G1421" s="35"/>
      <c r="H1421" s="35"/>
      <c r="I1421" s="35"/>
      <c r="J1421" s="35"/>
      <c r="K1421" s="35"/>
      <c r="L1421" s="35"/>
      <c r="M1421" s="35"/>
      <c r="N1421" s="35"/>
      <c r="O1421" s="35"/>
      <c r="P1421" s="35"/>
      <c r="Q1421" s="35"/>
      <c r="R1421" s="35"/>
      <c r="S1421" s="35"/>
      <c r="T1421" s="35"/>
      <c r="U1421" s="35"/>
      <c r="V1421" s="35"/>
      <c r="W1421" s="35"/>
      <c r="X1421" s="35"/>
      <c r="Y1421" s="35"/>
      <c r="Z1421" s="35"/>
      <c r="AA1421" s="35"/>
      <c r="AB1421" s="35"/>
    </row>
    <row r="1422" ht="15.75" customHeight="1">
      <c r="A1422" s="35" t="s">
        <v>8195</v>
      </c>
      <c r="B1422" s="35">
        <v>1.0</v>
      </c>
      <c r="C1422" s="35"/>
      <c r="D1422" s="35"/>
      <c r="E1422" s="35"/>
      <c r="F1422" s="35"/>
      <c r="G1422" s="35"/>
      <c r="H1422" s="35"/>
      <c r="I1422" s="35"/>
      <c r="J1422" s="35"/>
      <c r="K1422" s="35"/>
      <c r="L1422" s="35"/>
      <c r="M1422" s="35"/>
      <c r="N1422" s="35"/>
      <c r="O1422" s="35"/>
      <c r="P1422" s="35"/>
      <c r="Q1422" s="35"/>
      <c r="R1422" s="35"/>
      <c r="S1422" s="35"/>
      <c r="T1422" s="35"/>
      <c r="U1422" s="35"/>
      <c r="V1422" s="35"/>
      <c r="W1422" s="35"/>
      <c r="X1422" s="35"/>
      <c r="Y1422" s="35"/>
      <c r="Z1422" s="35"/>
      <c r="AA1422" s="35"/>
      <c r="AB1422" s="35"/>
    </row>
    <row r="1423" ht="15.75" customHeight="1">
      <c r="A1423" s="35" t="s">
        <v>8203</v>
      </c>
      <c r="B1423" s="35">
        <v>1.0</v>
      </c>
      <c r="C1423" s="35"/>
      <c r="D1423" s="35"/>
      <c r="E1423" s="35"/>
      <c r="F1423" s="35"/>
      <c r="G1423" s="35"/>
      <c r="H1423" s="35"/>
      <c r="I1423" s="35"/>
      <c r="J1423" s="35"/>
      <c r="K1423" s="35"/>
      <c r="L1423" s="35"/>
      <c r="M1423" s="35"/>
      <c r="N1423" s="35"/>
      <c r="O1423" s="35"/>
      <c r="P1423" s="35"/>
      <c r="Q1423" s="35"/>
      <c r="R1423" s="35"/>
      <c r="S1423" s="35"/>
      <c r="T1423" s="35"/>
      <c r="U1423" s="35"/>
      <c r="V1423" s="35"/>
      <c r="W1423" s="35"/>
      <c r="X1423" s="35"/>
      <c r="Y1423" s="35"/>
      <c r="Z1423" s="35"/>
      <c r="AA1423" s="35"/>
      <c r="AB1423" s="35"/>
    </row>
    <row r="1424" ht="15.75" customHeight="1">
      <c r="A1424" s="35" t="s">
        <v>8207</v>
      </c>
      <c r="B1424" s="35">
        <v>1.0</v>
      </c>
      <c r="C1424" s="35"/>
      <c r="D1424" s="35"/>
      <c r="E1424" s="35"/>
      <c r="F1424" s="35"/>
      <c r="G1424" s="35"/>
      <c r="H1424" s="35"/>
      <c r="I1424" s="35"/>
      <c r="J1424" s="35"/>
      <c r="K1424" s="35"/>
      <c r="L1424" s="35"/>
      <c r="M1424" s="35"/>
      <c r="N1424" s="35"/>
      <c r="O1424" s="35"/>
      <c r="P1424" s="35"/>
      <c r="Q1424" s="35"/>
      <c r="R1424" s="35"/>
      <c r="S1424" s="35"/>
      <c r="T1424" s="35"/>
      <c r="U1424" s="35"/>
      <c r="V1424" s="35"/>
      <c r="W1424" s="35"/>
      <c r="X1424" s="35"/>
      <c r="Y1424" s="35"/>
      <c r="Z1424" s="35"/>
      <c r="AA1424" s="35"/>
      <c r="AB1424" s="35"/>
    </row>
    <row r="1425" ht="15.75" customHeight="1">
      <c r="A1425" s="35" t="s">
        <v>8210</v>
      </c>
      <c r="B1425" s="35">
        <v>1.0</v>
      </c>
      <c r="C1425" s="35"/>
      <c r="D1425" s="35"/>
      <c r="E1425" s="35"/>
      <c r="F1425" s="35"/>
      <c r="G1425" s="35"/>
      <c r="H1425" s="35"/>
      <c r="I1425" s="35"/>
      <c r="J1425" s="35"/>
      <c r="K1425" s="35"/>
      <c r="L1425" s="35"/>
      <c r="M1425" s="35"/>
      <c r="N1425" s="35"/>
      <c r="O1425" s="35"/>
      <c r="P1425" s="35"/>
      <c r="Q1425" s="35"/>
      <c r="R1425" s="35"/>
      <c r="S1425" s="35"/>
      <c r="T1425" s="35"/>
      <c r="U1425" s="35"/>
      <c r="V1425" s="35"/>
      <c r="W1425" s="35"/>
      <c r="X1425" s="35"/>
      <c r="Y1425" s="35"/>
      <c r="Z1425" s="35"/>
      <c r="AA1425" s="35"/>
      <c r="AB1425" s="35"/>
    </row>
    <row r="1426" ht="15.75" customHeight="1">
      <c r="A1426" s="35" t="s">
        <v>8213</v>
      </c>
      <c r="B1426" s="35">
        <v>1.0</v>
      </c>
      <c r="C1426" s="35"/>
      <c r="D1426" s="35"/>
      <c r="E1426" s="35"/>
      <c r="F1426" s="35"/>
      <c r="G1426" s="35"/>
      <c r="H1426" s="35"/>
      <c r="I1426" s="35"/>
      <c r="J1426" s="35"/>
      <c r="K1426" s="35"/>
      <c r="L1426" s="35"/>
      <c r="M1426" s="35"/>
      <c r="N1426" s="35"/>
      <c r="O1426" s="35"/>
      <c r="P1426" s="35"/>
      <c r="Q1426" s="35"/>
      <c r="R1426" s="35"/>
      <c r="S1426" s="35"/>
      <c r="T1426" s="35"/>
      <c r="U1426" s="35"/>
      <c r="V1426" s="35"/>
      <c r="W1426" s="35"/>
      <c r="X1426" s="35"/>
      <c r="Y1426" s="35"/>
      <c r="Z1426" s="35"/>
      <c r="AA1426" s="35"/>
      <c r="AB1426" s="35"/>
    </row>
    <row r="1427" ht="15.75" customHeight="1">
      <c r="A1427" s="35" t="s">
        <v>8216</v>
      </c>
      <c r="B1427" s="35">
        <v>1.0</v>
      </c>
      <c r="C1427" s="35"/>
      <c r="D1427" s="35"/>
      <c r="E1427" s="35"/>
      <c r="F1427" s="35"/>
      <c r="G1427" s="35"/>
      <c r="H1427" s="35"/>
      <c r="I1427" s="35"/>
      <c r="J1427" s="35"/>
      <c r="K1427" s="35"/>
      <c r="L1427" s="35"/>
      <c r="M1427" s="35"/>
      <c r="N1427" s="35"/>
      <c r="O1427" s="35"/>
      <c r="P1427" s="35"/>
      <c r="Q1427" s="35"/>
      <c r="R1427" s="35"/>
      <c r="S1427" s="35"/>
      <c r="T1427" s="35"/>
      <c r="U1427" s="35"/>
      <c r="V1427" s="35"/>
      <c r="W1427" s="35"/>
      <c r="X1427" s="35"/>
      <c r="Y1427" s="35"/>
      <c r="Z1427" s="35"/>
      <c r="AA1427" s="35"/>
      <c r="AB1427" s="35"/>
    </row>
    <row r="1428" ht="15.75" customHeight="1">
      <c r="A1428" s="35" t="s">
        <v>8219</v>
      </c>
      <c r="B1428" s="35">
        <v>1.0</v>
      </c>
      <c r="C1428" s="35"/>
      <c r="D1428" s="35"/>
      <c r="E1428" s="35"/>
      <c r="F1428" s="35"/>
      <c r="G1428" s="35"/>
      <c r="H1428" s="35"/>
      <c r="I1428" s="35"/>
      <c r="J1428" s="35"/>
      <c r="K1428" s="35"/>
      <c r="L1428" s="35"/>
      <c r="M1428" s="35"/>
      <c r="N1428" s="35"/>
      <c r="O1428" s="35"/>
      <c r="P1428" s="35"/>
      <c r="Q1428" s="35"/>
      <c r="R1428" s="35"/>
      <c r="S1428" s="35"/>
      <c r="T1428" s="35"/>
      <c r="U1428" s="35"/>
      <c r="V1428" s="35"/>
      <c r="W1428" s="35"/>
      <c r="X1428" s="35"/>
      <c r="Y1428" s="35"/>
      <c r="Z1428" s="35"/>
      <c r="AA1428" s="35"/>
      <c r="AB1428" s="35"/>
    </row>
    <row r="1429" ht="15.75" customHeight="1">
      <c r="A1429" s="35" t="s">
        <v>8223</v>
      </c>
      <c r="B1429" s="35">
        <v>1.0</v>
      </c>
      <c r="C1429" s="35"/>
      <c r="D1429" s="35"/>
      <c r="E1429" s="35"/>
      <c r="F1429" s="35"/>
      <c r="G1429" s="35"/>
      <c r="H1429" s="35"/>
      <c r="I1429" s="35"/>
      <c r="J1429" s="35"/>
      <c r="K1429" s="35"/>
      <c r="L1429" s="35"/>
      <c r="M1429" s="35"/>
      <c r="N1429" s="35"/>
      <c r="O1429" s="35"/>
      <c r="P1429" s="35"/>
      <c r="Q1429" s="35"/>
      <c r="R1429" s="35"/>
      <c r="S1429" s="35"/>
      <c r="T1429" s="35"/>
      <c r="U1429" s="35"/>
      <c r="V1429" s="35"/>
      <c r="W1429" s="35"/>
      <c r="X1429" s="35"/>
      <c r="Y1429" s="35"/>
      <c r="Z1429" s="35"/>
      <c r="AA1429" s="35"/>
      <c r="AB1429" s="35"/>
    </row>
    <row r="1430" ht="15.75" customHeight="1">
      <c r="A1430" s="35" t="s">
        <v>8226</v>
      </c>
      <c r="B1430" s="35">
        <v>1.0</v>
      </c>
      <c r="C1430" s="35"/>
      <c r="D1430" s="35"/>
      <c r="E1430" s="35"/>
      <c r="F1430" s="35"/>
      <c r="G1430" s="35"/>
      <c r="H1430" s="35"/>
      <c r="I1430" s="35"/>
      <c r="J1430" s="35"/>
      <c r="K1430" s="35"/>
      <c r="L1430" s="35"/>
      <c r="M1430" s="35"/>
      <c r="N1430" s="35"/>
      <c r="O1430" s="35"/>
      <c r="P1430" s="35"/>
      <c r="Q1430" s="35"/>
      <c r="R1430" s="35"/>
      <c r="S1430" s="35"/>
      <c r="T1430" s="35"/>
      <c r="U1430" s="35"/>
      <c r="V1430" s="35"/>
      <c r="W1430" s="35"/>
      <c r="X1430" s="35"/>
      <c r="Y1430" s="35"/>
      <c r="Z1430" s="35"/>
      <c r="AA1430" s="35"/>
      <c r="AB1430" s="35"/>
    </row>
    <row r="1431" ht="15.75" customHeight="1">
      <c r="A1431" s="35" t="s">
        <v>8230</v>
      </c>
      <c r="B1431" s="35">
        <v>1.0</v>
      </c>
      <c r="C1431" s="35"/>
      <c r="D1431" s="35"/>
      <c r="E1431" s="35"/>
      <c r="F1431" s="35"/>
      <c r="G1431" s="35"/>
      <c r="H1431" s="35"/>
      <c r="I1431" s="35"/>
      <c r="J1431" s="35"/>
      <c r="K1431" s="35"/>
      <c r="L1431" s="35"/>
      <c r="M1431" s="35"/>
      <c r="N1431" s="35"/>
      <c r="O1431" s="35"/>
      <c r="P1431" s="35"/>
      <c r="Q1431" s="35"/>
      <c r="R1431" s="35"/>
      <c r="S1431" s="35"/>
      <c r="T1431" s="35"/>
      <c r="U1431" s="35"/>
      <c r="V1431" s="35"/>
      <c r="W1431" s="35"/>
      <c r="X1431" s="35"/>
      <c r="Y1431" s="35"/>
      <c r="Z1431" s="35"/>
      <c r="AA1431" s="35"/>
      <c r="AB1431" s="35"/>
    </row>
    <row r="1432" ht="15.75" customHeight="1">
      <c r="A1432" s="35" t="s">
        <v>8233</v>
      </c>
      <c r="B1432" s="35">
        <v>1.0</v>
      </c>
      <c r="C1432" s="35"/>
      <c r="D1432" s="35"/>
      <c r="E1432" s="35"/>
      <c r="F1432" s="35"/>
      <c r="G1432" s="35"/>
      <c r="H1432" s="35"/>
      <c r="I1432" s="35"/>
      <c r="J1432" s="35"/>
      <c r="K1432" s="35"/>
      <c r="L1432" s="35"/>
      <c r="M1432" s="35"/>
      <c r="N1432" s="35"/>
      <c r="O1432" s="35"/>
      <c r="P1432" s="35"/>
      <c r="Q1432" s="35"/>
      <c r="R1432" s="35"/>
      <c r="S1432" s="35"/>
      <c r="T1432" s="35"/>
      <c r="U1432" s="35"/>
      <c r="V1432" s="35"/>
      <c r="W1432" s="35"/>
      <c r="X1432" s="35"/>
      <c r="Y1432" s="35"/>
      <c r="Z1432" s="35"/>
      <c r="AA1432" s="35"/>
      <c r="AB1432" s="35"/>
    </row>
    <row r="1433" ht="15.75" customHeight="1">
      <c r="A1433" s="35" t="s">
        <v>8236</v>
      </c>
      <c r="B1433" s="35">
        <v>1.0</v>
      </c>
      <c r="C1433" s="35"/>
      <c r="D1433" s="35"/>
      <c r="E1433" s="35"/>
      <c r="F1433" s="35"/>
      <c r="G1433" s="35"/>
      <c r="H1433" s="35"/>
      <c r="I1433" s="35"/>
      <c r="J1433" s="35"/>
      <c r="K1433" s="35"/>
      <c r="L1433" s="35"/>
      <c r="M1433" s="35"/>
      <c r="N1433" s="35"/>
      <c r="O1433" s="35"/>
      <c r="P1433" s="35"/>
      <c r="Q1433" s="35"/>
      <c r="R1433" s="35"/>
      <c r="S1433" s="35"/>
      <c r="T1433" s="35"/>
      <c r="U1433" s="35"/>
      <c r="V1433" s="35"/>
      <c r="W1433" s="35"/>
      <c r="X1433" s="35"/>
      <c r="Y1433" s="35"/>
      <c r="Z1433" s="35"/>
      <c r="AA1433" s="35"/>
      <c r="AB1433" s="35"/>
    </row>
    <row r="1434" ht="15.75" customHeight="1">
      <c r="A1434" s="35" t="s">
        <v>8239</v>
      </c>
      <c r="B1434" s="35">
        <v>1.0</v>
      </c>
      <c r="C1434" s="35"/>
      <c r="D1434" s="35"/>
      <c r="E1434" s="35"/>
      <c r="F1434" s="35"/>
      <c r="G1434" s="35"/>
      <c r="H1434" s="35"/>
      <c r="I1434" s="35"/>
      <c r="J1434" s="35"/>
      <c r="K1434" s="35"/>
      <c r="L1434" s="35"/>
      <c r="M1434" s="35"/>
      <c r="N1434" s="35"/>
      <c r="O1434" s="35"/>
      <c r="P1434" s="35"/>
      <c r="Q1434" s="35"/>
      <c r="R1434" s="35"/>
      <c r="S1434" s="35"/>
      <c r="T1434" s="35"/>
      <c r="U1434" s="35"/>
      <c r="V1434" s="35"/>
      <c r="W1434" s="35"/>
      <c r="X1434" s="35"/>
      <c r="Y1434" s="35"/>
      <c r="Z1434" s="35"/>
      <c r="AA1434" s="35"/>
      <c r="AB1434" s="35"/>
    </row>
    <row r="1435" ht="15.75" customHeight="1">
      <c r="A1435" s="35" t="s">
        <v>8242</v>
      </c>
      <c r="B1435" s="35">
        <v>1.0</v>
      </c>
      <c r="C1435" s="35"/>
      <c r="D1435" s="35"/>
      <c r="E1435" s="35"/>
      <c r="F1435" s="35"/>
      <c r="G1435" s="35"/>
      <c r="H1435" s="35"/>
      <c r="I1435" s="35"/>
      <c r="J1435" s="35"/>
      <c r="K1435" s="35"/>
      <c r="L1435" s="35"/>
      <c r="M1435" s="35"/>
      <c r="N1435" s="35"/>
      <c r="O1435" s="35"/>
      <c r="P1435" s="35"/>
      <c r="Q1435" s="35"/>
      <c r="R1435" s="35"/>
      <c r="S1435" s="35"/>
      <c r="T1435" s="35"/>
      <c r="U1435" s="35"/>
      <c r="V1435" s="35"/>
      <c r="W1435" s="35"/>
      <c r="X1435" s="35"/>
      <c r="Y1435" s="35"/>
      <c r="Z1435" s="35"/>
      <c r="AA1435" s="35"/>
      <c r="AB1435" s="35"/>
    </row>
    <row r="1436" ht="15.75" customHeight="1">
      <c r="A1436" s="35" t="s">
        <v>8245</v>
      </c>
      <c r="B1436" s="35">
        <v>1.0</v>
      </c>
      <c r="C1436" s="35"/>
      <c r="D1436" s="35"/>
      <c r="E1436" s="35"/>
      <c r="F1436" s="35"/>
      <c r="G1436" s="35"/>
      <c r="H1436" s="35"/>
      <c r="I1436" s="35"/>
      <c r="J1436" s="35"/>
      <c r="K1436" s="35"/>
      <c r="L1436" s="35"/>
      <c r="M1436" s="35"/>
      <c r="N1436" s="35"/>
      <c r="O1436" s="35"/>
      <c r="P1436" s="35"/>
      <c r="Q1436" s="35"/>
      <c r="R1436" s="35"/>
      <c r="S1436" s="35"/>
      <c r="T1436" s="35"/>
      <c r="U1436" s="35"/>
      <c r="V1436" s="35"/>
      <c r="W1436" s="35"/>
      <c r="X1436" s="35"/>
      <c r="Y1436" s="35"/>
      <c r="Z1436" s="35"/>
      <c r="AA1436" s="35"/>
      <c r="AB1436" s="35"/>
    </row>
    <row r="1437" ht="15.75" customHeight="1">
      <c r="A1437" s="35" t="s">
        <v>8249</v>
      </c>
      <c r="B1437" s="35">
        <v>1.0</v>
      </c>
      <c r="C1437" s="35"/>
      <c r="D1437" s="35"/>
      <c r="E1437" s="35"/>
      <c r="F1437" s="35"/>
      <c r="G1437" s="35"/>
      <c r="H1437" s="35"/>
      <c r="I1437" s="35"/>
      <c r="J1437" s="35"/>
      <c r="K1437" s="35"/>
      <c r="L1437" s="35"/>
      <c r="M1437" s="35"/>
      <c r="N1437" s="35"/>
      <c r="O1437" s="35"/>
      <c r="P1437" s="35"/>
      <c r="Q1437" s="35"/>
      <c r="R1437" s="35"/>
      <c r="S1437" s="35"/>
      <c r="T1437" s="35"/>
      <c r="U1437" s="35"/>
      <c r="V1437" s="35"/>
      <c r="W1437" s="35"/>
      <c r="X1437" s="35"/>
      <c r="Y1437" s="35"/>
      <c r="Z1437" s="35"/>
      <c r="AA1437" s="35"/>
      <c r="AB1437" s="35"/>
    </row>
    <row r="1438" ht="15.75" customHeight="1">
      <c r="A1438" s="35" t="s">
        <v>8252</v>
      </c>
      <c r="B1438" s="35">
        <v>1.0</v>
      </c>
      <c r="C1438" s="35"/>
      <c r="D1438" s="35"/>
      <c r="E1438" s="35"/>
      <c r="F1438" s="35"/>
      <c r="G1438" s="35"/>
      <c r="H1438" s="35"/>
      <c r="I1438" s="35"/>
      <c r="J1438" s="35"/>
      <c r="K1438" s="35"/>
      <c r="L1438" s="35"/>
      <c r="M1438" s="35"/>
      <c r="N1438" s="35"/>
      <c r="O1438" s="35"/>
      <c r="P1438" s="35"/>
      <c r="Q1438" s="35"/>
      <c r="R1438" s="35"/>
      <c r="S1438" s="35"/>
      <c r="T1438" s="35"/>
      <c r="U1438" s="35"/>
      <c r="V1438" s="35"/>
      <c r="W1438" s="35"/>
      <c r="X1438" s="35"/>
      <c r="Y1438" s="35"/>
      <c r="Z1438" s="35"/>
      <c r="AA1438" s="35"/>
      <c r="AB1438" s="35"/>
    </row>
    <row r="1439" ht="15.75" customHeight="1">
      <c r="A1439" s="35" t="s">
        <v>8255</v>
      </c>
      <c r="B1439" s="35">
        <v>1.0</v>
      </c>
      <c r="C1439" s="35"/>
      <c r="D1439" s="35"/>
      <c r="E1439" s="35"/>
      <c r="F1439" s="35"/>
      <c r="G1439" s="35"/>
      <c r="H1439" s="35"/>
      <c r="I1439" s="35"/>
      <c r="J1439" s="35"/>
      <c r="K1439" s="35"/>
      <c r="L1439" s="35"/>
      <c r="M1439" s="35"/>
      <c r="N1439" s="35"/>
      <c r="O1439" s="35"/>
      <c r="P1439" s="35"/>
      <c r="Q1439" s="35"/>
      <c r="R1439" s="35"/>
      <c r="S1439" s="35"/>
      <c r="T1439" s="35"/>
      <c r="U1439" s="35"/>
      <c r="V1439" s="35"/>
      <c r="W1439" s="35"/>
      <c r="X1439" s="35"/>
      <c r="Y1439" s="35"/>
      <c r="Z1439" s="35"/>
      <c r="AA1439" s="35"/>
      <c r="AB1439" s="35"/>
    </row>
    <row r="1440" ht="15.75" customHeight="1">
      <c r="A1440" s="35">
        <v>0.0</v>
      </c>
      <c r="B1440" s="35">
        <v>1.0</v>
      </c>
      <c r="C1440" s="35"/>
      <c r="D1440" s="35"/>
      <c r="E1440" s="35"/>
      <c r="F1440" s="35"/>
      <c r="G1440" s="35"/>
      <c r="H1440" s="35"/>
      <c r="I1440" s="35"/>
      <c r="J1440" s="35"/>
      <c r="K1440" s="35"/>
      <c r="L1440" s="35"/>
      <c r="M1440" s="35"/>
      <c r="N1440" s="35"/>
      <c r="O1440" s="35"/>
      <c r="P1440" s="35"/>
      <c r="Q1440" s="35"/>
      <c r="R1440" s="35"/>
      <c r="S1440" s="35"/>
      <c r="T1440" s="35"/>
      <c r="U1440" s="35"/>
      <c r="V1440" s="35"/>
      <c r="W1440" s="35"/>
      <c r="X1440" s="35"/>
      <c r="Y1440" s="35"/>
      <c r="Z1440" s="35"/>
      <c r="AA1440" s="35"/>
      <c r="AB1440" s="35"/>
    </row>
    <row r="1441" ht="15.75" customHeight="1">
      <c r="A1441" s="35" t="s">
        <v>8261</v>
      </c>
      <c r="B1441" s="35">
        <v>1.0</v>
      </c>
      <c r="C1441" s="35"/>
      <c r="D1441" s="35"/>
      <c r="E1441" s="35"/>
      <c r="F1441" s="35"/>
      <c r="G1441" s="35"/>
      <c r="H1441" s="35"/>
      <c r="I1441" s="35"/>
      <c r="J1441" s="35"/>
      <c r="K1441" s="35"/>
      <c r="L1441" s="35"/>
      <c r="M1441" s="35"/>
      <c r="N1441" s="35"/>
      <c r="O1441" s="35"/>
      <c r="P1441" s="35"/>
      <c r="Q1441" s="35"/>
      <c r="R1441" s="35"/>
      <c r="S1441" s="35"/>
      <c r="T1441" s="35"/>
      <c r="U1441" s="35"/>
      <c r="V1441" s="35"/>
      <c r="W1441" s="35"/>
      <c r="X1441" s="35"/>
      <c r="Y1441" s="35"/>
      <c r="Z1441" s="35"/>
      <c r="AA1441" s="35"/>
      <c r="AB1441" s="35"/>
    </row>
    <row r="1442" ht="15.75" customHeight="1">
      <c r="A1442" s="35" t="s">
        <v>8264</v>
      </c>
      <c r="B1442" s="35">
        <v>1.0</v>
      </c>
      <c r="C1442" s="35"/>
      <c r="D1442" s="35"/>
      <c r="E1442" s="35"/>
      <c r="F1442" s="35"/>
      <c r="G1442" s="35"/>
      <c r="H1442" s="35"/>
      <c r="I1442" s="35"/>
      <c r="J1442" s="35"/>
      <c r="K1442" s="35"/>
      <c r="L1442" s="35"/>
      <c r="M1442" s="35"/>
      <c r="N1442" s="35"/>
      <c r="O1442" s="35"/>
      <c r="P1442" s="35"/>
      <c r="Q1442" s="35"/>
      <c r="R1442" s="35"/>
      <c r="S1442" s="35"/>
      <c r="T1442" s="35"/>
      <c r="U1442" s="35"/>
      <c r="V1442" s="35"/>
      <c r="W1442" s="35"/>
      <c r="X1442" s="35"/>
      <c r="Y1442" s="35"/>
      <c r="Z1442" s="35"/>
      <c r="AA1442" s="35"/>
      <c r="AB1442" s="35"/>
    </row>
    <row r="1443" ht="15.75" customHeight="1">
      <c r="A1443" s="35" t="s">
        <v>8267</v>
      </c>
      <c r="B1443" s="35">
        <v>1.0</v>
      </c>
      <c r="C1443" s="35"/>
      <c r="D1443" s="35"/>
      <c r="E1443" s="35"/>
      <c r="F1443" s="35"/>
      <c r="G1443" s="35"/>
      <c r="H1443" s="35"/>
      <c r="I1443" s="35"/>
      <c r="J1443" s="35"/>
      <c r="K1443" s="35"/>
      <c r="L1443" s="35"/>
      <c r="M1443" s="35"/>
      <c r="N1443" s="35"/>
      <c r="O1443" s="35"/>
      <c r="P1443" s="35"/>
      <c r="Q1443" s="35"/>
      <c r="R1443" s="35"/>
      <c r="S1443" s="35"/>
      <c r="T1443" s="35"/>
      <c r="U1443" s="35"/>
      <c r="V1443" s="35"/>
      <c r="W1443" s="35"/>
      <c r="X1443" s="35"/>
      <c r="Y1443" s="35"/>
      <c r="Z1443" s="35"/>
      <c r="AA1443" s="35"/>
      <c r="AB1443" s="35"/>
    </row>
    <row r="1444" ht="15.75" customHeight="1">
      <c r="A1444" s="35" t="s">
        <v>8270</v>
      </c>
      <c r="B1444" s="35">
        <v>1.0</v>
      </c>
      <c r="C1444" s="35"/>
      <c r="D1444" s="35"/>
      <c r="E1444" s="35"/>
      <c r="F1444" s="35"/>
      <c r="G1444" s="35"/>
      <c r="H1444" s="35"/>
      <c r="I1444" s="35"/>
      <c r="J1444" s="35"/>
      <c r="K1444" s="35"/>
      <c r="L1444" s="35"/>
      <c r="M1444" s="35"/>
      <c r="N1444" s="35"/>
      <c r="O1444" s="35"/>
      <c r="P1444" s="35"/>
      <c r="Q1444" s="35"/>
      <c r="R1444" s="35"/>
      <c r="S1444" s="35"/>
      <c r="T1444" s="35"/>
      <c r="U1444" s="35"/>
      <c r="V1444" s="35"/>
      <c r="W1444" s="35"/>
      <c r="X1444" s="35"/>
      <c r="Y1444" s="35"/>
      <c r="Z1444" s="35"/>
      <c r="AA1444" s="35"/>
      <c r="AB1444" s="35"/>
    </row>
    <row r="1445" ht="15.75" customHeight="1">
      <c r="A1445" s="35" t="s">
        <v>8273</v>
      </c>
      <c r="B1445" s="35">
        <v>1.0</v>
      </c>
      <c r="C1445" s="35"/>
      <c r="D1445" s="35"/>
      <c r="E1445" s="35"/>
      <c r="F1445" s="35"/>
      <c r="G1445" s="35"/>
      <c r="H1445" s="35"/>
      <c r="I1445" s="35"/>
      <c r="J1445" s="35"/>
      <c r="K1445" s="35"/>
      <c r="L1445" s="35"/>
      <c r="M1445" s="35"/>
      <c r="N1445" s="35"/>
      <c r="O1445" s="35"/>
      <c r="P1445" s="35"/>
      <c r="Q1445" s="35"/>
      <c r="R1445" s="35"/>
      <c r="S1445" s="35"/>
      <c r="T1445" s="35"/>
      <c r="U1445" s="35"/>
      <c r="V1445" s="35"/>
      <c r="W1445" s="35"/>
      <c r="X1445" s="35"/>
      <c r="Y1445" s="35"/>
      <c r="Z1445" s="35"/>
      <c r="AA1445" s="35"/>
      <c r="AB1445" s="35"/>
    </row>
    <row r="1446" ht="15.75" customHeight="1">
      <c r="A1446" s="35" t="s">
        <v>8276</v>
      </c>
      <c r="B1446" s="35">
        <v>1.0</v>
      </c>
      <c r="C1446" s="35"/>
      <c r="D1446" s="35"/>
      <c r="E1446" s="35"/>
      <c r="F1446" s="35"/>
      <c r="G1446" s="35"/>
      <c r="H1446" s="35"/>
      <c r="I1446" s="35"/>
      <c r="J1446" s="35"/>
      <c r="K1446" s="35"/>
      <c r="L1446" s="35"/>
      <c r="M1446" s="35"/>
      <c r="N1446" s="35"/>
      <c r="O1446" s="35"/>
      <c r="P1446" s="35"/>
      <c r="Q1446" s="35"/>
      <c r="R1446" s="35"/>
      <c r="S1446" s="35"/>
      <c r="T1446" s="35"/>
      <c r="U1446" s="35"/>
      <c r="V1446" s="35"/>
      <c r="W1446" s="35"/>
      <c r="X1446" s="35"/>
      <c r="Y1446" s="35"/>
      <c r="Z1446" s="35"/>
      <c r="AA1446" s="35"/>
      <c r="AB1446" s="35"/>
    </row>
    <row r="1447" ht="15.75" customHeight="1">
      <c r="A1447" s="35" t="s">
        <v>8279</v>
      </c>
      <c r="B1447" s="35">
        <v>1.0</v>
      </c>
      <c r="C1447" s="35"/>
      <c r="D1447" s="35"/>
      <c r="E1447" s="35"/>
      <c r="F1447" s="35"/>
      <c r="G1447" s="35"/>
      <c r="H1447" s="35"/>
      <c r="I1447" s="35"/>
      <c r="J1447" s="35"/>
      <c r="K1447" s="35"/>
      <c r="L1447" s="35"/>
      <c r="M1447" s="35"/>
      <c r="N1447" s="35"/>
      <c r="O1447" s="35"/>
      <c r="P1447" s="35"/>
      <c r="Q1447" s="35"/>
      <c r="R1447" s="35"/>
      <c r="S1447" s="35"/>
      <c r="T1447" s="35"/>
      <c r="U1447" s="35"/>
      <c r="V1447" s="35"/>
      <c r="W1447" s="35"/>
      <c r="X1447" s="35"/>
      <c r="Y1447" s="35"/>
      <c r="Z1447" s="35"/>
      <c r="AA1447" s="35"/>
      <c r="AB1447" s="35"/>
    </row>
    <row r="1448" ht="15.75" customHeight="1">
      <c r="A1448" s="35" t="s">
        <v>8283</v>
      </c>
      <c r="B1448" s="35">
        <v>1.0</v>
      </c>
      <c r="C1448" s="35"/>
      <c r="D1448" s="35"/>
      <c r="E1448" s="35"/>
      <c r="F1448" s="35"/>
      <c r="G1448" s="35"/>
      <c r="H1448" s="35"/>
      <c r="I1448" s="35"/>
      <c r="J1448" s="35"/>
      <c r="K1448" s="35"/>
      <c r="L1448" s="35"/>
      <c r="M1448" s="35"/>
      <c r="N1448" s="35"/>
      <c r="O1448" s="35"/>
      <c r="P1448" s="35"/>
      <c r="Q1448" s="35"/>
      <c r="R1448" s="35"/>
      <c r="S1448" s="35"/>
      <c r="T1448" s="35"/>
      <c r="U1448" s="35"/>
      <c r="V1448" s="35"/>
      <c r="W1448" s="35"/>
      <c r="X1448" s="35"/>
      <c r="Y1448" s="35"/>
      <c r="Z1448" s="35"/>
      <c r="AA1448" s="35"/>
      <c r="AB1448" s="35"/>
    </row>
    <row r="1449" ht="15.75" customHeight="1">
      <c r="A1449" s="35" t="s">
        <v>8286</v>
      </c>
      <c r="B1449" s="35">
        <v>1.0</v>
      </c>
      <c r="C1449" s="35"/>
      <c r="D1449" s="35"/>
      <c r="E1449" s="35"/>
      <c r="F1449" s="35"/>
      <c r="G1449" s="35"/>
      <c r="H1449" s="35"/>
      <c r="I1449" s="35"/>
      <c r="J1449" s="35"/>
      <c r="K1449" s="35"/>
      <c r="L1449" s="35"/>
      <c r="M1449" s="35"/>
      <c r="N1449" s="35"/>
      <c r="O1449" s="35"/>
      <c r="P1449" s="35"/>
      <c r="Q1449" s="35"/>
      <c r="R1449" s="35"/>
      <c r="S1449" s="35"/>
      <c r="T1449" s="35"/>
      <c r="U1449" s="35"/>
      <c r="V1449" s="35"/>
      <c r="W1449" s="35"/>
      <c r="X1449" s="35"/>
      <c r="Y1449" s="35"/>
      <c r="Z1449" s="35"/>
      <c r="AA1449" s="35"/>
      <c r="AB1449" s="35"/>
    </row>
    <row r="1450" ht="15.75" customHeight="1">
      <c r="A1450" s="35" t="s">
        <v>8289</v>
      </c>
      <c r="B1450" s="35">
        <v>1.0</v>
      </c>
      <c r="C1450" s="35"/>
      <c r="D1450" s="35"/>
      <c r="E1450" s="35"/>
      <c r="F1450" s="35"/>
      <c r="G1450" s="35"/>
      <c r="H1450" s="35"/>
      <c r="I1450" s="35"/>
      <c r="J1450" s="35"/>
      <c r="K1450" s="35"/>
      <c r="L1450" s="35"/>
      <c r="M1450" s="35"/>
      <c r="N1450" s="35"/>
      <c r="O1450" s="35"/>
      <c r="P1450" s="35"/>
      <c r="Q1450" s="35"/>
      <c r="R1450" s="35"/>
      <c r="S1450" s="35"/>
      <c r="T1450" s="35"/>
      <c r="U1450" s="35"/>
      <c r="V1450" s="35"/>
      <c r="W1450" s="35"/>
      <c r="X1450" s="35"/>
      <c r="Y1450" s="35"/>
      <c r="Z1450" s="35"/>
      <c r="AA1450" s="35"/>
      <c r="AB1450" s="35"/>
    </row>
    <row r="1451" ht="15.75" customHeight="1">
      <c r="A1451" s="35" t="s">
        <v>8293</v>
      </c>
      <c r="B1451" s="35">
        <v>1.0</v>
      </c>
      <c r="C1451" s="35"/>
      <c r="D1451" s="35"/>
      <c r="E1451" s="35"/>
      <c r="F1451" s="35"/>
      <c r="G1451" s="35"/>
      <c r="H1451" s="35"/>
      <c r="I1451" s="35"/>
      <c r="J1451" s="35"/>
      <c r="K1451" s="35"/>
      <c r="L1451" s="35"/>
      <c r="M1451" s="35"/>
      <c r="N1451" s="35"/>
      <c r="O1451" s="35"/>
      <c r="P1451" s="35"/>
      <c r="Q1451" s="35"/>
      <c r="R1451" s="35"/>
      <c r="S1451" s="35"/>
      <c r="T1451" s="35"/>
      <c r="U1451" s="35"/>
      <c r="V1451" s="35"/>
      <c r="W1451" s="35"/>
      <c r="X1451" s="35"/>
      <c r="Y1451" s="35"/>
      <c r="Z1451" s="35"/>
      <c r="AA1451" s="35"/>
      <c r="AB1451" s="35"/>
    </row>
    <row r="1452" ht="15.75" customHeight="1">
      <c r="A1452" s="35" t="s">
        <v>8297</v>
      </c>
      <c r="B1452" s="35">
        <v>1.0</v>
      </c>
      <c r="C1452" s="35"/>
      <c r="D1452" s="35"/>
      <c r="E1452" s="35"/>
      <c r="F1452" s="35"/>
      <c r="G1452" s="35"/>
      <c r="H1452" s="35"/>
      <c r="I1452" s="35"/>
      <c r="J1452" s="35"/>
      <c r="K1452" s="35"/>
      <c r="L1452" s="35"/>
      <c r="M1452" s="35"/>
      <c r="N1452" s="35"/>
      <c r="O1452" s="35"/>
      <c r="P1452" s="35"/>
      <c r="Q1452" s="35"/>
      <c r="R1452" s="35"/>
      <c r="S1452" s="35"/>
      <c r="T1452" s="35"/>
      <c r="U1452" s="35"/>
      <c r="V1452" s="35"/>
      <c r="W1452" s="35"/>
      <c r="X1452" s="35"/>
      <c r="Y1452" s="35"/>
      <c r="Z1452" s="35"/>
      <c r="AA1452" s="35"/>
      <c r="AB1452" s="35"/>
    </row>
    <row r="1453" ht="15.75" customHeight="1">
      <c r="A1453" s="35" t="s">
        <v>8300</v>
      </c>
      <c r="B1453" s="35">
        <v>1.0</v>
      </c>
      <c r="C1453" s="35"/>
      <c r="D1453" s="35"/>
      <c r="E1453" s="35"/>
      <c r="F1453" s="35"/>
      <c r="G1453" s="35"/>
      <c r="H1453" s="35"/>
      <c r="I1453" s="35"/>
      <c r="J1453" s="35"/>
      <c r="K1453" s="35"/>
      <c r="L1453" s="35"/>
      <c r="M1453" s="35"/>
      <c r="N1453" s="35"/>
      <c r="O1453" s="35"/>
      <c r="P1453" s="35"/>
      <c r="Q1453" s="35"/>
      <c r="R1453" s="35"/>
      <c r="S1453" s="35"/>
      <c r="T1453" s="35"/>
      <c r="U1453" s="35"/>
      <c r="V1453" s="35"/>
      <c r="W1453" s="35"/>
      <c r="X1453" s="35"/>
      <c r="Y1453" s="35"/>
      <c r="Z1453" s="35"/>
      <c r="AA1453" s="35"/>
      <c r="AB1453" s="35"/>
    </row>
    <row r="1454" ht="15.75" customHeight="1">
      <c r="A1454" s="35" t="s">
        <v>8303</v>
      </c>
      <c r="B1454" s="35">
        <v>1.0</v>
      </c>
      <c r="C1454" s="35"/>
      <c r="D1454" s="35"/>
      <c r="E1454" s="35"/>
      <c r="F1454" s="35"/>
      <c r="G1454" s="35"/>
      <c r="H1454" s="35"/>
      <c r="I1454" s="35"/>
      <c r="J1454" s="35"/>
      <c r="K1454" s="35"/>
      <c r="L1454" s="35"/>
      <c r="M1454" s="35"/>
      <c r="N1454" s="35"/>
      <c r="O1454" s="35"/>
      <c r="P1454" s="35"/>
      <c r="Q1454" s="35"/>
      <c r="R1454" s="35"/>
      <c r="S1454" s="35"/>
      <c r="T1454" s="35"/>
      <c r="U1454" s="35"/>
      <c r="V1454" s="35"/>
      <c r="W1454" s="35"/>
      <c r="X1454" s="35"/>
      <c r="Y1454" s="35"/>
      <c r="Z1454" s="35"/>
      <c r="AA1454" s="35"/>
      <c r="AB1454" s="35"/>
    </row>
    <row r="1455" ht="15.75" customHeight="1">
      <c r="A1455" s="35" t="s">
        <v>8306</v>
      </c>
      <c r="B1455" s="35">
        <v>1.0</v>
      </c>
      <c r="C1455" s="35"/>
      <c r="D1455" s="35"/>
      <c r="E1455" s="35"/>
      <c r="F1455" s="35"/>
      <c r="G1455" s="35"/>
      <c r="H1455" s="35"/>
      <c r="I1455" s="35"/>
      <c r="J1455" s="35"/>
      <c r="K1455" s="35"/>
      <c r="L1455" s="35"/>
      <c r="M1455" s="35"/>
      <c r="N1455" s="35"/>
      <c r="O1455" s="35"/>
      <c r="P1455" s="35"/>
      <c r="Q1455" s="35"/>
      <c r="R1455" s="35"/>
      <c r="S1455" s="35"/>
      <c r="T1455" s="35"/>
      <c r="U1455" s="35"/>
      <c r="V1455" s="35"/>
      <c r="W1455" s="35"/>
      <c r="X1455" s="35"/>
      <c r="Y1455" s="35"/>
      <c r="Z1455" s="35"/>
      <c r="AA1455" s="35"/>
      <c r="AB1455" s="35"/>
    </row>
    <row r="1456" ht="15.75" customHeight="1">
      <c r="A1456" s="35" t="s">
        <v>8310</v>
      </c>
      <c r="B1456" s="35">
        <v>1.0</v>
      </c>
      <c r="C1456" s="35"/>
      <c r="D1456" s="35"/>
      <c r="E1456" s="35"/>
      <c r="F1456" s="35"/>
      <c r="G1456" s="35"/>
      <c r="H1456" s="35"/>
      <c r="I1456" s="35"/>
      <c r="J1456" s="35"/>
      <c r="K1456" s="35"/>
      <c r="L1456" s="35"/>
      <c r="M1456" s="35"/>
      <c r="N1456" s="35"/>
      <c r="O1456" s="35"/>
      <c r="P1456" s="35"/>
      <c r="Q1456" s="35"/>
      <c r="R1456" s="35"/>
      <c r="S1456" s="35"/>
      <c r="T1456" s="35"/>
      <c r="U1456" s="35"/>
      <c r="V1456" s="35"/>
      <c r="W1456" s="35"/>
      <c r="X1456" s="35"/>
      <c r="Y1456" s="35"/>
      <c r="Z1456" s="35"/>
      <c r="AA1456" s="35"/>
      <c r="AB1456" s="35"/>
    </row>
    <row r="1457" ht="15.75" customHeight="1">
      <c r="A1457" s="35" t="s">
        <v>8313</v>
      </c>
      <c r="B1457" s="35">
        <v>1.0</v>
      </c>
      <c r="C1457" s="35"/>
      <c r="D1457" s="35"/>
      <c r="E1457" s="35"/>
      <c r="F1457" s="35"/>
      <c r="G1457" s="35"/>
      <c r="H1457" s="35"/>
      <c r="I1457" s="35"/>
      <c r="J1457" s="35"/>
      <c r="K1457" s="35"/>
      <c r="L1457" s="35"/>
      <c r="M1457" s="35"/>
      <c r="N1457" s="35"/>
      <c r="O1457" s="35"/>
      <c r="P1457" s="35"/>
      <c r="Q1457" s="35"/>
      <c r="R1457" s="35"/>
      <c r="S1457" s="35"/>
      <c r="T1457" s="35"/>
      <c r="U1457" s="35"/>
      <c r="V1457" s="35"/>
      <c r="W1457" s="35"/>
      <c r="X1457" s="35"/>
      <c r="Y1457" s="35"/>
      <c r="Z1457" s="35"/>
      <c r="AA1457" s="35"/>
      <c r="AB1457" s="35"/>
    </row>
    <row r="1458" ht="15.75" customHeight="1">
      <c r="A1458" s="35" t="s">
        <v>8316</v>
      </c>
      <c r="B1458" s="35">
        <v>1.0</v>
      </c>
      <c r="C1458" s="35"/>
      <c r="D1458" s="35"/>
      <c r="E1458" s="35"/>
      <c r="F1458" s="35"/>
      <c r="G1458" s="35"/>
      <c r="H1458" s="35"/>
      <c r="I1458" s="35"/>
      <c r="J1458" s="35"/>
      <c r="K1458" s="35"/>
      <c r="L1458" s="35"/>
      <c r="M1458" s="35"/>
      <c r="N1458" s="35"/>
      <c r="O1458" s="35"/>
      <c r="P1458" s="35"/>
      <c r="Q1458" s="35"/>
      <c r="R1458" s="35"/>
      <c r="S1458" s="35"/>
      <c r="T1458" s="35"/>
      <c r="U1458" s="35"/>
      <c r="V1458" s="35"/>
      <c r="W1458" s="35"/>
      <c r="X1458" s="35"/>
      <c r="Y1458" s="35"/>
      <c r="Z1458" s="35"/>
      <c r="AA1458" s="35"/>
      <c r="AB1458" s="35"/>
    </row>
    <row r="1459" ht="15.75" customHeight="1">
      <c r="A1459" s="35" t="s">
        <v>8320</v>
      </c>
      <c r="B1459" s="35">
        <v>1.0</v>
      </c>
      <c r="C1459" s="35"/>
      <c r="D1459" s="35"/>
      <c r="E1459" s="35"/>
      <c r="F1459" s="35"/>
      <c r="G1459" s="35"/>
      <c r="H1459" s="35"/>
      <c r="I1459" s="35"/>
      <c r="J1459" s="35"/>
      <c r="K1459" s="35"/>
      <c r="L1459" s="35"/>
      <c r="M1459" s="35"/>
      <c r="N1459" s="35"/>
      <c r="O1459" s="35"/>
      <c r="P1459" s="35"/>
      <c r="Q1459" s="35"/>
      <c r="R1459" s="35"/>
      <c r="S1459" s="35"/>
      <c r="T1459" s="35"/>
      <c r="U1459" s="35"/>
      <c r="V1459" s="35"/>
      <c r="W1459" s="35"/>
      <c r="X1459" s="35"/>
      <c r="Y1459" s="35"/>
      <c r="Z1459" s="35"/>
      <c r="AA1459" s="35"/>
      <c r="AB1459" s="35"/>
    </row>
    <row r="1460" ht="15.75" customHeight="1">
      <c r="A1460" s="35" t="s">
        <v>8322</v>
      </c>
      <c r="B1460" s="35">
        <v>1.0</v>
      </c>
      <c r="C1460" s="35"/>
      <c r="D1460" s="35"/>
      <c r="E1460" s="35"/>
      <c r="F1460" s="35"/>
      <c r="G1460" s="35"/>
      <c r="H1460" s="35"/>
      <c r="I1460" s="35"/>
      <c r="J1460" s="35"/>
      <c r="K1460" s="35"/>
      <c r="L1460" s="35"/>
      <c r="M1460" s="35"/>
      <c r="N1460" s="35"/>
      <c r="O1460" s="35"/>
      <c r="P1460" s="35"/>
      <c r="Q1460" s="35"/>
      <c r="R1460" s="35"/>
      <c r="S1460" s="35"/>
      <c r="T1460" s="35"/>
      <c r="U1460" s="35"/>
      <c r="V1460" s="35"/>
      <c r="W1460" s="35"/>
      <c r="X1460" s="35"/>
      <c r="Y1460" s="35"/>
      <c r="Z1460" s="35"/>
      <c r="AA1460" s="35"/>
      <c r="AB1460" s="35"/>
    </row>
    <row r="1461" ht="15.75" customHeight="1">
      <c r="A1461" s="35" t="s">
        <v>8325</v>
      </c>
      <c r="B1461" s="35">
        <v>1.0</v>
      </c>
      <c r="C1461" s="35"/>
      <c r="D1461" s="35"/>
      <c r="E1461" s="35"/>
      <c r="F1461" s="35"/>
      <c r="G1461" s="35"/>
      <c r="H1461" s="35"/>
      <c r="I1461" s="35"/>
      <c r="J1461" s="35"/>
      <c r="K1461" s="35"/>
      <c r="L1461" s="35"/>
      <c r="M1461" s="35"/>
      <c r="N1461" s="35"/>
      <c r="O1461" s="35"/>
      <c r="P1461" s="35"/>
      <c r="Q1461" s="35"/>
      <c r="R1461" s="35"/>
      <c r="S1461" s="35"/>
      <c r="T1461" s="35"/>
      <c r="U1461" s="35"/>
      <c r="V1461" s="35"/>
      <c r="W1461" s="35"/>
      <c r="X1461" s="35"/>
      <c r="Y1461" s="35"/>
      <c r="Z1461" s="35"/>
      <c r="AA1461" s="35"/>
      <c r="AB1461" s="35"/>
    </row>
    <row r="1462" ht="15.75" customHeight="1">
      <c r="A1462" s="35" t="s">
        <v>8328</v>
      </c>
      <c r="B1462" s="35">
        <v>1.0</v>
      </c>
      <c r="C1462" s="35"/>
      <c r="D1462" s="35"/>
      <c r="E1462" s="35"/>
      <c r="F1462" s="35"/>
      <c r="G1462" s="35"/>
      <c r="H1462" s="35"/>
      <c r="I1462" s="35"/>
      <c r="J1462" s="35"/>
      <c r="K1462" s="35"/>
      <c r="L1462" s="35"/>
      <c r="M1462" s="35"/>
      <c r="N1462" s="35"/>
      <c r="O1462" s="35"/>
      <c r="P1462" s="35"/>
      <c r="Q1462" s="35"/>
      <c r="R1462" s="35"/>
      <c r="S1462" s="35"/>
      <c r="T1462" s="35"/>
      <c r="U1462" s="35"/>
      <c r="V1462" s="35"/>
      <c r="W1462" s="35"/>
      <c r="X1462" s="35"/>
      <c r="Y1462" s="35"/>
      <c r="Z1462" s="35"/>
      <c r="AA1462" s="35"/>
      <c r="AB1462" s="35"/>
    </row>
    <row r="1463" ht="15.75" customHeight="1">
      <c r="A1463" s="35" t="s">
        <v>8331</v>
      </c>
      <c r="B1463" s="35">
        <v>1.0</v>
      </c>
      <c r="C1463" s="35"/>
      <c r="D1463" s="35"/>
      <c r="E1463" s="35"/>
      <c r="F1463" s="35"/>
      <c r="G1463" s="35"/>
      <c r="H1463" s="35"/>
      <c r="I1463" s="35"/>
      <c r="J1463" s="35"/>
      <c r="K1463" s="35"/>
      <c r="L1463" s="35"/>
      <c r="M1463" s="35"/>
      <c r="N1463" s="35"/>
      <c r="O1463" s="35"/>
      <c r="P1463" s="35"/>
      <c r="Q1463" s="35"/>
      <c r="R1463" s="35"/>
      <c r="S1463" s="35"/>
      <c r="T1463" s="35"/>
      <c r="U1463" s="35"/>
      <c r="V1463" s="35"/>
      <c r="W1463" s="35"/>
      <c r="X1463" s="35"/>
      <c r="Y1463" s="35"/>
      <c r="Z1463" s="35"/>
      <c r="AA1463" s="35"/>
      <c r="AB1463" s="35"/>
    </row>
    <row r="1464" ht="15.75" customHeight="1">
      <c r="A1464" s="35" t="s">
        <v>8336</v>
      </c>
      <c r="B1464" s="35">
        <v>1.0</v>
      </c>
      <c r="C1464" s="35"/>
      <c r="D1464" s="35"/>
      <c r="E1464" s="35"/>
      <c r="F1464" s="35"/>
      <c r="G1464" s="35"/>
      <c r="H1464" s="35"/>
      <c r="I1464" s="35"/>
      <c r="J1464" s="35"/>
      <c r="K1464" s="35"/>
      <c r="L1464" s="35"/>
      <c r="M1464" s="35"/>
      <c r="N1464" s="35"/>
      <c r="O1464" s="35"/>
      <c r="P1464" s="35"/>
      <c r="Q1464" s="35"/>
      <c r="R1464" s="35"/>
      <c r="S1464" s="35"/>
      <c r="T1464" s="35"/>
      <c r="U1464" s="35"/>
      <c r="V1464" s="35"/>
      <c r="W1464" s="35"/>
      <c r="X1464" s="35"/>
      <c r="Y1464" s="35"/>
      <c r="Z1464" s="35"/>
      <c r="AA1464" s="35"/>
      <c r="AB1464" s="35"/>
    </row>
    <row r="1465" ht="15.75" customHeight="1">
      <c r="A1465" s="35" t="s">
        <v>8339</v>
      </c>
      <c r="B1465" s="35">
        <v>1.0</v>
      </c>
      <c r="C1465" s="35"/>
      <c r="D1465" s="35"/>
      <c r="E1465" s="35"/>
      <c r="F1465" s="35"/>
      <c r="G1465" s="35"/>
      <c r="H1465" s="35"/>
      <c r="I1465" s="35"/>
      <c r="J1465" s="35"/>
      <c r="K1465" s="35"/>
      <c r="L1465" s="35"/>
      <c r="M1465" s="35"/>
      <c r="N1465" s="35"/>
      <c r="O1465" s="35"/>
      <c r="P1465" s="35"/>
      <c r="Q1465" s="35"/>
      <c r="R1465" s="35"/>
      <c r="S1465" s="35"/>
      <c r="T1465" s="35"/>
      <c r="U1465" s="35"/>
      <c r="V1465" s="35"/>
      <c r="W1465" s="35"/>
      <c r="X1465" s="35"/>
      <c r="Y1465" s="35"/>
      <c r="Z1465" s="35"/>
      <c r="AA1465" s="35"/>
      <c r="AB1465" s="35"/>
    </row>
    <row r="1466" ht="15.75" customHeight="1">
      <c r="A1466" s="35" t="s">
        <v>8342</v>
      </c>
      <c r="B1466" s="35">
        <v>1.0</v>
      </c>
      <c r="C1466" s="35"/>
      <c r="D1466" s="35"/>
      <c r="E1466" s="35"/>
      <c r="F1466" s="35"/>
      <c r="G1466" s="35"/>
      <c r="H1466" s="35"/>
      <c r="I1466" s="35"/>
      <c r="J1466" s="35"/>
      <c r="K1466" s="35"/>
      <c r="L1466" s="35"/>
      <c r="M1466" s="35"/>
      <c r="N1466" s="35"/>
      <c r="O1466" s="35"/>
      <c r="P1466" s="35"/>
      <c r="Q1466" s="35"/>
      <c r="R1466" s="35"/>
      <c r="S1466" s="35"/>
      <c r="T1466" s="35"/>
      <c r="U1466" s="35"/>
      <c r="V1466" s="35"/>
      <c r="W1466" s="35"/>
      <c r="X1466" s="35"/>
      <c r="Y1466" s="35"/>
      <c r="Z1466" s="35"/>
      <c r="AA1466" s="35"/>
      <c r="AB1466" s="35"/>
    </row>
    <row r="1467" ht="15.75" customHeight="1">
      <c r="A1467" s="35" t="s">
        <v>8345</v>
      </c>
      <c r="B1467" s="35">
        <v>1.0</v>
      </c>
      <c r="C1467" s="35"/>
      <c r="D1467" s="35"/>
      <c r="E1467" s="35"/>
      <c r="F1467" s="35"/>
      <c r="G1467" s="35"/>
      <c r="H1467" s="35"/>
      <c r="I1467" s="35"/>
      <c r="J1467" s="35"/>
      <c r="K1467" s="35"/>
      <c r="L1467" s="35"/>
      <c r="M1467" s="35"/>
      <c r="N1467" s="35"/>
      <c r="O1467" s="35"/>
      <c r="P1467" s="35"/>
      <c r="Q1467" s="35"/>
      <c r="R1467" s="35"/>
      <c r="S1467" s="35"/>
      <c r="T1467" s="35"/>
      <c r="U1467" s="35"/>
      <c r="V1467" s="35"/>
      <c r="W1467" s="35"/>
      <c r="X1467" s="35"/>
      <c r="Y1467" s="35"/>
      <c r="Z1467" s="35"/>
      <c r="AA1467" s="35"/>
      <c r="AB1467" s="35"/>
    </row>
    <row r="1468" ht="15.75" customHeight="1">
      <c r="A1468" s="35" t="s">
        <v>8348</v>
      </c>
      <c r="B1468" s="35">
        <v>1.0</v>
      </c>
      <c r="C1468" s="35"/>
      <c r="D1468" s="35"/>
      <c r="E1468" s="35"/>
      <c r="F1468" s="35"/>
      <c r="G1468" s="35"/>
      <c r="H1468" s="35"/>
      <c r="I1468" s="35"/>
      <c r="J1468" s="35"/>
      <c r="K1468" s="35"/>
      <c r="L1468" s="35"/>
      <c r="M1468" s="35"/>
      <c r="N1468" s="35"/>
      <c r="O1468" s="35"/>
      <c r="P1468" s="35"/>
      <c r="Q1468" s="35"/>
      <c r="R1468" s="35"/>
      <c r="S1468" s="35"/>
      <c r="T1468" s="35"/>
      <c r="U1468" s="35"/>
      <c r="V1468" s="35"/>
      <c r="W1468" s="35"/>
      <c r="X1468" s="35"/>
      <c r="Y1468" s="35"/>
      <c r="Z1468" s="35"/>
      <c r="AA1468" s="35"/>
      <c r="AB1468" s="35"/>
    </row>
    <row r="1469" ht="15.75" customHeight="1">
      <c r="A1469" s="35" t="s">
        <v>8352</v>
      </c>
      <c r="B1469" s="35">
        <v>1.0</v>
      </c>
      <c r="C1469" s="35"/>
      <c r="D1469" s="35"/>
      <c r="E1469" s="35"/>
      <c r="F1469" s="35"/>
      <c r="G1469" s="35"/>
      <c r="H1469" s="35"/>
      <c r="I1469" s="35"/>
      <c r="J1469" s="35"/>
      <c r="K1469" s="35"/>
      <c r="L1469" s="35"/>
      <c r="M1469" s="35"/>
      <c r="N1469" s="35"/>
      <c r="O1469" s="35"/>
      <c r="P1469" s="35"/>
      <c r="Q1469" s="35"/>
      <c r="R1469" s="35"/>
      <c r="S1469" s="35"/>
      <c r="T1469" s="35"/>
      <c r="U1469" s="35"/>
      <c r="V1469" s="35"/>
      <c r="W1469" s="35"/>
      <c r="X1469" s="35"/>
      <c r="Y1469" s="35"/>
      <c r="Z1469" s="35"/>
      <c r="AA1469" s="35"/>
      <c r="AB1469" s="35"/>
    </row>
    <row r="1470" ht="15.75" customHeight="1">
      <c r="A1470" s="35" t="s">
        <v>8355</v>
      </c>
      <c r="B1470" s="35">
        <v>1.0</v>
      </c>
      <c r="C1470" s="35"/>
      <c r="D1470" s="35"/>
      <c r="E1470" s="35"/>
      <c r="F1470" s="35"/>
      <c r="G1470" s="35"/>
      <c r="H1470" s="35"/>
      <c r="I1470" s="35"/>
      <c r="J1470" s="35"/>
      <c r="K1470" s="35"/>
      <c r="L1470" s="35"/>
      <c r="M1470" s="35"/>
      <c r="N1470" s="35"/>
      <c r="O1470" s="35"/>
      <c r="P1470" s="35"/>
      <c r="Q1470" s="35"/>
      <c r="R1470" s="35"/>
      <c r="S1470" s="35"/>
      <c r="T1470" s="35"/>
      <c r="U1470" s="35"/>
      <c r="V1470" s="35"/>
      <c r="W1470" s="35"/>
      <c r="X1470" s="35"/>
      <c r="Y1470" s="35"/>
      <c r="Z1470" s="35"/>
      <c r="AA1470" s="35"/>
      <c r="AB1470" s="35"/>
    </row>
    <row r="1471" ht="15.75" customHeight="1">
      <c r="A1471" s="35" t="s">
        <v>8358</v>
      </c>
      <c r="B1471" s="35">
        <v>1.0</v>
      </c>
      <c r="C1471" s="35"/>
      <c r="D1471" s="35"/>
      <c r="E1471" s="35"/>
      <c r="F1471" s="35"/>
      <c r="G1471" s="35"/>
      <c r="H1471" s="35"/>
      <c r="I1471" s="35"/>
      <c r="J1471" s="35"/>
      <c r="K1471" s="35"/>
      <c r="L1471" s="35"/>
      <c r="M1471" s="35"/>
      <c r="N1471" s="35"/>
      <c r="O1471" s="35"/>
      <c r="P1471" s="35"/>
      <c r="Q1471" s="35"/>
      <c r="R1471" s="35"/>
      <c r="S1471" s="35"/>
      <c r="T1471" s="35"/>
      <c r="U1471" s="35"/>
      <c r="V1471" s="35"/>
      <c r="W1471" s="35"/>
      <c r="X1471" s="35"/>
      <c r="Y1471" s="35"/>
      <c r="Z1471" s="35"/>
      <c r="AA1471" s="35"/>
      <c r="AB1471" s="35"/>
    </row>
    <row r="1472" ht="15.75" customHeight="1">
      <c r="A1472" s="35" t="s">
        <v>8361</v>
      </c>
      <c r="B1472" s="35">
        <v>1.0</v>
      </c>
      <c r="C1472" s="35"/>
      <c r="D1472" s="35"/>
      <c r="E1472" s="35"/>
      <c r="F1472" s="35"/>
      <c r="G1472" s="35"/>
      <c r="H1472" s="35"/>
      <c r="I1472" s="35"/>
      <c r="J1472" s="35"/>
      <c r="K1472" s="35"/>
      <c r="L1472" s="35"/>
      <c r="M1472" s="35"/>
      <c r="N1472" s="35"/>
      <c r="O1472" s="35"/>
      <c r="P1472" s="35"/>
      <c r="Q1472" s="35"/>
      <c r="R1472" s="35"/>
      <c r="S1472" s="35"/>
      <c r="T1472" s="35"/>
      <c r="U1472" s="35"/>
      <c r="V1472" s="35"/>
      <c r="W1472" s="35"/>
      <c r="X1472" s="35"/>
      <c r="Y1472" s="35"/>
      <c r="Z1472" s="35"/>
      <c r="AA1472" s="35"/>
      <c r="AB1472" s="35"/>
    </row>
    <row r="1473" ht="15.75" customHeight="1">
      <c r="A1473" s="35" t="s">
        <v>8365</v>
      </c>
      <c r="B1473" s="35">
        <v>1.0</v>
      </c>
      <c r="C1473" s="35"/>
      <c r="D1473" s="35"/>
      <c r="E1473" s="35"/>
      <c r="F1473" s="35"/>
      <c r="G1473" s="35"/>
      <c r="H1473" s="35"/>
      <c r="I1473" s="35"/>
      <c r="J1473" s="35"/>
      <c r="K1473" s="35"/>
      <c r="L1473" s="35"/>
      <c r="M1473" s="35"/>
      <c r="N1473" s="35"/>
      <c r="O1473" s="35"/>
      <c r="P1473" s="35"/>
      <c r="Q1473" s="35"/>
      <c r="R1473" s="35"/>
      <c r="S1473" s="35"/>
      <c r="T1473" s="35"/>
      <c r="U1473" s="35"/>
      <c r="V1473" s="35"/>
      <c r="W1473" s="35"/>
      <c r="X1473" s="35"/>
      <c r="Y1473" s="35"/>
      <c r="Z1473" s="35"/>
      <c r="AA1473" s="35"/>
      <c r="AB1473" s="35"/>
    </row>
    <row r="1474" ht="15.75" customHeight="1">
      <c r="A1474" s="35" t="s">
        <v>8368</v>
      </c>
      <c r="B1474" s="35">
        <v>1.0</v>
      </c>
      <c r="C1474" s="35"/>
      <c r="D1474" s="35"/>
      <c r="E1474" s="35"/>
      <c r="F1474" s="35"/>
      <c r="G1474" s="35"/>
      <c r="H1474" s="35"/>
      <c r="I1474" s="35"/>
      <c r="J1474" s="35"/>
      <c r="K1474" s="35"/>
      <c r="L1474" s="35"/>
      <c r="M1474" s="35"/>
      <c r="N1474" s="35"/>
      <c r="O1474" s="35"/>
      <c r="P1474" s="35"/>
      <c r="Q1474" s="35"/>
      <c r="R1474" s="35"/>
      <c r="S1474" s="35"/>
      <c r="T1474" s="35"/>
      <c r="U1474" s="35"/>
      <c r="V1474" s="35"/>
      <c r="W1474" s="35"/>
      <c r="X1474" s="35"/>
      <c r="Y1474" s="35"/>
      <c r="Z1474" s="35"/>
      <c r="AA1474" s="35"/>
      <c r="AB1474" s="35"/>
    </row>
    <row r="1475" ht="15.75" customHeight="1">
      <c r="A1475" s="35" t="s">
        <v>8371</v>
      </c>
      <c r="B1475" s="35">
        <v>1.0</v>
      </c>
      <c r="C1475" s="35"/>
      <c r="D1475" s="35"/>
      <c r="E1475" s="35"/>
      <c r="F1475" s="35"/>
      <c r="G1475" s="35"/>
      <c r="H1475" s="35"/>
      <c r="I1475" s="35"/>
      <c r="J1475" s="35"/>
      <c r="K1475" s="35"/>
      <c r="L1475" s="35"/>
      <c r="M1475" s="35"/>
      <c r="N1475" s="35"/>
      <c r="O1475" s="35"/>
      <c r="P1475" s="35"/>
      <c r="Q1475" s="35"/>
      <c r="R1475" s="35"/>
      <c r="S1475" s="35"/>
      <c r="T1475" s="35"/>
      <c r="U1475" s="35"/>
      <c r="V1475" s="35"/>
      <c r="W1475" s="35"/>
      <c r="X1475" s="35"/>
      <c r="Y1475" s="35"/>
      <c r="Z1475" s="35"/>
      <c r="AA1475" s="35"/>
      <c r="AB1475" s="35"/>
    </row>
    <row r="1476" ht="15.75" customHeight="1">
      <c r="A1476" s="35" t="s">
        <v>8375</v>
      </c>
      <c r="B1476" s="35">
        <v>1.0</v>
      </c>
      <c r="C1476" s="35"/>
      <c r="D1476" s="35"/>
      <c r="E1476" s="35"/>
      <c r="F1476" s="35"/>
      <c r="G1476" s="35"/>
      <c r="H1476" s="35"/>
      <c r="I1476" s="35"/>
      <c r="J1476" s="35"/>
      <c r="K1476" s="35"/>
      <c r="L1476" s="35"/>
      <c r="M1476" s="35"/>
      <c r="N1476" s="35"/>
      <c r="O1476" s="35"/>
      <c r="P1476" s="35"/>
      <c r="Q1476" s="35"/>
      <c r="R1476" s="35"/>
      <c r="S1476" s="35"/>
      <c r="T1476" s="35"/>
      <c r="U1476" s="35"/>
      <c r="V1476" s="35"/>
      <c r="W1476" s="35"/>
      <c r="X1476" s="35"/>
      <c r="Y1476" s="35"/>
      <c r="Z1476" s="35"/>
      <c r="AA1476" s="35"/>
      <c r="AB1476" s="35"/>
    </row>
    <row r="1477" ht="15.75" customHeight="1">
      <c r="A1477" s="35" t="s">
        <v>8378</v>
      </c>
      <c r="B1477" s="35">
        <v>1.0</v>
      </c>
      <c r="C1477" s="35"/>
      <c r="D1477" s="35"/>
      <c r="E1477" s="35"/>
      <c r="F1477" s="35"/>
      <c r="G1477" s="35"/>
      <c r="H1477" s="35"/>
      <c r="I1477" s="35"/>
      <c r="J1477" s="35"/>
      <c r="K1477" s="35"/>
      <c r="L1477" s="35"/>
      <c r="M1477" s="35"/>
      <c r="N1477" s="35"/>
      <c r="O1477" s="35"/>
      <c r="P1477" s="35"/>
      <c r="Q1477" s="35"/>
      <c r="R1477" s="35"/>
      <c r="S1477" s="35"/>
      <c r="T1477" s="35"/>
      <c r="U1477" s="35"/>
      <c r="V1477" s="35"/>
      <c r="W1477" s="35"/>
      <c r="X1477" s="35"/>
      <c r="Y1477" s="35"/>
      <c r="Z1477" s="35"/>
      <c r="AA1477" s="35"/>
      <c r="AB1477" s="35"/>
    </row>
    <row r="1478" ht="15.75" customHeight="1">
      <c r="A1478" s="35" t="s">
        <v>8381</v>
      </c>
      <c r="B1478" s="35">
        <v>1.0</v>
      </c>
      <c r="C1478" s="35"/>
      <c r="D1478" s="35"/>
      <c r="E1478" s="35"/>
      <c r="F1478" s="35"/>
      <c r="G1478" s="35"/>
      <c r="H1478" s="35"/>
      <c r="I1478" s="35"/>
      <c r="J1478" s="35"/>
      <c r="K1478" s="35"/>
      <c r="L1478" s="35"/>
      <c r="M1478" s="35"/>
      <c r="N1478" s="35"/>
      <c r="O1478" s="35"/>
      <c r="P1478" s="35"/>
      <c r="Q1478" s="35"/>
      <c r="R1478" s="35"/>
      <c r="S1478" s="35"/>
      <c r="T1478" s="35"/>
      <c r="U1478" s="35"/>
      <c r="V1478" s="35"/>
      <c r="W1478" s="35"/>
      <c r="X1478" s="35"/>
      <c r="Y1478" s="35"/>
      <c r="Z1478" s="35"/>
      <c r="AA1478" s="35"/>
      <c r="AB1478" s="35"/>
    </row>
    <row r="1479" ht="15.75" customHeight="1">
      <c r="A1479" s="35" t="s">
        <v>8384</v>
      </c>
      <c r="B1479" s="35">
        <v>1.0</v>
      </c>
      <c r="C1479" s="35"/>
      <c r="D1479" s="35"/>
      <c r="E1479" s="35"/>
      <c r="F1479" s="35"/>
      <c r="G1479" s="35"/>
      <c r="H1479" s="35"/>
      <c r="I1479" s="35"/>
      <c r="J1479" s="35"/>
      <c r="K1479" s="35"/>
      <c r="L1479" s="35"/>
      <c r="M1479" s="35"/>
      <c r="N1479" s="35"/>
      <c r="O1479" s="35"/>
      <c r="P1479" s="35"/>
      <c r="Q1479" s="35"/>
      <c r="R1479" s="35"/>
      <c r="S1479" s="35"/>
      <c r="T1479" s="35"/>
      <c r="U1479" s="35"/>
      <c r="V1479" s="35"/>
      <c r="W1479" s="35"/>
      <c r="X1479" s="35"/>
      <c r="Y1479" s="35"/>
      <c r="Z1479" s="35"/>
      <c r="AA1479" s="35"/>
      <c r="AB1479" s="35"/>
    </row>
    <row r="1480" ht="15.75" customHeight="1">
      <c r="A1480" s="35" t="s">
        <v>8388</v>
      </c>
      <c r="B1480" s="35">
        <v>1.0</v>
      </c>
      <c r="C1480" s="35"/>
      <c r="D1480" s="35"/>
      <c r="E1480" s="35"/>
      <c r="F1480" s="35"/>
      <c r="G1480" s="35"/>
      <c r="H1480" s="35"/>
      <c r="I1480" s="35"/>
      <c r="J1480" s="35"/>
      <c r="K1480" s="35"/>
      <c r="L1480" s="35"/>
      <c r="M1480" s="35"/>
      <c r="N1480" s="35"/>
      <c r="O1480" s="35"/>
      <c r="P1480" s="35"/>
      <c r="Q1480" s="35"/>
      <c r="R1480" s="35"/>
      <c r="S1480" s="35"/>
      <c r="T1480" s="35"/>
      <c r="U1480" s="35"/>
      <c r="V1480" s="35"/>
      <c r="W1480" s="35"/>
      <c r="X1480" s="35"/>
      <c r="Y1480" s="35"/>
      <c r="Z1480" s="35"/>
      <c r="AA1480" s="35"/>
      <c r="AB1480" s="35"/>
    </row>
    <row r="1481" ht="15.75" customHeight="1">
      <c r="A1481" s="35" t="s">
        <v>8391</v>
      </c>
      <c r="B1481" s="35">
        <v>1.0</v>
      </c>
      <c r="C1481" s="35"/>
      <c r="D1481" s="35"/>
      <c r="E1481" s="35"/>
      <c r="F1481" s="35"/>
      <c r="G1481" s="35"/>
      <c r="H1481" s="35"/>
      <c r="I1481" s="35"/>
      <c r="J1481" s="35"/>
      <c r="K1481" s="35"/>
      <c r="L1481" s="35"/>
      <c r="M1481" s="35"/>
      <c r="N1481" s="35"/>
      <c r="O1481" s="35"/>
      <c r="P1481" s="35"/>
      <c r="Q1481" s="35"/>
      <c r="R1481" s="35"/>
      <c r="S1481" s="35"/>
      <c r="T1481" s="35"/>
      <c r="U1481" s="35"/>
      <c r="V1481" s="35"/>
      <c r="W1481" s="35"/>
      <c r="X1481" s="35"/>
      <c r="Y1481" s="35"/>
      <c r="Z1481" s="35"/>
      <c r="AA1481" s="35"/>
      <c r="AB1481" s="35"/>
    </row>
    <row r="1482" ht="15.75" customHeight="1">
      <c r="A1482" s="35" t="s">
        <v>8394</v>
      </c>
      <c r="B1482" s="35">
        <v>1.0</v>
      </c>
      <c r="C1482" s="35"/>
      <c r="D1482" s="35"/>
      <c r="E1482" s="35"/>
      <c r="F1482" s="35"/>
      <c r="G1482" s="35"/>
      <c r="H1482" s="35"/>
      <c r="I1482" s="35"/>
      <c r="J1482" s="35"/>
      <c r="K1482" s="35"/>
      <c r="L1482" s="35"/>
      <c r="M1482" s="35"/>
      <c r="N1482" s="35"/>
      <c r="O1482" s="35"/>
      <c r="P1482" s="35"/>
      <c r="Q1482" s="35"/>
      <c r="R1482" s="35"/>
      <c r="S1482" s="35"/>
      <c r="T1482" s="35"/>
      <c r="U1482" s="35"/>
      <c r="V1482" s="35"/>
      <c r="W1482" s="35"/>
      <c r="X1482" s="35"/>
      <c r="Y1482" s="35"/>
      <c r="Z1482" s="35"/>
      <c r="AA1482" s="35"/>
      <c r="AB1482" s="35"/>
    </row>
    <row r="1483" ht="15.75" customHeight="1">
      <c r="A1483" s="35" t="s">
        <v>8397</v>
      </c>
      <c r="B1483" s="35">
        <v>1.0</v>
      </c>
      <c r="C1483" s="35"/>
      <c r="D1483" s="35"/>
      <c r="E1483" s="35"/>
      <c r="F1483" s="35"/>
      <c r="G1483" s="35"/>
      <c r="H1483" s="35"/>
      <c r="I1483" s="35"/>
      <c r="J1483" s="35"/>
      <c r="K1483" s="35"/>
      <c r="L1483" s="35"/>
      <c r="M1483" s="35"/>
      <c r="N1483" s="35"/>
      <c r="O1483" s="35"/>
      <c r="P1483" s="35"/>
      <c r="Q1483" s="35"/>
      <c r="R1483" s="35"/>
      <c r="S1483" s="35"/>
      <c r="T1483" s="35"/>
      <c r="U1483" s="35"/>
      <c r="V1483" s="35"/>
      <c r="W1483" s="35"/>
      <c r="X1483" s="35"/>
      <c r="Y1483" s="35"/>
      <c r="Z1483" s="35"/>
      <c r="AA1483" s="35"/>
      <c r="AB1483" s="35"/>
    </row>
    <row r="1484" ht="15.75" customHeight="1">
      <c r="A1484" s="35" t="s">
        <v>8400</v>
      </c>
      <c r="B1484" s="35">
        <v>1.0</v>
      </c>
      <c r="C1484" s="35"/>
      <c r="D1484" s="35"/>
      <c r="E1484" s="35"/>
      <c r="F1484" s="35"/>
      <c r="G1484" s="35"/>
      <c r="H1484" s="35"/>
      <c r="I1484" s="35"/>
      <c r="J1484" s="35"/>
      <c r="K1484" s="35"/>
      <c r="L1484" s="35"/>
      <c r="M1484" s="35"/>
      <c r="N1484" s="35"/>
      <c r="O1484" s="35"/>
      <c r="P1484" s="35"/>
      <c r="Q1484" s="35"/>
      <c r="R1484" s="35"/>
      <c r="S1484" s="35"/>
      <c r="T1484" s="35"/>
      <c r="U1484" s="35"/>
      <c r="V1484" s="35"/>
      <c r="W1484" s="35"/>
      <c r="X1484" s="35"/>
      <c r="Y1484" s="35"/>
      <c r="Z1484" s="35"/>
      <c r="AA1484" s="35"/>
      <c r="AB1484" s="35"/>
    </row>
    <row r="1485" ht="15.75" customHeight="1">
      <c r="A1485" s="35" t="s">
        <v>8403</v>
      </c>
      <c r="B1485" s="35">
        <v>1.0</v>
      </c>
      <c r="C1485" s="35"/>
      <c r="D1485" s="35"/>
      <c r="E1485" s="35"/>
      <c r="F1485" s="35"/>
      <c r="G1485" s="35"/>
      <c r="H1485" s="35"/>
      <c r="I1485" s="35"/>
      <c r="J1485" s="35"/>
      <c r="K1485" s="35"/>
      <c r="L1485" s="35"/>
      <c r="M1485" s="35"/>
      <c r="N1485" s="35"/>
      <c r="O1485" s="35"/>
      <c r="P1485" s="35"/>
      <c r="Q1485" s="35"/>
      <c r="R1485" s="35"/>
      <c r="S1485" s="35"/>
      <c r="T1485" s="35"/>
      <c r="U1485" s="35"/>
      <c r="V1485" s="35"/>
      <c r="W1485" s="35"/>
      <c r="X1485" s="35"/>
      <c r="Y1485" s="35"/>
      <c r="Z1485" s="35"/>
      <c r="AA1485" s="35"/>
      <c r="AB1485" s="35"/>
    </row>
    <row r="1486" ht="15.75" customHeight="1">
      <c r="A1486" s="35" t="s">
        <v>8407</v>
      </c>
      <c r="B1486" s="35">
        <v>1.0</v>
      </c>
      <c r="C1486" s="35"/>
      <c r="D1486" s="35"/>
      <c r="E1486" s="35"/>
      <c r="F1486" s="35"/>
      <c r="G1486" s="35"/>
      <c r="H1486" s="35"/>
      <c r="I1486" s="35"/>
      <c r="J1486" s="35"/>
      <c r="K1486" s="35"/>
      <c r="L1486" s="35"/>
      <c r="M1486" s="35"/>
      <c r="N1486" s="35"/>
      <c r="O1486" s="35"/>
      <c r="P1486" s="35"/>
      <c r="Q1486" s="35"/>
      <c r="R1486" s="35"/>
      <c r="S1486" s="35"/>
      <c r="T1486" s="35"/>
      <c r="U1486" s="35"/>
      <c r="V1486" s="35"/>
      <c r="W1486" s="35"/>
      <c r="X1486" s="35"/>
      <c r="Y1486" s="35"/>
      <c r="Z1486" s="35"/>
      <c r="AA1486" s="35"/>
      <c r="AB1486" s="35"/>
    </row>
    <row r="1487" ht="15.75" customHeight="1">
      <c r="A1487" s="35" t="s">
        <v>8410</v>
      </c>
      <c r="B1487" s="35">
        <v>1.0</v>
      </c>
      <c r="C1487" s="35"/>
      <c r="D1487" s="35"/>
      <c r="E1487" s="35"/>
      <c r="F1487" s="35"/>
      <c r="G1487" s="35"/>
      <c r="H1487" s="35"/>
      <c r="I1487" s="35"/>
      <c r="J1487" s="35"/>
      <c r="K1487" s="35"/>
      <c r="L1487" s="35"/>
      <c r="M1487" s="35"/>
      <c r="N1487" s="35"/>
      <c r="O1487" s="35"/>
      <c r="P1487" s="35"/>
      <c r="Q1487" s="35"/>
      <c r="R1487" s="35"/>
      <c r="S1487" s="35"/>
      <c r="T1487" s="35"/>
      <c r="U1487" s="35"/>
      <c r="V1487" s="35"/>
      <c r="W1487" s="35"/>
      <c r="X1487" s="35"/>
      <c r="Y1487" s="35"/>
      <c r="Z1487" s="35"/>
      <c r="AA1487" s="35"/>
      <c r="AB1487" s="35"/>
    </row>
    <row r="1488" ht="15.75" customHeight="1">
      <c r="A1488" s="35" t="s">
        <v>8413</v>
      </c>
      <c r="B1488" s="35">
        <v>1.0</v>
      </c>
      <c r="C1488" s="35"/>
      <c r="D1488" s="35"/>
      <c r="E1488" s="35"/>
      <c r="F1488" s="35"/>
      <c r="G1488" s="35"/>
      <c r="H1488" s="35"/>
      <c r="I1488" s="35"/>
      <c r="J1488" s="35"/>
      <c r="K1488" s="35"/>
      <c r="L1488" s="35"/>
      <c r="M1488" s="35"/>
      <c r="N1488" s="35"/>
      <c r="O1488" s="35"/>
      <c r="P1488" s="35"/>
      <c r="Q1488" s="35"/>
      <c r="R1488" s="35"/>
      <c r="S1488" s="35"/>
      <c r="T1488" s="35"/>
      <c r="U1488" s="35"/>
      <c r="V1488" s="35"/>
      <c r="W1488" s="35"/>
      <c r="X1488" s="35"/>
      <c r="Y1488" s="35"/>
      <c r="Z1488" s="35"/>
      <c r="AA1488" s="35"/>
      <c r="AB1488" s="35"/>
    </row>
    <row r="1489" ht="15.75" customHeight="1">
      <c r="A1489" s="35" t="s">
        <v>8416</v>
      </c>
      <c r="B1489" s="35">
        <v>1.0</v>
      </c>
      <c r="C1489" s="35"/>
      <c r="D1489" s="35"/>
      <c r="E1489" s="35"/>
      <c r="F1489" s="35"/>
      <c r="G1489" s="35"/>
      <c r="H1489" s="35"/>
      <c r="I1489" s="35"/>
      <c r="J1489" s="35"/>
      <c r="K1489" s="35"/>
      <c r="L1489" s="35"/>
      <c r="M1489" s="35"/>
      <c r="N1489" s="35"/>
      <c r="O1489" s="35"/>
      <c r="P1489" s="35"/>
      <c r="Q1489" s="35"/>
      <c r="R1489" s="35"/>
      <c r="S1489" s="35"/>
      <c r="T1489" s="35"/>
      <c r="U1489" s="35"/>
      <c r="V1489" s="35"/>
      <c r="W1489" s="35"/>
      <c r="X1489" s="35"/>
      <c r="Y1489" s="35"/>
      <c r="Z1489" s="35"/>
      <c r="AA1489" s="35"/>
      <c r="AB1489" s="35"/>
    </row>
    <row r="1490" ht="15.75" customHeight="1">
      <c r="A1490" s="35" t="s">
        <v>8419</v>
      </c>
      <c r="B1490" s="35">
        <v>1.0</v>
      </c>
      <c r="C1490" s="35"/>
      <c r="D1490" s="35"/>
      <c r="E1490" s="35"/>
      <c r="F1490" s="35"/>
      <c r="G1490" s="35"/>
      <c r="H1490" s="35"/>
      <c r="I1490" s="35"/>
      <c r="J1490" s="35"/>
      <c r="K1490" s="35"/>
      <c r="L1490" s="35"/>
      <c r="M1490" s="35"/>
      <c r="N1490" s="35"/>
      <c r="O1490" s="35"/>
      <c r="P1490" s="35"/>
      <c r="Q1490" s="35"/>
      <c r="R1490" s="35"/>
      <c r="S1490" s="35"/>
      <c r="T1490" s="35"/>
      <c r="U1490" s="35"/>
      <c r="V1490" s="35"/>
      <c r="W1490" s="35"/>
      <c r="X1490" s="35"/>
      <c r="Y1490" s="35"/>
      <c r="Z1490" s="35"/>
      <c r="AA1490" s="35"/>
      <c r="AB1490" s="35"/>
    </row>
    <row r="1491" ht="15.75" customHeight="1">
      <c r="A1491" s="35" t="s">
        <v>8423</v>
      </c>
      <c r="B1491" s="35">
        <v>1.0</v>
      </c>
      <c r="C1491" s="35"/>
      <c r="D1491" s="35"/>
      <c r="E1491" s="35"/>
      <c r="F1491" s="35"/>
      <c r="G1491" s="35"/>
      <c r="H1491" s="35"/>
      <c r="I1491" s="35"/>
      <c r="J1491" s="35"/>
      <c r="K1491" s="35"/>
      <c r="L1491" s="35"/>
      <c r="M1491" s="35"/>
      <c r="N1491" s="35"/>
      <c r="O1491" s="35"/>
      <c r="P1491" s="35"/>
      <c r="Q1491" s="35"/>
      <c r="R1491" s="35"/>
      <c r="S1491" s="35"/>
      <c r="T1491" s="35"/>
      <c r="U1491" s="35"/>
      <c r="V1491" s="35"/>
      <c r="W1491" s="35"/>
      <c r="X1491" s="35"/>
      <c r="Y1491" s="35"/>
      <c r="Z1491" s="35"/>
      <c r="AA1491" s="35"/>
      <c r="AB1491" s="35"/>
    </row>
    <row r="1492" ht="15.75" customHeight="1">
      <c r="A1492" s="35" t="s">
        <v>8426</v>
      </c>
      <c r="B1492" s="35">
        <v>1.0</v>
      </c>
      <c r="C1492" s="35"/>
      <c r="D1492" s="35"/>
      <c r="E1492" s="35"/>
      <c r="F1492" s="35"/>
      <c r="G1492" s="35"/>
      <c r="H1492" s="35"/>
      <c r="I1492" s="35"/>
      <c r="J1492" s="35"/>
      <c r="K1492" s="35"/>
      <c r="L1492" s="35"/>
      <c r="M1492" s="35"/>
      <c r="N1492" s="35"/>
      <c r="O1492" s="35"/>
      <c r="P1492" s="35"/>
      <c r="Q1492" s="35"/>
      <c r="R1492" s="35"/>
      <c r="S1492" s="35"/>
      <c r="T1492" s="35"/>
      <c r="U1492" s="35"/>
      <c r="V1492" s="35"/>
      <c r="W1492" s="35"/>
      <c r="X1492" s="35"/>
      <c r="Y1492" s="35"/>
      <c r="Z1492" s="35"/>
      <c r="AA1492" s="35"/>
      <c r="AB1492" s="35"/>
    </row>
    <row r="1493" ht="15.75" customHeight="1">
      <c r="A1493" s="35" t="s">
        <v>8429</v>
      </c>
      <c r="B1493" s="35">
        <v>1.0</v>
      </c>
      <c r="C1493" s="35"/>
      <c r="D1493" s="35"/>
      <c r="E1493" s="35"/>
      <c r="F1493" s="35"/>
      <c r="G1493" s="35"/>
      <c r="H1493" s="35"/>
      <c r="I1493" s="35"/>
      <c r="J1493" s="35"/>
      <c r="K1493" s="35"/>
      <c r="L1493" s="35"/>
      <c r="M1493" s="35"/>
      <c r="N1493" s="35"/>
      <c r="O1493" s="35"/>
      <c r="P1493" s="35"/>
      <c r="Q1493" s="35"/>
      <c r="R1493" s="35"/>
      <c r="S1493" s="35"/>
      <c r="T1493" s="35"/>
      <c r="U1493" s="35"/>
      <c r="V1493" s="35"/>
      <c r="W1493" s="35"/>
      <c r="X1493" s="35"/>
      <c r="Y1493" s="35"/>
      <c r="Z1493" s="35"/>
      <c r="AA1493" s="35"/>
      <c r="AB1493" s="35"/>
    </row>
    <row r="1494" ht="15.75" customHeight="1">
      <c r="A1494" s="35" t="s">
        <v>8432</v>
      </c>
      <c r="B1494" s="35">
        <v>1.0</v>
      </c>
      <c r="C1494" s="35"/>
      <c r="D1494" s="35"/>
      <c r="E1494" s="35"/>
      <c r="F1494" s="35"/>
      <c r="G1494" s="35"/>
      <c r="H1494" s="35"/>
      <c r="I1494" s="35"/>
      <c r="J1494" s="35"/>
      <c r="K1494" s="35"/>
      <c r="L1494" s="35"/>
      <c r="M1494" s="35"/>
      <c r="N1494" s="35"/>
      <c r="O1494" s="35"/>
      <c r="P1494" s="35"/>
      <c r="Q1494" s="35"/>
      <c r="R1494" s="35"/>
      <c r="S1494" s="35"/>
      <c r="T1494" s="35"/>
      <c r="U1494" s="35"/>
      <c r="V1494" s="35"/>
      <c r="W1494" s="35"/>
      <c r="X1494" s="35"/>
      <c r="Y1494" s="35"/>
      <c r="Z1494" s="35"/>
      <c r="AA1494" s="35"/>
      <c r="AB1494" s="35"/>
    </row>
    <row r="1495" ht="15.75" customHeight="1">
      <c r="A1495" s="35" t="s">
        <v>8435</v>
      </c>
      <c r="B1495" s="35">
        <v>1.0</v>
      </c>
      <c r="C1495" s="35"/>
      <c r="D1495" s="35"/>
      <c r="E1495" s="35"/>
      <c r="F1495" s="35"/>
      <c r="G1495" s="35"/>
      <c r="H1495" s="35"/>
      <c r="I1495" s="35"/>
      <c r="J1495" s="35"/>
      <c r="K1495" s="35"/>
      <c r="L1495" s="35"/>
      <c r="M1495" s="35"/>
      <c r="N1495" s="35"/>
      <c r="O1495" s="35"/>
      <c r="P1495" s="35"/>
      <c r="Q1495" s="35"/>
      <c r="R1495" s="35"/>
      <c r="S1495" s="35"/>
      <c r="T1495" s="35"/>
      <c r="U1495" s="35"/>
      <c r="V1495" s="35"/>
      <c r="W1495" s="35"/>
      <c r="X1495" s="35"/>
      <c r="Y1495" s="35"/>
      <c r="Z1495" s="35"/>
      <c r="AA1495" s="35"/>
      <c r="AB1495" s="35"/>
    </row>
    <row r="1496" ht="15.75" customHeight="1">
      <c r="A1496" s="35" t="s">
        <v>8439</v>
      </c>
      <c r="B1496" s="35">
        <v>1.0</v>
      </c>
      <c r="C1496" s="35"/>
      <c r="D1496" s="35"/>
      <c r="E1496" s="35"/>
      <c r="F1496" s="35"/>
      <c r="G1496" s="35"/>
      <c r="H1496" s="35"/>
      <c r="I1496" s="35"/>
      <c r="J1496" s="35"/>
      <c r="K1496" s="35"/>
      <c r="L1496" s="35"/>
      <c r="M1496" s="35"/>
      <c r="N1496" s="35"/>
      <c r="O1496" s="35"/>
      <c r="P1496" s="35"/>
      <c r="Q1496" s="35"/>
      <c r="R1496" s="35"/>
      <c r="S1496" s="35"/>
      <c r="T1496" s="35"/>
      <c r="U1496" s="35"/>
      <c r="V1496" s="35"/>
      <c r="W1496" s="35"/>
      <c r="X1496" s="35"/>
      <c r="Y1496" s="35"/>
      <c r="Z1496" s="35"/>
      <c r="AA1496" s="35"/>
      <c r="AB1496" s="35"/>
    </row>
    <row r="1497" ht="15.75" customHeight="1">
      <c r="A1497" s="35" t="s">
        <v>8442</v>
      </c>
      <c r="B1497" s="35">
        <v>1.0</v>
      </c>
      <c r="C1497" s="35"/>
      <c r="D1497" s="35"/>
      <c r="E1497" s="35"/>
      <c r="F1497" s="35"/>
      <c r="G1497" s="35"/>
      <c r="H1497" s="35"/>
      <c r="I1497" s="35"/>
      <c r="J1497" s="35"/>
      <c r="K1497" s="35"/>
      <c r="L1497" s="35"/>
      <c r="M1497" s="35"/>
      <c r="N1497" s="35"/>
      <c r="O1497" s="35"/>
      <c r="P1497" s="35"/>
      <c r="Q1497" s="35"/>
      <c r="R1497" s="35"/>
      <c r="S1497" s="35"/>
      <c r="T1497" s="35"/>
      <c r="U1497" s="35"/>
      <c r="V1497" s="35"/>
      <c r="W1497" s="35"/>
      <c r="X1497" s="35"/>
      <c r="Y1497" s="35"/>
      <c r="Z1497" s="35"/>
      <c r="AA1497" s="35"/>
      <c r="AB1497" s="35"/>
    </row>
    <row r="1498" ht="15.75" customHeight="1">
      <c r="A1498" s="35" t="s">
        <v>8445</v>
      </c>
      <c r="B1498" s="35">
        <v>1.0</v>
      </c>
      <c r="C1498" s="35"/>
      <c r="D1498" s="35"/>
      <c r="E1498" s="35"/>
      <c r="F1498" s="35"/>
      <c r="G1498" s="35"/>
      <c r="H1498" s="35"/>
      <c r="I1498" s="35"/>
      <c r="J1498" s="35"/>
      <c r="K1498" s="35"/>
      <c r="L1498" s="35"/>
      <c r="M1498" s="35"/>
      <c r="N1498" s="35"/>
      <c r="O1498" s="35"/>
      <c r="P1498" s="35"/>
      <c r="Q1498" s="35"/>
      <c r="R1498" s="35"/>
      <c r="S1498" s="35"/>
      <c r="T1498" s="35"/>
      <c r="U1498" s="35"/>
      <c r="V1498" s="35"/>
      <c r="W1498" s="35"/>
      <c r="X1498" s="35"/>
      <c r="Y1498" s="35"/>
      <c r="Z1498" s="35"/>
      <c r="AA1498" s="35"/>
      <c r="AB1498" s="35"/>
    </row>
    <row r="1499" ht="15.75" customHeight="1">
      <c r="A1499" s="35" t="s">
        <v>8448</v>
      </c>
      <c r="B1499" s="35">
        <v>1.0</v>
      </c>
      <c r="C1499" s="35"/>
      <c r="D1499" s="35"/>
      <c r="E1499" s="35"/>
      <c r="F1499" s="35"/>
      <c r="G1499" s="35"/>
      <c r="H1499" s="35"/>
      <c r="I1499" s="35"/>
      <c r="J1499" s="35"/>
      <c r="K1499" s="35"/>
      <c r="L1499" s="35"/>
      <c r="M1499" s="35"/>
      <c r="N1499" s="35"/>
      <c r="O1499" s="35"/>
      <c r="P1499" s="35"/>
      <c r="Q1499" s="35"/>
      <c r="R1499" s="35"/>
      <c r="S1499" s="35"/>
      <c r="T1499" s="35"/>
      <c r="U1499" s="35"/>
      <c r="V1499" s="35"/>
      <c r="W1499" s="35"/>
      <c r="X1499" s="35"/>
      <c r="Y1499" s="35"/>
      <c r="Z1499" s="35"/>
      <c r="AA1499" s="35"/>
      <c r="AB1499" s="35"/>
    </row>
    <row r="1500" ht="15.75" customHeight="1">
      <c r="A1500" s="35" t="s">
        <v>8451</v>
      </c>
      <c r="B1500" s="35">
        <v>1.0</v>
      </c>
      <c r="C1500" s="35"/>
      <c r="D1500" s="35"/>
      <c r="E1500" s="35"/>
      <c r="F1500" s="35"/>
      <c r="G1500" s="35"/>
      <c r="H1500" s="35"/>
      <c r="I1500" s="35"/>
      <c r="J1500" s="35"/>
      <c r="K1500" s="35"/>
      <c r="L1500" s="35"/>
      <c r="M1500" s="35"/>
      <c r="N1500" s="35"/>
      <c r="O1500" s="35"/>
      <c r="P1500" s="35"/>
      <c r="Q1500" s="35"/>
      <c r="R1500" s="35"/>
      <c r="S1500" s="35"/>
      <c r="T1500" s="35"/>
      <c r="U1500" s="35"/>
      <c r="V1500" s="35"/>
      <c r="W1500" s="35"/>
      <c r="X1500" s="35"/>
      <c r="Y1500" s="35"/>
      <c r="Z1500" s="35"/>
      <c r="AA1500" s="35"/>
      <c r="AB1500" s="35"/>
    </row>
    <row r="1501" ht="15.75" customHeight="1">
      <c r="A1501" s="35" t="s">
        <v>8455</v>
      </c>
      <c r="B1501" s="35">
        <v>1.0</v>
      </c>
      <c r="C1501" s="35"/>
      <c r="D1501" s="35"/>
      <c r="E1501" s="35"/>
      <c r="F1501" s="35"/>
      <c r="G1501" s="35"/>
      <c r="H1501" s="35"/>
      <c r="I1501" s="35"/>
      <c r="J1501" s="35"/>
      <c r="K1501" s="35"/>
      <c r="L1501" s="35"/>
      <c r="M1501" s="35"/>
      <c r="N1501" s="35"/>
      <c r="O1501" s="35"/>
      <c r="P1501" s="35"/>
      <c r="Q1501" s="35"/>
      <c r="R1501" s="35"/>
      <c r="S1501" s="35"/>
      <c r="T1501" s="35"/>
      <c r="U1501" s="35"/>
      <c r="V1501" s="35"/>
      <c r="W1501" s="35"/>
      <c r="X1501" s="35"/>
      <c r="Y1501" s="35"/>
      <c r="Z1501" s="35"/>
      <c r="AA1501" s="35"/>
      <c r="AB1501" s="35"/>
    </row>
    <row r="1502" ht="15.75" customHeight="1">
      <c r="A1502" s="35" t="s">
        <v>8458</v>
      </c>
      <c r="B1502" s="35">
        <v>1.0</v>
      </c>
      <c r="C1502" s="35"/>
      <c r="D1502" s="35"/>
      <c r="E1502" s="35"/>
      <c r="F1502" s="35"/>
      <c r="G1502" s="35"/>
      <c r="H1502" s="35"/>
      <c r="I1502" s="35"/>
      <c r="J1502" s="35"/>
      <c r="K1502" s="35"/>
      <c r="L1502" s="35"/>
      <c r="M1502" s="35"/>
      <c r="N1502" s="35"/>
      <c r="O1502" s="35"/>
      <c r="P1502" s="35"/>
      <c r="Q1502" s="35"/>
      <c r="R1502" s="35"/>
      <c r="S1502" s="35"/>
      <c r="T1502" s="35"/>
      <c r="U1502" s="35"/>
      <c r="V1502" s="35"/>
      <c r="W1502" s="35"/>
      <c r="X1502" s="35"/>
      <c r="Y1502" s="35"/>
      <c r="Z1502" s="35"/>
      <c r="AA1502" s="35"/>
      <c r="AB1502" s="35"/>
    </row>
    <row r="1503" ht="15.75" customHeight="1">
      <c r="A1503" s="35" t="s">
        <v>8461</v>
      </c>
      <c r="B1503" s="35">
        <v>1.0</v>
      </c>
      <c r="C1503" s="35"/>
      <c r="D1503" s="35"/>
      <c r="E1503" s="35"/>
      <c r="F1503" s="35"/>
      <c r="G1503" s="35"/>
      <c r="H1503" s="35"/>
      <c r="I1503" s="35"/>
      <c r="J1503" s="35"/>
      <c r="K1503" s="35"/>
      <c r="L1503" s="35"/>
      <c r="M1503" s="35"/>
      <c r="N1503" s="35"/>
      <c r="O1503" s="35"/>
      <c r="P1503" s="35"/>
      <c r="Q1503" s="35"/>
      <c r="R1503" s="35"/>
      <c r="S1503" s="35"/>
      <c r="T1503" s="35"/>
      <c r="U1503" s="35"/>
      <c r="V1503" s="35"/>
      <c r="W1503" s="35"/>
      <c r="X1503" s="35"/>
      <c r="Y1503" s="35"/>
      <c r="Z1503" s="35"/>
      <c r="AA1503" s="35"/>
      <c r="AB1503" s="35"/>
    </row>
    <row r="1504" ht="15.75" customHeight="1">
      <c r="A1504" s="35" t="s">
        <v>8464</v>
      </c>
      <c r="B1504" s="35">
        <v>1.0</v>
      </c>
      <c r="C1504" s="35"/>
      <c r="D1504" s="35"/>
      <c r="E1504" s="35"/>
      <c r="F1504" s="35"/>
      <c r="G1504" s="35"/>
      <c r="H1504" s="35"/>
      <c r="I1504" s="35"/>
      <c r="J1504" s="35"/>
      <c r="K1504" s="35"/>
      <c r="L1504" s="35"/>
      <c r="M1504" s="35"/>
      <c r="N1504" s="35"/>
      <c r="O1504" s="35"/>
      <c r="P1504" s="35"/>
      <c r="Q1504" s="35"/>
      <c r="R1504" s="35"/>
      <c r="S1504" s="35"/>
      <c r="T1504" s="35"/>
      <c r="U1504" s="35"/>
      <c r="V1504" s="35"/>
      <c r="W1504" s="35"/>
      <c r="X1504" s="35"/>
      <c r="Y1504" s="35"/>
      <c r="Z1504" s="35"/>
      <c r="AA1504" s="35"/>
      <c r="AB1504" s="35"/>
    </row>
    <row r="1505" ht="15.75" customHeight="1">
      <c r="A1505" s="35" t="s">
        <v>8468</v>
      </c>
      <c r="B1505" s="35">
        <v>1.0</v>
      </c>
      <c r="C1505" s="35"/>
      <c r="D1505" s="35"/>
      <c r="E1505" s="35"/>
      <c r="F1505" s="35"/>
      <c r="G1505" s="35"/>
      <c r="H1505" s="35"/>
      <c r="I1505" s="35"/>
      <c r="J1505" s="35"/>
      <c r="K1505" s="35"/>
      <c r="L1505" s="35"/>
      <c r="M1505" s="35"/>
      <c r="N1505" s="35"/>
      <c r="O1505" s="35"/>
      <c r="P1505" s="35"/>
      <c r="Q1505" s="35"/>
      <c r="R1505" s="35"/>
      <c r="S1505" s="35"/>
      <c r="T1505" s="35"/>
      <c r="U1505" s="35"/>
      <c r="V1505" s="35"/>
      <c r="W1505" s="35"/>
      <c r="X1505" s="35"/>
      <c r="Y1505" s="35"/>
      <c r="Z1505" s="35"/>
      <c r="AA1505" s="35"/>
      <c r="AB1505" s="35"/>
    </row>
    <row r="1506" ht="15.75" customHeight="1">
      <c r="A1506" s="35" t="s">
        <v>8471</v>
      </c>
      <c r="B1506" s="35">
        <v>1.0</v>
      </c>
      <c r="C1506" s="35"/>
      <c r="D1506" s="35"/>
      <c r="E1506" s="35"/>
      <c r="F1506" s="35"/>
      <c r="G1506" s="35"/>
      <c r="H1506" s="35"/>
      <c r="I1506" s="35"/>
      <c r="J1506" s="35"/>
      <c r="K1506" s="35"/>
      <c r="L1506" s="35"/>
      <c r="M1506" s="35"/>
      <c r="N1506" s="35"/>
      <c r="O1506" s="35"/>
      <c r="P1506" s="35"/>
      <c r="Q1506" s="35"/>
      <c r="R1506" s="35"/>
      <c r="S1506" s="35"/>
      <c r="T1506" s="35"/>
      <c r="U1506" s="35"/>
      <c r="V1506" s="35"/>
      <c r="W1506" s="35"/>
      <c r="X1506" s="35"/>
      <c r="Y1506" s="35"/>
      <c r="Z1506" s="35"/>
      <c r="AA1506" s="35"/>
      <c r="AB1506" s="35"/>
    </row>
    <row r="1507" ht="15.75" customHeight="1">
      <c r="A1507" s="35" t="s">
        <v>8474</v>
      </c>
      <c r="B1507" s="35">
        <v>1.0</v>
      </c>
      <c r="C1507" s="35"/>
      <c r="D1507" s="35"/>
      <c r="E1507" s="35"/>
      <c r="F1507" s="35"/>
      <c r="G1507" s="35"/>
      <c r="H1507" s="35"/>
      <c r="I1507" s="35"/>
      <c r="J1507" s="35"/>
      <c r="K1507" s="35"/>
      <c r="L1507" s="35"/>
      <c r="M1507" s="35"/>
      <c r="N1507" s="35"/>
      <c r="O1507" s="35"/>
      <c r="P1507" s="35"/>
      <c r="Q1507" s="35"/>
      <c r="R1507" s="35"/>
      <c r="S1507" s="35"/>
      <c r="T1507" s="35"/>
      <c r="U1507" s="35"/>
      <c r="V1507" s="35"/>
      <c r="W1507" s="35"/>
      <c r="X1507" s="35"/>
      <c r="Y1507" s="35"/>
      <c r="Z1507" s="35"/>
      <c r="AA1507" s="35"/>
      <c r="AB1507" s="35"/>
    </row>
    <row r="1508" ht="15.75" customHeight="1">
      <c r="A1508" s="35" t="s">
        <v>8477</v>
      </c>
      <c r="B1508" s="35">
        <v>1.0</v>
      </c>
      <c r="C1508" s="35"/>
      <c r="D1508" s="35"/>
      <c r="E1508" s="35"/>
      <c r="F1508" s="35"/>
      <c r="G1508" s="35"/>
      <c r="H1508" s="35"/>
      <c r="I1508" s="35"/>
      <c r="J1508" s="35"/>
      <c r="K1508" s="35"/>
      <c r="L1508" s="35"/>
      <c r="M1508" s="35"/>
      <c r="N1508" s="35"/>
      <c r="O1508" s="35"/>
      <c r="P1508" s="35"/>
      <c r="Q1508" s="35"/>
      <c r="R1508" s="35"/>
      <c r="S1508" s="35"/>
      <c r="T1508" s="35"/>
      <c r="U1508" s="35"/>
      <c r="V1508" s="35"/>
      <c r="W1508" s="35"/>
      <c r="X1508" s="35"/>
      <c r="Y1508" s="35"/>
      <c r="Z1508" s="35"/>
      <c r="AA1508" s="35"/>
      <c r="AB1508" s="35"/>
    </row>
    <row r="1509" ht="15.75" customHeight="1">
      <c r="A1509" s="35" t="s">
        <v>8480</v>
      </c>
      <c r="B1509" s="35">
        <v>1.0</v>
      </c>
      <c r="C1509" s="35"/>
      <c r="D1509" s="35"/>
      <c r="E1509" s="35"/>
      <c r="F1509" s="35"/>
      <c r="G1509" s="35"/>
      <c r="H1509" s="35"/>
      <c r="I1509" s="35"/>
      <c r="J1509" s="35"/>
      <c r="K1509" s="35"/>
      <c r="L1509" s="35"/>
      <c r="M1509" s="35"/>
      <c r="N1509" s="35"/>
      <c r="O1509" s="35"/>
      <c r="P1509" s="35"/>
      <c r="Q1509" s="35"/>
      <c r="R1509" s="35"/>
      <c r="S1509" s="35"/>
      <c r="T1509" s="35"/>
      <c r="U1509" s="35"/>
      <c r="V1509" s="35"/>
      <c r="W1509" s="35"/>
      <c r="X1509" s="35"/>
      <c r="Y1509" s="35"/>
      <c r="Z1509" s="35"/>
      <c r="AA1509" s="35"/>
      <c r="AB1509" s="35"/>
    </row>
    <row r="1510" ht="15.75" customHeight="1">
      <c r="A1510" s="35" t="s">
        <v>8484</v>
      </c>
      <c r="B1510" s="35">
        <v>1.0</v>
      </c>
      <c r="C1510" s="35"/>
      <c r="D1510" s="35"/>
      <c r="E1510" s="35"/>
      <c r="F1510" s="35"/>
      <c r="G1510" s="35"/>
      <c r="H1510" s="35"/>
      <c r="I1510" s="35"/>
      <c r="J1510" s="35"/>
      <c r="K1510" s="35"/>
      <c r="L1510" s="35"/>
      <c r="M1510" s="35"/>
      <c r="N1510" s="35"/>
      <c r="O1510" s="35"/>
      <c r="P1510" s="35"/>
      <c r="Q1510" s="35"/>
      <c r="R1510" s="35"/>
      <c r="S1510" s="35"/>
      <c r="T1510" s="35"/>
      <c r="U1510" s="35"/>
      <c r="V1510" s="35"/>
      <c r="W1510" s="35"/>
      <c r="X1510" s="35"/>
      <c r="Y1510" s="35"/>
      <c r="Z1510" s="35"/>
      <c r="AA1510" s="35"/>
      <c r="AB1510" s="35"/>
    </row>
    <row r="1511" ht="15.75" customHeight="1">
      <c r="A1511" s="35" t="s">
        <v>8487</v>
      </c>
      <c r="B1511" s="35">
        <v>1.0</v>
      </c>
      <c r="C1511" s="35"/>
      <c r="D1511" s="35"/>
      <c r="E1511" s="35"/>
      <c r="F1511" s="35"/>
      <c r="G1511" s="35"/>
      <c r="H1511" s="35"/>
      <c r="I1511" s="35"/>
      <c r="J1511" s="35"/>
      <c r="K1511" s="35"/>
      <c r="L1511" s="35"/>
      <c r="M1511" s="35"/>
      <c r="N1511" s="35"/>
      <c r="O1511" s="35"/>
      <c r="P1511" s="35"/>
      <c r="Q1511" s="35"/>
      <c r="R1511" s="35"/>
      <c r="S1511" s="35"/>
      <c r="T1511" s="35"/>
      <c r="U1511" s="35"/>
      <c r="V1511" s="35"/>
      <c r="W1511" s="35"/>
      <c r="X1511" s="35"/>
      <c r="Y1511" s="35"/>
      <c r="Z1511" s="35"/>
      <c r="AA1511" s="35"/>
      <c r="AB1511" s="35"/>
    </row>
    <row r="1512" ht="15.75" customHeight="1">
      <c r="A1512" s="35" t="s">
        <v>8490</v>
      </c>
      <c r="B1512" s="35">
        <v>1.0</v>
      </c>
      <c r="C1512" s="35"/>
      <c r="D1512" s="35"/>
      <c r="E1512" s="35"/>
      <c r="F1512" s="35"/>
      <c r="G1512" s="35"/>
      <c r="H1512" s="35"/>
      <c r="I1512" s="35"/>
      <c r="J1512" s="35"/>
      <c r="K1512" s="35"/>
      <c r="L1512" s="35"/>
      <c r="M1512" s="35"/>
      <c r="N1512" s="35"/>
      <c r="O1512" s="35"/>
      <c r="P1512" s="35"/>
      <c r="Q1512" s="35"/>
      <c r="R1512" s="35"/>
      <c r="S1512" s="35"/>
      <c r="T1512" s="35"/>
      <c r="U1512" s="35"/>
      <c r="V1512" s="35"/>
      <c r="W1512" s="35"/>
      <c r="X1512" s="35"/>
      <c r="Y1512" s="35"/>
      <c r="Z1512" s="35"/>
      <c r="AA1512" s="35"/>
      <c r="AB1512" s="35"/>
    </row>
    <row r="1513" ht="15.75" customHeight="1">
      <c r="A1513" s="35" t="s">
        <v>8493</v>
      </c>
      <c r="B1513" s="35">
        <v>1.0</v>
      </c>
      <c r="C1513" s="35"/>
      <c r="D1513" s="35"/>
      <c r="E1513" s="35"/>
      <c r="F1513" s="35"/>
      <c r="G1513" s="35"/>
      <c r="H1513" s="35"/>
      <c r="I1513" s="35"/>
      <c r="J1513" s="35"/>
      <c r="K1513" s="35"/>
      <c r="L1513" s="35"/>
      <c r="M1513" s="35"/>
      <c r="N1513" s="35"/>
      <c r="O1513" s="35"/>
      <c r="P1513" s="35"/>
      <c r="Q1513" s="35"/>
      <c r="R1513" s="35"/>
      <c r="S1513" s="35"/>
      <c r="T1513" s="35"/>
      <c r="U1513" s="35"/>
      <c r="V1513" s="35"/>
      <c r="W1513" s="35"/>
      <c r="X1513" s="35"/>
      <c r="Y1513" s="35"/>
      <c r="Z1513" s="35"/>
      <c r="AA1513" s="35"/>
      <c r="AB1513" s="35"/>
    </row>
    <row r="1514" ht="15.75" customHeight="1">
      <c r="A1514" s="35" t="s">
        <v>8496</v>
      </c>
      <c r="B1514" s="35">
        <v>1.0</v>
      </c>
      <c r="C1514" s="35"/>
      <c r="D1514" s="35"/>
      <c r="E1514" s="35"/>
      <c r="F1514" s="35"/>
      <c r="G1514" s="35"/>
      <c r="H1514" s="35"/>
      <c r="I1514" s="35"/>
      <c r="J1514" s="35"/>
      <c r="K1514" s="35"/>
      <c r="L1514" s="35"/>
      <c r="M1514" s="35"/>
      <c r="N1514" s="35"/>
      <c r="O1514" s="35"/>
      <c r="P1514" s="35"/>
      <c r="Q1514" s="35"/>
      <c r="R1514" s="35"/>
      <c r="S1514" s="35"/>
      <c r="T1514" s="35"/>
      <c r="U1514" s="35"/>
      <c r="V1514" s="35"/>
      <c r="W1514" s="35"/>
      <c r="X1514" s="35"/>
      <c r="Y1514" s="35"/>
      <c r="Z1514" s="35"/>
      <c r="AA1514" s="35"/>
      <c r="AB1514" s="35"/>
    </row>
    <row r="1515" ht="15.75" customHeight="1">
      <c r="A1515" s="35" t="s">
        <v>8500</v>
      </c>
      <c r="B1515" s="35">
        <v>1.0</v>
      </c>
      <c r="C1515" s="35"/>
      <c r="D1515" s="35"/>
      <c r="E1515" s="35"/>
      <c r="F1515" s="35"/>
      <c r="G1515" s="35"/>
      <c r="H1515" s="35"/>
      <c r="I1515" s="35"/>
      <c r="J1515" s="35"/>
      <c r="K1515" s="35"/>
      <c r="L1515" s="35"/>
      <c r="M1515" s="35"/>
      <c r="N1515" s="35"/>
      <c r="O1515" s="35"/>
      <c r="P1515" s="35"/>
      <c r="Q1515" s="35"/>
      <c r="R1515" s="35"/>
      <c r="S1515" s="35"/>
      <c r="T1515" s="35"/>
      <c r="U1515" s="35"/>
      <c r="V1515" s="35"/>
      <c r="W1515" s="35"/>
      <c r="X1515" s="35"/>
      <c r="Y1515" s="35"/>
      <c r="Z1515" s="35"/>
      <c r="AA1515" s="35"/>
      <c r="AB1515" s="35"/>
    </row>
    <row r="1516" ht="15.75" customHeight="1">
      <c r="A1516" s="35" t="s">
        <v>8503</v>
      </c>
      <c r="B1516" s="35">
        <v>1.0</v>
      </c>
      <c r="C1516" s="35"/>
      <c r="D1516" s="35"/>
      <c r="E1516" s="35"/>
      <c r="F1516" s="35"/>
      <c r="G1516" s="35"/>
      <c r="H1516" s="35"/>
      <c r="I1516" s="35"/>
      <c r="J1516" s="35"/>
      <c r="K1516" s="35"/>
      <c r="L1516" s="35"/>
      <c r="M1516" s="35"/>
      <c r="N1516" s="35"/>
      <c r="O1516" s="35"/>
      <c r="P1516" s="35"/>
      <c r="Q1516" s="35"/>
      <c r="R1516" s="35"/>
      <c r="S1516" s="35"/>
      <c r="T1516" s="35"/>
      <c r="U1516" s="35"/>
      <c r="V1516" s="35"/>
      <c r="W1516" s="35"/>
      <c r="X1516" s="35"/>
      <c r="Y1516" s="35"/>
      <c r="Z1516" s="35"/>
      <c r="AA1516" s="35"/>
      <c r="AB1516" s="35"/>
    </row>
    <row r="1517" ht="15.75" customHeight="1">
      <c r="A1517" s="35" t="s">
        <v>8506</v>
      </c>
      <c r="B1517" s="35">
        <v>1.0</v>
      </c>
      <c r="C1517" s="35"/>
      <c r="D1517" s="35"/>
      <c r="E1517" s="35"/>
      <c r="F1517" s="35"/>
      <c r="G1517" s="35"/>
      <c r="H1517" s="35"/>
      <c r="I1517" s="35"/>
      <c r="J1517" s="35"/>
      <c r="K1517" s="35"/>
      <c r="L1517" s="35"/>
      <c r="M1517" s="35"/>
      <c r="N1517" s="35"/>
      <c r="O1517" s="35"/>
      <c r="P1517" s="35"/>
      <c r="Q1517" s="35"/>
      <c r="R1517" s="35"/>
      <c r="S1517" s="35"/>
      <c r="T1517" s="35"/>
      <c r="U1517" s="35"/>
      <c r="V1517" s="35"/>
      <c r="W1517" s="35"/>
      <c r="X1517" s="35"/>
      <c r="Y1517" s="35"/>
      <c r="Z1517" s="35"/>
      <c r="AA1517" s="35"/>
      <c r="AB1517" s="35"/>
    </row>
    <row r="1518" ht="15.75" customHeight="1">
      <c r="A1518" s="35" t="s">
        <v>8509</v>
      </c>
      <c r="B1518" s="35">
        <v>1.0</v>
      </c>
      <c r="C1518" s="35"/>
      <c r="D1518" s="35"/>
      <c r="E1518" s="35"/>
      <c r="F1518" s="35"/>
      <c r="G1518" s="35"/>
      <c r="H1518" s="35"/>
      <c r="I1518" s="35"/>
      <c r="J1518" s="35"/>
      <c r="K1518" s="35"/>
      <c r="L1518" s="35"/>
      <c r="M1518" s="35"/>
      <c r="N1518" s="35"/>
      <c r="O1518" s="35"/>
      <c r="P1518" s="35"/>
      <c r="Q1518" s="35"/>
      <c r="R1518" s="35"/>
      <c r="S1518" s="35"/>
      <c r="T1518" s="35"/>
      <c r="U1518" s="35"/>
      <c r="V1518" s="35"/>
      <c r="W1518" s="35"/>
      <c r="X1518" s="35"/>
      <c r="Y1518" s="35"/>
      <c r="Z1518" s="35"/>
      <c r="AA1518" s="35"/>
      <c r="AB1518" s="35"/>
    </row>
    <row r="1519" ht="15.75" customHeight="1">
      <c r="A1519" s="35" t="s">
        <v>8512</v>
      </c>
      <c r="B1519" s="35">
        <v>1.0</v>
      </c>
      <c r="C1519" s="35"/>
      <c r="D1519" s="35"/>
      <c r="E1519" s="35"/>
      <c r="F1519" s="35"/>
      <c r="G1519" s="35"/>
      <c r="H1519" s="35"/>
      <c r="I1519" s="35"/>
      <c r="J1519" s="35"/>
      <c r="K1519" s="35"/>
      <c r="L1519" s="35"/>
      <c r="M1519" s="35"/>
      <c r="N1519" s="35"/>
      <c r="O1519" s="35"/>
      <c r="P1519" s="35"/>
      <c r="Q1519" s="35"/>
      <c r="R1519" s="35"/>
      <c r="S1519" s="35"/>
      <c r="T1519" s="35"/>
      <c r="U1519" s="35"/>
      <c r="V1519" s="35"/>
      <c r="W1519" s="35"/>
      <c r="X1519" s="35"/>
      <c r="Y1519" s="35"/>
      <c r="Z1519" s="35"/>
      <c r="AA1519" s="35"/>
      <c r="AB1519" s="35"/>
    </row>
    <row r="1520" ht="15.75" customHeight="1">
      <c r="A1520" s="35" t="s">
        <v>8516</v>
      </c>
      <c r="B1520" s="35">
        <v>1.0</v>
      </c>
      <c r="C1520" s="35"/>
      <c r="D1520" s="35"/>
      <c r="E1520" s="35"/>
      <c r="F1520" s="35"/>
      <c r="G1520" s="35"/>
      <c r="H1520" s="35"/>
      <c r="I1520" s="35"/>
      <c r="J1520" s="35"/>
      <c r="K1520" s="35"/>
      <c r="L1520" s="35"/>
      <c r="M1520" s="35"/>
      <c r="N1520" s="35"/>
      <c r="O1520" s="35"/>
      <c r="P1520" s="35"/>
      <c r="Q1520" s="35"/>
      <c r="R1520" s="35"/>
      <c r="S1520" s="35"/>
      <c r="T1520" s="35"/>
      <c r="U1520" s="35"/>
      <c r="V1520" s="35"/>
      <c r="W1520" s="35"/>
      <c r="X1520" s="35"/>
      <c r="Y1520" s="35"/>
      <c r="Z1520" s="35"/>
      <c r="AA1520" s="35"/>
      <c r="AB1520" s="35"/>
    </row>
    <row r="1521" ht="15.75" customHeight="1">
      <c r="A1521" s="35" t="s">
        <v>8520</v>
      </c>
      <c r="B1521" s="35">
        <v>1.0</v>
      </c>
      <c r="C1521" s="35"/>
      <c r="D1521" s="35"/>
      <c r="E1521" s="35"/>
      <c r="F1521" s="35"/>
      <c r="G1521" s="35"/>
      <c r="H1521" s="35"/>
      <c r="I1521" s="35"/>
      <c r="J1521" s="35"/>
      <c r="K1521" s="35"/>
      <c r="L1521" s="35"/>
      <c r="M1521" s="35"/>
      <c r="N1521" s="35"/>
      <c r="O1521" s="35"/>
      <c r="P1521" s="35"/>
      <c r="Q1521" s="35"/>
      <c r="R1521" s="35"/>
      <c r="S1521" s="35"/>
      <c r="T1521" s="35"/>
      <c r="U1521" s="35"/>
      <c r="V1521" s="35"/>
      <c r="W1521" s="35"/>
      <c r="X1521" s="35"/>
      <c r="Y1521" s="35"/>
      <c r="Z1521" s="35"/>
      <c r="AA1521" s="35"/>
      <c r="AB1521" s="35"/>
    </row>
    <row r="1522" ht="15.75" customHeight="1">
      <c r="A1522" s="35" t="s">
        <v>8524</v>
      </c>
      <c r="B1522" s="35">
        <v>1.0</v>
      </c>
      <c r="C1522" s="35"/>
      <c r="D1522" s="35"/>
      <c r="E1522" s="35"/>
      <c r="F1522" s="35"/>
      <c r="G1522" s="35"/>
      <c r="H1522" s="35"/>
      <c r="I1522" s="35"/>
      <c r="J1522" s="35"/>
      <c r="K1522" s="35"/>
      <c r="L1522" s="35"/>
      <c r="M1522" s="35"/>
      <c r="N1522" s="35"/>
      <c r="O1522" s="35"/>
      <c r="P1522" s="35"/>
      <c r="Q1522" s="35"/>
      <c r="R1522" s="35"/>
      <c r="S1522" s="35"/>
      <c r="T1522" s="35"/>
      <c r="U1522" s="35"/>
      <c r="V1522" s="35"/>
      <c r="W1522" s="35"/>
      <c r="X1522" s="35"/>
      <c r="Y1522" s="35"/>
      <c r="Z1522" s="35"/>
      <c r="AA1522" s="35"/>
      <c r="AB1522" s="35"/>
    </row>
    <row r="1523" ht="15.75" customHeight="1">
      <c r="A1523" s="35" t="s">
        <v>8526</v>
      </c>
      <c r="B1523" s="35">
        <v>1.0</v>
      </c>
      <c r="C1523" s="35"/>
      <c r="D1523" s="35"/>
      <c r="E1523" s="35"/>
      <c r="F1523" s="35"/>
      <c r="G1523" s="35"/>
      <c r="H1523" s="35"/>
      <c r="I1523" s="35"/>
      <c r="J1523" s="35"/>
      <c r="K1523" s="35"/>
      <c r="L1523" s="35"/>
      <c r="M1523" s="35"/>
      <c r="N1523" s="35"/>
      <c r="O1523" s="35"/>
      <c r="P1523" s="35"/>
      <c r="Q1523" s="35"/>
      <c r="R1523" s="35"/>
      <c r="S1523" s="35"/>
      <c r="T1523" s="35"/>
      <c r="U1523" s="35"/>
      <c r="V1523" s="35"/>
      <c r="W1523" s="35"/>
      <c r="X1523" s="35"/>
      <c r="Y1523" s="35"/>
      <c r="Z1523" s="35"/>
      <c r="AA1523" s="35"/>
      <c r="AB1523" s="35"/>
    </row>
    <row r="1524" ht="15.75" customHeight="1">
      <c r="A1524" s="35" t="s">
        <v>8529</v>
      </c>
      <c r="B1524" s="35">
        <v>1.0</v>
      </c>
      <c r="C1524" s="35"/>
      <c r="D1524" s="35"/>
      <c r="E1524" s="35"/>
      <c r="F1524" s="35"/>
      <c r="G1524" s="35"/>
      <c r="H1524" s="35"/>
      <c r="I1524" s="35"/>
      <c r="J1524" s="35"/>
      <c r="K1524" s="35"/>
      <c r="L1524" s="35"/>
      <c r="M1524" s="35"/>
      <c r="N1524" s="35"/>
      <c r="O1524" s="35"/>
      <c r="P1524" s="35"/>
      <c r="Q1524" s="35"/>
      <c r="R1524" s="35"/>
      <c r="S1524" s="35"/>
      <c r="T1524" s="35"/>
      <c r="U1524" s="35"/>
      <c r="V1524" s="35"/>
      <c r="W1524" s="35"/>
      <c r="X1524" s="35"/>
      <c r="Y1524" s="35"/>
      <c r="Z1524" s="35"/>
      <c r="AA1524" s="35"/>
      <c r="AB1524" s="35"/>
    </row>
    <row r="1525" ht="15.75" customHeight="1">
      <c r="A1525" s="35" t="s">
        <v>8532</v>
      </c>
      <c r="B1525" s="35">
        <v>1.0</v>
      </c>
      <c r="C1525" s="35"/>
      <c r="D1525" s="35"/>
      <c r="E1525" s="35"/>
      <c r="F1525" s="35"/>
      <c r="G1525" s="35"/>
      <c r="H1525" s="35"/>
      <c r="I1525" s="35"/>
      <c r="J1525" s="35"/>
      <c r="K1525" s="35"/>
      <c r="L1525" s="35"/>
      <c r="M1525" s="35"/>
      <c r="N1525" s="35"/>
      <c r="O1525" s="35"/>
      <c r="P1525" s="35"/>
      <c r="Q1525" s="35"/>
      <c r="R1525" s="35"/>
      <c r="S1525" s="35"/>
      <c r="T1525" s="35"/>
      <c r="U1525" s="35"/>
      <c r="V1525" s="35"/>
      <c r="W1525" s="35"/>
      <c r="X1525" s="35"/>
      <c r="Y1525" s="35"/>
      <c r="Z1525" s="35"/>
      <c r="AA1525" s="35"/>
      <c r="AB1525" s="35"/>
    </row>
    <row r="1526" ht="15.75" customHeight="1">
      <c r="A1526" s="35" t="s">
        <v>8536</v>
      </c>
      <c r="B1526" s="35">
        <v>1.0</v>
      </c>
      <c r="C1526" s="35"/>
      <c r="D1526" s="35"/>
      <c r="E1526" s="35"/>
      <c r="F1526" s="35"/>
      <c r="G1526" s="35"/>
      <c r="H1526" s="35"/>
      <c r="I1526" s="35"/>
      <c r="J1526" s="35"/>
      <c r="K1526" s="35"/>
      <c r="L1526" s="35"/>
      <c r="M1526" s="35"/>
      <c r="N1526" s="35"/>
      <c r="O1526" s="35"/>
      <c r="P1526" s="35"/>
      <c r="Q1526" s="35"/>
      <c r="R1526" s="35"/>
      <c r="S1526" s="35"/>
      <c r="T1526" s="35"/>
      <c r="U1526" s="35"/>
      <c r="V1526" s="35"/>
      <c r="W1526" s="35"/>
      <c r="X1526" s="35"/>
      <c r="Y1526" s="35"/>
      <c r="Z1526" s="35"/>
      <c r="AA1526" s="35"/>
      <c r="AB1526" s="35"/>
    </row>
    <row r="1527" ht="15.75" customHeight="1">
      <c r="A1527" s="35" t="s">
        <v>8539</v>
      </c>
      <c r="B1527" s="35">
        <v>1.0</v>
      </c>
      <c r="C1527" s="35"/>
      <c r="D1527" s="35"/>
      <c r="E1527" s="35"/>
      <c r="F1527" s="35"/>
      <c r="G1527" s="35"/>
      <c r="H1527" s="35"/>
      <c r="I1527" s="35"/>
      <c r="J1527" s="35"/>
      <c r="K1527" s="35"/>
      <c r="L1527" s="35"/>
      <c r="M1527" s="35"/>
      <c r="N1527" s="35"/>
      <c r="O1527" s="35"/>
      <c r="P1527" s="35"/>
      <c r="Q1527" s="35"/>
      <c r="R1527" s="35"/>
      <c r="S1527" s="35"/>
      <c r="T1527" s="35"/>
      <c r="U1527" s="35"/>
      <c r="V1527" s="35"/>
      <c r="W1527" s="35"/>
      <c r="X1527" s="35"/>
      <c r="Y1527" s="35"/>
      <c r="Z1527" s="35"/>
      <c r="AA1527" s="35"/>
      <c r="AB1527" s="35"/>
    </row>
    <row r="1528" ht="15.75" customHeight="1">
      <c r="A1528" s="35" t="s">
        <v>8542</v>
      </c>
      <c r="B1528" s="35">
        <v>1.0</v>
      </c>
      <c r="C1528" s="35"/>
      <c r="D1528" s="35"/>
      <c r="E1528" s="35"/>
      <c r="F1528" s="35"/>
      <c r="G1528" s="35"/>
      <c r="H1528" s="35"/>
      <c r="I1528" s="35"/>
      <c r="J1528" s="35"/>
      <c r="K1528" s="35"/>
      <c r="L1528" s="35"/>
      <c r="M1528" s="35"/>
      <c r="N1528" s="35"/>
      <c r="O1528" s="35"/>
      <c r="P1528" s="35"/>
      <c r="Q1528" s="35"/>
      <c r="R1528" s="35"/>
      <c r="S1528" s="35"/>
      <c r="T1528" s="35"/>
      <c r="U1528" s="35"/>
      <c r="V1528" s="35"/>
      <c r="W1528" s="35"/>
      <c r="X1528" s="35"/>
      <c r="Y1528" s="35"/>
      <c r="Z1528" s="35"/>
      <c r="AA1528" s="35"/>
      <c r="AB1528" s="35"/>
    </row>
    <row r="1529" ht="15.75" customHeight="1">
      <c r="A1529" s="35" t="s">
        <v>8545</v>
      </c>
      <c r="B1529" s="35">
        <v>1.0</v>
      </c>
      <c r="C1529" s="35"/>
      <c r="D1529" s="35"/>
      <c r="E1529" s="35"/>
      <c r="F1529" s="35"/>
      <c r="G1529" s="35"/>
      <c r="H1529" s="35"/>
      <c r="I1529" s="35"/>
      <c r="J1529" s="35"/>
      <c r="K1529" s="35"/>
      <c r="L1529" s="35"/>
      <c r="M1529" s="35"/>
      <c r="N1529" s="35"/>
      <c r="O1529" s="35"/>
      <c r="P1529" s="35"/>
      <c r="Q1529" s="35"/>
      <c r="R1529" s="35"/>
      <c r="S1529" s="35"/>
      <c r="T1529" s="35"/>
      <c r="U1529" s="35"/>
      <c r="V1529" s="35"/>
      <c r="W1529" s="35"/>
      <c r="X1529" s="35"/>
      <c r="Y1529" s="35"/>
      <c r="Z1529" s="35"/>
      <c r="AA1529" s="35"/>
      <c r="AB1529" s="35"/>
    </row>
    <row r="1530" ht="15.75" customHeight="1">
      <c r="A1530" s="35" t="s">
        <v>8549</v>
      </c>
      <c r="B1530" s="35">
        <v>1.0</v>
      </c>
      <c r="C1530" s="35"/>
      <c r="D1530" s="35"/>
      <c r="E1530" s="35"/>
      <c r="F1530" s="35"/>
      <c r="G1530" s="35"/>
      <c r="H1530" s="35"/>
      <c r="I1530" s="35"/>
      <c r="J1530" s="35"/>
      <c r="K1530" s="35"/>
      <c r="L1530" s="35"/>
      <c r="M1530" s="35"/>
      <c r="N1530" s="35"/>
      <c r="O1530" s="35"/>
      <c r="P1530" s="35"/>
      <c r="Q1530" s="35"/>
      <c r="R1530" s="35"/>
      <c r="S1530" s="35"/>
      <c r="T1530" s="35"/>
      <c r="U1530" s="35"/>
      <c r="V1530" s="35"/>
      <c r="W1530" s="35"/>
      <c r="X1530" s="35"/>
      <c r="Y1530" s="35"/>
      <c r="Z1530" s="35"/>
      <c r="AA1530" s="35"/>
      <c r="AB1530" s="35"/>
    </row>
    <row r="1531" ht="15.75" customHeight="1">
      <c r="A1531" s="35" t="s">
        <v>8552</v>
      </c>
      <c r="B1531" s="35">
        <v>1.0</v>
      </c>
      <c r="C1531" s="35"/>
      <c r="D1531" s="35"/>
      <c r="E1531" s="35"/>
      <c r="F1531" s="35"/>
      <c r="G1531" s="35"/>
      <c r="H1531" s="35"/>
      <c r="I1531" s="35"/>
      <c r="J1531" s="35"/>
      <c r="K1531" s="35"/>
      <c r="L1531" s="35"/>
      <c r="M1531" s="35"/>
      <c r="N1531" s="35"/>
      <c r="O1531" s="35"/>
      <c r="P1531" s="35"/>
      <c r="Q1531" s="35"/>
      <c r="R1531" s="35"/>
      <c r="S1531" s="35"/>
      <c r="T1531" s="35"/>
      <c r="U1531" s="35"/>
      <c r="V1531" s="35"/>
      <c r="W1531" s="35"/>
      <c r="X1531" s="35"/>
      <c r="Y1531" s="35"/>
      <c r="Z1531" s="35"/>
      <c r="AA1531" s="35"/>
      <c r="AB1531" s="35"/>
    </row>
    <row r="1532" ht="15.75" customHeight="1">
      <c r="A1532" s="35" t="s">
        <v>8555</v>
      </c>
      <c r="B1532" s="35">
        <v>1.0</v>
      </c>
      <c r="C1532" s="35"/>
      <c r="D1532" s="35"/>
      <c r="E1532" s="35"/>
      <c r="F1532" s="35"/>
      <c r="G1532" s="35"/>
      <c r="H1532" s="35"/>
      <c r="I1532" s="35"/>
      <c r="J1532" s="35"/>
      <c r="K1532" s="35"/>
      <c r="L1532" s="35"/>
      <c r="M1532" s="35"/>
      <c r="N1532" s="35"/>
      <c r="O1532" s="35"/>
      <c r="P1532" s="35"/>
      <c r="Q1532" s="35"/>
      <c r="R1532" s="35"/>
      <c r="S1532" s="35"/>
      <c r="T1532" s="35"/>
      <c r="U1532" s="35"/>
      <c r="V1532" s="35"/>
      <c r="W1532" s="35"/>
      <c r="X1532" s="35"/>
      <c r="Y1532" s="35"/>
      <c r="Z1532" s="35"/>
      <c r="AA1532" s="35"/>
      <c r="AB1532" s="35"/>
    </row>
    <row r="1533" ht="15.75" customHeight="1">
      <c r="A1533" s="35" t="s">
        <v>8559</v>
      </c>
      <c r="B1533" s="35">
        <v>1.0</v>
      </c>
      <c r="C1533" s="35"/>
      <c r="D1533" s="35"/>
      <c r="E1533" s="35"/>
      <c r="F1533" s="35"/>
      <c r="G1533" s="35"/>
      <c r="H1533" s="35"/>
      <c r="I1533" s="35"/>
      <c r="J1533" s="35"/>
      <c r="K1533" s="35"/>
      <c r="L1533" s="35"/>
      <c r="M1533" s="35"/>
      <c r="N1533" s="35"/>
      <c r="O1533" s="35"/>
      <c r="P1533" s="35"/>
      <c r="Q1533" s="35"/>
      <c r="R1533" s="35"/>
      <c r="S1533" s="35"/>
      <c r="T1533" s="35"/>
      <c r="U1533" s="35"/>
      <c r="V1533" s="35"/>
      <c r="W1533" s="35"/>
      <c r="X1533" s="35"/>
      <c r="Y1533" s="35"/>
      <c r="Z1533" s="35"/>
      <c r="AA1533" s="35"/>
      <c r="AB1533" s="35"/>
    </row>
    <row r="1534" ht="15.75" customHeight="1">
      <c r="A1534" s="35" t="s">
        <v>8563</v>
      </c>
      <c r="B1534" s="35">
        <v>1.0</v>
      </c>
      <c r="C1534" s="35"/>
      <c r="D1534" s="35"/>
      <c r="E1534" s="35"/>
      <c r="F1534" s="35"/>
      <c r="G1534" s="35"/>
      <c r="H1534" s="35"/>
      <c r="I1534" s="35"/>
      <c r="J1534" s="35"/>
      <c r="K1534" s="35"/>
      <c r="L1534" s="35"/>
      <c r="M1534" s="35"/>
      <c r="N1534" s="35"/>
      <c r="O1534" s="35"/>
      <c r="P1534" s="35"/>
      <c r="Q1534" s="35"/>
      <c r="R1534" s="35"/>
      <c r="S1534" s="35"/>
      <c r="T1534" s="35"/>
      <c r="U1534" s="35"/>
      <c r="V1534" s="35"/>
      <c r="W1534" s="35"/>
      <c r="X1534" s="35"/>
      <c r="Y1534" s="35"/>
      <c r="Z1534" s="35"/>
      <c r="AA1534" s="35"/>
      <c r="AB1534" s="35"/>
    </row>
    <row r="1535" ht="15.75" customHeight="1">
      <c r="A1535" s="35" t="s">
        <v>8566</v>
      </c>
      <c r="B1535" s="35">
        <v>1.0</v>
      </c>
      <c r="C1535" s="35"/>
      <c r="D1535" s="35"/>
      <c r="E1535" s="35"/>
      <c r="F1535" s="35"/>
      <c r="G1535" s="35"/>
      <c r="H1535" s="35"/>
      <c r="I1535" s="35"/>
      <c r="J1535" s="35"/>
      <c r="K1535" s="35"/>
      <c r="L1535" s="35"/>
      <c r="M1535" s="35"/>
      <c r="N1535" s="35"/>
      <c r="O1535" s="35"/>
      <c r="P1535" s="35"/>
      <c r="Q1535" s="35"/>
      <c r="R1535" s="35"/>
      <c r="S1535" s="35"/>
      <c r="T1535" s="35"/>
      <c r="U1535" s="35"/>
      <c r="V1535" s="35"/>
      <c r="W1535" s="35"/>
      <c r="X1535" s="35"/>
      <c r="Y1535" s="35"/>
      <c r="Z1535" s="35"/>
      <c r="AA1535" s="35"/>
      <c r="AB1535" s="35"/>
    </row>
    <row r="1536" ht="15.75" customHeight="1">
      <c r="A1536" s="35" t="s">
        <v>8569</v>
      </c>
      <c r="B1536" s="35">
        <v>1.0</v>
      </c>
      <c r="C1536" s="35"/>
      <c r="D1536" s="35"/>
      <c r="E1536" s="35"/>
      <c r="F1536" s="35"/>
      <c r="G1536" s="35"/>
      <c r="H1536" s="35"/>
      <c r="I1536" s="35"/>
      <c r="J1536" s="35"/>
      <c r="K1536" s="35"/>
      <c r="L1536" s="35"/>
      <c r="M1536" s="35"/>
      <c r="N1536" s="35"/>
      <c r="O1536" s="35"/>
      <c r="P1536" s="35"/>
      <c r="Q1536" s="35"/>
      <c r="R1536" s="35"/>
      <c r="S1536" s="35"/>
      <c r="T1536" s="35"/>
      <c r="U1536" s="35"/>
      <c r="V1536" s="35"/>
      <c r="W1536" s="35"/>
      <c r="X1536" s="35"/>
      <c r="Y1536" s="35"/>
      <c r="Z1536" s="35"/>
      <c r="AA1536" s="35"/>
      <c r="AB1536" s="35"/>
    </row>
    <row r="1537" ht="15.75" customHeight="1">
      <c r="A1537" s="35" t="s">
        <v>8573</v>
      </c>
      <c r="B1537" s="35">
        <v>1.0</v>
      </c>
      <c r="C1537" s="35"/>
      <c r="D1537" s="35"/>
      <c r="E1537" s="35"/>
      <c r="F1537" s="35"/>
      <c r="G1537" s="35"/>
      <c r="H1537" s="35"/>
      <c r="I1537" s="35"/>
      <c r="J1537" s="35"/>
      <c r="K1537" s="35"/>
      <c r="L1537" s="35"/>
      <c r="M1537" s="35"/>
      <c r="N1537" s="35"/>
      <c r="O1537" s="35"/>
      <c r="P1537" s="35"/>
      <c r="Q1537" s="35"/>
      <c r="R1537" s="35"/>
      <c r="S1537" s="35"/>
      <c r="T1537" s="35"/>
      <c r="U1537" s="35"/>
      <c r="V1537" s="35"/>
      <c r="W1537" s="35"/>
      <c r="X1537" s="35"/>
      <c r="Y1537" s="35"/>
      <c r="Z1537" s="35"/>
      <c r="AA1537" s="35"/>
      <c r="AB1537" s="35"/>
    </row>
    <row r="1538" ht="15.75" customHeight="1">
      <c r="A1538" s="35" t="s">
        <v>8576</v>
      </c>
      <c r="B1538" s="35">
        <v>1.0</v>
      </c>
      <c r="C1538" s="35"/>
      <c r="D1538" s="35"/>
      <c r="E1538" s="35"/>
      <c r="F1538" s="35"/>
      <c r="G1538" s="35"/>
      <c r="H1538" s="35"/>
      <c r="I1538" s="35"/>
      <c r="J1538" s="35"/>
      <c r="K1538" s="35"/>
      <c r="L1538" s="35"/>
      <c r="M1538" s="35"/>
      <c r="N1538" s="35"/>
      <c r="O1538" s="35"/>
      <c r="P1538" s="35"/>
      <c r="Q1538" s="35"/>
      <c r="R1538" s="35"/>
      <c r="S1538" s="35"/>
      <c r="T1538" s="35"/>
      <c r="U1538" s="35"/>
      <c r="V1538" s="35"/>
      <c r="W1538" s="35"/>
      <c r="X1538" s="35"/>
      <c r="Y1538" s="35"/>
      <c r="Z1538" s="35"/>
      <c r="AA1538" s="35"/>
      <c r="AB1538" s="35"/>
    </row>
    <row r="1539" ht="15.75" customHeight="1">
      <c r="A1539" s="35" t="s">
        <v>8579</v>
      </c>
      <c r="B1539" s="35">
        <v>1.0</v>
      </c>
      <c r="C1539" s="35"/>
      <c r="D1539" s="35"/>
      <c r="E1539" s="35"/>
      <c r="F1539" s="35"/>
      <c r="G1539" s="35"/>
      <c r="H1539" s="35"/>
      <c r="I1539" s="35"/>
      <c r="J1539" s="35"/>
      <c r="K1539" s="35"/>
      <c r="L1539" s="35"/>
      <c r="M1539" s="35"/>
      <c r="N1539" s="35"/>
      <c r="O1539" s="35"/>
      <c r="P1539" s="35"/>
      <c r="Q1539" s="35"/>
      <c r="R1539" s="35"/>
      <c r="S1539" s="35"/>
      <c r="T1539" s="35"/>
      <c r="U1539" s="35"/>
      <c r="V1539" s="35"/>
      <c r="W1539" s="35"/>
      <c r="X1539" s="35"/>
      <c r="Y1539" s="35"/>
      <c r="Z1539" s="35"/>
      <c r="AA1539" s="35"/>
      <c r="AB1539" s="35"/>
    </row>
    <row r="1540" ht="15.75" customHeight="1">
      <c r="A1540" s="35" t="s">
        <v>8582</v>
      </c>
      <c r="B1540" s="35">
        <v>1.0</v>
      </c>
      <c r="C1540" s="35"/>
      <c r="D1540" s="35"/>
      <c r="E1540" s="35"/>
      <c r="F1540" s="35"/>
      <c r="G1540" s="35"/>
      <c r="H1540" s="35"/>
      <c r="I1540" s="35"/>
      <c r="J1540" s="35"/>
      <c r="K1540" s="35"/>
      <c r="L1540" s="35"/>
      <c r="M1540" s="35"/>
      <c r="N1540" s="35"/>
      <c r="O1540" s="35"/>
      <c r="P1540" s="35"/>
      <c r="Q1540" s="35"/>
      <c r="R1540" s="35"/>
      <c r="S1540" s="35"/>
      <c r="T1540" s="35"/>
      <c r="U1540" s="35"/>
      <c r="V1540" s="35"/>
      <c r="W1540" s="35"/>
      <c r="X1540" s="35"/>
      <c r="Y1540" s="35"/>
      <c r="Z1540" s="35"/>
      <c r="AA1540" s="35"/>
      <c r="AB1540" s="35"/>
    </row>
    <row r="1541" ht="15.75" customHeight="1">
      <c r="A1541" s="35" t="s">
        <v>8585</v>
      </c>
      <c r="B1541" s="35">
        <v>1.0</v>
      </c>
      <c r="C1541" s="35"/>
      <c r="D1541" s="35"/>
      <c r="E1541" s="35"/>
      <c r="F1541" s="35"/>
      <c r="G1541" s="35"/>
      <c r="H1541" s="35"/>
      <c r="I1541" s="35"/>
      <c r="J1541" s="35"/>
      <c r="K1541" s="35"/>
      <c r="L1541" s="35"/>
      <c r="M1541" s="35"/>
      <c r="N1541" s="35"/>
      <c r="O1541" s="35"/>
      <c r="P1541" s="35"/>
      <c r="Q1541" s="35"/>
      <c r="R1541" s="35"/>
      <c r="S1541" s="35"/>
      <c r="T1541" s="35"/>
      <c r="U1541" s="35"/>
      <c r="V1541" s="35"/>
      <c r="W1541" s="35"/>
      <c r="X1541" s="35"/>
      <c r="Y1541" s="35"/>
      <c r="Z1541" s="35"/>
      <c r="AA1541" s="35"/>
      <c r="AB1541" s="35"/>
    </row>
    <row r="1542" ht="15.75" customHeight="1">
      <c r="A1542" s="35" t="s">
        <v>8589</v>
      </c>
      <c r="B1542" s="35">
        <v>1.0</v>
      </c>
      <c r="C1542" s="35"/>
      <c r="D1542" s="35"/>
      <c r="E1542" s="35"/>
      <c r="F1542" s="35"/>
      <c r="G1542" s="35"/>
      <c r="H1542" s="35"/>
      <c r="I1542" s="35"/>
      <c r="J1542" s="35"/>
      <c r="K1542" s="35"/>
      <c r="L1542" s="35"/>
      <c r="M1542" s="35"/>
      <c r="N1542" s="35"/>
      <c r="O1542" s="35"/>
      <c r="P1542" s="35"/>
      <c r="Q1542" s="35"/>
      <c r="R1542" s="35"/>
      <c r="S1542" s="35"/>
      <c r="T1542" s="35"/>
      <c r="U1542" s="35"/>
      <c r="V1542" s="35"/>
      <c r="W1542" s="35"/>
      <c r="X1542" s="35"/>
      <c r="Y1542" s="35"/>
      <c r="Z1542" s="35"/>
      <c r="AA1542" s="35"/>
      <c r="AB1542" s="35"/>
    </row>
    <row r="1543" ht="15.75" customHeight="1">
      <c r="A1543" s="35" t="s">
        <v>8592</v>
      </c>
      <c r="B1543" s="35">
        <v>1.0</v>
      </c>
      <c r="C1543" s="35"/>
      <c r="D1543" s="35"/>
      <c r="E1543" s="35"/>
      <c r="F1543" s="35"/>
      <c r="G1543" s="35"/>
      <c r="H1543" s="35"/>
      <c r="I1543" s="35"/>
      <c r="J1543" s="35"/>
      <c r="K1543" s="35"/>
      <c r="L1543" s="35"/>
      <c r="M1543" s="35"/>
      <c r="N1543" s="35"/>
      <c r="O1543" s="35"/>
      <c r="P1543" s="35"/>
      <c r="Q1543" s="35"/>
      <c r="R1543" s="35"/>
      <c r="S1543" s="35"/>
      <c r="T1543" s="35"/>
      <c r="U1543" s="35"/>
      <c r="V1543" s="35"/>
      <c r="W1543" s="35"/>
      <c r="X1543" s="35"/>
      <c r="Y1543" s="35"/>
      <c r="Z1543" s="35"/>
      <c r="AA1543" s="35"/>
      <c r="AB1543" s="35"/>
    </row>
    <row r="1544" ht="15.75" customHeight="1">
      <c r="A1544" s="35" t="s">
        <v>8595</v>
      </c>
      <c r="B1544" s="35">
        <v>1.0</v>
      </c>
      <c r="C1544" s="35"/>
      <c r="D1544" s="35"/>
      <c r="E1544" s="35"/>
      <c r="F1544" s="35"/>
      <c r="G1544" s="35"/>
      <c r="H1544" s="35"/>
      <c r="I1544" s="35"/>
      <c r="J1544" s="35"/>
      <c r="K1544" s="35"/>
      <c r="L1544" s="35"/>
      <c r="M1544" s="35"/>
      <c r="N1544" s="35"/>
      <c r="O1544" s="35"/>
      <c r="P1544" s="35"/>
      <c r="Q1544" s="35"/>
      <c r="R1544" s="35"/>
      <c r="S1544" s="35"/>
      <c r="T1544" s="35"/>
      <c r="U1544" s="35"/>
      <c r="V1544" s="35"/>
      <c r="W1544" s="35"/>
      <c r="X1544" s="35"/>
      <c r="Y1544" s="35"/>
      <c r="Z1544" s="35"/>
      <c r="AA1544" s="35"/>
      <c r="AB1544" s="35"/>
    </row>
    <row r="1545" ht="15.75" customHeight="1">
      <c r="A1545" s="35" t="s">
        <v>8599</v>
      </c>
      <c r="B1545" s="35">
        <v>1.0</v>
      </c>
      <c r="C1545" s="35"/>
      <c r="D1545" s="35"/>
      <c r="E1545" s="35"/>
      <c r="F1545" s="35"/>
      <c r="G1545" s="35"/>
      <c r="H1545" s="35"/>
      <c r="I1545" s="35"/>
      <c r="J1545" s="35"/>
      <c r="K1545" s="35"/>
      <c r="L1545" s="35"/>
      <c r="M1545" s="35"/>
      <c r="N1545" s="35"/>
      <c r="O1545" s="35"/>
      <c r="P1545" s="35"/>
      <c r="Q1545" s="35"/>
      <c r="R1545" s="35"/>
      <c r="S1545" s="35"/>
      <c r="T1545" s="35"/>
      <c r="U1545" s="35"/>
      <c r="V1545" s="35"/>
      <c r="W1545" s="35"/>
      <c r="X1545" s="35"/>
      <c r="Y1545" s="35"/>
      <c r="Z1545" s="35"/>
      <c r="AA1545" s="35"/>
      <c r="AB1545" s="35"/>
    </row>
    <row r="1546" ht="15.75" customHeight="1">
      <c r="A1546" s="35" t="s">
        <v>8602</v>
      </c>
      <c r="B1546" s="35">
        <v>1.0</v>
      </c>
      <c r="C1546" s="35"/>
      <c r="D1546" s="35"/>
      <c r="E1546" s="35"/>
      <c r="F1546" s="35"/>
      <c r="G1546" s="35"/>
      <c r="H1546" s="35"/>
      <c r="I1546" s="35"/>
      <c r="J1546" s="35"/>
      <c r="K1546" s="35"/>
      <c r="L1546" s="35"/>
      <c r="M1546" s="35"/>
      <c r="N1546" s="35"/>
      <c r="O1546" s="35"/>
      <c r="P1546" s="35"/>
      <c r="Q1546" s="35"/>
      <c r="R1546" s="35"/>
      <c r="S1546" s="35"/>
      <c r="T1546" s="35"/>
      <c r="U1546" s="35"/>
      <c r="V1546" s="35"/>
      <c r="W1546" s="35"/>
      <c r="X1546" s="35"/>
      <c r="Y1546" s="35"/>
      <c r="Z1546" s="35"/>
      <c r="AA1546" s="35"/>
      <c r="AB1546" s="35"/>
    </row>
    <row r="1547" ht="15.75" customHeight="1">
      <c r="A1547" s="35" t="s">
        <v>8605</v>
      </c>
      <c r="B1547" s="35">
        <v>1.0</v>
      </c>
      <c r="C1547" s="35"/>
      <c r="D1547" s="35"/>
      <c r="E1547" s="35"/>
      <c r="F1547" s="35"/>
      <c r="G1547" s="35"/>
      <c r="H1547" s="35"/>
      <c r="I1547" s="35"/>
      <c r="J1547" s="35"/>
      <c r="K1547" s="35"/>
      <c r="L1547" s="35"/>
      <c r="M1547" s="35"/>
      <c r="N1547" s="35"/>
      <c r="O1547" s="35"/>
      <c r="P1547" s="35"/>
      <c r="Q1547" s="35"/>
      <c r="R1547" s="35"/>
      <c r="S1547" s="35"/>
      <c r="T1547" s="35"/>
      <c r="U1547" s="35"/>
      <c r="V1547" s="35"/>
      <c r="W1547" s="35"/>
      <c r="X1547" s="35"/>
      <c r="Y1547" s="35"/>
      <c r="Z1547" s="35"/>
      <c r="AA1547" s="35"/>
      <c r="AB1547" s="35"/>
    </row>
    <row r="1548" ht="15.75" customHeight="1">
      <c r="A1548" s="35" t="s">
        <v>8609</v>
      </c>
      <c r="B1548" s="35">
        <v>1.0</v>
      </c>
      <c r="C1548" s="35"/>
      <c r="D1548" s="35"/>
      <c r="E1548" s="35"/>
      <c r="F1548" s="35"/>
      <c r="G1548" s="35"/>
      <c r="H1548" s="35"/>
      <c r="I1548" s="35"/>
      <c r="J1548" s="35"/>
      <c r="K1548" s="35"/>
      <c r="L1548" s="35"/>
      <c r="M1548" s="35"/>
      <c r="N1548" s="35"/>
      <c r="O1548" s="35"/>
      <c r="P1548" s="35"/>
      <c r="Q1548" s="35"/>
      <c r="R1548" s="35"/>
      <c r="S1548" s="35"/>
      <c r="T1548" s="35"/>
      <c r="U1548" s="35"/>
      <c r="V1548" s="35"/>
      <c r="W1548" s="35"/>
      <c r="X1548" s="35"/>
      <c r="Y1548" s="35"/>
      <c r="Z1548" s="35"/>
      <c r="AA1548" s="35"/>
      <c r="AB1548" s="35"/>
    </row>
    <row r="1549" ht="15.75" customHeight="1">
      <c r="A1549" s="35" t="s">
        <v>8612</v>
      </c>
      <c r="B1549" s="35">
        <v>1.0</v>
      </c>
      <c r="C1549" s="35"/>
      <c r="D1549" s="35"/>
      <c r="E1549" s="35"/>
      <c r="F1549" s="35"/>
      <c r="G1549" s="35"/>
      <c r="H1549" s="35"/>
      <c r="I1549" s="35"/>
      <c r="J1549" s="35"/>
      <c r="K1549" s="35"/>
      <c r="L1549" s="35"/>
      <c r="M1549" s="35"/>
      <c r="N1549" s="35"/>
      <c r="O1549" s="35"/>
      <c r="P1549" s="35"/>
      <c r="Q1549" s="35"/>
      <c r="R1549" s="35"/>
      <c r="S1549" s="35"/>
      <c r="T1549" s="35"/>
      <c r="U1549" s="35"/>
      <c r="V1549" s="35"/>
      <c r="W1549" s="35"/>
      <c r="X1549" s="35"/>
      <c r="Y1549" s="35"/>
      <c r="Z1549" s="35"/>
      <c r="AA1549" s="35"/>
      <c r="AB1549" s="35"/>
    </row>
    <row r="1550" ht="15.75" customHeight="1">
      <c r="A1550" s="35" t="s">
        <v>8615</v>
      </c>
      <c r="B1550" s="35">
        <v>1.0</v>
      </c>
      <c r="C1550" s="35"/>
      <c r="D1550" s="35"/>
      <c r="E1550" s="35"/>
      <c r="F1550" s="35"/>
      <c r="G1550" s="35"/>
      <c r="H1550" s="35"/>
      <c r="I1550" s="35"/>
      <c r="J1550" s="35"/>
      <c r="K1550" s="35"/>
      <c r="L1550" s="35"/>
      <c r="M1550" s="35"/>
      <c r="N1550" s="35"/>
      <c r="O1550" s="35"/>
      <c r="P1550" s="35"/>
      <c r="Q1550" s="35"/>
      <c r="R1550" s="35"/>
      <c r="S1550" s="35"/>
      <c r="T1550" s="35"/>
      <c r="U1550" s="35"/>
      <c r="V1550" s="35"/>
      <c r="W1550" s="35"/>
      <c r="X1550" s="35"/>
      <c r="Y1550" s="35"/>
      <c r="Z1550" s="35"/>
      <c r="AA1550" s="35"/>
      <c r="AB1550" s="35"/>
    </row>
    <row r="1551" ht="15.75" customHeight="1">
      <c r="A1551" s="35" t="s">
        <v>8619</v>
      </c>
      <c r="B1551" s="35">
        <v>1.0</v>
      </c>
      <c r="C1551" s="35"/>
      <c r="D1551" s="35"/>
      <c r="E1551" s="35"/>
      <c r="F1551" s="35"/>
      <c r="G1551" s="35"/>
      <c r="H1551" s="35"/>
      <c r="I1551" s="35"/>
      <c r="J1551" s="35"/>
      <c r="K1551" s="35"/>
      <c r="L1551" s="35"/>
      <c r="M1551" s="35"/>
      <c r="N1551" s="35"/>
      <c r="O1551" s="35"/>
      <c r="P1551" s="35"/>
      <c r="Q1551" s="35"/>
      <c r="R1551" s="35"/>
      <c r="S1551" s="35"/>
      <c r="T1551" s="35"/>
      <c r="U1551" s="35"/>
      <c r="V1551" s="35"/>
      <c r="W1551" s="35"/>
      <c r="X1551" s="35"/>
      <c r="Y1551" s="35"/>
      <c r="Z1551" s="35"/>
      <c r="AA1551" s="35"/>
      <c r="AB1551" s="35"/>
    </row>
    <row r="1552" ht="15.75" customHeight="1">
      <c r="A1552" s="35" t="s">
        <v>8622</v>
      </c>
      <c r="B1552" s="35">
        <v>1.0</v>
      </c>
      <c r="C1552" s="35"/>
      <c r="D1552" s="35"/>
      <c r="E1552" s="35"/>
      <c r="F1552" s="35"/>
      <c r="G1552" s="35"/>
      <c r="H1552" s="35"/>
      <c r="I1552" s="35"/>
      <c r="J1552" s="35"/>
      <c r="K1552" s="35"/>
      <c r="L1552" s="35"/>
      <c r="M1552" s="35"/>
      <c r="N1552" s="35"/>
      <c r="O1552" s="35"/>
      <c r="P1552" s="35"/>
      <c r="Q1552" s="35"/>
      <c r="R1552" s="35"/>
      <c r="S1552" s="35"/>
      <c r="T1552" s="35"/>
      <c r="U1552" s="35"/>
      <c r="V1552" s="35"/>
      <c r="W1552" s="35"/>
      <c r="X1552" s="35"/>
      <c r="Y1552" s="35"/>
      <c r="Z1552" s="35"/>
      <c r="AA1552" s="35"/>
      <c r="AB1552" s="35"/>
    </row>
    <row r="1553" ht="15.75" customHeight="1">
      <c r="A1553" s="35" t="s">
        <v>8625</v>
      </c>
      <c r="B1553" s="35">
        <v>1.0</v>
      </c>
      <c r="C1553" s="35"/>
      <c r="D1553" s="35"/>
      <c r="E1553" s="35"/>
      <c r="F1553" s="35"/>
      <c r="G1553" s="35"/>
      <c r="H1553" s="35"/>
      <c r="I1553" s="35"/>
      <c r="J1553" s="35"/>
      <c r="K1553" s="35"/>
      <c r="L1553" s="35"/>
      <c r="M1553" s="35"/>
      <c r="N1553" s="35"/>
      <c r="O1553" s="35"/>
      <c r="P1553" s="35"/>
      <c r="Q1553" s="35"/>
      <c r="R1553" s="35"/>
      <c r="S1553" s="35"/>
      <c r="T1553" s="35"/>
      <c r="U1553" s="35"/>
      <c r="V1553" s="35"/>
      <c r="W1553" s="35"/>
      <c r="X1553" s="35"/>
      <c r="Y1553" s="35"/>
      <c r="Z1553" s="35"/>
      <c r="AA1553" s="35"/>
      <c r="AB1553" s="35"/>
    </row>
    <row r="1554" ht="15.75" customHeight="1">
      <c r="A1554" s="35" t="s">
        <v>8629</v>
      </c>
      <c r="B1554" s="35">
        <v>1.0</v>
      </c>
      <c r="C1554" s="35"/>
      <c r="D1554" s="35"/>
      <c r="E1554" s="35"/>
      <c r="F1554" s="35"/>
      <c r="G1554" s="35"/>
      <c r="H1554" s="35"/>
      <c r="I1554" s="35"/>
      <c r="J1554" s="35"/>
      <c r="K1554" s="35"/>
      <c r="L1554" s="35"/>
      <c r="M1554" s="35"/>
      <c r="N1554" s="35"/>
      <c r="O1554" s="35"/>
      <c r="P1554" s="35"/>
      <c r="Q1554" s="35"/>
      <c r="R1554" s="35"/>
      <c r="S1554" s="35"/>
      <c r="T1554" s="35"/>
      <c r="U1554" s="35"/>
      <c r="V1554" s="35"/>
      <c r="W1554" s="35"/>
      <c r="X1554" s="35"/>
      <c r="Y1554" s="35"/>
      <c r="Z1554" s="35"/>
      <c r="AA1554" s="35"/>
      <c r="AB1554" s="35"/>
    </row>
    <row r="1555" ht="15.75" customHeight="1">
      <c r="A1555" s="35" t="s">
        <v>8631</v>
      </c>
      <c r="B1555" s="35">
        <v>1.0</v>
      </c>
      <c r="C1555" s="35"/>
      <c r="D1555" s="35"/>
      <c r="E1555" s="35"/>
      <c r="F1555" s="35"/>
      <c r="G1555" s="35"/>
      <c r="H1555" s="35"/>
      <c r="I1555" s="35"/>
      <c r="J1555" s="35"/>
      <c r="K1555" s="35"/>
      <c r="L1555" s="35"/>
      <c r="M1555" s="35"/>
      <c r="N1555" s="35"/>
      <c r="O1555" s="35"/>
      <c r="P1555" s="35"/>
      <c r="Q1555" s="35"/>
      <c r="R1555" s="35"/>
      <c r="S1555" s="35"/>
      <c r="T1555" s="35"/>
      <c r="U1555" s="35"/>
      <c r="V1555" s="35"/>
      <c r="W1555" s="35"/>
      <c r="X1555" s="35"/>
      <c r="Y1555" s="35"/>
      <c r="Z1555" s="35"/>
      <c r="AA1555" s="35"/>
      <c r="AB1555" s="35"/>
    </row>
    <row r="1556" ht="15.75" customHeight="1">
      <c r="A1556" s="35" t="s">
        <v>8634</v>
      </c>
      <c r="B1556" s="35">
        <v>1.0</v>
      </c>
      <c r="C1556" s="35"/>
      <c r="D1556" s="35"/>
      <c r="E1556" s="35"/>
      <c r="F1556" s="35"/>
      <c r="G1556" s="35"/>
      <c r="H1556" s="35"/>
      <c r="I1556" s="35"/>
      <c r="J1556" s="35"/>
      <c r="K1556" s="35"/>
      <c r="L1556" s="35"/>
      <c r="M1556" s="35"/>
      <c r="N1556" s="35"/>
      <c r="O1556" s="35"/>
      <c r="P1556" s="35"/>
      <c r="Q1556" s="35"/>
      <c r="R1556" s="35"/>
      <c r="S1556" s="35"/>
      <c r="T1556" s="35"/>
      <c r="U1556" s="35"/>
      <c r="V1556" s="35"/>
      <c r="W1556" s="35"/>
      <c r="X1556" s="35"/>
      <c r="Y1556" s="35"/>
      <c r="Z1556" s="35"/>
      <c r="AA1556" s="35"/>
      <c r="AB1556" s="35"/>
    </row>
    <row r="1557" ht="15.75" customHeight="1">
      <c r="A1557" s="35" t="s">
        <v>8638</v>
      </c>
      <c r="B1557" s="35">
        <v>1.0</v>
      </c>
      <c r="C1557" s="35"/>
      <c r="D1557" s="35"/>
      <c r="E1557" s="35"/>
      <c r="F1557" s="35"/>
      <c r="G1557" s="35"/>
      <c r="H1557" s="35"/>
      <c r="I1557" s="35"/>
      <c r="J1557" s="35"/>
      <c r="K1557" s="35"/>
      <c r="L1557" s="35"/>
      <c r="M1557" s="35"/>
      <c r="N1557" s="35"/>
      <c r="O1557" s="35"/>
      <c r="P1557" s="35"/>
      <c r="Q1557" s="35"/>
      <c r="R1557" s="35"/>
      <c r="S1557" s="35"/>
      <c r="T1557" s="35"/>
      <c r="U1557" s="35"/>
      <c r="V1557" s="35"/>
      <c r="W1557" s="35"/>
      <c r="X1557" s="35"/>
      <c r="Y1557" s="35"/>
      <c r="Z1557" s="35"/>
      <c r="AA1557" s="35"/>
      <c r="AB1557" s="35"/>
    </row>
    <row r="1558" ht="15.75" customHeight="1">
      <c r="A1558" s="35" t="s">
        <v>8641</v>
      </c>
      <c r="B1558" s="35">
        <v>1.0</v>
      </c>
      <c r="C1558" s="35"/>
      <c r="D1558" s="35"/>
      <c r="E1558" s="35"/>
      <c r="F1558" s="35"/>
      <c r="G1558" s="35"/>
      <c r="H1558" s="35"/>
      <c r="I1558" s="35"/>
      <c r="J1558" s="35"/>
      <c r="K1558" s="35"/>
      <c r="L1558" s="35"/>
      <c r="M1558" s="35"/>
      <c r="N1558" s="35"/>
      <c r="O1558" s="35"/>
      <c r="P1558" s="35"/>
      <c r="Q1558" s="35"/>
      <c r="R1558" s="35"/>
      <c r="S1558" s="35"/>
      <c r="T1558" s="35"/>
      <c r="U1558" s="35"/>
      <c r="V1558" s="35"/>
      <c r="W1558" s="35"/>
      <c r="X1558" s="35"/>
      <c r="Y1558" s="35"/>
      <c r="Z1558" s="35"/>
      <c r="AA1558" s="35"/>
      <c r="AB1558" s="35"/>
    </row>
    <row r="1559" ht="15.75" customHeight="1">
      <c r="A1559" s="35" t="s">
        <v>8644</v>
      </c>
      <c r="B1559" s="35">
        <v>1.0</v>
      </c>
      <c r="C1559" s="35"/>
      <c r="D1559" s="35"/>
      <c r="E1559" s="35"/>
      <c r="F1559" s="35"/>
      <c r="G1559" s="35"/>
      <c r="H1559" s="35"/>
      <c r="I1559" s="35"/>
      <c r="J1559" s="35"/>
      <c r="K1559" s="35"/>
      <c r="L1559" s="35"/>
      <c r="M1559" s="35"/>
      <c r="N1559" s="35"/>
      <c r="O1559" s="35"/>
      <c r="P1559" s="35"/>
      <c r="Q1559" s="35"/>
      <c r="R1559" s="35"/>
      <c r="S1559" s="35"/>
      <c r="T1559" s="35"/>
      <c r="U1559" s="35"/>
      <c r="V1559" s="35"/>
      <c r="W1559" s="35"/>
      <c r="X1559" s="35"/>
      <c r="Y1559" s="35"/>
      <c r="Z1559" s="35"/>
      <c r="AA1559" s="35"/>
      <c r="AB1559" s="35"/>
    </row>
    <row r="1560" ht="15.75" customHeight="1">
      <c r="A1560" s="35" t="s">
        <v>8647</v>
      </c>
      <c r="B1560" s="35">
        <v>1.0</v>
      </c>
      <c r="C1560" s="35"/>
      <c r="D1560" s="35"/>
      <c r="E1560" s="35"/>
      <c r="F1560" s="35"/>
      <c r="G1560" s="35"/>
      <c r="H1560" s="35"/>
      <c r="I1560" s="35"/>
      <c r="J1560" s="35"/>
      <c r="K1560" s="35"/>
      <c r="L1560" s="35"/>
      <c r="M1560" s="35"/>
      <c r="N1560" s="35"/>
      <c r="O1560" s="35"/>
      <c r="P1560" s="35"/>
      <c r="Q1560" s="35"/>
      <c r="R1560" s="35"/>
      <c r="S1560" s="35"/>
      <c r="T1560" s="35"/>
      <c r="U1560" s="35"/>
      <c r="V1560" s="35"/>
      <c r="W1560" s="35"/>
      <c r="X1560" s="35"/>
      <c r="Y1560" s="35"/>
      <c r="Z1560" s="35"/>
      <c r="AA1560" s="35"/>
      <c r="AB1560" s="35"/>
    </row>
    <row r="1561" ht="15.75" customHeight="1">
      <c r="A1561" s="35" t="s">
        <v>8650</v>
      </c>
      <c r="B1561" s="35">
        <v>1.0</v>
      </c>
      <c r="C1561" s="35"/>
      <c r="D1561" s="35"/>
      <c r="E1561" s="35"/>
      <c r="F1561" s="35"/>
      <c r="G1561" s="35"/>
      <c r="H1561" s="35"/>
      <c r="I1561" s="35"/>
      <c r="J1561" s="35"/>
      <c r="K1561" s="35"/>
      <c r="L1561" s="35"/>
      <c r="M1561" s="35"/>
      <c r="N1561" s="35"/>
      <c r="O1561" s="35"/>
      <c r="P1561" s="35"/>
      <c r="Q1561" s="35"/>
      <c r="R1561" s="35"/>
      <c r="S1561" s="35"/>
      <c r="T1561" s="35"/>
      <c r="U1561" s="35"/>
      <c r="V1561" s="35"/>
      <c r="W1561" s="35"/>
      <c r="X1561" s="35"/>
      <c r="Y1561" s="35"/>
      <c r="Z1561" s="35"/>
      <c r="AA1561" s="35"/>
      <c r="AB1561" s="35"/>
    </row>
    <row r="1562" ht="15.75" customHeight="1">
      <c r="A1562" s="35" t="s">
        <v>8653</v>
      </c>
      <c r="B1562" s="35">
        <v>1.0</v>
      </c>
      <c r="C1562" s="35"/>
      <c r="D1562" s="35"/>
      <c r="E1562" s="35"/>
      <c r="F1562" s="35"/>
      <c r="G1562" s="35"/>
      <c r="H1562" s="35"/>
      <c r="I1562" s="35"/>
      <c r="J1562" s="35"/>
      <c r="K1562" s="35"/>
      <c r="L1562" s="35"/>
      <c r="M1562" s="35"/>
      <c r="N1562" s="35"/>
      <c r="O1562" s="35"/>
      <c r="P1562" s="35"/>
      <c r="Q1562" s="35"/>
      <c r="R1562" s="35"/>
      <c r="S1562" s="35"/>
      <c r="T1562" s="35"/>
      <c r="U1562" s="35"/>
      <c r="V1562" s="35"/>
      <c r="W1562" s="35"/>
      <c r="X1562" s="35"/>
      <c r="Y1562" s="35"/>
      <c r="Z1562" s="35"/>
      <c r="AA1562" s="35"/>
      <c r="AB1562" s="35"/>
    </row>
    <row r="1563" ht="15.75" customHeight="1">
      <c r="A1563" s="35" t="s">
        <v>8657</v>
      </c>
      <c r="B1563" s="35">
        <v>1.0</v>
      </c>
      <c r="C1563" s="35"/>
      <c r="D1563" s="35"/>
      <c r="E1563" s="35"/>
      <c r="F1563" s="35"/>
      <c r="G1563" s="35"/>
      <c r="H1563" s="35"/>
      <c r="I1563" s="35"/>
      <c r="J1563" s="35"/>
      <c r="K1563" s="35"/>
      <c r="L1563" s="35"/>
      <c r="M1563" s="35"/>
      <c r="N1563" s="35"/>
      <c r="O1563" s="35"/>
      <c r="P1563" s="35"/>
      <c r="Q1563" s="35"/>
      <c r="R1563" s="35"/>
      <c r="S1563" s="35"/>
      <c r="T1563" s="35"/>
      <c r="U1563" s="35"/>
      <c r="V1563" s="35"/>
      <c r="W1563" s="35"/>
      <c r="X1563" s="35"/>
      <c r="Y1563" s="35"/>
      <c r="Z1563" s="35"/>
      <c r="AA1563" s="35"/>
      <c r="AB1563" s="35"/>
    </row>
    <row r="1564" ht="15.75" customHeight="1">
      <c r="A1564" s="35" t="s">
        <v>8660</v>
      </c>
      <c r="B1564" s="35">
        <v>1.0</v>
      </c>
      <c r="C1564" s="35"/>
      <c r="D1564" s="35"/>
      <c r="E1564" s="35"/>
      <c r="F1564" s="35"/>
      <c r="G1564" s="35"/>
      <c r="H1564" s="35"/>
      <c r="I1564" s="35"/>
      <c r="J1564" s="35"/>
      <c r="K1564" s="35"/>
      <c r="L1564" s="35"/>
      <c r="M1564" s="35"/>
      <c r="N1564" s="35"/>
      <c r="O1564" s="35"/>
      <c r="P1564" s="35"/>
      <c r="Q1564" s="35"/>
      <c r="R1564" s="35"/>
      <c r="S1564" s="35"/>
      <c r="T1564" s="35"/>
      <c r="U1564" s="35"/>
      <c r="V1564" s="35"/>
      <c r="W1564" s="35"/>
      <c r="X1564" s="35"/>
      <c r="Y1564" s="35"/>
      <c r="Z1564" s="35"/>
      <c r="AA1564" s="35"/>
      <c r="AB1564" s="35"/>
    </row>
    <row r="1565" ht="15.75" customHeight="1">
      <c r="A1565" s="35" t="s">
        <v>8663</v>
      </c>
      <c r="B1565" s="35">
        <v>1.0</v>
      </c>
      <c r="C1565" s="35"/>
      <c r="D1565" s="35"/>
      <c r="E1565" s="35"/>
      <c r="F1565" s="35"/>
      <c r="G1565" s="35"/>
      <c r="H1565" s="35"/>
      <c r="I1565" s="35"/>
      <c r="J1565" s="35"/>
      <c r="K1565" s="35"/>
      <c r="L1565" s="35"/>
      <c r="M1565" s="35"/>
      <c r="N1565" s="35"/>
      <c r="O1565" s="35"/>
      <c r="P1565" s="35"/>
      <c r="Q1565" s="35"/>
      <c r="R1565" s="35"/>
      <c r="S1565" s="35"/>
      <c r="T1565" s="35"/>
      <c r="U1565" s="35"/>
      <c r="V1565" s="35"/>
      <c r="W1565" s="35"/>
      <c r="X1565" s="35"/>
      <c r="Y1565" s="35"/>
      <c r="Z1565" s="35"/>
      <c r="AA1565" s="35"/>
      <c r="AB1565" s="35"/>
    </row>
    <row r="1566" ht="15.75" customHeight="1">
      <c r="A1566" s="35" t="s">
        <v>8666</v>
      </c>
      <c r="B1566" s="35">
        <v>1.0</v>
      </c>
      <c r="C1566" s="35"/>
      <c r="D1566" s="35"/>
      <c r="E1566" s="35"/>
      <c r="F1566" s="35"/>
      <c r="G1566" s="35"/>
      <c r="H1566" s="35"/>
      <c r="I1566" s="35"/>
      <c r="J1566" s="35"/>
      <c r="K1566" s="35"/>
      <c r="L1566" s="35"/>
      <c r="M1566" s="35"/>
      <c r="N1566" s="35"/>
      <c r="O1566" s="35"/>
      <c r="P1566" s="35"/>
      <c r="Q1566" s="35"/>
      <c r="R1566" s="35"/>
      <c r="S1566" s="35"/>
      <c r="T1566" s="35"/>
      <c r="U1566" s="35"/>
      <c r="V1566" s="35"/>
      <c r="W1566" s="35"/>
      <c r="X1566" s="35"/>
      <c r="Y1566" s="35"/>
      <c r="Z1566" s="35"/>
      <c r="AA1566" s="35"/>
      <c r="AB1566" s="35"/>
    </row>
    <row r="1567" ht="15.75" customHeight="1">
      <c r="A1567" s="35" t="s">
        <v>8669</v>
      </c>
      <c r="B1567" s="35">
        <v>1.0</v>
      </c>
      <c r="C1567" s="35"/>
      <c r="D1567" s="35"/>
      <c r="E1567" s="35"/>
      <c r="F1567" s="35"/>
      <c r="G1567" s="35"/>
      <c r="H1567" s="35"/>
      <c r="I1567" s="35"/>
      <c r="J1567" s="35"/>
      <c r="K1567" s="35"/>
      <c r="L1567" s="35"/>
      <c r="M1567" s="35"/>
      <c r="N1567" s="35"/>
      <c r="O1567" s="35"/>
      <c r="P1567" s="35"/>
      <c r="Q1567" s="35"/>
      <c r="R1567" s="35"/>
      <c r="S1567" s="35"/>
      <c r="T1567" s="35"/>
      <c r="U1567" s="35"/>
      <c r="V1567" s="35"/>
      <c r="W1567" s="35"/>
      <c r="X1567" s="35"/>
      <c r="Y1567" s="35"/>
      <c r="Z1567" s="35"/>
      <c r="AA1567" s="35"/>
      <c r="AB1567" s="35"/>
    </row>
    <row r="1568" ht="15.75" customHeight="1">
      <c r="A1568" s="35" t="s">
        <v>8673</v>
      </c>
      <c r="B1568" s="35">
        <v>1.0</v>
      </c>
      <c r="C1568" s="35"/>
      <c r="D1568" s="35"/>
      <c r="E1568" s="35"/>
      <c r="F1568" s="35"/>
      <c r="G1568" s="35"/>
      <c r="H1568" s="35"/>
      <c r="I1568" s="35"/>
      <c r="J1568" s="35"/>
      <c r="K1568" s="35"/>
      <c r="L1568" s="35"/>
      <c r="M1568" s="35"/>
      <c r="N1568" s="35"/>
      <c r="O1568" s="35"/>
      <c r="P1568" s="35"/>
      <c r="Q1568" s="35"/>
      <c r="R1568" s="35"/>
      <c r="S1568" s="35"/>
      <c r="T1568" s="35"/>
      <c r="U1568" s="35"/>
      <c r="V1568" s="35"/>
      <c r="W1568" s="35"/>
      <c r="X1568" s="35"/>
      <c r="Y1568" s="35"/>
      <c r="Z1568" s="35"/>
      <c r="AA1568" s="35"/>
      <c r="AB1568" s="35"/>
    </row>
    <row r="1569" ht="15.75" customHeight="1">
      <c r="A1569" s="35" t="s">
        <v>8678</v>
      </c>
      <c r="B1569" s="35">
        <v>1.0</v>
      </c>
      <c r="C1569" s="35"/>
      <c r="D1569" s="35"/>
      <c r="E1569" s="35"/>
      <c r="F1569" s="35"/>
      <c r="G1569" s="35"/>
      <c r="H1569" s="35"/>
      <c r="I1569" s="35"/>
      <c r="J1569" s="35"/>
      <c r="K1569" s="35"/>
      <c r="L1569" s="35"/>
      <c r="M1569" s="35"/>
      <c r="N1569" s="35"/>
      <c r="O1569" s="35"/>
      <c r="P1569" s="35"/>
      <c r="Q1569" s="35"/>
      <c r="R1569" s="35"/>
      <c r="S1569" s="35"/>
      <c r="T1569" s="35"/>
      <c r="U1569" s="35"/>
      <c r="V1569" s="35"/>
      <c r="W1569" s="35"/>
      <c r="X1569" s="35"/>
      <c r="Y1569" s="35"/>
      <c r="Z1569" s="35"/>
      <c r="AA1569" s="35"/>
      <c r="AB1569" s="35"/>
    </row>
    <row r="1570" ht="15.75" customHeight="1">
      <c r="A1570" s="35" t="s">
        <v>8681</v>
      </c>
      <c r="B1570" s="35">
        <v>1.0</v>
      </c>
      <c r="C1570" s="35"/>
      <c r="D1570" s="35"/>
      <c r="E1570" s="35"/>
      <c r="F1570" s="35"/>
      <c r="G1570" s="35"/>
      <c r="H1570" s="35"/>
      <c r="I1570" s="35"/>
      <c r="J1570" s="35"/>
      <c r="K1570" s="35"/>
      <c r="L1570" s="35"/>
      <c r="M1570" s="35"/>
      <c r="N1570" s="35"/>
      <c r="O1570" s="35"/>
      <c r="P1570" s="35"/>
      <c r="Q1570" s="35"/>
      <c r="R1570" s="35"/>
      <c r="S1570" s="35"/>
      <c r="T1570" s="35"/>
      <c r="U1570" s="35"/>
      <c r="V1570" s="35"/>
      <c r="W1570" s="35"/>
      <c r="X1570" s="35"/>
      <c r="Y1570" s="35"/>
      <c r="Z1570" s="35"/>
      <c r="AA1570" s="35"/>
      <c r="AB1570" s="35"/>
    </row>
    <row r="1571" ht="15.75" customHeight="1">
      <c r="A1571" s="35" t="s">
        <v>8684</v>
      </c>
      <c r="B1571" s="35">
        <v>1.0</v>
      </c>
      <c r="C1571" s="35"/>
      <c r="D1571" s="35"/>
      <c r="E1571" s="35"/>
      <c r="F1571" s="35"/>
      <c r="G1571" s="35"/>
      <c r="H1571" s="35"/>
      <c r="I1571" s="35"/>
      <c r="J1571" s="35"/>
      <c r="K1571" s="35"/>
      <c r="L1571" s="35"/>
      <c r="M1571" s="35"/>
      <c r="N1571" s="35"/>
      <c r="O1571" s="35"/>
      <c r="P1571" s="35"/>
      <c r="Q1571" s="35"/>
      <c r="R1571" s="35"/>
      <c r="S1571" s="35"/>
      <c r="T1571" s="35"/>
      <c r="U1571" s="35"/>
      <c r="V1571" s="35"/>
      <c r="W1571" s="35"/>
      <c r="X1571" s="35"/>
      <c r="Y1571" s="35"/>
      <c r="Z1571" s="35"/>
      <c r="AA1571" s="35"/>
      <c r="AB1571" s="35"/>
    </row>
    <row r="1572" ht="15.75" customHeight="1">
      <c r="A1572" s="35" t="s">
        <v>8688</v>
      </c>
      <c r="B1572" s="35">
        <v>1.0</v>
      </c>
      <c r="C1572" s="35"/>
      <c r="D1572" s="35"/>
      <c r="E1572" s="35"/>
      <c r="F1572" s="35"/>
      <c r="G1572" s="35"/>
      <c r="H1572" s="35"/>
      <c r="I1572" s="35"/>
      <c r="J1572" s="35"/>
      <c r="K1572" s="35"/>
      <c r="L1572" s="35"/>
      <c r="M1572" s="35"/>
      <c r="N1572" s="35"/>
      <c r="O1572" s="35"/>
      <c r="P1572" s="35"/>
      <c r="Q1572" s="35"/>
      <c r="R1572" s="35"/>
      <c r="S1572" s="35"/>
      <c r="T1572" s="35"/>
      <c r="U1572" s="35"/>
      <c r="V1572" s="35"/>
      <c r="W1572" s="35"/>
      <c r="X1572" s="35"/>
      <c r="Y1572" s="35"/>
      <c r="Z1572" s="35"/>
      <c r="AA1572" s="35"/>
      <c r="AB1572" s="35"/>
    </row>
    <row r="1573" ht="15.75" customHeight="1">
      <c r="A1573" s="35" t="s">
        <v>8693</v>
      </c>
      <c r="B1573" s="35">
        <v>1.0</v>
      </c>
      <c r="C1573" s="35"/>
      <c r="D1573" s="35"/>
      <c r="E1573" s="35"/>
      <c r="F1573" s="35"/>
      <c r="G1573" s="35"/>
      <c r="H1573" s="35"/>
      <c r="I1573" s="35"/>
      <c r="J1573" s="35"/>
      <c r="K1573" s="35"/>
      <c r="L1573" s="35"/>
      <c r="M1573" s="35"/>
      <c r="N1573" s="35"/>
      <c r="O1573" s="35"/>
      <c r="P1573" s="35"/>
      <c r="Q1573" s="35"/>
      <c r="R1573" s="35"/>
      <c r="S1573" s="35"/>
      <c r="T1573" s="35"/>
      <c r="U1573" s="35"/>
      <c r="V1573" s="35"/>
      <c r="W1573" s="35"/>
      <c r="X1573" s="35"/>
      <c r="Y1573" s="35"/>
      <c r="Z1573" s="35"/>
      <c r="AA1573" s="35"/>
      <c r="AB1573" s="35"/>
    </row>
    <row r="1574" ht="15.75" customHeight="1">
      <c r="A1574" s="35" t="s">
        <v>8697</v>
      </c>
      <c r="B1574" s="35">
        <v>1.0</v>
      </c>
      <c r="C1574" s="35"/>
      <c r="D1574" s="35"/>
      <c r="E1574" s="35"/>
      <c r="F1574" s="35"/>
      <c r="G1574" s="35"/>
      <c r="H1574" s="35"/>
      <c r="I1574" s="35"/>
      <c r="J1574" s="35"/>
      <c r="K1574" s="35"/>
      <c r="L1574" s="35"/>
      <c r="M1574" s="35"/>
      <c r="N1574" s="35"/>
      <c r="O1574" s="35"/>
      <c r="P1574" s="35"/>
      <c r="Q1574" s="35"/>
      <c r="R1574" s="35"/>
      <c r="S1574" s="35"/>
      <c r="T1574" s="35"/>
      <c r="U1574" s="35"/>
      <c r="V1574" s="35"/>
      <c r="W1574" s="35"/>
      <c r="X1574" s="35"/>
      <c r="Y1574" s="35"/>
      <c r="Z1574" s="35"/>
      <c r="AA1574" s="35"/>
      <c r="AB1574" s="35"/>
    </row>
    <row r="1575" ht="15.75" customHeight="1">
      <c r="A1575" s="35" t="s">
        <v>8700</v>
      </c>
      <c r="B1575" s="35">
        <v>1.0</v>
      </c>
      <c r="C1575" s="35"/>
      <c r="D1575" s="35"/>
      <c r="E1575" s="35"/>
      <c r="F1575" s="35"/>
      <c r="G1575" s="35"/>
      <c r="H1575" s="35"/>
      <c r="I1575" s="35"/>
      <c r="J1575" s="35"/>
      <c r="K1575" s="35"/>
      <c r="L1575" s="35"/>
      <c r="M1575" s="35"/>
      <c r="N1575" s="35"/>
      <c r="O1575" s="35"/>
      <c r="P1575" s="35"/>
      <c r="Q1575" s="35"/>
      <c r="R1575" s="35"/>
      <c r="S1575" s="35"/>
      <c r="T1575" s="35"/>
      <c r="U1575" s="35"/>
      <c r="V1575" s="35"/>
      <c r="W1575" s="35"/>
      <c r="X1575" s="35"/>
      <c r="Y1575" s="35"/>
      <c r="Z1575" s="35"/>
      <c r="AA1575" s="35"/>
      <c r="AB1575" s="35"/>
    </row>
    <row r="1576" ht="15.75" customHeight="1">
      <c r="A1576" s="35" t="s">
        <v>8704</v>
      </c>
      <c r="B1576" s="35">
        <v>1.0</v>
      </c>
      <c r="C1576" s="35"/>
      <c r="D1576" s="35"/>
      <c r="E1576" s="35"/>
      <c r="F1576" s="35"/>
      <c r="G1576" s="35"/>
      <c r="H1576" s="35"/>
      <c r="I1576" s="35"/>
      <c r="J1576" s="35"/>
      <c r="K1576" s="35"/>
      <c r="L1576" s="35"/>
      <c r="M1576" s="35"/>
      <c r="N1576" s="35"/>
      <c r="O1576" s="35"/>
      <c r="P1576" s="35"/>
      <c r="Q1576" s="35"/>
      <c r="R1576" s="35"/>
      <c r="S1576" s="35"/>
      <c r="T1576" s="35"/>
      <c r="U1576" s="35"/>
      <c r="V1576" s="35"/>
      <c r="W1576" s="35"/>
      <c r="X1576" s="35"/>
      <c r="Y1576" s="35"/>
      <c r="Z1576" s="35"/>
      <c r="AA1576" s="35"/>
      <c r="AB1576" s="35"/>
    </row>
    <row r="1577" ht="15.75" customHeight="1">
      <c r="A1577" s="35" t="s">
        <v>8707</v>
      </c>
      <c r="B1577" s="35">
        <v>1.0</v>
      </c>
      <c r="C1577" s="35"/>
      <c r="D1577" s="35"/>
      <c r="E1577" s="35"/>
      <c r="F1577" s="35"/>
      <c r="G1577" s="35"/>
      <c r="H1577" s="35"/>
      <c r="I1577" s="35"/>
      <c r="J1577" s="35"/>
      <c r="K1577" s="35"/>
      <c r="L1577" s="35"/>
      <c r="M1577" s="35"/>
      <c r="N1577" s="35"/>
      <c r="O1577" s="35"/>
      <c r="P1577" s="35"/>
      <c r="Q1577" s="35"/>
      <c r="R1577" s="35"/>
      <c r="S1577" s="35"/>
      <c r="T1577" s="35"/>
      <c r="U1577" s="35"/>
      <c r="V1577" s="35"/>
      <c r="W1577" s="35"/>
      <c r="X1577" s="35"/>
      <c r="Y1577" s="35"/>
      <c r="Z1577" s="35"/>
      <c r="AA1577" s="35"/>
      <c r="AB1577" s="35"/>
    </row>
    <row r="1578" ht="15.75" customHeight="1">
      <c r="A1578" s="35" t="s">
        <v>8710</v>
      </c>
      <c r="B1578" s="35">
        <v>1.0</v>
      </c>
      <c r="C1578" s="35"/>
      <c r="D1578" s="35"/>
      <c r="E1578" s="35"/>
      <c r="F1578" s="35"/>
      <c r="G1578" s="35"/>
      <c r="H1578" s="35"/>
      <c r="I1578" s="35"/>
      <c r="J1578" s="35"/>
      <c r="K1578" s="35"/>
      <c r="L1578" s="35"/>
      <c r="M1578" s="35"/>
      <c r="N1578" s="35"/>
      <c r="O1578" s="35"/>
      <c r="P1578" s="35"/>
      <c r="Q1578" s="35"/>
      <c r="R1578" s="35"/>
      <c r="S1578" s="35"/>
      <c r="T1578" s="35"/>
      <c r="U1578" s="35"/>
      <c r="V1578" s="35"/>
      <c r="W1578" s="35"/>
      <c r="X1578" s="35"/>
      <c r="Y1578" s="35"/>
      <c r="Z1578" s="35"/>
      <c r="AA1578" s="35"/>
      <c r="AB1578" s="35"/>
    </row>
    <row r="1579" ht="15.75" customHeight="1">
      <c r="A1579" s="35" t="s">
        <v>8713</v>
      </c>
      <c r="B1579" s="35">
        <v>1.0</v>
      </c>
      <c r="C1579" s="35"/>
      <c r="D1579" s="35"/>
      <c r="E1579" s="35"/>
      <c r="F1579" s="35"/>
      <c r="G1579" s="35"/>
      <c r="H1579" s="35"/>
      <c r="I1579" s="35"/>
      <c r="J1579" s="35"/>
      <c r="K1579" s="35"/>
      <c r="L1579" s="35"/>
      <c r="M1579" s="35"/>
      <c r="N1579" s="35"/>
      <c r="O1579" s="35"/>
      <c r="P1579" s="35"/>
      <c r="Q1579" s="35"/>
      <c r="R1579" s="35"/>
      <c r="S1579" s="35"/>
      <c r="T1579" s="35"/>
      <c r="U1579" s="35"/>
      <c r="V1579" s="35"/>
      <c r="W1579" s="35"/>
      <c r="X1579" s="35"/>
      <c r="Y1579" s="35"/>
      <c r="Z1579" s="35"/>
      <c r="AA1579" s="35"/>
      <c r="AB1579" s="35"/>
    </row>
    <row r="1580" ht="15.75" customHeight="1">
      <c r="A1580" s="35" t="s">
        <v>8717</v>
      </c>
      <c r="B1580" s="35">
        <v>1.0</v>
      </c>
      <c r="C1580" s="35"/>
      <c r="D1580" s="35"/>
      <c r="E1580" s="35"/>
      <c r="F1580" s="35"/>
      <c r="G1580" s="35"/>
      <c r="H1580" s="35"/>
      <c r="I1580" s="35"/>
      <c r="J1580" s="35"/>
      <c r="K1580" s="35"/>
      <c r="L1580" s="35"/>
      <c r="M1580" s="35"/>
      <c r="N1580" s="35"/>
      <c r="O1580" s="35"/>
      <c r="P1580" s="35"/>
      <c r="Q1580" s="35"/>
      <c r="R1580" s="35"/>
      <c r="S1580" s="35"/>
      <c r="T1580" s="35"/>
      <c r="U1580" s="35"/>
      <c r="V1580" s="35"/>
      <c r="W1580" s="35"/>
      <c r="X1580" s="35"/>
      <c r="Y1580" s="35"/>
      <c r="Z1580" s="35"/>
      <c r="AA1580" s="35"/>
      <c r="AB1580" s="35"/>
    </row>
    <row r="1581" ht="15.75" customHeight="1">
      <c r="A1581" s="35" t="s">
        <v>8720</v>
      </c>
      <c r="B1581" s="35">
        <v>1.0</v>
      </c>
      <c r="C1581" s="35"/>
      <c r="D1581" s="35"/>
      <c r="E1581" s="35"/>
      <c r="F1581" s="35"/>
      <c r="G1581" s="35"/>
      <c r="H1581" s="35"/>
      <c r="I1581" s="35"/>
      <c r="J1581" s="35"/>
      <c r="K1581" s="35"/>
      <c r="L1581" s="35"/>
      <c r="M1581" s="35"/>
      <c r="N1581" s="35"/>
      <c r="O1581" s="35"/>
      <c r="P1581" s="35"/>
      <c r="Q1581" s="35"/>
      <c r="R1581" s="35"/>
      <c r="S1581" s="35"/>
      <c r="T1581" s="35"/>
      <c r="U1581" s="35"/>
      <c r="V1581" s="35"/>
      <c r="W1581" s="35"/>
      <c r="X1581" s="35"/>
      <c r="Y1581" s="35"/>
      <c r="Z1581" s="35"/>
      <c r="AA1581" s="35"/>
      <c r="AB1581" s="35"/>
    </row>
    <row r="1582" ht="15.75" customHeight="1">
      <c r="A1582" s="35" t="s">
        <v>8723</v>
      </c>
      <c r="B1582" s="35">
        <v>1.0</v>
      </c>
      <c r="C1582" s="35"/>
      <c r="D1582" s="35"/>
      <c r="E1582" s="35"/>
      <c r="F1582" s="35"/>
      <c r="G1582" s="35"/>
      <c r="H1582" s="35"/>
      <c r="I1582" s="35"/>
      <c r="J1582" s="35"/>
      <c r="K1582" s="35"/>
      <c r="L1582" s="35"/>
      <c r="M1582" s="35"/>
      <c r="N1582" s="35"/>
      <c r="O1582" s="35"/>
      <c r="P1582" s="35"/>
      <c r="Q1582" s="35"/>
      <c r="R1582" s="35"/>
      <c r="S1582" s="35"/>
      <c r="T1582" s="35"/>
      <c r="U1582" s="35"/>
      <c r="V1582" s="35"/>
      <c r="W1582" s="35"/>
      <c r="X1582" s="35"/>
      <c r="Y1582" s="35"/>
      <c r="Z1582" s="35"/>
      <c r="AA1582" s="35"/>
      <c r="AB1582" s="35"/>
    </row>
    <row r="1583" ht="15.75" customHeight="1">
      <c r="A1583" s="35" t="s">
        <v>8726</v>
      </c>
      <c r="B1583" s="35">
        <v>1.0</v>
      </c>
      <c r="C1583" s="35"/>
      <c r="D1583" s="35"/>
      <c r="E1583" s="35"/>
      <c r="F1583" s="35"/>
      <c r="G1583" s="35"/>
      <c r="H1583" s="35"/>
      <c r="I1583" s="35"/>
      <c r="J1583" s="35"/>
      <c r="K1583" s="35"/>
      <c r="L1583" s="35"/>
      <c r="M1583" s="35"/>
      <c r="N1583" s="35"/>
      <c r="O1583" s="35"/>
      <c r="P1583" s="35"/>
      <c r="Q1583" s="35"/>
      <c r="R1583" s="35"/>
      <c r="S1583" s="35"/>
      <c r="T1583" s="35"/>
      <c r="U1583" s="35"/>
      <c r="V1583" s="35"/>
      <c r="W1583" s="35"/>
      <c r="X1583" s="35"/>
      <c r="Y1583" s="35"/>
      <c r="Z1583" s="35"/>
      <c r="AA1583" s="35"/>
      <c r="AB1583" s="35"/>
    </row>
    <row r="1584" ht="15.75" customHeight="1">
      <c r="A1584" s="35" t="s">
        <v>8731</v>
      </c>
      <c r="B1584" s="35">
        <v>1.0</v>
      </c>
      <c r="C1584" s="35"/>
      <c r="D1584" s="35"/>
      <c r="E1584" s="35"/>
      <c r="F1584" s="35"/>
      <c r="G1584" s="35"/>
      <c r="H1584" s="35"/>
      <c r="I1584" s="35"/>
      <c r="J1584" s="35"/>
      <c r="K1584" s="35"/>
      <c r="L1584" s="35"/>
      <c r="M1584" s="35"/>
      <c r="N1584" s="35"/>
      <c r="O1584" s="35"/>
      <c r="P1584" s="35"/>
      <c r="Q1584" s="35"/>
      <c r="R1584" s="35"/>
      <c r="S1584" s="35"/>
      <c r="T1584" s="35"/>
      <c r="U1584" s="35"/>
      <c r="V1584" s="35"/>
      <c r="W1584" s="35"/>
      <c r="X1584" s="35"/>
      <c r="Y1584" s="35"/>
      <c r="Z1584" s="35"/>
      <c r="AA1584" s="35"/>
      <c r="AB1584" s="35"/>
    </row>
    <row r="1585" ht="15.75" customHeight="1">
      <c r="A1585" s="35" t="s">
        <v>8735</v>
      </c>
      <c r="B1585" s="35">
        <v>1.0</v>
      </c>
      <c r="C1585" s="35"/>
      <c r="D1585" s="35"/>
      <c r="E1585" s="35"/>
      <c r="F1585" s="35"/>
      <c r="G1585" s="35"/>
      <c r="H1585" s="35"/>
      <c r="I1585" s="35"/>
      <c r="J1585" s="35"/>
      <c r="K1585" s="35"/>
      <c r="L1585" s="35"/>
      <c r="M1585" s="35"/>
      <c r="N1585" s="35"/>
      <c r="O1585" s="35"/>
      <c r="P1585" s="35"/>
      <c r="Q1585" s="35"/>
      <c r="R1585" s="35"/>
      <c r="S1585" s="35"/>
      <c r="T1585" s="35"/>
      <c r="U1585" s="35"/>
      <c r="V1585" s="35"/>
      <c r="W1585" s="35"/>
      <c r="X1585" s="35"/>
      <c r="Y1585" s="35"/>
      <c r="Z1585" s="35"/>
      <c r="AA1585" s="35"/>
      <c r="AB1585" s="35"/>
    </row>
    <row r="1586" ht="15.75" customHeight="1">
      <c r="A1586" s="35" t="s">
        <v>2120</v>
      </c>
      <c r="B1586" s="35">
        <v>1.0</v>
      </c>
      <c r="C1586" s="35"/>
      <c r="D1586" s="35"/>
      <c r="E1586" s="35"/>
      <c r="F1586" s="35"/>
      <c r="G1586" s="35"/>
      <c r="H1586" s="35"/>
      <c r="I1586" s="35"/>
      <c r="J1586" s="35"/>
      <c r="K1586" s="35"/>
      <c r="L1586" s="35"/>
      <c r="M1586" s="35"/>
      <c r="N1586" s="35"/>
      <c r="O1586" s="35"/>
      <c r="P1586" s="35"/>
      <c r="Q1586" s="35"/>
      <c r="R1586" s="35"/>
      <c r="S1586" s="35"/>
      <c r="T1586" s="35"/>
      <c r="U1586" s="35"/>
      <c r="V1586" s="35"/>
      <c r="W1586" s="35"/>
      <c r="X1586" s="35"/>
      <c r="Y1586" s="35"/>
      <c r="Z1586" s="35"/>
      <c r="AA1586" s="35"/>
      <c r="AB1586" s="35"/>
    </row>
    <row r="1587" ht="15.75" customHeight="1">
      <c r="A1587" s="35" t="s">
        <v>8741</v>
      </c>
      <c r="B1587" s="35">
        <v>1.0</v>
      </c>
      <c r="C1587" s="35"/>
      <c r="D1587" s="35"/>
      <c r="E1587" s="35"/>
      <c r="F1587" s="35"/>
      <c r="G1587" s="35"/>
      <c r="H1587" s="35"/>
      <c r="I1587" s="35"/>
      <c r="J1587" s="35"/>
      <c r="K1587" s="35"/>
      <c r="L1587" s="35"/>
      <c r="M1587" s="35"/>
      <c r="N1587" s="35"/>
      <c r="O1587" s="35"/>
      <c r="P1587" s="35"/>
      <c r="Q1587" s="35"/>
      <c r="R1587" s="35"/>
      <c r="S1587" s="35"/>
      <c r="T1587" s="35"/>
      <c r="U1587" s="35"/>
      <c r="V1587" s="35"/>
      <c r="W1587" s="35"/>
      <c r="X1587" s="35"/>
      <c r="Y1587" s="35"/>
      <c r="Z1587" s="35"/>
      <c r="AA1587" s="35"/>
      <c r="AB1587" s="35"/>
    </row>
    <row r="1588" ht="15.75" customHeight="1">
      <c r="A1588" s="35" t="s">
        <v>8744</v>
      </c>
      <c r="B1588" s="35">
        <v>1.0</v>
      </c>
      <c r="C1588" s="35"/>
      <c r="D1588" s="35"/>
      <c r="E1588" s="35"/>
      <c r="F1588" s="35"/>
      <c r="G1588" s="35"/>
      <c r="H1588" s="35"/>
      <c r="I1588" s="35"/>
      <c r="J1588" s="35"/>
      <c r="K1588" s="35"/>
      <c r="L1588" s="35"/>
      <c r="M1588" s="35"/>
      <c r="N1588" s="35"/>
      <c r="O1588" s="35"/>
      <c r="P1588" s="35"/>
      <c r="Q1588" s="35"/>
      <c r="R1588" s="35"/>
      <c r="S1588" s="35"/>
      <c r="T1588" s="35"/>
      <c r="U1588" s="35"/>
      <c r="V1588" s="35"/>
      <c r="W1588" s="35"/>
      <c r="X1588" s="35"/>
      <c r="Y1588" s="35"/>
      <c r="Z1588" s="35"/>
      <c r="AA1588" s="35"/>
      <c r="AB1588" s="35"/>
    </row>
    <row r="1589" ht="15.75" customHeight="1">
      <c r="A1589" s="35" t="s">
        <v>8747</v>
      </c>
      <c r="B1589" s="35">
        <v>1.0</v>
      </c>
      <c r="C1589" s="35"/>
      <c r="D1589" s="35"/>
      <c r="E1589" s="35"/>
      <c r="F1589" s="35"/>
      <c r="G1589" s="35"/>
      <c r="H1589" s="35"/>
      <c r="I1589" s="35"/>
      <c r="J1589" s="35"/>
      <c r="K1589" s="35"/>
      <c r="L1589" s="35"/>
      <c r="M1589" s="35"/>
      <c r="N1589" s="35"/>
      <c r="O1589" s="35"/>
      <c r="P1589" s="35"/>
      <c r="Q1589" s="35"/>
      <c r="R1589" s="35"/>
      <c r="S1589" s="35"/>
      <c r="T1589" s="35"/>
      <c r="U1589" s="35"/>
      <c r="V1589" s="35"/>
      <c r="W1589" s="35"/>
      <c r="X1589" s="35"/>
      <c r="Y1589" s="35"/>
      <c r="Z1589" s="35"/>
      <c r="AA1589" s="35"/>
      <c r="AB1589" s="35"/>
    </row>
    <row r="1590" ht="15.75" customHeight="1">
      <c r="A1590" s="35" t="s">
        <v>8750</v>
      </c>
      <c r="B1590" s="35">
        <v>1.0</v>
      </c>
      <c r="C1590" s="35"/>
      <c r="D1590" s="35"/>
      <c r="E1590" s="35"/>
      <c r="F1590" s="35"/>
      <c r="G1590" s="35"/>
      <c r="H1590" s="35"/>
      <c r="I1590" s="35"/>
      <c r="J1590" s="35"/>
      <c r="K1590" s="35"/>
      <c r="L1590" s="35"/>
      <c r="M1590" s="35"/>
      <c r="N1590" s="35"/>
      <c r="O1590" s="35"/>
      <c r="P1590" s="35"/>
      <c r="Q1590" s="35"/>
      <c r="R1590" s="35"/>
      <c r="S1590" s="35"/>
      <c r="T1590" s="35"/>
      <c r="U1590" s="35"/>
      <c r="V1590" s="35"/>
      <c r="W1590" s="35"/>
      <c r="X1590" s="35"/>
      <c r="Y1590" s="35"/>
      <c r="Z1590" s="35"/>
      <c r="AA1590" s="35"/>
      <c r="AB1590" s="35"/>
    </row>
    <row r="1591" ht="15.75" customHeight="1">
      <c r="A1591" s="35" t="s">
        <v>8753</v>
      </c>
      <c r="B1591" s="35">
        <v>1.0</v>
      </c>
      <c r="C1591" s="35"/>
      <c r="D1591" s="35"/>
      <c r="E1591" s="35"/>
      <c r="F1591" s="35"/>
      <c r="G1591" s="35"/>
      <c r="H1591" s="35"/>
      <c r="I1591" s="35"/>
      <c r="J1591" s="35"/>
      <c r="K1591" s="35"/>
      <c r="L1591" s="35"/>
      <c r="M1591" s="35"/>
      <c r="N1591" s="35"/>
      <c r="O1591" s="35"/>
      <c r="P1591" s="35"/>
      <c r="Q1591" s="35"/>
      <c r="R1591" s="35"/>
      <c r="S1591" s="35"/>
      <c r="T1591" s="35"/>
      <c r="U1591" s="35"/>
      <c r="V1591" s="35"/>
      <c r="W1591" s="35"/>
      <c r="X1591" s="35"/>
      <c r="Y1591" s="35"/>
      <c r="Z1591" s="35"/>
      <c r="AA1591" s="35"/>
      <c r="AB1591" s="35"/>
    </row>
    <row r="1592" ht="15.75" customHeight="1">
      <c r="A1592" s="35" t="s">
        <v>8756</v>
      </c>
      <c r="B1592" s="35">
        <v>1.0</v>
      </c>
      <c r="C1592" s="35"/>
      <c r="D1592" s="35"/>
      <c r="E1592" s="35"/>
      <c r="F1592" s="35"/>
      <c r="G1592" s="35"/>
      <c r="H1592" s="35"/>
      <c r="I1592" s="35"/>
      <c r="J1592" s="35"/>
      <c r="K1592" s="35"/>
      <c r="L1592" s="35"/>
      <c r="M1592" s="35"/>
      <c r="N1592" s="35"/>
      <c r="O1592" s="35"/>
      <c r="P1592" s="35"/>
      <c r="Q1592" s="35"/>
      <c r="R1592" s="35"/>
      <c r="S1592" s="35"/>
      <c r="T1592" s="35"/>
      <c r="U1592" s="35"/>
      <c r="V1592" s="35"/>
      <c r="W1592" s="35"/>
      <c r="X1592" s="35"/>
      <c r="Y1592" s="35"/>
      <c r="Z1592" s="35"/>
      <c r="AA1592" s="35"/>
      <c r="AB1592" s="35"/>
    </row>
    <row r="1593" ht="15.75" customHeight="1">
      <c r="A1593" s="35" t="s">
        <v>8760</v>
      </c>
      <c r="B1593" s="35">
        <v>1.0</v>
      </c>
      <c r="C1593" s="35"/>
      <c r="D1593" s="35"/>
      <c r="E1593" s="35"/>
      <c r="F1593" s="35"/>
      <c r="G1593" s="35"/>
      <c r="H1593" s="35"/>
      <c r="I1593" s="35"/>
      <c r="J1593" s="35"/>
      <c r="K1593" s="35"/>
      <c r="L1593" s="35"/>
      <c r="M1593" s="35"/>
      <c r="N1593" s="35"/>
      <c r="O1593" s="35"/>
      <c r="P1593" s="35"/>
      <c r="Q1593" s="35"/>
      <c r="R1593" s="35"/>
      <c r="S1593" s="35"/>
      <c r="T1593" s="35"/>
      <c r="U1593" s="35"/>
      <c r="V1593" s="35"/>
      <c r="W1593" s="35"/>
      <c r="X1593" s="35"/>
      <c r="Y1593" s="35"/>
      <c r="Z1593" s="35"/>
      <c r="AA1593" s="35"/>
      <c r="AB1593" s="35"/>
    </row>
    <row r="1594" ht="15.75" customHeight="1">
      <c r="A1594" s="35" t="s">
        <v>8763</v>
      </c>
      <c r="B1594" s="35">
        <v>1.0</v>
      </c>
      <c r="C1594" s="35"/>
      <c r="D1594" s="35"/>
      <c r="E1594" s="35"/>
      <c r="F1594" s="35"/>
      <c r="G1594" s="35"/>
      <c r="H1594" s="35"/>
      <c r="I1594" s="35"/>
      <c r="J1594" s="35"/>
      <c r="K1594" s="35"/>
      <c r="L1594" s="35"/>
      <c r="M1594" s="35"/>
      <c r="N1594" s="35"/>
      <c r="O1594" s="35"/>
      <c r="P1594" s="35"/>
      <c r="Q1594" s="35"/>
      <c r="R1594" s="35"/>
      <c r="S1594" s="35"/>
      <c r="T1594" s="35"/>
      <c r="U1594" s="35"/>
      <c r="V1594" s="35"/>
      <c r="W1594" s="35"/>
      <c r="X1594" s="35"/>
      <c r="Y1594" s="35"/>
      <c r="Z1594" s="35"/>
      <c r="AA1594" s="35"/>
      <c r="AB1594" s="35"/>
    </row>
    <row r="1595" ht="15.75" customHeight="1">
      <c r="A1595" s="35" t="s">
        <v>8766</v>
      </c>
      <c r="B1595" s="35">
        <v>1.0</v>
      </c>
      <c r="C1595" s="35"/>
      <c r="D1595" s="35"/>
      <c r="E1595" s="35"/>
      <c r="F1595" s="35"/>
      <c r="G1595" s="35"/>
      <c r="H1595" s="35"/>
      <c r="I1595" s="35"/>
      <c r="J1595" s="35"/>
      <c r="K1595" s="35"/>
      <c r="L1595" s="35"/>
      <c r="M1595" s="35"/>
      <c r="N1595" s="35"/>
      <c r="O1595" s="35"/>
      <c r="P1595" s="35"/>
      <c r="Q1595" s="35"/>
      <c r="R1595" s="35"/>
      <c r="S1595" s="35"/>
      <c r="T1595" s="35"/>
      <c r="U1595" s="35"/>
      <c r="V1595" s="35"/>
      <c r="W1595" s="35"/>
      <c r="X1595" s="35"/>
      <c r="Y1595" s="35"/>
      <c r="Z1595" s="35"/>
      <c r="AA1595" s="35"/>
      <c r="AB1595" s="35"/>
    </row>
    <row r="1596" ht="15.75" customHeight="1">
      <c r="A1596" s="35" t="s">
        <v>8770</v>
      </c>
      <c r="B1596" s="35">
        <v>1.0</v>
      </c>
      <c r="C1596" s="35"/>
      <c r="D1596" s="35"/>
      <c r="E1596" s="35"/>
      <c r="F1596" s="35"/>
      <c r="G1596" s="35"/>
      <c r="H1596" s="35"/>
      <c r="I1596" s="35"/>
      <c r="J1596" s="35"/>
      <c r="K1596" s="35"/>
      <c r="L1596" s="35"/>
      <c r="M1596" s="35"/>
      <c r="N1596" s="35"/>
      <c r="O1596" s="35"/>
      <c r="P1596" s="35"/>
      <c r="Q1596" s="35"/>
      <c r="R1596" s="35"/>
      <c r="S1596" s="35"/>
      <c r="T1596" s="35"/>
      <c r="U1596" s="35"/>
      <c r="V1596" s="35"/>
      <c r="W1596" s="35"/>
      <c r="X1596" s="35"/>
      <c r="Y1596" s="35"/>
      <c r="Z1596" s="35"/>
      <c r="AA1596" s="35"/>
      <c r="AB1596" s="35"/>
    </row>
    <row r="1597" ht="15.75" customHeight="1">
      <c r="A1597" s="35" t="s">
        <v>8773</v>
      </c>
      <c r="B1597" s="35">
        <v>1.0</v>
      </c>
      <c r="C1597" s="35"/>
      <c r="D1597" s="35"/>
      <c r="E1597" s="35"/>
      <c r="F1597" s="35"/>
      <c r="G1597" s="35"/>
      <c r="H1597" s="35"/>
      <c r="I1597" s="35"/>
      <c r="J1597" s="35"/>
      <c r="K1597" s="35"/>
      <c r="L1597" s="35"/>
      <c r="M1597" s="35"/>
      <c r="N1597" s="35"/>
      <c r="O1597" s="35"/>
      <c r="P1597" s="35"/>
      <c r="Q1597" s="35"/>
      <c r="R1597" s="35"/>
      <c r="S1597" s="35"/>
      <c r="T1597" s="35"/>
      <c r="U1597" s="35"/>
      <c r="V1597" s="35"/>
      <c r="W1597" s="35"/>
      <c r="X1597" s="35"/>
      <c r="Y1597" s="35"/>
      <c r="Z1597" s="35"/>
      <c r="AA1597" s="35"/>
      <c r="AB1597" s="35"/>
    </row>
    <row r="1598" ht="15.75" customHeight="1">
      <c r="A1598" s="35" t="s">
        <v>8776</v>
      </c>
      <c r="B1598" s="35">
        <v>1.0</v>
      </c>
      <c r="C1598" s="35"/>
      <c r="D1598" s="35"/>
      <c r="E1598" s="35"/>
      <c r="F1598" s="35"/>
      <c r="G1598" s="35"/>
      <c r="H1598" s="35"/>
      <c r="I1598" s="35"/>
      <c r="J1598" s="35"/>
      <c r="K1598" s="35"/>
      <c r="L1598" s="35"/>
      <c r="M1598" s="35"/>
      <c r="N1598" s="35"/>
      <c r="O1598" s="35"/>
      <c r="P1598" s="35"/>
      <c r="Q1598" s="35"/>
      <c r="R1598" s="35"/>
      <c r="S1598" s="35"/>
      <c r="T1598" s="35"/>
      <c r="U1598" s="35"/>
      <c r="V1598" s="35"/>
      <c r="W1598" s="35"/>
      <c r="X1598" s="35"/>
      <c r="Y1598" s="35"/>
      <c r="Z1598" s="35"/>
      <c r="AA1598" s="35"/>
      <c r="AB1598" s="35"/>
    </row>
    <row r="1599" ht="15.75" customHeight="1">
      <c r="A1599" s="35" t="s">
        <v>8779</v>
      </c>
      <c r="B1599" s="35">
        <v>1.0</v>
      </c>
      <c r="C1599" s="35"/>
      <c r="D1599" s="35"/>
      <c r="E1599" s="35"/>
      <c r="F1599" s="35"/>
      <c r="G1599" s="35"/>
      <c r="H1599" s="35"/>
      <c r="I1599" s="35"/>
      <c r="J1599" s="35"/>
      <c r="K1599" s="35"/>
      <c r="L1599" s="35"/>
      <c r="M1599" s="35"/>
      <c r="N1599" s="35"/>
      <c r="O1599" s="35"/>
      <c r="P1599" s="35"/>
      <c r="Q1599" s="35"/>
      <c r="R1599" s="35"/>
      <c r="S1599" s="35"/>
      <c r="T1599" s="35"/>
      <c r="U1599" s="35"/>
      <c r="V1599" s="35"/>
      <c r="W1599" s="35"/>
      <c r="X1599" s="35"/>
      <c r="Y1599" s="35"/>
      <c r="Z1599" s="35"/>
      <c r="AA1599" s="35"/>
      <c r="AB1599" s="35"/>
    </row>
    <row r="1600" ht="15.75" customHeight="1">
      <c r="A1600" s="35" t="s">
        <v>8783</v>
      </c>
      <c r="B1600" s="35">
        <v>1.0</v>
      </c>
      <c r="C1600" s="35"/>
      <c r="D1600" s="35"/>
      <c r="E1600" s="35"/>
      <c r="F1600" s="35"/>
      <c r="G1600" s="35"/>
      <c r="H1600" s="35"/>
      <c r="I1600" s="35"/>
      <c r="J1600" s="35"/>
      <c r="K1600" s="35"/>
      <c r="L1600" s="35"/>
      <c r="M1600" s="35"/>
      <c r="N1600" s="35"/>
      <c r="O1600" s="35"/>
      <c r="P1600" s="35"/>
      <c r="Q1600" s="35"/>
      <c r="R1600" s="35"/>
      <c r="S1600" s="35"/>
      <c r="T1600" s="35"/>
      <c r="U1600" s="35"/>
      <c r="V1600" s="35"/>
      <c r="W1600" s="35"/>
      <c r="X1600" s="35"/>
      <c r="Y1600" s="35"/>
      <c r="Z1600" s="35"/>
      <c r="AA1600" s="35"/>
      <c r="AB1600" s="35"/>
    </row>
    <row r="1601" ht="15.75" customHeight="1">
      <c r="A1601" s="35" t="s">
        <v>8786</v>
      </c>
      <c r="B1601" s="35">
        <v>1.0</v>
      </c>
      <c r="C1601" s="35"/>
      <c r="D1601" s="35"/>
      <c r="E1601" s="35"/>
      <c r="F1601" s="35"/>
      <c r="G1601" s="35"/>
      <c r="H1601" s="35"/>
      <c r="I1601" s="35"/>
      <c r="J1601" s="35"/>
      <c r="K1601" s="35"/>
      <c r="L1601" s="35"/>
      <c r="M1601" s="35"/>
      <c r="N1601" s="35"/>
      <c r="O1601" s="35"/>
      <c r="P1601" s="35"/>
      <c r="Q1601" s="35"/>
      <c r="R1601" s="35"/>
      <c r="S1601" s="35"/>
      <c r="T1601" s="35"/>
      <c r="U1601" s="35"/>
      <c r="V1601" s="35"/>
      <c r="W1601" s="35"/>
      <c r="X1601" s="35"/>
      <c r="Y1601" s="35"/>
      <c r="Z1601" s="35"/>
      <c r="AA1601" s="35"/>
      <c r="AB1601" s="35"/>
    </row>
    <row r="1602" ht="15.75" customHeight="1">
      <c r="A1602" s="35" t="s">
        <v>8790</v>
      </c>
      <c r="B1602" s="35">
        <v>1.0</v>
      </c>
      <c r="C1602" s="35"/>
      <c r="D1602" s="35"/>
      <c r="E1602" s="35"/>
      <c r="F1602" s="35"/>
      <c r="G1602" s="35"/>
      <c r="H1602" s="35"/>
      <c r="I1602" s="35"/>
      <c r="J1602" s="35"/>
      <c r="K1602" s="35"/>
      <c r="L1602" s="35"/>
      <c r="M1602" s="35"/>
      <c r="N1602" s="35"/>
      <c r="O1602" s="35"/>
      <c r="P1602" s="35"/>
      <c r="Q1602" s="35"/>
      <c r="R1602" s="35"/>
      <c r="S1602" s="35"/>
      <c r="T1602" s="35"/>
      <c r="U1602" s="35"/>
      <c r="V1602" s="35"/>
      <c r="W1602" s="35"/>
      <c r="X1602" s="35"/>
      <c r="Y1602" s="35"/>
      <c r="Z1602" s="35"/>
      <c r="AA1602" s="35"/>
      <c r="AB1602" s="35"/>
    </row>
    <row r="1603" ht="15.75" customHeight="1">
      <c r="A1603" s="35" t="s">
        <v>8793</v>
      </c>
      <c r="B1603" s="35">
        <v>1.0</v>
      </c>
      <c r="C1603" s="35"/>
      <c r="D1603" s="35"/>
      <c r="E1603" s="35"/>
      <c r="F1603" s="35"/>
      <c r="G1603" s="35"/>
      <c r="H1603" s="35"/>
      <c r="I1603" s="35"/>
      <c r="J1603" s="35"/>
      <c r="K1603" s="35"/>
      <c r="L1603" s="35"/>
      <c r="M1603" s="35"/>
      <c r="N1603" s="35"/>
      <c r="O1603" s="35"/>
      <c r="P1603" s="35"/>
      <c r="Q1603" s="35"/>
      <c r="R1603" s="35"/>
      <c r="S1603" s="35"/>
      <c r="T1603" s="35"/>
      <c r="U1603" s="35"/>
      <c r="V1603" s="35"/>
      <c r="W1603" s="35"/>
      <c r="X1603" s="35"/>
      <c r="Y1603" s="35"/>
      <c r="Z1603" s="35"/>
      <c r="AA1603" s="35"/>
      <c r="AB1603" s="35"/>
    </row>
    <row r="1604" ht="15.75" customHeight="1">
      <c r="A1604" s="35" t="s">
        <v>8796</v>
      </c>
      <c r="B1604" s="35">
        <v>1.0</v>
      </c>
      <c r="C1604" s="35"/>
      <c r="D1604" s="35"/>
      <c r="E1604" s="35"/>
      <c r="F1604" s="35"/>
      <c r="G1604" s="35"/>
      <c r="H1604" s="35"/>
      <c r="I1604" s="35"/>
      <c r="J1604" s="35"/>
      <c r="K1604" s="35"/>
      <c r="L1604" s="35"/>
      <c r="M1604" s="35"/>
      <c r="N1604" s="35"/>
      <c r="O1604" s="35"/>
      <c r="P1604" s="35"/>
      <c r="Q1604" s="35"/>
      <c r="R1604" s="35"/>
      <c r="S1604" s="35"/>
      <c r="T1604" s="35"/>
      <c r="U1604" s="35"/>
      <c r="V1604" s="35"/>
      <c r="W1604" s="35"/>
      <c r="X1604" s="35"/>
      <c r="Y1604" s="35"/>
      <c r="Z1604" s="35"/>
      <c r="AA1604" s="35"/>
      <c r="AB1604" s="35"/>
    </row>
    <row r="1605" ht="15.75" customHeight="1">
      <c r="A1605" s="35" t="s">
        <v>8799</v>
      </c>
      <c r="B1605" s="35">
        <v>1.0</v>
      </c>
      <c r="C1605" s="35"/>
      <c r="D1605" s="35"/>
      <c r="E1605" s="35"/>
      <c r="F1605" s="35"/>
      <c r="G1605" s="35"/>
      <c r="H1605" s="35"/>
      <c r="I1605" s="35"/>
      <c r="J1605" s="35"/>
      <c r="K1605" s="35"/>
      <c r="L1605" s="35"/>
      <c r="M1605" s="35"/>
      <c r="N1605" s="35"/>
      <c r="O1605" s="35"/>
      <c r="P1605" s="35"/>
      <c r="Q1605" s="35"/>
      <c r="R1605" s="35"/>
      <c r="S1605" s="35"/>
      <c r="T1605" s="35"/>
      <c r="U1605" s="35"/>
      <c r="V1605" s="35"/>
      <c r="W1605" s="35"/>
      <c r="X1605" s="35"/>
      <c r="Y1605" s="35"/>
      <c r="Z1605" s="35"/>
      <c r="AA1605" s="35"/>
      <c r="AB1605" s="35"/>
    </row>
    <row r="1606" ht="15.75" customHeight="1">
      <c r="A1606" s="35" t="s">
        <v>8802</v>
      </c>
      <c r="B1606" s="35">
        <v>1.0</v>
      </c>
      <c r="C1606" s="35"/>
      <c r="D1606" s="35"/>
      <c r="E1606" s="35"/>
      <c r="F1606" s="35"/>
      <c r="G1606" s="35"/>
      <c r="H1606" s="35"/>
      <c r="I1606" s="35"/>
      <c r="J1606" s="35"/>
      <c r="K1606" s="35"/>
      <c r="L1606" s="35"/>
      <c r="M1606" s="35"/>
      <c r="N1606" s="35"/>
      <c r="O1606" s="35"/>
      <c r="P1606" s="35"/>
      <c r="Q1606" s="35"/>
      <c r="R1606" s="35"/>
      <c r="S1606" s="35"/>
      <c r="T1606" s="35"/>
      <c r="U1606" s="35"/>
      <c r="V1606" s="35"/>
      <c r="W1606" s="35"/>
      <c r="X1606" s="35"/>
      <c r="Y1606" s="35"/>
      <c r="Z1606" s="35"/>
      <c r="AA1606" s="35"/>
      <c r="AB1606" s="35"/>
    </row>
    <row r="1607" ht="15.75" customHeight="1">
      <c r="A1607" s="35" t="s">
        <v>8806</v>
      </c>
      <c r="B1607" s="35">
        <v>1.0</v>
      </c>
      <c r="C1607" s="35"/>
      <c r="D1607" s="35"/>
      <c r="E1607" s="35"/>
      <c r="F1607" s="35"/>
      <c r="G1607" s="35"/>
      <c r="H1607" s="35"/>
      <c r="I1607" s="35"/>
      <c r="J1607" s="35"/>
      <c r="K1607" s="35"/>
      <c r="L1607" s="35"/>
      <c r="M1607" s="35"/>
      <c r="N1607" s="35"/>
      <c r="O1607" s="35"/>
      <c r="P1607" s="35"/>
      <c r="Q1607" s="35"/>
      <c r="R1607" s="35"/>
      <c r="S1607" s="35"/>
      <c r="T1607" s="35"/>
      <c r="U1607" s="35"/>
      <c r="V1607" s="35"/>
      <c r="W1607" s="35"/>
      <c r="X1607" s="35"/>
      <c r="Y1607" s="35"/>
      <c r="Z1607" s="35"/>
      <c r="AA1607" s="35"/>
      <c r="AB1607" s="35"/>
    </row>
    <row r="1608" ht="15.75" customHeight="1">
      <c r="A1608" s="35" t="s">
        <v>8809</v>
      </c>
      <c r="B1608" s="35">
        <v>1.0</v>
      </c>
      <c r="C1608" s="35"/>
      <c r="D1608" s="35"/>
      <c r="E1608" s="35"/>
      <c r="F1608" s="35"/>
      <c r="G1608" s="35"/>
      <c r="H1608" s="35"/>
      <c r="I1608" s="35"/>
      <c r="J1608" s="35"/>
      <c r="K1608" s="35"/>
      <c r="L1608" s="35"/>
      <c r="M1608" s="35"/>
      <c r="N1608" s="35"/>
      <c r="O1608" s="35"/>
      <c r="P1608" s="35"/>
      <c r="Q1608" s="35"/>
      <c r="R1608" s="35"/>
      <c r="S1608" s="35"/>
      <c r="T1608" s="35"/>
      <c r="U1608" s="35"/>
      <c r="V1608" s="35"/>
      <c r="W1608" s="35"/>
      <c r="X1608" s="35"/>
      <c r="Y1608" s="35"/>
      <c r="Z1608" s="35"/>
      <c r="AA1608" s="35"/>
      <c r="AB1608" s="35"/>
    </row>
    <row r="1609" ht="15.75" customHeight="1">
      <c r="A1609" s="35" t="s">
        <v>8812</v>
      </c>
      <c r="B1609" s="35">
        <v>1.0</v>
      </c>
      <c r="C1609" s="35"/>
      <c r="D1609" s="35"/>
      <c r="E1609" s="35"/>
      <c r="F1609" s="35"/>
      <c r="G1609" s="35"/>
      <c r="H1609" s="35"/>
      <c r="I1609" s="35"/>
      <c r="J1609" s="35"/>
      <c r="K1609" s="35"/>
      <c r="L1609" s="35"/>
      <c r="M1609" s="35"/>
      <c r="N1609" s="35"/>
      <c r="O1609" s="35"/>
      <c r="P1609" s="35"/>
      <c r="Q1609" s="35"/>
      <c r="R1609" s="35"/>
      <c r="S1609" s="35"/>
      <c r="T1609" s="35"/>
      <c r="U1609" s="35"/>
      <c r="V1609" s="35"/>
      <c r="W1609" s="35"/>
      <c r="X1609" s="35"/>
      <c r="Y1609" s="35"/>
      <c r="Z1609" s="35"/>
      <c r="AA1609" s="35"/>
      <c r="AB1609" s="35"/>
    </row>
    <row r="1610" ht="15.75" customHeight="1">
      <c r="A1610" s="35" t="s">
        <v>8815</v>
      </c>
      <c r="B1610" s="35">
        <v>1.0</v>
      </c>
      <c r="C1610" s="35"/>
      <c r="D1610" s="35"/>
      <c r="E1610" s="35"/>
      <c r="F1610" s="35"/>
      <c r="G1610" s="35"/>
      <c r="H1610" s="35"/>
      <c r="I1610" s="35"/>
      <c r="J1610" s="35"/>
      <c r="K1610" s="35"/>
      <c r="L1610" s="35"/>
      <c r="M1610" s="35"/>
      <c r="N1610" s="35"/>
      <c r="O1610" s="35"/>
      <c r="P1610" s="35"/>
      <c r="Q1610" s="35"/>
      <c r="R1610" s="35"/>
      <c r="S1610" s="35"/>
      <c r="T1610" s="35"/>
      <c r="U1610" s="35"/>
      <c r="V1610" s="35"/>
      <c r="W1610" s="35"/>
      <c r="X1610" s="35"/>
      <c r="Y1610" s="35"/>
      <c r="Z1610" s="35"/>
      <c r="AA1610" s="35"/>
      <c r="AB1610" s="35"/>
    </row>
    <row r="1611" ht="15.75" customHeight="1">
      <c r="A1611" s="35" t="s">
        <v>8818</v>
      </c>
      <c r="B1611" s="35">
        <v>1.0</v>
      </c>
      <c r="C1611" s="35"/>
      <c r="D1611" s="35"/>
      <c r="E1611" s="35"/>
      <c r="F1611" s="35"/>
      <c r="G1611" s="35"/>
      <c r="H1611" s="35"/>
      <c r="I1611" s="35"/>
      <c r="J1611" s="35"/>
      <c r="K1611" s="35"/>
      <c r="L1611" s="35"/>
      <c r="M1611" s="35"/>
      <c r="N1611" s="35"/>
      <c r="O1611" s="35"/>
      <c r="P1611" s="35"/>
      <c r="Q1611" s="35"/>
      <c r="R1611" s="35"/>
      <c r="S1611" s="35"/>
      <c r="T1611" s="35"/>
      <c r="U1611" s="35"/>
      <c r="V1611" s="35"/>
      <c r="W1611" s="35"/>
      <c r="X1611" s="35"/>
      <c r="Y1611" s="35"/>
      <c r="Z1611" s="35"/>
      <c r="AA1611" s="35"/>
      <c r="AB1611" s="35"/>
    </row>
    <row r="1612" ht="15.75" customHeight="1">
      <c r="A1612" s="35" t="s">
        <v>8821</v>
      </c>
      <c r="B1612" s="35">
        <v>1.0</v>
      </c>
      <c r="C1612" s="35"/>
      <c r="D1612" s="35"/>
      <c r="E1612" s="35"/>
      <c r="F1612" s="35"/>
      <c r="G1612" s="35"/>
      <c r="H1612" s="35"/>
      <c r="I1612" s="35"/>
      <c r="J1612" s="35"/>
      <c r="K1612" s="35"/>
      <c r="L1612" s="35"/>
      <c r="M1612" s="35"/>
      <c r="N1612" s="35"/>
      <c r="O1612" s="35"/>
      <c r="P1612" s="35"/>
      <c r="Q1612" s="35"/>
      <c r="R1612" s="35"/>
      <c r="S1612" s="35"/>
      <c r="T1612" s="35"/>
      <c r="U1612" s="35"/>
      <c r="V1612" s="35"/>
      <c r="W1612" s="35"/>
      <c r="X1612" s="35"/>
      <c r="Y1612" s="35"/>
      <c r="Z1612" s="35"/>
      <c r="AA1612" s="35"/>
      <c r="AB1612" s="35"/>
    </row>
    <row r="1613" ht="15.75" customHeight="1">
      <c r="A1613" s="35" t="s">
        <v>8825</v>
      </c>
      <c r="B1613" s="35">
        <v>1.0</v>
      </c>
      <c r="C1613" s="35"/>
      <c r="D1613" s="35"/>
      <c r="E1613" s="35"/>
      <c r="F1613" s="35"/>
      <c r="G1613" s="35"/>
      <c r="H1613" s="35"/>
      <c r="I1613" s="35"/>
      <c r="J1613" s="35"/>
      <c r="K1613" s="35"/>
      <c r="L1613" s="35"/>
      <c r="M1613" s="35"/>
      <c r="N1613" s="35"/>
      <c r="O1613" s="35"/>
      <c r="P1613" s="35"/>
      <c r="Q1613" s="35"/>
      <c r="R1613" s="35"/>
      <c r="S1613" s="35"/>
      <c r="T1613" s="35"/>
      <c r="U1613" s="35"/>
      <c r="V1613" s="35"/>
      <c r="W1613" s="35"/>
      <c r="X1613" s="35"/>
      <c r="Y1613" s="35"/>
      <c r="Z1613" s="35"/>
      <c r="AA1613" s="35"/>
      <c r="AB1613" s="35"/>
    </row>
    <row r="1614" ht="15.75" customHeight="1">
      <c r="A1614" s="35" t="s">
        <v>8827</v>
      </c>
      <c r="B1614" s="35">
        <v>1.0</v>
      </c>
      <c r="C1614" s="35"/>
      <c r="D1614" s="35"/>
      <c r="E1614" s="35"/>
      <c r="F1614" s="35"/>
      <c r="G1614" s="35"/>
      <c r="H1614" s="35"/>
      <c r="I1614" s="35"/>
      <c r="J1614" s="35"/>
      <c r="K1614" s="35"/>
      <c r="L1614" s="35"/>
      <c r="M1614" s="35"/>
      <c r="N1614" s="35"/>
      <c r="O1614" s="35"/>
      <c r="P1614" s="35"/>
      <c r="Q1614" s="35"/>
      <c r="R1614" s="35"/>
      <c r="S1614" s="35"/>
      <c r="T1614" s="35"/>
      <c r="U1614" s="35"/>
      <c r="V1614" s="35"/>
      <c r="W1614" s="35"/>
      <c r="X1614" s="35"/>
      <c r="Y1614" s="35"/>
      <c r="Z1614" s="35"/>
      <c r="AA1614" s="35"/>
      <c r="AB1614" s="35"/>
    </row>
    <row r="1615" ht="15.75" customHeight="1">
      <c r="A1615" s="35" t="s">
        <v>8828</v>
      </c>
      <c r="B1615" s="35">
        <v>1.0</v>
      </c>
      <c r="C1615" s="35"/>
      <c r="D1615" s="35"/>
      <c r="E1615" s="35"/>
      <c r="F1615" s="35"/>
      <c r="G1615" s="35"/>
      <c r="H1615" s="35"/>
      <c r="I1615" s="35"/>
      <c r="J1615" s="35"/>
      <c r="K1615" s="35"/>
      <c r="L1615" s="35"/>
      <c r="M1615" s="35"/>
      <c r="N1615" s="35"/>
      <c r="O1615" s="35"/>
      <c r="P1615" s="35"/>
      <c r="Q1615" s="35"/>
      <c r="R1615" s="35"/>
      <c r="S1615" s="35"/>
      <c r="T1615" s="35"/>
      <c r="U1615" s="35"/>
      <c r="V1615" s="35"/>
      <c r="W1615" s="35"/>
      <c r="X1615" s="35"/>
      <c r="Y1615" s="35"/>
      <c r="Z1615" s="35"/>
      <c r="AA1615" s="35"/>
      <c r="AB1615" s="35"/>
    </row>
    <row r="1616" ht="15.75" customHeight="1">
      <c r="A1616" s="35" t="s">
        <v>8832</v>
      </c>
      <c r="B1616" s="35">
        <v>1.0</v>
      </c>
      <c r="C1616" s="35"/>
      <c r="D1616" s="35"/>
      <c r="E1616" s="35"/>
      <c r="F1616" s="35"/>
      <c r="G1616" s="35"/>
      <c r="H1616" s="35"/>
      <c r="I1616" s="35"/>
      <c r="J1616" s="35"/>
      <c r="K1616" s="35"/>
      <c r="L1616" s="35"/>
      <c r="M1616" s="35"/>
      <c r="N1616" s="35"/>
      <c r="O1616" s="35"/>
      <c r="P1616" s="35"/>
      <c r="Q1616" s="35"/>
      <c r="R1616" s="35"/>
      <c r="S1616" s="35"/>
      <c r="T1616" s="35"/>
      <c r="U1616" s="35"/>
      <c r="V1616" s="35"/>
      <c r="W1616" s="35"/>
      <c r="X1616" s="35"/>
      <c r="Y1616" s="35"/>
      <c r="Z1616" s="35"/>
      <c r="AA1616" s="35"/>
      <c r="AB1616" s="35"/>
    </row>
    <row r="1617" ht="15.75" customHeight="1">
      <c r="A1617" s="35" t="s">
        <v>8835</v>
      </c>
      <c r="B1617" s="35">
        <v>1.0</v>
      </c>
      <c r="C1617" s="35"/>
      <c r="D1617" s="35"/>
      <c r="E1617" s="35"/>
      <c r="F1617" s="35"/>
      <c r="G1617" s="35"/>
      <c r="H1617" s="35"/>
      <c r="I1617" s="35"/>
      <c r="J1617" s="35"/>
      <c r="K1617" s="35"/>
      <c r="L1617" s="35"/>
      <c r="M1617" s="35"/>
      <c r="N1617" s="35"/>
      <c r="O1617" s="35"/>
      <c r="P1617" s="35"/>
      <c r="Q1617" s="35"/>
      <c r="R1617" s="35"/>
      <c r="S1617" s="35"/>
      <c r="T1617" s="35"/>
      <c r="U1617" s="35"/>
      <c r="V1617" s="35"/>
      <c r="W1617" s="35"/>
      <c r="X1617" s="35"/>
      <c r="Y1617" s="35"/>
      <c r="Z1617" s="35"/>
      <c r="AA1617" s="35"/>
      <c r="AB1617" s="35"/>
    </row>
    <row r="1618" ht="15.75" customHeight="1">
      <c r="A1618" s="35" t="s">
        <v>8838</v>
      </c>
      <c r="B1618" s="35">
        <v>1.0</v>
      </c>
      <c r="C1618" s="35"/>
      <c r="D1618" s="35"/>
      <c r="E1618" s="35"/>
      <c r="F1618" s="35"/>
      <c r="G1618" s="35"/>
      <c r="H1618" s="35"/>
      <c r="I1618" s="35"/>
      <c r="J1618" s="35"/>
      <c r="K1618" s="35"/>
      <c r="L1618" s="35"/>
      <c r="M1618" s="35"/>
      <c r="N1618" s="35"/>
      <c r="O1618" s="35"/>
      <c r="P1618" s="35"/>
      <c r="Q1618" s="35"/>
      <c r="R1618" s="35"/>
      <c r="S1618" s="35"/>
      <c r="T1618" s="35"/>
      <c r="U1618" s="35"/>
      <c r="V1618" s="35"/>
      <c r="W1618" s="35"/>
      <c r="X1618" s="35"/>
      <c r="Y1618" s="35"/>
      <c r="Z1618" s="35"/>
      <c r="AA1618" s="35"/>
      <c r="AB1618" s="35"/>
    </row>
    <row r="1619" ht="15.75" customHeight="1">
      <c r="A1619" s="35" t="s">
        <v>8842</v>
      </c>
      <c r="B1619" s="35">
        <v>1.0</v>
      </c>
      <c r="C1619" s="35"/>
      <c r="D1619" s="35"/>
      <c r="E1619" s="35"/>
      <c r="F1619" s="35"/>
      <c r="G1619" s="35"/>
      <c r="H1619" s="35"/>
      <c r="I1619" s="35"/>
      <c r="J1619" s="35"/>
      <c r="K1619" s="35"/>
      <c r="L1619" s="35"/>
      <c r="M1619" s="35"/>
      <c r="N1619" s="35"/>
      <c r="O1619" s="35"/>
      <c r="P1619" s="35"/>
      <c r="Q1619" s="35"/>
      <c r="R1619" s="35"/>
      <c r="S1619" s="35"/>
      <c r="T1619" s="35"/>
      <c r="U1619" s="35"/>
      <c r="V1619" s="35"/>
      <c r="W1619" s="35"/>
      <c r="X1619" s="35"/>
      <c r="Y1619" s="35"/>
      <c r="Z1619" s="35"/>
      <c r="AA1619" s="35"/>
      <c r="AB1619" s="35"/>
    </row>
    <row r="1620" ht="15.75" customHeight="1">
      <c r="A1620" s="35" t="s">
        <v>8845</v>
      </c>
      <c r="B1620" s="35">
        <v>1.0</v>
      </c>
      <c r="C1620" s="35"/>
      <c r="D1620" s="35"/>
      <c r="E1620" s="35"/>
      <c r="F1620" s="35"/>
      <c r="G1620" s="35"/>
      <c r="H1620" s="35"/>
      <c r="I1620" s="35"/>
      <c r="J1620" s="35"/>
      <c r="K1620" s="35"/>
      <c r="L1620" s="35"/>
      <c r="M1620" s="35"/>
      <c r="N1620" s="35"/>
      <c r="O1620" s="35"/>
      <c r="P1620" s="35"/>
      <c r="Q1620" s="35"/>
      <c r="R1620" s="35"/>
      <c r="S1620" s="35"/>
      <c r="T1620" s="35"/>
      <c r="U1620" s="35"/>
      <c r="V1620" s="35"/>
      <c r="W1620" s="35"/>
      <c r="X1620" s="35"/>
      <c r="Y1620" s="35"/>
      <c r="Z1620" s="35"/>
      <c r="AA1620" s="35"/>
      <c r="AB1620" s="35"/>
    </row>
    <row r="1621" ht="15.75" customHeight="1">
      <c r="A1621" s="35" t="s">
        <v>8848</v>
      </c>
      <c r="B1621" s="35">
        <v>1.0</v>
      </c>
      <c r="C1621" s="35"/>
      <c r="D1621" s="35"/>
      <c r="E1621" s="35"/>
      <c r="F1621" s="35"/>
      <c r="G1621" s="35"/>
      <c r="H1621" s="35"/>
      <c r="I1621" s="35"/>
      <c r="J1621" s="35"/>
      <c r="K1621" s="35"/>
      <c r="L1621" s="35"/>
      <c r="M1621" s="35"/>
      <c r="N1621" s="35"/>
      <c r="O1621" s="35"/>
      <c r="P1621" s="35"/>
      <c r="Q1621" s="35"/>
      <c r="R1621" s="35"/>
      <c r="S1621" s="35"/>
      <c r="T1621" s="35"/>
      <c r="U1621" s="35"/>
      <c r="V1621" s="35"/>
      <c r="W1621" s="35"/>
      <c r="X1621" s="35"/>
      <c r="Y1621" s="35"/>
      <c r="Z1621" s="35"/>
      <c r="AA1621" s="35"/>
      <c r="AB1621" s="35"/>
    </row>
    <row r="1622" ht="15.75" customHeight="1">
      <c r="A1622" s="35" t="s">
        <v>8851</v>
      </c>
      <c r="B1622" s="35">
        <v>1.0</v>
      </c>
      <c r="C1622" s="35"/>
      <c r="D1622" s="35"/>
      <c r="E1622" s="35"/>
      <c r="F1622" s="35"/>
      <c r="G1622" s="35"/>
      <c r="H1622" s="35"/>
      <c r="I1622" s="35"/>
      <c r="J1622" s="35"/>
      <c r="K1622" s="35"/>
      <c r="L1622" s="35"/>
      <c r="M1622" s="35"/>
      <c r="N1622" s="35"/>
      <c r="O1622" s="35"/>
      <c r="P1622" s="35"/>
      <c r="Q1622" s="35"/>
      <c r="R1622" s="35"/>
      <c r="S1622" s="35"/>
      <c r="T1622" s="35"/>
      <c r="U1622" s="35"/>
      <c r="V1622" s="35"/>
      <c r="W1622" s="35"/>
      <c r="X1622" s="35"/>
      <c r="Y1622" s="35"/>
      <c r="Z1622" s="35"/>
      <c r="AA1622" s="35"/>
      <c r="AB1622" s="35"/>
    </row>
    <row r="1623" ht="15.75" customHeight="1">
      <c r="A1623" s="35" t="s">
        <v>8856</v>
      </c>
      <c r="B1623" s="35">
        <v>1.0</v>
      </c>
      <c r="C1623" s="35"/>
      <c r="D1623" s="35"/>
      <c r="E1623" s="35"/>
      <c r="F1623" s="35"/>
      <c r="G1623" s="35"/>
      <c r="H1623" s="35"/>
      <c r="I1623" s="35"/>
      <c r="J1623" s="35"/>
      <c r="K1623" s="35"/>
      <c r="L1623" s="35"/>
      <c r="M1623" s="35"/>
      <c r="N1623" s="35"/>
      <c r="O1623" s="35"/>
      <c r="P1623" s="35"/>
      <c r="Q1623" s="35"/>
      <c r="R1623" s="35"/>
      <c r="S1623" s="35"/>
      <c r="T1623" s="35"/>
      <c r="U1623" s="35"/>
      <c r="V1623" s="35"/>
      <c r="W1623" s="35"/>
      <c r="X1623" s="35"/>
      <c r="Y1623" s="35"/>
      <c r="Z1623" s="35"/>
      <c r="AA1623" s="35"/>
      <c r="AB1623" s="35"/>
    </row>
    <row r="1624" ht="15.75" customHeight="1">
      <c r="A1624" s="35" t="s">
        <v>8859</v>
      </c>
      <c r="B1624" s="35">
        <v>1.0</v>
      </c>
      <c r="C1624" s="35"/>
      <c r="D1624" s="35"/>
      <c r="E1624" s="35"/>
      <c r="F1624" s="35"/>
      <c r="G1624" s="35"/>
      <c r="H1624" s="35"/>
      <c r="I1624" s="35"/>
      <c r="J1624" s="35"/>
      <c r="K1624" s="35"/>
      <c r="L1624" s="35"/>
      <c r="M1624" s="35"/>
      <c r="N1624" s="35"/>
      <c r="O1624" s="35"/>
      <c r="P1624" s="35"/>
      <c r="Q1624" s="35"/>
      <c r="R1624" s="35"/>
      <c r="S1624" s="35"/>
      <c r="T1624" s="35"/>
      <c r="U1624" s="35"/>
      <c r="V1624" s="35"/>
      <c r="W1624" s="35"/>
      <c r="X1624" s="35"/>
      <c r="Y1624" s="35"/>
      <c r="Z1624" s="35"/>
      <c r="AA1624" s="35"/>
      <c r="AB1624" s="35"/>
    </row>
    <row r="1625" ht="15.75" customHeight="1">
      <c r="A1625" s="35" t="s">
        <v>8862</v>
      </c>
      <c r="B1625" s="35">
        <v>1.0</v>
      </c>
      <c r="C1625" s="35"/>
      <c r="D1625" s="35"/>
      <c r="E1625" s="35"/>
      <c r="F1625" s="35"/>
      <c r="G1625" s="35"/>
      <c r="H1625" s="35"/>
      <c r="I1625" s="35"/>
      <c r="J1625" s="35"/>
      <c r="K1625" s="35"/>
      <c r="L1625" s="35"/>
      <c r="M1625" s="35"/>
      <c r="N1625" s="35"/>
      <c r="O1625" s="35"/>
      <c r="P1625" s="35"/>
      <c r="Q1625" s="35"/>
      <c r="R1625" s="35"/>
      <c r="S1625" s="35"/>
      <c r="T1625" s="35"/>
      <c r="U1625" s="35"/>
      <c r="V1625" s="35"/>
      <c r="W1625" s="35"/>
      <c r="X1625" s="35"/>
      <c r="Y1625" s="35"/>
      <c r="Z1625" s="35"/>
      <c r="AA1625" s="35"/>
      <c r="AB1625" s="35"/>
    </row>
    <row r="1626" ht="15.75" customHeight="1">
      <c r="A1626" s="35" t="s">
        <v>8865</v>
      </c>
      <c r="B1626" s="35">
        <v>1.0</v>
      </c>
      <c r="C1626" s="35"/>
      <c r="D1626" s="35"/>
      <c r="E1626" s="35"/>
      <c r="F1626" s="35"/>
      <c r="G1626" s="35"/>
      <c r="H1626" s="35"/>
      <c r="I1626" s="35"/>
      <c r="J1626" s="35"/>
      <c r="K1626" s="35"/>
      <c r="L1626" s="35"/>
      <c r="M1626" s="35"/>
      <c r="N1626" s="35"/>
      <c r="O1626" s="35"/>
      <c r="P1626" s="35"/>
      <c r="Q1626" s="35"/>
      <c r="R1626" s="35"/>
      <c r="S1626" s="35"/>
      <c r="T1626" s="35"/>
      <c r="U1626" s="35"/>
      <c r="V1626" s="35"/>
      <c r="W1626" s="35"/>
      <c r="X1626" s="35"/>
      <c r="Y1626" s="35"/>
      <c r="Z1626" s="35"/>
      <c r="AA1626" s="35"/>
      <c r="AB1626" s="35"/>
    </row>
    <row r="1627" ht="15.75" customHeight="1">
      <c r="A1627" s="35" t="s">
        <v>8869</v>
      </c>
      <c r="B1627" s="35">
        <v>1.0</v>
      </c>
      <c r="C1627" s="35"/>
      <c r="D1627" s="35"/>
      <c r="E1627" s="35"/>
      <c r="F1627" s="35"/>
      <c r="G1627" s="35"/>
      <c r="H1627" s="35"/>
      <c r="I1627" s="35"/>
      <c r="J1627" s="35"/>
      <c r="K1627" s="35"/>
      <c r="L1627" s="35"/>
      <c r="M1627" s="35"/>
      <c r="N1627" s="35"/>
      <c r="O1627" s="35"/>
      <c r="P1627" s="35"/>
      <c r="Q1627" s="35"/>
      <c r="R1627" s="35"/>
      <c r="S1627" s="35"/>
      <c r="T1627" s="35"/>
      <c r="U1627" s="35"/>
      <c r="V1627" s="35"/>
      <c r="W1627" s="35"/>
      <c r="X1627" s="35"/>
      <c r="Y1627" s="35"/>
      <c r="Z1627" s="35"/>
      <c r="AA1627" s="35"/>
      <c r="AB1627" s="35"/>
    </row>
    <row r="1628" ht="15.75" customHeight="1">
      <c r="A1628" s="35" t="s">
        <v>8872</v>
      </c>
      <c r="B1628" s="35">
        <v>1.0</v>
      </c>
      <c r="C1628" s="35"/>
      <c r="D1628" s="35"/>
      <c r="E1628" s="35"/>
      <c r="F1628" s="35"/>
      <c r="G1628" s="35"/>
      <c r="H1628" s="35"/>
      <c r="I1628" s="35"/>
      <c r="J1628" s="35"/>
      <c r="K1628" s="35"/>
      <c r="L1628" s="35"/>
      <c r="M1628" s="35"/>
      <c r="N1628" s="35"/>
      <c r="O1628" s="35"/>
      <c r="P1628" s="35"/>
      <c r="Q1628" s="35"/>
      <c r="R1628" s="35"/>
      <c r="S1628" s="35"/>
      <c r="T1628" s="35"/>
      <c r="U1628" s="35"/>
      <c r="V1628" s="35"/>
      <c r="W1628" s="35"/>
      <c r="X1628" s="35"/>
      <c r="Y1628" s="35"/>
      <c r="Z1628" s="35"/>
      <c r="AA1628" s="35"/>
      <c r="AB1628" s="35"/>
    </row>
    <row r="1629" ht="15.75" customHeight="1">
      <c r="A1629" s="35" t="s">
        <v>8875</v>
      </c>
      <c r="B1629" s="35">
        <v>1.0</v>
      </c>
      <c r="C1629" s="35"/>
      <c r="D1629" s="35"/>
      <c r="E1629" s="35"/>
      <c r="F1629" s="35"/>
      <c r="G1629" s="35"/>
      <c r="H1629" s="35"/>
      <c r="I1629" s="35"/>
      <c r="J1629" s="35"/>
      <c r="K1629" s="35"/>
      <c r="L1629" s="35"/>
      <c r="M1629" s="35"/>
      <c r="N1629" s="35"/>
      <c r="O1629" s="35"/>
      <c r="P1629" s="35"/>
      <c r="Q1629" s="35"/>
      <c r="R1629" s="35"/>
      <c r="S1629" s="35"/>
      <c r="T1629" s="35"/>
      <c r="U1629" s="35"/>
      <c r="V1629" s="35"/>
      <c r="W1629" s="35"/>
      <c r="X1629" s="35"/>
      <c r="Y1629" s="35"/>
      <c r="Z1629" s="35"/>
      <c r="AA1629" s="35"/>
      <c r="AB1629" s="35"/>
    </row>
    <row r="1630" ht="15.75" customHeight="1">
      <c r="A1630" s="35" t="s">
        <v>8879</v>
      </c>
      <c r="B1630" s="35">
        <v>1.0</v>
      </c>
      <c r="C1630" s="35"/>
      <c r="D1630" s="35"/>
      <c r="E1630" s="35"/>
      <c r="F1630" s="35"/>
      <c r="G1630" s="35"/>
      <c r="H1630" s="35"/>
      <c r="I1630" s="35"/>
      <c r="J1630" s="35"/>
      <c r="K1630" s="35"/>
      <c r="L1630" s="35"/>
      <c r="M1630" s="35"/>
      <c r="N1630" s="35"/>
      <c r="O1630" s="35"/>
      <c r="P1630" s="35"/>
      <c r="Q1630" s="35"/>
      <c r="R1630" s="35"/>
      <c r="S1630" s="35"/>
      <c r="T1630" s="35"/>
      <c r="U1630" s="35"/>
      <c r="V1630" s="35"/>
      <c r="W1630" s="35"/>
      <c r="X1630" s="35"/>
      <c r="Y1630" s="35"/>
      <c r="Z1630" s="35"/>
      <c r="AA1630" s="35"/>
      <c r="AB1630" s="35"/>
    </row>
    <row r="1631" ht="15.75" customHeight="1">
      <c r="A1631" s="35" t="s">
        <v>8882</v>
      </c>
      <c r="B1631" s="35">
        <v>1.0</v>
      </c>
      <c r="C1631" s="35"/>
      <c r="D1631" s="35"/>
      <c r="E1631" s="35"/>
      <c r="F1631" s="35"/>
      <c r="G1631" s="35"/>
      <c r="H1631" s="35"/>
      <c r="I1631" s="35"/>
      <c r="J1631" s="35"/>
      <c r="K1631" s="35"/>
      <c r="L1631" s="35"/>
      <c r="M1631" s="35"/>
      <c r="N1631" s="35"/>
      <c r="O1631" s="35"/>
      <c r="P1631" s="35"/>
      <c r="Q1631" s="35"/>
      <c r="R1631" s="35"/>
      <c r="S1631" s="35"/>
      <c r="T1631" s="35"/>
      <c r="U1631" s="35"/>
      <c r="V1631" s="35"/>
      <c r="W1631" s="35"/>
      <c r="X1631" s="35"/>
      <c r="Y1631" s="35"/>
      <c r="Z1631" s="35"/>
      <c r="AA1631" s="35"/>
      <c r="AB1631" s="35"/>
    </row>
    <row r="1632" ht="15.75" customHeight="1">
      <c r="A1632" s="35" t="s">
        <v>8886</v>
      </c>
      <c r="B1632" s="35">
        <v>1.0</v>
      </c>
      <c r="C1632" s="35"/>
      <c r="D1632" s="35"/>
      <c r="E1632" s="35"/>
      <c r="F1632" s="35"/>
      <c r="G1632" s="35"/>
      <c r="H1632" s="35"/>
      <c r="I1632" s="35"/>
      <c r="J1632" s="35"/>
      <c r="K1632" s="35"/>
      <c r="L1632" s="35"/>
      <c r="M1632" s="35"/>
      <c r="N1632" s="35"/>
      <c r="O1632" s="35"/>
      <c r="P1632" s="35"/>
      <c r="Q1632" s="35"/>
      <c r="R1632" s="35"/>
      <c r="S1632" s="35"/>
      <c r="T1632" s="35"/>
      <c r="U1632" s="35"/>
      <c r="V1632" s="35"/>
      <c r="W1632" s="35"/>
      <c r="X1632" s="35"/>
      <c r="Y1632" s="35"/>
      <c r="Z1632" s="35"/>
      <c r="AA1632" s="35"/>
      <c r="AB1632" s="35"/>
    </row>
    <row r="1633" ht="15.75" customHeight="1">
      <c r="A1633" s="35" t="s">
        <v>8890</v>
      </c>
      <c r="B1633" s="35">
        <v>1.0</v>
      </c>
      <c r="C1633" s="35"/>
      <c r="D1633" s="35"/>
      <c r="E1633" s="35"/>
      <c r="F1633" s="35"/>
      <c r="G1633" s="35"/>
      <c r="H1633" s="35"/>
      <c r="I1633" s="35"/>
      <c r="J1633" s="35"/>
      <c r="K1633" s="35"/>
      <c r="L1633" s="35"/>
      <c r="M1633" s="35"/>
      <c r="N1633" s="35"/>
      <c r="O1633" s="35"/>
      <c r="P1633" s="35"/>
      <c r="Q1633" s="35"/>
      <c r="R1633" s="35"/>
      <c r="S1633" s="35"/>
      <c r="T1633" s="35"/>
      <c r="U1633" s="35"/>
      <c r="V1633" s="35"/>
      <c r="W1633" s="35"/>
      <c r="X1633" s="35"/>
      <c r="Y1633" s="35"/>
      <c r="Z1633" s="35"/>
      <c r="AA1633" s="35"/>
      <c r="AB1633" s="35"/>
    </row>
    <row r="1634" ht="15.75" customHeight="1">
      <c r="A1634" s="35" t="s">
        <v>8894</v>
      </c>
      <c r="B1634" s="35">
        <v>1.0</v>
      </c>
      <c r="C1634" s="35"/>
      <c r="D1634" s="35"/>
      <c r="E1634" s="35"/>
      <c r="F1634" s="35"/>
      <c r="G1634" s="35"/>
      <c r="H1634" s="35"/>
      <c r="I1634" s="35"/>
      <c r="J1634" s="35"/>
      <c r="K1634" s="35"/>
      <c r="L1634" s="35"/>
      <c r="M1634" s="35"/>
      <c r="N1634" s="35"/>
      <c r="O1634" s="35"/>
      <c r="P1634" s="35"/>
      <c r="Q1634" s="35"/>
      <c r="R1634" s="35"/>
      <c r="S1634" s="35"/>
      <c r="T1634" s="35"/>
      <c r="U1634" s="35"/>
      <c r="V1634" s="35"/>
      <c r="W1634" s="35"/>
      <c r="X1634" s="35"/>
      <c r="Y1634" s="35"/>
      <c r="Z1634" s="35"/>
      <c r="AA1634" s="35"/>
      <c r="AB1634" s="35"/>
    </row>
    <row r="1635" ht="15.75" customHeight="1">
      <c r="A1635" s="35" t="s">
        <v>8897</v>
      </c>
      <c r="B1635" s="35">
        <v>1.0</v>
      </c>
      <c r="C1635" s="35"/>
      <c r="D1635" s="35"/>
      <c r="E1635" s="35"/>
      <c r="F1635" s="35"/>
      <c r="G1635" s="35"/>
      <c r="H1635" s="35"/>
      <c r="I1635" s="35"/>
      <c r="J1635" s="35"/>
      <c r="K1635" s="35"/>
      <c r="L1635" s="35"/>
      <c r="M1635" s="35"/>
      <c r="N1635" s="35"/>
      <c r="O1635" s="35"/>
      <c r="P1635" s="35"/>
      <c r="Q1635" s="35"/>
      <c r="R1635" s="35"/>
      <c r="S1635" s="35"/>
      <c r="T1635" s="35"/>
      <c r="U1635" s="35"/>
      <c r="V1635" s="35"/>
      <c r="W1635" s="35"/>
      <c r="X1635" s="35"/>
      <c r="Y1635" s="35"/>
      <c r="Z1635" s="35"/>
      <c r="AA1635" s="35"/>
      <c r="AB1635" s="35"/>
    </row>
    <row r="1636" ht="15.75" customHeight="1">
      <c r="A1636" s="35" t="s">
        <v>8900</v>
      </c>
      <c r="B1636" s="35">
        <v>1.0</v>
      </c>
      <c r="C1636" s="35"/>
      <c r="D1636" s="35"/>
      <c r="E1636" s="35"/>
      <c r="F1636" s="35"/>
      <c r="G1636" s="35"/>
      <c r="H1636" s="35"/>
      <c r="I1636" s="35"/>
      <c r="J1636" s="35"/>
      <c r="K1636" s="35"/>
      <c r="L1636" s="35"/>
      <c r="M1636" s="35"/>
      <c r="N1636" s="35"/>
      <c r="O1636" s="35"/>
      <c r="P1636" s="35"/>
      <c r="Q1636" s="35"/>
      <c r="R1636" s="35"/>
      <c r="S1636" s="35"/>
      <c r="T1636" s="35"/>
      <c r="U1636" s="35"/>
      <c r="V1636" s="35"/>
      <c r="W1636" s="35"/>
      <c r="X1636" s="35"/>
      <c r="Y1636" s="35"/>
      <c r="Z1636" s="35"/>
      <c r="AA1636" s="35"/>
      <c r="AB1636" s="35"/>
    </row>
    <row r="1637" ht="15.75" customHeight="1">
      <c r="A1637" s="35" t="s">
        <v>8904</v>
      </c>
      <c r="B1637" s="35">
        <v>1.0</v>
      </c>
      <c r="C1637" s="35"/>
      <c r="D1637" s="35"/>
      <c r="E1637" s="35"/>
      <c r="F1637" s="35"/>
      <c r="G1637" s="35"/>
      <c r="H1637" s="35"/>
      <c r="I1637" s="35"/>
      <c r="J1637" s="35"/>
      <c r="K1637" s="35"/>
      <c r="L1637" s="35"/>
      <c r="M1637" s="35"/>
      <c r="N1637" s="35"/>
      <c r="O1637" s="35"/>
      <c r="P1637" s="35"/>
      <c r="Q1637" s="35"/>
      <c r="R1637" s="35"/>
      <c r="S1637" s="35"/>
      <c r="T1637" s="35"/>
      <c r="U1637" s="35"/>
      <c r="V1637" s="35"/>
      <c r="W1637" s="35"/>
      <c r="X1637" s="35"/>
      <c r="Y1637" s="35"/>
      <c r="Z1637" s="35"/>
      <c r="AA1637" s="35"/>
      <c r="AB1637" s="35"/>
    </row>
    <row r="1638" ht="15.75" customHeight="1">
      <c r="A1638" s="35" t="s">
        <v>8907</v>
      </c>
      <c r="B1638" s="35">
        <v>1.0</v>
      </c>
      <c r="C1638" s="35"/>
      <c r="D1638" s="35"/>
      <c r="E1638" s="35"/>
      <c r="F1638" s="35"/>
      <c r="G1638" s="35"/>
      <c r="H1638" s="35"/>
      <c r="I1638" s="35"/>
      <c r="J1638" s="35"/>
      <c r="K1638" s="35"/>
      <c r="L1638" s="35"/>
      <c r="M1638" s="35"/>
      <c r="N1638" s="35"/>
      <c r="O1638" s="35"/>
      <c r="P1638" s="35"/>
      <c r="Q1638" s="35"/>
      <c r="R1638" s="35"/>
      <c r="S1638" s="35"/>
      <c r="T1638" s="35"/>
      <c r="U1638" s="35"/>
      <c r="V1638" s="35"/>
      <c r="W1638" s="35"/>
      <c r="X1638" s="35"/>
      <c r="Y1638" s="35"/>
      <c r="Z1638" s="35"/>
      <c r="AA1638" s="35"/>
      <c r="AB1638" s="35"/>
    </row>
    <row r="1639" ht="15.75" customHeight="1">
      <c r="A1639" s="35" t="s">
        <v>8910</v>
      </c>
      <c r="B1639" s="35">
        <v>1.0</v>
      </c>
      <c r="C1639" s="35"/>
      <c r="D1639" s="35"/>
      <c r="E1639" s="35"/>
      <c r="F1639" s="35"/>
      <c r="G1639" s="35"/>
      <c r="H1639" s="35"/>
      <c r="I1639" s="35"/>
      <c r="J1639" s="35"/>
      <c r="K1639" s="35"/>
      <c r="L1639" s="35"/>
      <c r="M1639" s="35"/>
      <c r="N1639" s="35"/>
      <c r="O1639" s="35"/>
      <c r="P1639" s="35"/>
      <c r="Q1639" s="35"/>
      <c r="R1639" s="35"/>
      <c r="S1639" s="35"/>
      <c r="T1639" s="35"/>
      <c r="U1639" s="35"/>
      <c r="V1639" s="35"/>
      <c r="W1639" s="35"/>
      <c r="X1639" s="35"/>
      <c r="Y1639" s="35"/>
      <c r="Z1639" s="35"/>
      <c r="AA1639" s="35"/>
      <c r="AB1639" s="35"/>
    </row>
    <row r="1640" ht="15.75" customHeight="1">
      <c r="A1640" s="35" t="s">
        <v>8913</v>
      </c>
      <c r="B1640" s="35">
        <v>1.0</v>
      </c>
      <c r="C1640" s="35"/>
      <c r="D1640" s="35"/>
      <c r="E1640" s="35"/>
      <c r="F1640" s="35"/>
      <c r="G1640" s="35"/>
      <c r="H1640" s="35"/>
      <c r="I1640" s="35"/>
      <c r="J1640" s="35"/>
      <c r="K1640" s="35"/>
      <c r="L1640" s="35"/>
      <c r="M1640" s="35"/>
      <c r="N1640" s="35"/>
      <c r="O1640" s="35"/>
      <c r="P1640" s="35"/>
      <c r="Q1640" s="35"/>
      <c r="R1640" s="35"/>
      <c r="S1640" s="35"/>
      <c r="T1640" s="35"/>
      <c r="U1640" s="35"/>
      <c r="V1640" s="35"/>
      <c r="W1640" s="35"/>
      <c r="X1640" s="35"/>
      <c r="Y1640" s="35"/>
      <c r="Z1640" s="35"/>
      <c r="AA1640" s="35"/>
      <c r="AB1640" s="35"/>
    </row>
    <row r="1641" ht="15.75" customHeight="1">
      <c r="A1641" s="35" t="s">
        <v>8917</v>
      </c>
      <c r="B1641" s="35">
        <v>1.0</v>
      </c>
      <c r="C1641" s="35"/>
      <c r="D1641" s="35"/>
      <c r="E1641" s="35"/>
      <c r="F1641" s="35"/>
      <c r="G1641" s="35"/>
      <c r="H1641" s="35"/>
      <c r="I1641" s="35"/>
      <c r="J1641" s="35"/>
      <c r="K1641" s="35"/>
      <c r="L1641" s="35"/>
      <c r="M1641" s="35"/>
      <c r="N1641" s="35"/>
      <c r="O1641" s="35"/>
      <c r="P1641" s="35"/>
      <c r="Q1641" s="35"/>
      <c r="R1641" s="35"/>
      <c r="S1641" s="35"/>
      <c r="T1641" s="35"/>
      <c r="U1641" s="35"/>
      <c r="V1641" s="35"/>
      <c r="W1641" s="35"/>
      <c r="X1641" s="35"/>
      <c r="Y1641" s="35"/>
      <c r="Z1641" s="35"/>
      <c r="AA1641" s="35"/>
      <c r="AB1641" s="35"/>
    </row>
    <row r="1642" ht="15.75" customHeight="1">
      <c r="A1642" s="35" t="s">
        <v>8920</v>
      </c>
      <c r="B1642" s="35">
        <v>1.0</v>
      </c>
      <c r="C1642" s="35"/>
      <c r="D1642" s="35"/>
      <c r="E1642" s="35"/>
      <c r="F1642" s="35"/>
      <c r="G1642" s="35"/>
      <c r="H1642" s="35"/>
      <c r="I1642" s="35"/>
      <c r="J1642" s="35"/>
      <c r="K1642" s="35"/>
      <c r="L1642" s="35"/>
      <c r="M1642" s="35"/>
      <c r="N1642" s="35"/>
      <c r="O1642" s="35"/>
      <c r="P1642" s="35"/>
      <c r="Q1642" s="35"/>
      <c r="R1642" s="35"/>
      <c r="S1642" s="35"/>
      <c r="T1642" s="35"/>
      <c r="U1642" s="35"/>
      <c r="V1642" s="35"/>
      <c r="W1642" s="35"/>
      <c r="X1642" s="35"/>
      <c r="Y1642" s="35"/>
      <c r="Z1642" s="35"/>
      <c r="AA1642" s="35"/>
      <c r="AB1642" s="35"/>
    </row>
    <row r="1643" ht="15.75" customHeight="1">
      <c r="A1643" s="35" t="s">
        <v>8923</v>
      </c>
      <c r="B1643" s="35">
        <v>1.0</v>
      </c>
      <c r="C1643" s="35"/>
      <c r="D1643" s="35"/>
      <c r="E1643" s="35"/>
      <c r="F1643" s="35"/>
      <c r="G1643" s="35"/>
      <c r="H1643" s="35"/>
      <c r="I1643" s="35"/>
      <c r="J1643" s="35"/>
      <c r="K1643" s="35"/>
      <c r="L1643" s="35"/>
      <c r="M1643" s="35"/>
      <c r="N1643" s="35"/>
      <c r="O1643" s="35"/>
      <c r="P1643" s="35"/>
      <c r="Q1643" s="35"/>
      <c r="R1643" s="35"/>
      <c r="S1643" s="35"/>
      <c r="T1643" s="35"/>
      <c r="U1643" s="35"/>
      <c r="V1643" s="35"/>
      <c r="W1643" s="35"/>
      <c r="X1643" s="35"/>
      <c r="Y1643" s="35"/>
      <c r="Z1643" s="35"/>
      <c r="AA1643" s="35"/>
      <c r="AB1643" s="35"/>
    </row>
    <row r="1644" ht="15.75" customHeight="1">
      <c r="A1644" s="35" t="s">
        <v>8926</v>
      </c>
      <c r="B1644" s="35">
        <v>1.0</v>
      </c>
      <c r="C1644" s="35"/>
      <c r="D1644" s="35"/>
      <c r="E1644" s="35"/>
      <c r="F1644" s="35"/>
      <c r="G1644" s="35"/>
      <c r="H1644" s="35"/>
      <c r="I1644" s="35"/>
      <c r="J1644" s="35"/>
      <c r="K1644" s="35"/>
      <c r="L1644" s="35"/>
      <c r="M1644" s="35"/>
      <c r="N1644" s="35"/>
      <c r="O1644" s="35"/>
      <c r="P1644" s="35"/>
      <c r="Q1644" s="35"/>
      <c r="R1644" s="35"/>
      <c r="S1644" s="35"/>
      <c r="T1644" s="35"/>
      <c r="U1644" s="35"/>
      <c r="V1644" s="35"/>
      <c r="W1644" s="35"/>
      <c r="X1644" s="35"/>
      <c r="Y1644" s="35"/>
      <c r="Z1644" s="35"/>
      <c r="AA1644" s="35"/>
      <c r="AB1644" s="35"/>
    </row>
    <row r="1645" ht="15.75" customHeight="1">
      <c r="A1645" s="35" t="s">
        <v>8929</v>
      </c>
      <c r="B1645" s="35">
        <v>1.0</v>
      </c>
      <c r="C1645" s="35"/>
      <c r="D1645" s="35"/>
      <c r="E1645" s="35"/>
      <c r="F1645" s="35"/>
      <c r="G1645" s="35"/>
      <c r="H1645" s="35"/>
      <c r="I1645" s="35"/>
      <c r="J1645" s="35"/>
      <c r="K1645" s="35"/>
      <c r="L1645" s="35"/>
      <c r="M1645" s="35"/>
      <c r="N1645" s="35"/>
      <c r="O1645" s="35"/>
      <c r="P1645" s="35"/>
      <c r="Q1645" s="35"/>
      <c r="R1645" s="35"/>
      <c r="S1645" s="35"/>
      <c r="T1645" s="35"/>
      <c r="U1645" s="35"/>
      <c r="V1645" s="35"/>
      <c r="W1645" s="35"/>
      <c r="X1645" s="35"/>
      <c r="Y1645" s="35"/>
      <c r="Z1645" s="35"/>
      <c r="AA1645" s="35"/>
      <c r="AB1645" s="35"/>
    </row>
    <row r="1646" ht="15.75" customHeight="1">
      <c r="A1646" s="35" t="s">
        <v>8933</v>
      </c>
      <c r="B1646" s="35">
        <v>1.0</v>
      </c>
      <c r="C1646" s="35"/>
      <c r="D1646" s="35"/>
      <c r="E1646" s="35"/>
      <c r="F1646" s="35"/>
      <c r="G1646" s="35"/>
      <c r="H1646" s="35"/>
      <c r="I1646" s="35"/>
      <c r="J1646" s="35"/>
      <c r="K1646" s="35"/>
      <c r="L1646" s="35"/>
      <c r="M1646" s="35"/>
      <c r="N1646" s="35"/>
      <c r="O1646" s="35"/>
      <c r="P1646" s="35"/>
      <c r="Q1646" s="35"/>
      <c r="R1646" s="35"/>
      <c r="S1646" s="35"/>
      <c r="T1646" s="35"/>
      <c r="U1646" s="35"/>
      <c r="V1646" s="35"/>
      <c r="W1646" s="35"/>
      <c r="X1646" s="35"/>
      <c r="Y1646" s="35"/>
      <c r="Z1646" s="35"/>
      <c r="AA1646" s="35"/>
      <c r="AB1646" s="35"/>
    </row>
    <row r="1647" ht="15.75" customHeight="1">
      <c r="A1647" s="35" t="s">
        <v>8936</v>
      </c>
      <c r="B1647" s="35">
        <v>1.0</v>
      </c>
      <c r="C1647" s="35"/>
      <c r="D1647" s="35"/>
      <c r="E1647" s="35"/>
      <c r="F1647" s="35"/>
      <c r="G1647" s="35"/>
      <c r="H1647" s="35"/>
      <c r="I1647" s="35"/>
      <c r="J1647" s="35"/>
      <c r="K1647" s="35"/>
      <c r="L1647" s="35"/>
      <c r="M1647" s="35"/>
      <c r="N1647" s="35"/>
      <c r="O1647" s="35"/>
      <c r="P1647" s="35"/>
      <c r="Q1647" s="35"/>
      <c r="R1647" s="35"/>
      <c r="S1647" s="35"/>
      <c r="T1647" s="35"/>
      <c r="U1647" s="35"/>
      <c r="V1647" s="35"/>
      <c r="W1647" s="35"/>
      <c r="X1647" s="35"/>
      <c r="Y1647" s="35"/>
      <c r="Z1647" s="35"/>
      <c r="AA1647" s="35"/>
      <c r="AB1647" s="35"/>
    </row>
    <row r="1648" ht="15.75" customHeight="1">
      <c r="A1648" s="35" t="s">
        <v>8939</v>
      </c>
      <c r="B1648" s="35">
        <v>1.0</v>
      </c>
      <c r="C1648" s="35"/>
      <c r="D1648" s="35"/>
      <c r="E1648" s="35"/>
      <c r="F1648" s="35"/>
      <c r="G1648" s="35"/>
      <c r="H1648" s="35"/>
      <c r="I1648" s="35"/>
      <c r="J1648" s="35"/>
      <c r="K1648" s="35"/>
      <c r="L1648" s="35"/>
      <c r="M1648" s="35"/>
      <c r="N1648" s="35"/>
      <c r="O1648" s="35"/>
      <c r="P1648" s="35"/>
      <c r="Q1648" s="35"/>
      <c r="R1648" s="35"/>
      <c r="S1648" s="35"/>
      <c r="T1648" s="35"/>
      <c r="U1648" s="35"/>
      <c r="V1648" s="35"/>
      <c r="W1648" s="35"/>
      <c r="X1648" s="35"/>
      <c r="Y1648" s="35"/>
      <c r="Z1648" s="35"/>
      <c r="AA1648" s="35"/>
      <c r="AB1648" s="35"/>
    </row>
    <row r="1649" ht="15.75" customHeight="1">
      <c r="A1649" s="35" t="s">
        <v>8942</v>
      </c>
      <c r="B1649" s="35">
        <v>1.0</v>
      </c>
      <c r="C1649" s="35"/>
      <c r="D1649" s="35"/>
      <c r="E1649" s="35"/>
      <c r="F1649" s="35"/>
      <c r="G1649" s="35"/>
      <c r="H1649" s="35"/>
      <c r="I1649" s="35"/>
      <c r="J1649" s="35"/>
      <c r="K1649" s="35"/>
      <c r="L1649" s="35"/>
      <c r="M1649" s="35"/>
      <c r="N1649" s="35"/>
      <c r="O1649" s="35"/>
      <c r="P1649" s="35"/>
      <c r="Q1649" s="35"/>
      <c r="R1649" s="35"/>
      <c r="S1649" s="35"/>
      <c r="T1649" s="35"/>
      <c r="U1649" s="35"/>
      <c r="V1649" s="35"/>
      <c r="W1649" s="35"/>
      <c r="X1649" s="35"/>
      <c r="Y1649" s="35"/>
      <c r="Z1649" s="35"/>
      <c r="AA1649" s="35"/>
      <c r="AB1649" s="35"/>
    </row>
    <row r="1650" ht="15.75" customHeight="1">
      <c r="A1650" s="35" t="s">
        <v>8946</v>
      </c>
      <c r="B1650" s="35">
        <v>1.0</v>
      </c>
      <c r="C1650" s="35"/>
      <c r="D1650" s="35"/>
      <c r="E1650" s="35"/>
      <c r="F1650" s="35"/>
      <c r="G1650" s="35"/>
      <c r="H1650" s="35"/>
      <c r="I1650" s="35"/>
      <c r="J1650" s="35"/>
      <c r="K1650" s="35"/>
      <c r="L1650" s="35"/>
      <c r="M1650" s="35"/>
      <c r="N1650" s="35"/>
      <c r="O1650" s="35"/>
      <c r="P1650" s="35"/>
      <c r="Q1650" s="35"/>
      <c r="R1650" s="35"/>
      <c r="S1650" s="35"/>
      <c r="T1650" s="35"/>
      <c r="U1650" s="35"/>
      <c r="V1650" s="35"/>
      <c r="W1650" s="35"/>
      <c r="X1650" s="35"/>
      <c r="Y1650" s="35"/>
      <c r="Z1650" s="35"/>
      <c r="AA1650" s="35"/>
      <c r="AB1650" s="35"/>
    </row>
    <row r="1651" ht="15.75" customHeight="1">
      <c r="A1651" s="35" t="s">
        <v>8949</v>
      </c>
      <c r="B1651" s="35">
        <v>1.0</v>
      </c>
      <c r="C1651" s="35"/>
      <c r="D1651" s="35"/>
      <c r="E1651" s="35"/>
      <c r="F1651" s="35"/>
      <c r="G1651" s="35"/>
      <c r="H1651" s="35"/>
      <c r="I1651" s="35"/>
      <c r="J1651" s="35"/>
      <c r="K1651" s="35"/>
      <c r="L1651" s="35"/>
      <c r="M1651" s="35"/>
      <c r="N1651" s="35"/>
      <c r="O1651" s="35"/>
      <c r="P1651" s="35"/>
      <c r="Q1651" s="35"/>
      <c r="R1651" s="35"/>
      <c r="S1651" s="35"/>
      <c r="T1651" s="35"/>
      <c r="U1651" s="35"/>
      <c r="V1651" s="35"/>
      <c r="W1651" s="35"/>
      <c r="X1651" s="35"/>
      <c r="Y1651" s="35"/>
      <c r="Z1651" s="35"/>
      <c r="AA1651" s="35"/>
      <c r="AB1651" s="35"/>
    </row>
    <row r="1652" ht="15.75" customHeight="1">
      <c r="A1652" s="35" t="s">
        <v>8952</v>
      </c>
      <c r="B1652" s="35">
        <v>1.0</v>
      </c>
      <c r="C1652" s="35"/>
      <c r="D1652" s="35"/>
      <c r="E1652" s="35"/>
      <c r="F1652" s="35"/>
      <c r="G1652" s="35"/>
      <c r="H1652" s="35"/>
      <c r="I1652" s="35"/>
      <c r="J1652" s="35"/>
      <c r="K1652" s="35"/>
      <c r="L1652" s="35"/>
      <c r="M1652" s="35"/>
      <c r="N1652" s="35"/>
      <c r="O1652" s="35"/>
      <c r="P1652" s="35"/>
      <c r="Q1652" s="35"/>
      <c r="R1652" s="35"/>
      <c r="S1652" s="35"/>
      <c r="T1652" s="35"/>
      <c r="U1652" s="35"/>
      <c r="V1652" s="35"/>
      <c r="W1652" s="35"/>
      <c r="X1652" s="35"/>
      <c r="Y1652" s="35"/>
      <c r="Z1652" s="35"/>
      <c r="AA1652" s="35"/>
      <c r="AB1652" s="35"/>
    </row>
    <row r="1653" ht="15.75" customHeight="1">
      <c r="A1653" s="35" t="s">
        <v>8955</v>
      </c>
      <c r="B1653" s="35">
        <v>1.0</v>
      </c>
      <c r="C1653" s="35"/>
      <c r="D1653" s="35"/>
      <c r="E1653" s="35"/>
      <c r="F1653" s="35"/>
      <c r="G1653" s="35"/>
      <c r="H1653" s="35"/>
      <c r="I1653" s="35"/>
      <c r="J1653" s="35"/>
      <c r="K1653" s="35"/>
      <c r="L1653" s="35"/>
      <c r="M1653" s="35"/>
      <c r="N1653" s="35"/>
      <c r="O1653" s="35"/>
      <c r="P1653" s="35"/>
      <c r="Q1653" s="35"/>
      <c r="R1653" s="35"/>
      <c r="S1653" s="35"/>
      <c r="T1653" s="35"/>
      <c r="U1653" s="35"/>
      <c r="V1653" s="35"/>
      <c r="W1653" s="35"/>
      <c r="X1653" s="35"/>
      <c r="Y1653" s="35"/>
      <c r="Z1653" s="35"/>
      <c r="AA1653" s="35"/>
      <c r="AB1653" s="35"/>
    </row>
    <row r="1654" ht="15.75" customHeight="1">
      <c r="A1654" s="35" t="s">
        <v>8959</v>
      </c>
      <c r="B1654" s="35">
        <v>1.0</v>
      </c>
      <c r="C1654" s="35"/>
      <c r="D1654" s="35"/>
      <c r="E1654" s="35"/>
      <c r="F1654" s="35"/>
      <c r="G1654" s="35"/>
      <c r="H1654" s="35"/>
      <c r="I1654" s="35"/>
      <c r="J1654" s="35"/>
      <c r="K1654" s="35"/>
      <c r="L1654" s="35"/>
      <c r="M1654" s="35"/>
      <c r="N1654" s="35"/>
      <c r="O1654" s="35"/>
      <c r="P1654" s="35"/>
      <c r="Q1654" s="35"/>
      <c r="R1654" s="35"/>
      <c r="S1654" s="35"/>
      <c r="T1654" s="35"/>
      <c r="U1654" s="35"/>
      <c r="V1654" s="35"/>
      <c r="W1654" s="35"/>
      <c r="X1654" s="35"/>
      <c r="Y1654" s="35"/>
      <c r="Z1654" s="35"/>
      <c r="AA1654" s="35"/>
      <c r="AB1654" s="35"/>
    </row>
    <row r="1655" ht="15.75" customHeight="1">
      <c r="A1655" s="35" t="s">
        <v>8962</v>
      </c>
      <c r="B1655" s="35">
        <v>1.0</v>
      </c>
      <c r="C1655" s="35"/>
      <c r="D1655" s="35"/>
      <c r="E1655" s="35"/>
      <c r="F1655" s="35"/>
      <c r="G1655" s="35"/>
      <c r="H1655" s="35"/>
      <c r="I1655" s="35"/>
      <c r="J1655" s="35"/>
      <c r="K1655" s="35"/>
      <c r="L1655" s="35"/>
      <c r="M1655" s="35"/>
      <c r="N1655" s="35"/>
      <c r="O1655" s="35"/>
      <c r="P1655" s="35"/>
      <c r="Q1655" s="35"/>
      <c r="R1655" s="35"/>
      <c r="S1655" s="35"/>
      <c r="T1655" s="35"/>
      <c r="U1655" s="35"/>
      <c r="V1655" s="35"/>
      <c r="W1655" s="35"/>
      <c r="X1655" s="35"/>
      <c r="Y1655" s="35"/>
      <c r="Z1655" s="35"/>
      <c r="AA1655" s="35"/>
      <c r="AB1655" s="35"/>
    </row>
    <row r="1656" ht="15.75" customHeight="1">
      <c r="A1656" s="35" t="s">
        <v>8965</v>
      </c>
      <c r="B1656" s="35">
        <v>1.0</v>
      </c>
      <c r="C1656" s="35"/>
      <c r="D1656" s="35"/>
      <c r="E1656" s="35"/>
      <c r="F1656" s="35"/>
      <c r="G1656" s="35"/>
      <c r="H1656" s="35"/>
      <c r="I1656" s="35"/>
      <c r="J1656" s="35"/>
      <c r="K1656" s="35"/>
      <c r="L1656" s="35"/>
      <c r="M1656" s="35"/>
      <c r="N1656" s="35"/>
      <c r="O1656" s="35"/>
      <c r="P1656" s="35"/>
      <c r="Q1656" s="35"/>
      <c r="R1656" s="35"/>
      <c r="S1656" s="35"/>
      <c r="T1656" s="35"/>
      <c r="U1656" s="35"/>
      <c r="V1656" s="35"/>
      <c r="W1656" s="35"/>
      <c r="X1656" s="35"/>
      <c r="Y1656" s="35"/>
      <c r="Z1656" s="35"/>
      <c r="AA1656" s="35"/>
      <c r="AB1656" s="35"/>
    </row>
    <row r="1657" ht="15.75" customHeight="1">
      <c r="A1657" s="35" t="s">
        <v>8968</v>
      </c>
      <c r="B1657" s="35">
        <v>1.0</v>
      </c>
      <c r="C1657" s="35"/>
      <c r="D1657" s="35"/>
      <c r="E1657" s="35"/>
      <c r="F1657" s="35"/>
      <c r="G1657" s="35"/>
      <c r="H1657" s="35"/>
      <c r="I1657" s="35"/>
      <c r="J1657" s="35"/>
      <c r="K1657" s="35"/>
      <c r="L1657" s="35"/>
      <c r="M1657" s="35"/>
      <c r="N1657" s="35"/>
      <c r="O1657" s="35"/>
      <c r="P1657" s="35"/>
      <c r="Q1657" s="35"/>
      <c r="R1657" s="35"/>
      <c r="S1657" s="35"/>
      <c r="T1657" s="35"/>
      <c r="U1657" s="35"/>
      <c r="V1657" s="35"/>
      <c r="W1657" s="35"/>
      <c r="X1657" s="35"/>
      <c r="Y1657" s="35"/>
      <c r="Z1657" s="35"/>
      <c r="AA1657" s="35"/>
      <c r="AB1657" s="35"/>
    </row>
    <row r="1658" ht="15.75" customHeight="1">
      <c r="A1658" s="35" t="s">
        <v>8972</v>
      </c>
      <c r="B1658" s="35">
        <v>1.0</v>
      </c>
      <c r="C1658" s="35"/>
      <c r="D1658" s="35"/>
      <c r="E1658" s="35"/>
      <c r="F1658" s="35"/>
      <c r="G1658" s="35"/>
      <c r="H1658" s="35"/>
      <c r="I1658" s="35"/>
      <c r="J1658" s="35"/>
      <c r="K1658" s="35"/>
      <c r="L1658" s="35"/>
      <c r="M1658" s="35"/>
      <c r="N1658" s="35"/>
      <c r="O1658" s="35"/>
      <c r="P1658" s="35"/>
      <c r="Q1658" s="35"/>
      <c r="R1658" s="35"/>
      <c r="S1658" s="35"/>
      <c r="T1658" s="35"/>
      <c r="U1658" s="35"/>
      <c r="V1658" s="35"/>
      <c r="W1658" s="35"/>
      <c r="X1658" s="35"/>
      <c r="Y1658" s="35"/>
      <c r="Z1658" s="35"/>
      <c r="AA1658" s="35"/>
      <c r="AB1658" s="35"/>
    </row>
    <row r="1659" ht="15.75" customHeight="1">
      <c r="A1659" s="35" t="s">
        <v>8975</v>
      </c>
      <c r="B1659" s="35">
        <v>1.0</v>
      </c>
      <c r="C1659" s="35"/>
      <c r="D1659" s="35"/>
      <c r="E1659" s="35"/>
      <c r="F1659" s="35"/>
      <c r="G1659" s="35"/>
      <c r="H1659" s="35"/>
      <c r="I1659" s="35"/>
      <c r="J1659" s="35"/>
      <c r="K1659" s="35"/>
      <c r="L1659" s="35"/>
      <c r="M1659" s="35"/>
      <c r="N1659" s="35"/>
      <c r="O1659" s="35"/>
      <c r="P1659" s="35"/>
      <c r="Q1659" s="35"/>
      <c r="R1659" s="35"/>
      <c r="S1659" s="35"/>
      <c r="T1659" s="35"/>
      <c r="U1659" s="35"/>
      <c r="V1659" s="35"/>
      <c r="W1659" s="35"/>
      <c r="X1659" s="35"/>
      <c r="Y1659" s="35"/>
      <c r="Z1659" s="35"/>
      <c r="AA1659" s="35"/>
      <c r="AB1659" s="35"/>
    </row>
    <row r="1660" ht="15.75" customHeight="1">
      <c r="A1660" s="35" t="s">
        <v>8978</v>
      </c>
      <c r="B1660" s="35">
        <v>1.0</v>
      </c>
      <c r="C1660" s="35"/>
      <c r="D1660" s="35"/>
      <c r="E1660" s="35"/>
      <c r="F1660" s="35"/>
      <c r="G1660" s="35"/>
      <c r="H1660" s="35"/>
      <c r="I1660" s="35"/>
      <c r="J1660" s="35"/>
      <c r="K1660" s="35"/>
      <c r="L1660" s="35"/>
      <c r="M1660" s="35"/>
      <c r="N1660" s="35"/>
      <c r="O1660" s="35"/>
      <c r="P1660" s="35"/>
      <c r="Q1660" s="35"/>
      <c r="R1660" s="35"/>
      <c r="S1660" s="35"/>
      <c r="T1660" s="35"/>
      <c r="U1660" s="35"/>
      <c r="V1660" s="35"/>
      <c r="W1660" s="35"/>
      <c r="X1660" s="35"/>
      <c r="Y1660" s="35"/>
      <c r="Z1660" s="35"/>
      <c r="AA1660" s="35"/>
      <c r="AB1660" s="35"/>
    </row>
    <row r="1661" ht="15.75" customHeight="1">
      <c r="A1661" s="35" t="s">
        <v>8981</v>
      </c>
      <c r="B1661" s="35">
        <v>1.0</v>
      </c>
      <c r="C1661" s="35"/>
      <c r="D1661" s="35"/>
      <c r="E1661" s="35"/>
      <c r="F1661" s="35"/>
      <c r="G1661" s="35"/>
      <c r="H1661" s="35"/>
      <c r="I1661" s="35"/>
      <c r="J1661" s="35"/>
      <c r="K1661" s="35"/>
      <c r="L1661" s="35"/>
      <c r="M1661" s="35"/>
      <c r="N1661" s="35"/>
      <c r="O1661" s="35"/>
      <c r="P1661" s="35"/>
      <c r="Q1661" s="35"/>
      <c r="R1661" s="35"/>
      <c r="S1661" s="35"/>
      <c r="T1661" s="35"/>
      <c r="U1661" s="35"/>
      <c r="V1661" s="35"/>
      <c r="W1661" s="35"/>
      <c r="X1661" s="35"/>
      <c r="Y1661" s="35"/>
      <c r="Z1661" s="35"/>
      <c r="AA1661" s="35"/>
      <c r="AB1661" s="35"/>
    </row>
    <row r="1662" ht="15.75" customHeight="1">
      <c r="A1662" s="35" t="s">
        <v>8984</v>
      </c>
      <c r="B1662" s="35">
        <v>1.0</v>
      </c>
      <c r="C1662" s="35"/>
      <c r="D1662" s="35"/>
      <c r="E1662" s="35"/>
      <c r="F1662" s="35"/>
      <c r="G1662" s="35"/>
      <c r="H1662" s="35"/>
      <c r="I1662" s="35"/>
      <c r="J1662" s="35"/>
      <c r="K1662" s="35"/>
      <c r="L1662" s="35"/>
      <c r="M1662" s="35"/>
      <c r="N1662" s="35"/>
      <c r="O1662" s="35"/>
      <c r="P1662" s="35"/>
      <c r="Q1662" s="35"/>
      <c r="R1662" s="35"/>
      <c r="S1662" s="35"/>
      <c r="T1662" s="35"/>
      <c r="U1662" s="35"/>
      <c r="V1662" s="35"/>
      <c r="W1662" s="35"/>
      <c r="X1662" s="35"/>
      <c r="Y1662" s="35"/>
      <c r="Z1662" s="35"/>
      <c r="AA1662" s="35"/>
      <c r="AB1662" s="35"/>
    </row>
    <row r="1663" ht="15.75" customHeight="1">
      <c r="A1663" s="35" t="s">
        <v>8989</v>
      </c>
      <c r="B1663" s="35">
        <v>1.0</v>
      </c>
      <c r="C1663" s="35"/>
      <c r="D1663" s="35"/>
      <c r="E1663" s="35"/>
      <c r="F1663" s="35"/>
      <c r="G1663" s="35"/>
      <c r="H1663" s="35"/>
      <c r="I1663" s="35"/>
      <c r="J1663" s="35"/>
      <c r="K1663" s="35"/>
      <c r="L1663" s="35"/>
      <c r="M1663" s="35"/>
      <c r="N1663" s="35"/>
      <c r="O1663" s="35"/>
      <c r="P1663" s="35"/>
      <c r="Q1663" s="35"/>
      <c r="R1663" s="35"/>
      <c r="S1663" s="35"/>
      <c r="T1663" s="35"/>
      <c r="U1663" s="35"/>
      <c r="V1663" s="35"/>
      <c r="W1663" s="35"/>
      <c r="X1663" s="35"/>
      <c r="Y1663" s="35"/>
      <c r="Z1663" s="35"/>
      <c r="AA1663" s="35"/>
      <c r="AB1663" s="35"/>
    </row>
    <row r="1664" ht="15.75" customHeight="1">
      <c r="A1664" s="35" t="s">
        <v>8992</v>
      </c>
      <c r="B1664" s="35">
        <v>1.0</v>
      </c>
      <c r="C1664" s="35"/>
      <c r="D1664" s="35"/>
      <c r="E1664" s="35"/>
      <c r="F1664" s="35"/>
      <c r="G1664" s="35"/>
      <c r="H1664" s="35"/>
      <c r="I1664" s="35"/>
      <c r="J1664" s="35"/>
      <c r="K1664" s="35"/>
      <c r="L1664" s="35"/>
      <c r="M1664" s="35"/>
      <c r="N1664" s="35"/>
      <c r="O1664" s="35"/>
      <c r="P1664" s="35"/>
      <c r="Q1664" s="35"/>
      <c r="R1664" s="35"/>
      <c r="S1664" s="35"/>
      <c r="T1664" s="35"/>
      <c r="U1664" s="35"/>
      <c r="V1664" s="35"/>
      <c r="W1664" s="35"/>
      <c r="X1664" s="35"/>
      <c r="Y1664" s="35"/>
      <c r="Z1664" s="35"/>
      <c r="AA1664" s="35"/>
      <c r="AB1664" s="35"/>
    </row>
    <row r="1665" ht="15.75" customHeight="1">
      <c r="A1665" s="35" t="s">
        <v>8995</v>
      </c>
      <c r="B1665" s="35">
        <v>1.0</v>
      </c>
      <c r="C1665" s="35"/>
      <c r="D1665" s="35"/>
      <c r="E1665" s="35"/>
      <c r="F1665" s="35"/>
      <c r="G1665" s="35"/>
      <c r="H1665" s="35"/>
      <c r="I1665" s="35"/>
      <c r="J1665" s="35"/>
      <c r="K1665" s="35"/>
      <c r="L1665" s="35"/>
      <c r="M1665" s="35"/>
      <c r="N1665" s="35"/>
      <c r="O1665" s="35"/>
      <c r="P1665" s="35"/>
      <c r="Q1665" s="35"/>
      <c r="R1665" s="35"/>
      <c r="S1665" s="35"/>
      <c r="T1665" s="35"/>
      <c r="U1665" s="35"/>
      <c r="V1665" s="35"/>
      <c r="W1665" s="35"/>
      <c r="X1665" s="35"/>
      <c r="Y1665" s="35"/>
      <c r="Z1665" s="35"/>
      <c r="AA1665" s="35"/>
      <c r="AB1665" s="35"/>
    </row>
    <row r="1666" ht="15.75" customHeight="1">
      <c r="A1666" s="35" t="s">
        <v>8999</v>
      </c>
      <c r="B1666" s="35">
        <v>1.0</v>
      </c>
      <c r="C1666" s="35"/>
      <c r="D1666" s="35"/>
      <c r="E1666" s="35"/>
      <c r="F1666" s="35"/>
      <c r="G1666" s="35"/>
      <c r="H1666" s="35"/>
      <c r="I1666" s="35"/>
      <c r="J1666" s="35"/>
      <c r="K1666" s="35"/>
      <c r="L1666" s="35"/>
      <c r="M1666" s="35"/>
      <c r="N1666" s="35"/>
      <c r="O1666" s="35"/>
      <c r="P1666" s="35"/>
      <c r="Q1666" s="35"/>
      <c r="R1666" s="35"/>
      <c r="S1666" s="35"/>
      <c r="T1666" s="35"/>
      <c r="U1666" s="35"/>
      <c r="V1666" s="35"/>
      <c r="W1666" s="35"/>
      <c r="X1666" s="35"/>
      <c r="Y1666" s="35"/>
      <c r="Z1666" s="35"/>
      <c r="AA1666" s="35"/>
      <c r="AB1666" s="35"/>
    </row>
    <row r="1667" ht="15.75" customHeight="1">
      <c r="A1667" s="35" t="s">
        <v>9002</v>
      </c>
      <c r="B1667" s="35">
        <v>1.0</v>
      </c>
      <c r="C1667" s="35"/>
      <c r="D1667" s="35"/>
      <c r="E1667" s="35"/>
      <c r="F1667" s="35"/>
      <c r="G1667" s="35"/>
      <c r="H1667" s="35"/>
      <c r="I1667" s="35"/>
      <c r="J1667" s="35"/>
      <c r="K1667" s="35"/>
      <c r="L1667" s="35"/>
      <c r="M1667" s="35"/>
      <c r="N1667" s="35"/>
      <c r="O1667" s="35"/>
      <c r="P1667" s="35"/>
      <c r="Q1667" s="35"/>
      <c r="R1667" s="35"/>
      <c r="S1667" s="35"/>
      <c r="T1667" s="35"/>
      <c r="U1667" s="35"/>
      <c r="V1667" s="35"/>
      <c r="W1667" s="35"/>
      <c r="X1667" s="35"/>
      <c r="Y1667" s="35"/>
      <c r="Z1667" s="35"/>
      <c r="AA1667" s="35"/>
      <c r="AB1667" s="35"/>
    </row>
    <row r="1668" ht="15.75" customHeight="1">
      <c r="A1668" s="35" t="s">
        <v>9005</v>
      </c>
      <c r="B1668" s="35">
        <v>1.0</v>
      </c>
      <c r="C1668" s="35"/>
      <c r="D1668" s="35"/>
      <c r="E1668" s="35"/>
      <c r="F1668" s="35"/>
      <c r="G1668" s="35"/>
      <c r="H1668" s="35"/>
      <c r="I1668" s="35"/>
      <c r="J1668" s="35"/>
      <c r="K1668" s="35"/>
      <c r="L1668" s="35"/>
      <c r="M1668" s="35"/>
      <c r="N1668" s="35"/>
      <c r="O1668" s="35"/>
      <c r="P1668" s="35"/>
      <c r="Q1668" s="35"/>
      <c r="R1668" s="35"/>
      <c r="S1668" s="35"/>
      <c r="T1668" s="35"/>
      <c r="U1668" s="35"/>
      <c r="V1668" s="35"/>
      <c r="W1668" s="35"/>
      <c r="X1668" s="35"/>
      <c r="Y1668" s="35"/>
      <c r="Z1668" s="35"/>
      <c r="AA1668" s="35"/>
      <c r="AB1668" s="35"/>
    </row>
    <row r="1669" ht="15.75" customHeight="1">
      <c r="A1669" s="35" t="s">
        <v>9008</v>
      </c>
      <c r="B1669" s="35">
        <v>1.0</v>
      </c>
      <c r="C1669" s="35"/>
      <c r="D1669" s="35"/>
      <c r="E1669" s="35"/>
      <c r="F1669" s="35"/>
      <c r="G1669" s="35"/>
      <c r="H1669" s="35"/>
      <c r="I1669" s="35"/>
      <c r="J1669" s="35"/>
      <c r="K1669" s="35"/>
      <c r="L1669" s="35"/>
      <c r="M1669" s="35"/>
      <c r="N1669" s="35"/>
      <c r="O1669" s="35"/>
      <c r="P1669" s="35"/>
      <c r="Q1669" s="35"/>
      <c r="R1669" s="35"/>
      <c r="S1669" s="35"/>
      <c r="T1669" s="35"/>
      <c r="U1669" s="35"/>
      <c r="V1669" s="35"/>
      <c r="W1669" s="35"/>
      <c r="X1669" s="35"/>
      <c r="Y1669" s="35"/>
      <c r="Z1669" s="35"/>
      <c r="AA1669" s="35"/>
      <c r="AB1669" s="35"/>
    </row>
    <row r="1670" ht="15.75" customHeight="1">
      <c r="A1670" s="35" t="s">
        <v>9012</v>
      </c>
      <c r="B1670" s="35">
        <v>1.0</v>
      </c>
      <c r="C1670" s="35"/>
      <c r="D1670" s="35"/>
      <c r="E1670" s="35"/>
      <c r="F1670" s="35"/>
      <c r="G1670" s="35"/>
      <c r="H1670" s="35"/>
      <c r="I1670" s="35"/>
      <c r="J1670" s="35"/>
      <c r="K1670" s="35"/>
      <c r="L1670" s="35"/>
      <c r="M1670" s="35"/>
      <c r="N1670" s="35"/>
      <c r="O1670" s="35"/>
      <c r="P1670" s="35"/>
      <c r="Q1670" s="35"/>
      <c r="R1670" s="35"/>
      <c r="S1670" s="35"/>
      <c r="T1670" s="35"/>
      <c r="U1670" s="35"/>
      <c r="V1670" s="35"/>
      <c r="W1670" s="35"/>
      <c r="X1670" s="35"/>
      <c r="Y1670" s="35"/>
      <c r="Z1670" s="35"/>
      <c r="AA1670" s="35"/>
      <c r="AB1670" s="35"/>
    </row>
    <row r="1671" ht="15.75" customHeight="1">
      <c r="A1671" s="35" t="s">
        <v>9015</v>
      </c>
      <c r="B1671" s="35">
        <v>1.0</v>
      </c>
      <c r="C1671" s="35"/>
      <c r="D1671" s="35"/>
      <c r="E1671" s="35"/>
      <c r="F1671" s="35"/>
      <c r="G1671" s="35"/>
      <c r="H1671" s="35"/>
      <c r="I1671" s="35"/>
      <c r="J1671" s="35"/>
      <c r="K1671" s="35"/>
      <c r="L1671" s="35"/>
      <c r="M1671" s="35"/>
      <c r="N1671" s="35"/>
      <c r="O1671" s="35"/>
      <c r="P1671" s="35"/>
      <c r="Q1671" s="35"/>
      <c r="R1671" s="35"/>
      <c r="S1671" s="35"/>
      <c r="T1671" s="35"/>
      <c r="U1671" s="35"/>
      <c r="V1671" s="35"/>
      <c r="W1671" s="35"/>
      <c r="X1671" s="35"/>
      <c r="Y1671" s="35"/>
      <c r="Z1671" s="35"/>
      <c r="AA1671" s="35"/>
      <c r="AB1671" s="35"/>
    </row>
    <row r="1672" ht="15.75" customHeight="1">
      <c r="A1672" s="35" t="s">
        <v>9018</v>
      </c>
      <c r="B1672" s="35">
        <v>1.0</v>
      </c>
      <c r="C1672" s="35"/>
      <c r="D1672" s="35"/>
      <c r="E1672" s="35"/>
      <c r="F1672" s="35"/>
      <c r="G1672" s="35"/>
      <c r="H1672" s="35"/>
      <c r="I1672" s="35"/>
      <c r="J1672" s="35"/>
      <c r="K1672" s="35"/>
      <c r="L1672" s="35"/>
      <c r="M1672" s="35"/>
      <c r="N1672" s="35"/>
      <c r="O1672" s="35"/>
      <c r="P1672" s="35"/>
      <c r="Q1672" s="35"/>
      <c r="R1672" s="35"/>
      <c r="S1672" s="35"/>
      <c r="T1672" s="35"/>
      <c r="U1672" s="35"/>
      <c r="V1672" s="35"/>
      <c r="W1672" s="35"/>
      <c r="X1672" s="35"/>
      <c r="Y1672" s="35"/>
      <c r="Z1672" s="35"/>
      <c r="AA1672" s="35"/>
      <c r="AB1672" s="35"/>
    </row>
    <row r="1673" ht="15.75" customHeight="1">
      <c r="A1673" s="35" t="s">
        <v>9021</v>
      </c>
      <c r="B1673" s="35">
        <v>1.0</v>
      </c>
      <c r="C1673" s="35"/>
      <c r="D1673" s="35"/>
      <c r="E1673" s="35"/>
      <c r="F1673" s="35"/>
      <c r="G1673" s="35"/>
      <c r="H1673" s="35"/>
      <c r="I1673" s="35"/>
      <c r="J1673" s="35"/>
      <c r="K1673" s="35"/>
      <c r="L1673" s="35"/>
      <c r="M1673" s="35"/>
      <c r="N1673" s="35"/>
      <c r="O1673" s="35"/>
      <c r="P1673" s="35"/>
      <c r="Q1673" s="35"/>
      <c r="R1673" s="35"/>
      <c r="S1673" s="35"/>
      <c r="T1673" s="35"/>
      <c r="U1673" s="35"/>
      <c r="V1673" s="35"/>
      <c r="W1673" s="35"/>
      <c r="X1673" s="35"/>
      <c r="Y1673" s="35"/>
      <c r="Z1673" s="35"/>
      <c r="AA1673" s="35"/>
      <c r="AB1673" s="35"/>
    </row>
    <row r="1674" ht="15.75" customHeight="1">
      <c r="A1674" s="35" t="s">
        <v>9024</v>
      </c>
      <c r="B1674" s="35">
        <v>1.0</v>
      </c>
      <c r="C1674" s="35"/>
      <c r="D1674" s="35"/>
      <c r="E1674" s="35"/>
      <c r="F1674" s="35"/>
      <c r="G1674" s="35"/>
      <c r="H1674" s="35"/>
      <c r="I1674" s="35"/>
      <c r="J1674" s="35"/>
      <c r="K1674" s="35"/>
      <c r="L1674" s="35"/>
      <c r="M1674" s="35"/>
      <c r="N1674" s="35"/>
      <c r="O1674" s="35"/>
      <c r="P1674" s="35"/>
      <c r="Q1674" s="35"/>
      <c r="R1674" s="35"/>
      <c r="S1674" s="35"/>
      <c r="T1674" s="35"/>
      <c r="U1674" s="35"/>
      <c r="V1674" s="35"/>
      <c r="W1674" s="35"/>
      <c r="X1674" s="35"/>
      <c r="Y1674" s="35"/>
      <c r="Z1674" s="35"/>
      <c r="AA1674" s="35"/>
      <c r="AB1674" s="35"/>
    </row>
    <row r="1675" ht="15.75" customHeight="1">
      <c r="A1675" s="35" t="s">
        <v>9027</v>
      </c>
      <c r="B1675" s="35">
        <v>1.0</v>
      </c>
      <c r="C1675" s="35"/>
      <c r="D1675" s="35"/>
      <c r="E1675" s="35"/>
      <c r="F1675" s="35"/>
      <c r="G1675" s="35"/>
      <c r="H1675" s="35"/>
      <c r="I1675" s="35"/>
      <c r="J1675" s="35"/>
      <c r="K1675" s="35"/>
      <c r="L1675" s="35"/>
      <c r="M1675" s="35"/>
      <c r="N1675" s="35"/>
      <c r="O1675" s="35"/>
      <c r="P1675" s="35"/>
      <c r="Q1675" s="35"/>
      <c r="R1675" s="35"/>
      <c r="S1675" s="35"/>
      <c r="T1675" s="35"/>
      <c r="U1675" s="35"/>
      <c r="V1675" s="35"/>
      <c r="W1675" s="35"/>
      <c r="X1675" s="35"/>
      <c r="Y1675" s="35"/>
      <c r="Z1675" s="35"/>
      <c r="AA1675" s="35"/>
      <c r="AB1675" s="35"/>
    </row>
    <row r="1676" ht="15.75" customHeight="1">
      <c r="A1676" s="35" t="s">
        <v>9031</v>
      </c>
      <c r="B1676" s="35">
        <v>1.0</v>
      </c>
      <c r="C1676" s="35"/>
      <c r="D1676" s="35"/>
      <c r="E1676" s="35"/>
      <c r="F1676" s="35"/>
      <c r="G1676" s="35"/>
      <c r="H1676" s="35"/>
      <c r="I1676" s="35"/>
      <c r="J1676" s="35"/>
      <c r="K1676" s="35"/>
      <c r="L1676" s="35"/>
      <c r="M1676" s="35"/>
      <c r="N1676" s="35"/>
      <c r="O1676" s="35"/>
      <c r="P1676" s="35"/>
      <c r="Q1676" s="35"/>
      <c r="R1676" s="35"/>
      <c r="S1676" s="35"/>
      <c r="T1676" s="35"/>
      <c r="U1676" s="35"/>
      <c r="V1676" s="35"/>
      <c r="W1676" s="35"/>
      <c r="X1676" s="35"/>
      <c r="Y1676" s="35"/>
      <c r="Z1676" s="35"/>
      <c r="AA1676" s="35"/>
      <c r="AB1676" s="35"/>
    </row>
    <row r="1677" ht="15.75" customHeight="1">
      <c r="A1677" s="35" t="s">
        <v>9034</v>
      </c>
      <c r="B1677" s="35">
        <v>1.0</v>
      </c>
      <c r="C1677" s="35"/>
      <c r="D1677" s="35"/>
      <c r="E1677" s="35"/>
      <c r="F1677" s="35"/>
      <c r="G1677" s="35"/>
      <c r="H1677" s="35"/>
      <c r="I1677" s="35"/>
      <c r="J1677" s="35"/>
      <c r="K1677" s="35"/>
      <c r="L1677" s="35"/>
      <c r="M1677" s="35"/>
      <c r="N1677" s="35"/>
      <c r="O1677" s="35"/>
      <c r="P1677" s="35"/>
      <c r="Q1677" s="35"/>
      <c r="R1677" s="35"/>
      <c r="S1677" s="35"/>
      <c r="T1677" s="35"/>
      <c r="U1677" s="35"/>
      <c r="V1677" s="35"/>
      <c r="W1677" s="35"/>
      <c r="X1677" s="35"/>
      <c r="Y1677" s="35"/>
      <c r="Z1677" s="35"/>
      <c r="AA1677" s="35"/>
      <c r="AB1677" s="35"/>
    </row>
    <row r="1678" ht="15.75" customHeight="1">
      <c r="A1678" s="35" t="s">
        <v>9037</v>
      </c>
      <c r="B1678" s="35">
        <v>1.0</v>
      </c>
      <c r="C1678" s="35"/>
      <c r="D1678" s="35"/>
      <c r="E1678" s="35"/>
      <c r="F1678" s="35"/>
      <c r="G1678" s="35"/>
      <c r="H1678" s="35"/>
      <c r="I1678" s="35"/>
      <c r="J1678" s="35"/>
      <c r="K1678" s="35"/>
      <c r="L1678" s="35"/>
      <c r="M1678" s="35"/>
      <c r="N1678" s="35"/>
      <c r="O1678" s="35"/>
      <c r="P1678" s="35"/>
      <c r="Q1678" s="35"/>
      <c r="R1678" s="35"/>
      <c r="S1678" s="35"/>
      <c r="T1678" s="35"/>
      <c r="U1678" s="35"/>
      <c r="V1678" s="35"/>
      <c r="W1678" s="35"/>
      <c r="X1678" s="35"/>
      <c r="Y1678" s="35"/>
      <c r="Z1678" s="35"/>
      <c r="AA1678" s="35"/>
      <c r="AB1678" s="35"/>
    </row>
    <row r="1679" ht="15.75" customHeight="1">
      <c r="A1679" s="35" t="s">
        <v>9040</v>
      </c>
      <c r="B1679" s="35">
        <v>1.0</v>
      </c>
      <c r="C1679" s="35"/>
      <c r="D1679" s="35"/>
      <c r="E1679" s="35"/>
      <c r="F1679" s="35"/>
      <c r="G1679" s="35"/>
      <c r="H1679" s="35"/>
      <c r="I1679" s="35"/>
      <c r="J1679" s="35"/>
      <c r="K1679" s="35"/>
      <c r="L1679" s="35"/>
      <c r="M1679" s="35"/>
      <c r="N1679" s="35"/>
      <c r="O1679" s="35"/>
      <c r="P1679" s="35"/>
      <c r="Q1679" s="35"/>
      <c r="R1679" s="35"/>
      <c r="S1679" s="35"/>
      <c r="T1679" s="35"/>
      <c r="U1679" s="35"/>
      <c r="V1679" s="35"/>
      <c r="W1679" s="35"/>
      <c r="X1679" s="35"/>
      <c r="Y1679" s="35"/>
      <c r="Z1679" s="35"/>
      <c r="AA1679" s="35"/>
      <c r="AB1679" s="35"/>
    </row>
    <row r="1680" ht="15.75" customHeight="1">
      <c r="A1680" s="35" t="s">
        <v>9044</v>
      </c>
      <c r="B1680" s="35">
        <v>1.0</v>
      </c>
      <c r="C1680" s="35"/>
      <c r="D1680" s="35"/>
      <c r="E1680" s="35"/>
      <c r="F1680" s="35"/>
      <c r="G1680" s="35"/>
      <c r="H1680" s="35"/>
      <c r="I1680" s="35"/>
      <c r="J1680" s="35"/>
      <c r="K1680" s="35"/>
      <c r="L1680" s="35"/>
      <c r="M1680" s="35"/>
      <c r="N1680" s="35"/>
      <c r="O1680" s="35"/>
      <c r="P1680" s="35"/>
      <c r="Q1680" s="35"/>
      <c r="R1680" s="35"/>
      <c r="S1680" s="35"/>
      <c r="T1680" s="35"/>
      <c r="U1680" s="35"/>
      <c r="V1680" s="35"/>
      <c r="W1680" s="35"/>
      <c r="X1680" s="35"/>
      <c r="Y1680" s="35"/>
      <c r="Z1680" s="35"/>
      <c r="AA1680" s="35"/>
      <c r="AB1680" s="35"/>
    </row>
    <row r="1681" ht="15.75" customHeight="1">
      <c r="A1681" s="35" t="s">
        <v>9047</v>
      </c>
      <c r="B1681" s="35">
        <v>1.0</v>
      </c>
      <c r="C1681" s="35"/>
      <c r="D1681" s="35"/>
      <c r="E1681" s="35"/>
      <c r="F1681" s="35"/>
      <c r="G1681" s="35"/>
      <c r="H1681" s="35"/>
      <c r="I1681" s="35"/>
      <c r="J1681" s="35"/>
      <c r="K1681" s="35"/>
      <c r="L1681" s="35"/>
      <c r="M1681" s="35"/>
      <c r="N1681" s="35"/>
      <c r="O1681" s="35"/>
      <c r="P1681" s="35"/>
      <c r="Q1681" s="35"/>
      <c r="R1681" s="35"/>
      <c r="S1681" s="35"/>
      <c r="T1681" s="35"/>
      <c r="U1681" s="35"/>
      <c r="V1681" s="35"/>
      <c r="W1681" s="35"/>
      <c r="X1681" s="35"/>
      <c r="Y1681" s="35"/>
      <c r="Z1681" s="35"/>
      <c r="AA1681" s="35"/>
      <c r="AB1681" s="35"/>
    </row>
    <row r="1682" ht="15.75" customHeight="1">
      <c r="A1682" s="35" t="s">
        <v>9050</v>
      </c>
      <c r="B1682" s="35">
        <v>1.0</v>
      </c>
      <c r="C1682" s="35"/>
      <c r="D1682" s="35"/>
      <c r="E1682" s="35"/>
      <c r="F1682" s="35"/>
      <c r="G1682" s="35"/>
      <c r="H1682" s="35"/>
      <c r="I1682" s="35"/>
      <c r="J1682" s="35"/>
      <c r="K1682" s="35"/>
      <c r="L1682" s="35"/>
      <c r="M1682" s="35"/>
      <c r="N1682" s="35"/>
      <c r="O1682" s="35"/>
      <c r="P1682" s="35"/>
      <c r="Q1682" s="35"/>
      <c r="R1682" s="35"/>
      <c r="S1682" s="35"/>
      <c r="T1682" s="35"/>
      <c r="U1682" s="35"/>
      <c r="V1682" s="35"/>
      <c r="W1682" s="35"/>
      <c r="X1682" s="35"/>
      <c r="Y1682" s="35"/>
      <c r="Z1682" s="35"/>
      <c r="AA1682" s="35"/>
      <c r="AB1682" s="35"/>
    </row>
    <row r="1683" ht="15.75" customHeight="1">
      <c r="A1683" s="35" t="s">
        <v>9053</v>
      </c>
      <c r="B1683" s="35">
        <v>1.0</v>
      </c>
      <c r="C1683" s="35"/>
      <c r="D1683" s="35"/>
      <c r="E1683" s="35"/>
      <c r="F1683" s="35"/>
      <c r="G1683" s="35"/>
      <c r="H1683" s="35"/>
      <c r="I1683" s="35"/>
      <c r="J1683" s="35"/>
      <c r="K1683" s="35"/>
      <c r="L1683" s="35"/>
      <c r="M1683" s="35"/>
      <c r="N1683" s="35"/>
      <c r="O1683" s="35"/>
      <c r="P1683" s="35"/>
      <c r="Q1683" s="35"/>
      <c r="R1683" s="35"/>
      <c r="S1683" s="35"/>
      <c r="T1683" s="35"/>
      <c r="U1683" s="35"/>
      <c r="V1683" s="35"/>
      <c r="W1683" s="35"/>
      <c r="X1683" s="35"/>
      <c r="Y1683" s="35"/>
      <c r="Z1683" s="35"/>
      <c r="AA1683" s="35"/>
      <c r="AB1683" s="35"/>
    </row>
    <row r="1684" ht="15.75" customHeight="1">
      <c r="A1684" s="35" t="s">
        <v>9057</v>
      </c>
      <c r="B1684" s="35">
        <v>1.0</v>
      </c>
      <c r="C1684" s="35"/>
      <c r="D1684" s="35"/>
      <c r="E1684" s="35"/>
      <c r="F1684" s="35"/>
      <c r="G1684" s="35"/>
      <c r="H1684" s="35"/>
      <c r="I1684" s="35"/>
      <c r="J1684" s="35"/>
      <c r="K1684" s="35"/>
      <c r="L1684" s="35"/>
      <c r="M1684" s="35"/>
      <c r="N1684" s="35"/>
      <c r="O1684" s="35"/>
      <c r="P1684" s="35"/>
      <c r="Q1684" s="35"/>
      <c r="R1684" s="35"/>
      <c r="S1684" s="35"/>
      <c r="T1684" s="35"/>
      <c r="U1684" s="35"/>
      <c r="V1684" s="35"/>
      <c r="W1684" s="35"/>
      <c r="X1684" s="35"/>
      <c r="Y1684" s="35"/>
      <c r="Z1684" s="35"/>
      <c r="AA1684" s="35"/>
      <c r="AB1684" s="35"/>
    </row>
    <row r="1685" ht="15.75" customHeight="1">
      <c r="A1685" s="35" t="s">
        <v>9060</v>
      </c>
      <c r="B1685" s="35">
        <v>1.0</v>
      </c>
      <c r="C1685" s="35"/>
      <c r="D1685" s="35"/>
      <c r="E1685" s="35"/>
      <c r="F1685" s="35"/>
      <c r="G1685" s="35"/>
      <c r="H1685" s="35"/>
      <c r="I1685" s="35"/>
      <c r="J1685" s="35"/>
      <c r="K1685" s="35"/>
      <c r="L1685" s="35"/>
      <c r="M1685" s="35"/>
      <c r="N1685" s="35"/>
      <c r="O1685" s="35"/>
      <c r="P1685" s="35"/>
      <c r="Q1685" s="35"/>
      <c r="R1685" s="35"/>
      <c r="S1685" s="35"/>
      <c r="T1685" s="35"/>
      <c r="U1685" s="35"/>
      <c r="V1685" s="35"/>
      <c r="W1685" s="35"/>
      <c r="X1685" s="35"/>
      <c r="Y1685" s="35"/>
      <c r="Z1685" s="35"/>
      <c r="AA1685" s="35"/>
      <c r="AB1685" s="35"/>
    </row>
    <row r="1686" ht="15.75" customHeight="1">
      <c r="A1686" s="35" t="s">
        <v>9063</v>
      </c>
      <c r="B1686" s="35">
        <v>1.0</v>
      </c>
      <c r="C1686" s="35"/>
      <c r="D1686" s="35"/>
      <c r="E1686" s="35"/>
      <c r="F1686" s="35"/>
      <c r="G1686" s="35"/>
      <c r="H1686" s="35"/>
      <c r="I1686" s="35"/>
      <c r="J1686" s="35"/>
      <c r="K1686" s="35"/>
      <c r="L1686" s="35"/>
      <c r="M1686" s="35"/>
      <c r="N1686" s="35"/>
      <c r="O1686" s="35"/>
      <c r="P1686" s="35"/>
      <c r="Q1686" s="35"/>
      <c r="R1686" s="35"/>
      <c r="S1686" s="35"/>
      <c r="T1686" s="35"/>
      <c r="U1686" s="35"/>
      <c r="V1686" s="35"/>
      <c r="W1686" s="35"/>
      <c r="X1686" s="35"/>
      <c r="Y1686" s="35"/>
      <c r="Z1686" s="35"/>
      <c r="AA1686" s="35"/>
      <c r="AB1686" s="35"/>
    </row>
    <row r="1687" ht="15.75" customHeight="1">
      <c r="A1687" s="35" t="s">
        <v>9066</v>
      </c>
      <c r="B1687" s="35">
        <v>1.0</v>
      </c>
      <c r="C1687" s="35"/>
      <c r="D1687" s="35"/>
      <c r="E1687" s="35"/>
      <c r="F1687" s="35"/>
      <c r="G1687" s="35"/>
      <c r="H1687" s="35"/>
      <c r="I1687" s="35"/>
      <c r="J1687" s="35"/>
      <c r="K1687" s="35"/>
      <c r="L1687" s="35"/>
      <c r="M1687" s="35"/>
      <c r="N1687" s="35"/>
      <c r="O1687" s="35"/>
      <c r="P1687" s="35"/>
      <c r="Q1687" s="35"/>
      <c r="R1687" s="35"/>
      <c r="S1687" s="35"/>
      <c r="T1687" s="35"/>
      <c r="U1687" s="35"/>
      <c r="V1687" s="35"/>
      <c r="W1687" s="35"/>
      <c r="X1687" s="35"/>
      <c r="Y1687" s="35"/>
      <c r="Z1687" s="35"/>
      <c r="AA1687" s="35"/>
      <c r="AB1687" s="35"/>
    </row>
    <row r="1688" ht="15.75" customHeight="1">
      <c r="A1688" s="35" t="s">
        <v>9069</v>
      </c>
      <c r="B1688" s="35">
        <v>1.0</v>
      </c>
      <c r="C1688" s="35"/>
      <c r="D1688" s="35"/>
      <c r="E1688" s="35"/>
      <c r="F1688" s="35"/>
      <c r="G1688" s="35"/>
      <c r="H1688" s="35"/>
      <c r="I1688" s="35"/>
      <c r="J1688" s="35"/>
      <c r="K1688" s="35"/>
      <c r="L1688" s="35"/>
      <c r="M1688" s="35"/>
      <c r="N1688" s="35"/>
      <c r="O1688" s="35"/>
      <c r="P1688" s="35"/>
      <c r="Q1688" s="35"/>
      <c r="R1688" s="35"/>
      <c r="S1688" s="35"/>
      <c r="T1688" s="35"/>
      <c r="U1688" s="35"/>
      <c r="V1688" s="35"/>
      <c r="W1688" s="35"/>
      <c r="X1688" s="35"/>
      <c r="Y1688" s="35"/>
      <c r="Z1688" s="35"/>
      <c r="AA1688" s="35"/>
      <c r="AB1688" s="35"/>
    </row>
    <row r="1689" ht="15.75" customHeight="1">
      <c r="A1689" s="35" t="s">
        <v>9073</v>
      </c>
      <c r="B1689" s="35">
        <v>1.0</v>
      </c>
      <c r="C1689" s="35"/>
      <c r="D1689" s="35"/>
      <c r="E1689" s="35"/>
      <c r="F1689" s="35"/>
      <c r="G1689" s="35"/>
      <c r="H1689" s="35"/>
      <c r="I1689" s="35"/>
      <c r="J1689" s="35"/>
      <c r="K1689" s="35"/>
      <c r="L1689" s="35"/>
      <c r="M1689" s="35"/>
      <c r="N1689" s="35"/>
      <c r="O1689" s="35"/>
      <c r="P1689" s="35"/>
      <c r="Q1689" s="35"/>
      <c r="R1689" s="35"/>
      <c r="S1689" s="35"/>
      <c r="T1689" s="35"/>
      <c r="U1689" s="35"/>
      <c r="V1689" s="35"/>
      <c r="W1689" s="35"/>
      <c r="X1689" s="35"/>
      <c r="Y1689" s="35"/>
      <c r="Z1689" s="35"/>
      <c r="AA1689" s="35"/>
      <c r="AB1689" s="35"/>
    </row>
    <row r="1690" ht="15.75" customHeight="1">
      <c r="A1690" s="35" t="s">
        <v>9076</v>
      </c>
      <c r="B1690" s="35">
        <v>1.0</v>
      </c>
      <c r="C1690" s="35"/>
      <c r="D1690" s="35"/>
      <c r="E1690" s="35"/>
      <c r="F1690" s="35"/>
      <c r="G1690" s="35"/>
      <c r="H1690" s="35"/>
      <c r="I1690" s="35"/>
      <c r="J1690" s="35"/>
      <c r="K1690" s="35"/>
      <c r="L1690" s="35"/>
      <c r="M1690" s="35"/>
      <c r="N1690" s="35"/>
      <c r="O1690" s="35"/>
      <c r="P1690" s="35"/>
      <c r="Q1690" s="35"/>
      <c r="R1690" s="35"/>
      <c r="S1690" s="35"/>
      <c r="T1690" s="35"/>
      <c r="U1690" s="35"/>
      <c r="V1690" s="35"/>
      <c r="W1690" s="35"/>
      <c r="X1690" s="35"/>
      <c r="Y1690" s="35"/>
      <c r="Z1690" s="35"/>
      <c r="AA1690" s="35"/>
      <c r="AB1690" s="35"/>
    </row>
    <row r="1691" ht="15.75" customHeight="1">
      <c r="A1691" s="35" t="s">
        <v>9079</v>
      </c>
      <c r="B1691" s="35">
        <v>1.0</v>
      </c>
      <c r="C1691" s="35"/>
      <c r="D1691" s="35"/>
      <c r="E1691" s="35"/>
      <c r="F1691" s="35"/>
      <c r="G1691" s="35"/>
      <c r="H1691" s="35"/>
      <c r="I1691" s="35"/>
      <c r="J1691" s="35"/>
      <c r="K1691" s="35"/>
      <c r="L1691" s="35"/>
      <c r="M1691" s="35"/>
      <c r="N1691" s="35"/>
      <c r="O1691" s="35"/>
      <c r="P1691" s="35"/>
      <c r="Q1691" s="35"/>
      <c r="R1691" s="35"/>
      <c r="S1691" s="35"/>
      <c r="T1691" s="35"/>
      <c r="U1691" s="35"/>
      <c r="V1691" s="35"/>
      <c r="W1691" s="35"/>
      <c r="X1691" s="35"/>
      <c r="Y1691" s="35"/>
      <c r="Z1691" s="35"/>
      <c r="AA1691" s="35"/>
      <c r="AB1691" s="35"/>
    </row>
    <row r="1692" ht="15.75" customHeight="1">
      <c r="A1692" s="35" t="s">
        <v>9082</v>
      </c>
      <c r="B1692" s="35">
        <v>1.0</v>
      </c>
      <c r="C1692" s="35"/>
      <c r="D1692" s="35"/>
      <c r="E1692" s="35"/>
      <c r="F1692" s="35"/>
      <c r="G1692" s="35"/>
      <c r="H1692" s="35"/>
      <c r="I1692" s="35"/>
      <c r="J1692" s="35"/>
      <c r="K1692" s="35"/>
      <c r="L1692" s="35"/>
      <c r="M1692" s="35"/>
      <c r="N1692" s="35"/>
      <c r="O1692" s="35"/>
      <c r="P1692" s="35"/>
      <c r="Q1692" s="35"/>
      <c r="R1692" s="35"/>
      <c r="S1692" s="35"/>
      <c r="T1692" s="35"/>
      <c r="U1692" s="35"/>
      <c r="V1692" s="35"/>
      <c r="W1692" s="35"/>
      <c r="X1692" s="35"/>
      <c r="Y1692" s="35"/>
      <c r="Z1692" s="35"/>
      <c r="AA1692" s="35"/>
      <c r="AB1692" s="35"/>
    </row>
    <row r="1693" ht="15.75" customHeight="1">
      <c r="A1693" s="35" t="s">
        <v>9086</v>
      </c>
      <c r="B1693" s="35">
        <v>1.0</v>
      </c>
      <c r="C1693" s="35"/>
      <c r="D1693" s="35"/>
      <c r="E1693" s="35"/>
      <c r="F1693" s="35"/>
      <c r="G1693" s="35"/>
      <c r="H1693" s="35"/>
      <c r="I1693" s="35"/>
      <c r="J1693" s="35"/>
      <c r="K1693" s="35"/>
      <c r="L1693" s="35"/>
      <c r="M1693" s="35"/>
      <c r="N1693" s="35"/>
      <c r="O1693" s="35"/>
      <c r="P1693" s="35"/>
      <c r="Q1693" s="35"/>
      <c r="R1693" s="35"/>
      <c r="S1693" s="35"/>
      <c r="T1693" s="35"/>
      <c r="U1693" s="35"/>
      <c r="V1693" s="35"/>
      <c r="W1693" s="35"/>
      <c r="X1693" s="35"/>
      <c r="Y1693" s="35"/>
      <c r="Z1693" s="35"/>
      <c r="AA1693" s="35"/>
      <c r="AB1693" s="35"/>
    </row>
    <row r="1694" ht="15.75" customHeight="1">
      <c r="A1694" s="35" t="s">
        <v>9089</v>
      </c>
      <c r="B1694" s="35">
        <v>1.0</v>
      </c>
      <c r="C1694" s="35"/>
      <c r="D1694" s="35"/>
      <c r="E1694" s="35"/>
      <c r="F1694" s="35"/>
      <c r="G1694" s="35"/>
      <c r="H1694" s="35"/>
      <c r="I1694" s="35"/>
      <c r="J1694" s="35"/>
      <c r="K1694" s="35"/>
      <c r="L1694" s="35"/>
      <c r="M1694" s="35"/>
      <c r="N1694" s="35"/>
      <c r="O1694" s="35"/>
      <c r="P1694" s="35"/>
      <c r="Q1694" s="35"/>
      <c r="R1694" s="35"/>
      <c r="S1694" s="35"/>
      <c r="T1694" s="35"/>
      <c r="U1694" s="35"/>
      <c r="V1694" s="35"/>
      <c r="W1694" s="35"/>
      <c r="X1694" s="35"/>
      <c r="Y1694" s="35"/>
      <c r="Z1694" s="35"/>
      <c r="AA1694" s="35"/>
      <c r="AB1694" s="35"/>
    </row>
    <row r="1695" ht="15.75" customHeight="1">
      <c r="A1695" s="35" t="s">
        <v>9092</v>
      </c>
      <c r="B1695" s="35">
        <v>1.0</v>
      </c>
      <c r="C1695" s="35"/>
      <c r="D1695" s="35"/>
      <c r="E1695" s="35"/>
      <c r="F1695" s="35"/>
      <c r="G1695" s="35"/>
      <c r="H1695" s="35"/>
      <c r="I1695" s="35"/>
      <c r="J1695" s="35"/>
      <c r="K1695" s="35"/>
      <c r="L1695" s="35"/>
      <c r="M1695" s="35"/>
      <c r="N1695" s="35"/>
      <c r="O1695" s="35"/>
      <c r="P1695" s="35"/>
      <c r="Q1695" s="35"/>
      <c r="R1695" s="35"/>
      <c r="S1695" s="35"/>
      <c r="T1695" s="35"/>
      <c r="U1695" s="35"/>
      <c r="V1695" s="35"/>
      <c r="W1695" s="35"/>
      <c r="X1695" s="35"/>
      <c r="Y1695" s="35"/>
      <c r="Z1695" s="35"/>
      <c r="AA1695" s="35"/>
      <c r="AB1695" s="35"/>
    </row>
    <row r="1696" ht="15.75" customHeight="1">
      <c r="A1696" s="35" t="s">
        <v>9095</v>
      </c>
      <c r="B1696" s="35">
        <v>1.0</v>
      </c>
      <c r="C1696" s="35"/>
      <c r="D1696" s="35"/>
      <c r="E1696" s="35"/>
      <c r="F1696" s="35"/>
      <c r="G1696" s="35"/>
      <c r="H1696" s="35"/>
      <c r="I1696" s="35"/>
      <c r="J1696" s="35"/>
      <c r="K1696" s="35"/>
      <c r="L1696" s="35"/>
      <c r="M1696" s="35"/>
      <c r="N1696" s="35"/>
      <c r="O1696" s="35"/>
      <c r="P1696" s="35"/>
      <c r="Q1696" s="35"/>
      <c r="R1696" s="35"/>
      <c r="S1696" s="35"/>
      <c r="T1696" s="35"/>
      <c r="U1696" s="35"/>
      <c r="V1696" s="35"/>
      <c r="W1696" s="35"/>
      <c r="X1696" s="35"/>
      <c r="Y1696" s="35"/>
      <c r="Z1696" s="35"/>
      <c r="AA1696" s="35"/>
      <c r="AB1696" s="35"/>
    </row>
    <row r="1697" ht="15.75" customHeight="1">
      <c r="A1697" s="35" t="s">
        <v>9099</v>
      </c>
      <c r="B1697" s="35">
        <v>1.0</v>
      </c>
      <c r="C1697" s="35"/>
      <c r="D1697" s="35"/>
      <c r="E1697" s="35"/>
      <c r="F1697" s="35"/>
      <c r="G1697" s="35"/>
      <c r="H1697" s="35"/>
      <c r="I1697" s="35"/>
      <c r="J1697" s="35"/>
      <c r="K1697" s="35"/>
      <c r="L1697" s="35"/>
      <c r="M1697" s="35"/>
      <c r="N1697" s="35"/>
      <c r="O1697" s="35"/>
      <c r="P1697" s="35"/>
      <c r="Q1697" s="35"/>
      <c r="R1697" s="35"/>
      <c r="S1697" s="35"/>
      <c r="T1697" s="35"/>
      <c r="U1697" s="35"/>
      <c r="V1697" s="35"/>
      <c r="W1697" s="35"/>
      <c r="X1697" s="35"/>
      <c r="Y1697" s="35"/>
      <c r="Z1697" s="35"/>
      <c r="AA1697" s="35"/>
      <c r="AB1697" s="35"/>
    </row>
    <row r="1698" ht="15.75" customHeight="1">
      <c r="A1698" s="35" t="s">
        <v>9102</v>
      </c>
      <c r="B1698" s="35">
        <v>1.0</v>
      </c>
      <c r="C1698" s="35"/>
      <c r="D1698" s="35"/>
      <c r="E1698" s="35"/>
      <c r="F1698" s="35"/>
      <c r="G1698" s="35"/>
      <c r="H1698" s="35"/>
      <c r="I1698" s="35"/>
      <c r="J1698" s="35"/>
      <c r="K1698" s="35"/>
      <c r="L1698" s="35"/>
      <c r="M1698" s="35"/>
      <c r="N1698" s="35"/>
      <c r="O1698" s="35"/>
      <c r="P1698" s="35"/>
      <c r="Q1698" s="35"/>
      <c r="R1698" s="35"/>
      <c r="S1698" s="35"/>
      <c r="T1698" s="35"/>
      <c r="U1698" s="35"/>
      <c r="V1698" s="35"/>
      <c r="W1698" s="35"/>
      <c r="X1698" s="35"/>
      <c r="Y1698" s="35"/>
      <c r="Z1698" s="35"/>
      <c r="AA1698" s="35"/>
      <c r="AB1698" s="35"/>
    </row>
    <row r="1699" ht="15.75" customHeight="1">
      <c r="A1699" s="35" t="s">
        <v>9106</v>
      </c>
      <c r="B1699" s="35">
        <v>1.0</v>
      </c>
      <c r="C1699" s="35"/>
      <c r="D1699" s="35"/>
      <c r="E1699" s="35"/>
      <c r="F1699" s="35"/>
      <c r="G1699" s="35"/>
      <c r="H1699" s="35"/>
      <c r="I1699" s="35"/>
      <c r="J1699" s="35"/>
      <c r="K1699" s="35"/>
      <c r="L1699" s="35"/>
      <c r="M1699" s="35"/>
      <c r="N1699" s="35"/>
      <c r="O1699" s="35"/>
      <c r="P1699" s="35"/>
      <c r="Q1699" s="35"/>
      <c r="R1699" s="35"/>
      <c r="S1699" s="35"/>
      <c r="T1699" s="35"/>
      <c r="U1699" s="35"/>
      <c r="V1699" s="35"/>
      <c r="W1699" s="35"/>
      <c r="X1699" s="35"/>
      <c r="Y1699" s="35"/>
      <c r="Z1699" s="35"/>
      <c r="AA1699" s="35"/>
      <c r="AB1699" s="35"/>
    </row>
    <row r="1700" ht="15.75" customHeight="1">
      <c r="A1700" s="35" t="s">
        <v>9109</v>
      </c>
      <c r="B1700" s="35">
        <v>1.0</v>
      </c>
      <c r="C1700" s="35"/>
      <c r="D1700" s="35"/>
      <c r="E1700" s="35"/>
      <c r="F1700" s="35"/>
      <c r="G1700" s="35"/>
      <c r="H1700" s="35"/>
      <c r="I1700" s="35"/>
      <c r="J1700" s="35"/>
      <c r="K1700" s="35"/>
      <c r="L1700" s="35"/>
      <c r="M1700" s="35"/>
      <c r="N1700" s="35"/>
      <c r="O1700" s="35"/>
      <c r="P1700" s="35"/>
      <c r="Q1700" s="35"/>
      <c r="R1700" s="35"/>
      <c r="S1700" s="35"/>
      <c r="T1700" s="35"/>
      <c r="U1700" s="35"/>
      <c r="V1700" s="35"/>
      <c r="W1700" s="35"/>
      <c r="X1700" s="35"/>
      <c r="Y1700" s="35"/>
      <c r="Z1700" s="35"/>
      <c r="AA1700" s="35"/>
      <c r="AB1700" s="35"/>
    </row>
    <row r="1701" ht="15.75" customHeight="1">
      <c r="A1701" s="35" t="s">
        <v>9112</v>
      </c>
      <c r="B1701" s="35">
        <v>1.0</v>
      </c>
      <c r="C1701" s="35"/>
      <c r="D1701" s="35"/>
      <c r="E1701" s="35"/>
      <c r="F1701" s="35"/>
      <c r="G1701" s="35"/>
      <c r="H1701" s="35"/>
      <c r="I1701" s="35"/>
      <c r="J1701" s="35"/>
      <c r="K1701" s="35"/>
      <c r="L1701" s="35"/>
      <c r="M1701" s="35"/>
      <c r="N1701" s="35"/>
      <c r="O1701" s="35"/>
      <c r="P1701" s="35"/>
      <c r="Q1701" s="35"/>
      <c r="R1701" s="35"/>
      <c r="S1701" s="35"/>
      <c r="T1701" s="35"/>
      <c r="U1701" s="35"/>
      <c r="V1701" s="35"/>
      <c r="W1701" s="35"/>
      <c r="X1701" s="35"/>
      <c r="Y1701" s="35"/>
      <c r="Z1701" s="35"/>
      <c r="AA1701" s="35"/>
      <c r="AB1701" s="35"/>
    </row>
    <row r="1702" ht="15.75" customHeight="1">
      <c r="A1702" s="35" t="s">
        <v>9115</v>
      </c>
      <c r="B1702" s="35">
        <v>1.0</v>
      </c>
      <c r="C1702" s="35"/>
      <c r="D1702" s="35"/>
      <c r="E1702" s="35"/>
      <c r="F1702" s="35"/>
      <c r="G1702" s="35"/>
      <c r="H1702" s="35"/>
      <c r="I1702" s="35"/>
      <c r="J1702" s="35"/>
      <c r="K1702" s="35"/>
      <c r="L1702" s="35"/>
      <c r="M1702" s="35"/>
      <c r="N1702" s="35"/>
      <c r="O1702" s="35"/>
      <c r="P1702" s="35"/>
      <c r="Q1702" s="35"/>
      <c r="R1702" s="35"/>
      <c r="S1702" s="35"/>
      <c r="T1702" s="35"/>
      <c r="U1702" s="35"/>
      <c r="V1702" s="35"/>
      <c r="W1702" s="35"/>
      <c r="X1702" s="35"/>
      <c r="Y1702" s="35"/>
      <c r="Z1702" s="35"/>
      <c r="AA1702" s="35"/>
      <c r="AB1702" s="35"/>
    </row>
    <row r="1703" ht="15.75" customHeight="1">
      <c r="A1703" s="35" t="s">
        <v>9119</v>
      </c>
      <c r="B1703" s="35">
        <v>1.0</v>
      </c>
      <c r="C1703" s="35"/>
      <c r="D1703" s="35"/>
      <c r="E1703" s="35"/>
      <c r="F1703" s="35"/>
      <c r="G1703" s="35"/>
      <c r="H1703" s="35"/>
      <c r="I1703" s="35"/>
      <c r="J1703" s="35"/>
      <c r="K1703" s="35"/>
      <c r="L1703" s="35"/>
      <c r="M1703" s="35"/>
      <c r="N1703" s="35"/>
      <c r="O1703" s="35"/>
      <c r="P1703" s="35"/>
      <c r="Q1703" s="35"/>
      <c r="R1703" s="35"/>
      <c r="S1703" s="35"/>
      <c r="T1703" s="35"/>
      <c r="U1703" s="35"/>
      <c r="V1703" s="35"/>
      <c r="W1703" s="35"/>
      <c r="X1703" s="35"/>
      <c r="Y1703" s="35"/>
      <c r="Z1703" s="35"/>
      <c r="AA1703" s="35"/>
      <c r="AB1703" s="35"/>
    </row>
    <row r="1704" ht="15.75" customHeight="1">
      <c r="A1704" s="35" t="s">
        <v>9122</v>
      </c>
      <c r="B1704" s="35">
        <v>1.0</v>
      </c>
      <c r="C1704" s="35"/>
      <c r="D1704" s="35"/>
      <c r="E1704" s="35"/>
      <c r="F1704" s="35"/>
      <c r="G1704" s="35"/>
      <c r="H1704" s="35"/>
      <c r="I1704" s="35"/>
      <c r="J1704" s="35"/>
      <c r="K1704" s="35"/>
      <c r="L1704" s="35"/>
      <c r="M1704" s="35"/>
      <c r="N1704" s="35"/>
      <c r="O1704" s="35"/>
      <c r="P1704" s="35"/>
      <c r="Q1704" s="35"/>
      <c r="R1704" s="35"/>
      <c r="S1704" s="35"/>
      <c r="T1704" s="35"/>
      <c r="U1704" s="35"/>
      <c r="V1704" s="35"/>
      <c r="W1704" s="35"/>
      <c r="X1704" s="35"/>
      <c r="Y1704" s="35"/>
      <c r="Z1704" s="35"/>
      <c r="AA1704" s="35"/>
      <c r="AB1704" s="35"/>
    </row>
    <row r="1705" ht="15.75" customHeight="1">
      <c r="A1705" s="35" t="s">
        <v>9125</v>
      </c>
      <c r="B1705" s="35">
        <v>1.0</v>
      </c>
      <c r="C1705" s="35"/>
      <c r="D1705" s="35"/>
      <c r="E1705" s="35"/>
      <c r="F1705" s="35"/>
      <c r="G1705" s="35"/>
      <c r="H1705" s="35"/>
      <c r="I1705" s="35"/>
      <c r="J1705" s="35"/>
      <c r="K1705" s="35"/>
      <c r="L1705" s="35"/>
      <c r="M1705" s="35"/>
      <c r="N1705" s="35"/>
      <c r="O1705" s="35"/>
      <c r="P1705" s="35"/>
      <c r="Q1705" s="35"/>
      <c r="R1705" s="35"/>
      <c r="S1705" s="35"/>
      <c r="T1705" s="35"/>
      <c r="U1705" s="35"/>
      <c r="V1705" s="35"/>
      <c r="W1705" s="35"/>
      <c r="X1705" s="35"/>
      <c r="Y1705" s="35"/>
      <c r="Z1705" s="35"/>
      <c r="AA1705" s="35"/>
      <c r="AB1705" s="35"/>
    </row>
    <row r="1706" ht="15.75" customHeight="1">
      <c r="A1706" s="35" t="s">
        <v>9128</v>
      </c>
      <c r="B1706" s="35">
        <v>1.0</v>
      </c>
      <c r="C1706" s="35"/>
      <c r="D1706" s="35"/>
      <c r="E1706" s="35"/>
      <c r="F1706" s="35"/>
      <c r="G1706" s="35"/>
      <c r="H1706" s="35"/>
      <c r="I1706" s="35"/>
      <c r="J1706" s="35"/>
      <c r="K1706" s="35"/>
      <c r="L1706" s="35"/>
      <c r="M1706" s="35"/>
      <c r="N1706" s="35"/>
      <c r="O1706" s="35"/>
      <c r="P1706" s="35"/>
      <c r="Q1706" s="35"/>
      <c r="R1706" s="35"/>
      <c r="S1706" s="35"/>
      <c r="T1706" s="35"/>
      <c r="U1706" s="35"/>
      <c r="V1706" s="35"/>
      <c r="W1706" s="35"/>
      <c r="X1706" s="35"/>
      <c r="Y1706" s="35"/>
      <c r="Z1706" s="35"/>
      <c r="AA1706" s="35"/>
      <c r="AB1706" s="35"/>
    </row>
    <row r="1707" ht="15.75" customHeight="1">
      <c r="A1707" s="35" t="s">
        <v>9132</v>
      </c>
      <c r="B1707" s="35">
        <v>1.0</v>
      </c>
      <c r="C1707" s="35"/>
      <c r="D1707" s="35"/>
      <c r="E1707" s="35"/>
      <c r="F1707" s="35"/>
      <c r="G1707" s="35"/>
      <c r="H1707" s="35"/>
      <c r="I1707" s="35"/>
      <c r="J1707" s="35"/>
      <c r="K1707" s="35"/>
      <c r="L1707" s="35"/>
      <c r="M1707" s="35"/>
      <c r="N1707" s="35"/>
      <c r="O1707" s="35"/>
      <c r="P1707" s="35"/>
      <c r="Q1707" s="35"/>
      <c r="R1707" s="35"/>
      <c r="S1707" s="35"/>
      <c r="T1707" s="35"/>
      <c r="U1707" s="35"/>
      <c r="V1707" s="35"/>
      <c r="W1707" s="35"/>
      <c r="X1707" s="35"/>
      <c r="Y1707" s="35"/>
      <c r="Z1707" s="35"/>
      <c r="AA1707" s="35"/>
      <c r="AB1707" s="35"/>
    </row>
    <row r="1708" ht="15.75" customHeight="1">
      <c r="A1708" s="35" t="s">
        <v>9135</v>
      </c>
      <c r="B1708" s="35">
        <v>1.0</v>
      </c>
      <c r="C1708" s="35"/>
      <c r="D1708" s="35"/>
      <c r="E1708" s="35"/>
      <c r="F1708" s="35"/>
      <c r="G1708" s="35"/>
      <c r="H1708" s="35"/>
      <c r="I1708" s="35"/>
      <c r="J1708" s="35"/>
      <c r="K1708" s="35"/>
      <c r="L1708" s="35"/>
      <c r="M1708" s="35"/>
      <c r="N1708" s="35"/>
      <c r="O1708" s="35"/>
      <c r="P1708" s="35"/>
      <c r="Q1708" s="35"/>
      <c r="R1708" s="35"/>
      <c r="S1708" s="35"/>
      <c r="T1708" s="35"/>
      <c r="U1708" s="35"/>
      <c r="V1708" s="35"/>
      <c r="W1708" s="35"/>
      <c r="X1708" s="35"/>
      <c r="Y1708" s="35"/>
      <c r="Z1708" s="35"/>
      <c r="AA1708" s="35"/>
      <c r="AB1708" s="35"/>
    </row>
    <row r="1709" ht="15.75" customHeight="1">
      <c r="A1709" s="35" t="s">
        <v>9140</v>
      </c>
      <c r="B1709" s="35">
        <v>1.0</v>
      </c>
      <c r="C1709" s="35"/>
      <c r="D1709" s="35"/>
      <c r="E1709" s="35"/>
      <c r="F1709" s="35"/>
      <c r="G1709" s="35"/>
      <c r="H1709" s="35"/>
      <c r="I1709" s="35"/>
      <c r="J1709" s="35"/>
      <c r="K1709" s="35"/>
      <c r="L1709" s="35"/>
      <c r="M1709" s="35"/>
      <c r="N1709" s="35"/>
      <c r="O1709" s="35"/>
      <c r="P1709" s="35"/>
      <c r="Q1709" s="35"/>
      <c r="R1709" s="35"/>
      <c r="S1709" s="35"/>
      <c r="T1709" s="35"/>
      <c r="U1709" s="35"/>
      <c r="V1709" s="35"/>
      <c r="W1709" s="35"/>
      <c r="X1709" s="35"/>
      <c r="Y1709" s="35"/>
      <c r="Z1709" s="35"/>
      <c r="AA1709" s="35"/>
      <c r="AB1709" s="35"/>
    </row>
    <row r="1710" ht="15.75" customHeight="1">
      <c r="A1710" s="35" t="s">
        <v>9142</v>
      </c>
      <c r="B1710" s="35">
        <v>1.0</v>
      </c>
      <c r="C1710" s="35"/>
      <c r="D1710" s="35"/>
      <c r="E1710" s="35"/>
      <c r="F1710" s="35"/>
      <c r="G1710" s="35"/>
      <c r="H1710" s="35"/>
      <c r="I1710" s="35"/>
      <c r="J1710" s="35"/>
      <c r="K1710" s="35"/>
      <c r="L1710" s="35"/>
      <c r="M1710" s="35"/>
      <c r="N1710" s="35"/>
      <c r="O1710" s="35"/>
      <c r="P1710" s="35"/>
      <c r="Q1710" s="35"/>
      <c r="R1710" s="35"/>
      <c r="S1710" s="35"/>
      <c r="T1710" s="35"/>
      <c r="U1710" s="35"/>
      <c r="V1710" s="35"/>
      <c r="W1710" s="35"/>
      <c r="X1710" s="35"/>
      <c r="Y1710" s="35"/>
      <c r="Z1710" s="35"/>
      <c r="AA1710" s="35"/>
      <c r="AB1710" s="35"/>
    </row>
    <row r="1711" ht="15.75" customHeight="1">
      <c r="A1711" s="35" t="s">
        <v>9146</v>
      </c>
      <c r="B1711" s="35">
        <v>1.0</v>
      </c>
      <c r="C1711" s="35"/>
      <c r="D1711" s="35"/>
      <c r="E1711" s="35"/>
      <c r="F1711" s="35"/>
      <c r="G1711" s="35"/>
      <c r="H1711" s="35"/>
      <c r="I1711" s="35"/>
      <c r="J1711" s="35"/>
      <c r="K1711" s="35"/>
      <c r="L1711" s="35"/>
      <c r="M1711" s="35"/>
      <c r="N1711" s="35"/>
      <c r="O1711" s="35"/>
      <c r="P1711" s="35"/>
      <c r="Q1711" s="35"/>
      <c r="R1711" s="35"/>
      <c r="S1711" s="35"/>
      <c r="T1711" s="35"/>
      <c r="U1711" s="35"/>
      <c r="V1711" s="35"/>
      <c r="W1711" s="35"/>
      <c r="X1711" s="35"/>
      <c r="Y1711" s="35"/>
      <c r="Z1711" s="35"/>
      <c r="AA1711" s="35"/>
      <c r="AB1711" s="35"/>
    </row>
    <row r="1712" ht="15.75" customHeight="1">
      <c r="A1712" s="35" t="s">
        <v>9150</v>
      </c>
      <c r="B1712" s="35">
        <v>1.0</v>
      </c>
      <c r="C1712" s="35"/>
      <c r="D1712" s="35"/>
      <c r="E1712" s="35"/>
      <c r="F1712" s="35"/>
      <c r="G1712" s="35"/>
      <c r="H1712" s="35"/>
      <c r="I1712" s="35"/>
      <c r="J1712" s="35"/>
      <c r="K1712" s="35"/>
      <c r="L1712" s="35"/>
      <c r="M1712" s="35"/>
      <c r="N1712" s="35"/>
      <c r="O1712" s="35"/>
      <c r="P1712" s="35"/>
      <c r="Q1712" s="35"/>
      <c r="R1712" s="35"/>
      <c r="S1712" s="35"/>
      <c r="T1712" s="35"/>
      <c r="U1712" s="35"/>
      <c r="V1712" s="35"/>
      <c r="W1712" s="35"/>
      <c r="X1712" s="35"/>
      <c r="Y1712" s="35"/>
      <c r="Z1712" s="35"/>
      <c r="AA1712" s="35"/>
      <c r="AB1712" s="35"/>
    </row>
    <row r="1713" ht="15.75" customHeight="1">
      <c r="A1713" s="35" t="s">
        <v>9153</v>
      </c>
      <c r="B1713" s="35">
        <v>1.0</v>
      </c>
      <c r="C1713" s="35"/>
      <c r="D1713" s="35"/>
      <c r="E1713" s="35"/>
      <c r="F1713" s="35"/>
      <c r="G1713" s="35"/>
      <c r="H1713" s="35"/>
      <c r="I1713" s="35"/>
      <c r="J1713" s="35"/>
      <c r="K1713" s="35"/>
      <c r="L1713" s="35"/>
      <c r="M1713" s="35"/>
      <c r="N1713" s="35"/>
      <c r="O1713" s="35"/>
      <c r="P1713" s="35"/>
      <c r="Q1713" s="35"/>
      <c r="R1713" s="35"/>
      <c r="S1713" s="35"/>
      <c r="T1713" s="35"/>
      <c r="U1713" s="35"/>
      <c r="V1713" s="35"/>
      <c r="W1713" s="35"/>
      <c r="X1713" s="35"/>
      <c r="Y1713" s="35"/>
      <c r="Z1713" s="35"/>
      <c r="AA1713" s="35"/>
      <c r="AB1713" s="35"/>
    </row>
    <row r="1714" ht="15.75" customHeight="1">
      <c r="A1714" s="35" t="s">
        <v>9156</v>
      </c>
      <c r="B1714" s="35">
        <v>1.0</v>
      </c>
      <c r="C1714" s="35"/>
      <c r="D1714" s="35"/>
      <c r="E1714" s="35"/>
      <c r="F1714" s="35"/>
      <c r="G1714" s="35"/>
      <c r="H1714" s="35"/>
      <c r="I1714" s="35"/>
      <c r="J1714" s="35"/>
      <c r="K1714" s="35"/>
      <c r="L1714" s="35"/>
      <c r="M1714" s="35"/>
      <c r="N1714" s="35"/>
      <c r="O1714" s="35"/>
      <c r="P1714" s="35"/>
      <c r="Q1714" s="35"/>
      <c r="R1714" s="35"/>
      <c r="S1714" s="35"/>
      <c r="T1714" s="35"/>
      <c r="U1714" s="35"/>
      <c r="V1714" s="35"/>
      <c r="W1714" s="35"/>
      <c r="X1714" s="35"/>
      <c r="Y1714" s="35"/>
      <c r="Z1714" s="35"/>
      <c r="AA1714" s="35"/>
      <c r="AB1714" s="35"/>
    </row>
    <row r="1715" ht="15.75" customHeight="1">
      <c r="A1715" s="35" t="s">
        <v>9160</v>
      </c>
      <c r="B1715" s="35">
        <v>1.0</v>
      </c>
      <c r="C1715" s="35"/>
      <c r="D1715" s="35"/>
      <c r="E1715" s="35"/>
      <c r="F1715" s="35"/>
      <c r="G1715" s="35"/>
      <c r="H1715" s="35"/>
      <c r="I1715" s="35"/>
      <c r="J1715" s="35"/>
      <c r="K1715" s="35"/>
      <c r="L1715" s="35"/>
      <c r="M1715" s="35"/>
      <c r="N1715" s="35"/>
      <c r="O1715" s="35"/>
      <c r="P1715" s="35"/>
      <c r="Q1715" s="35"/>
      <c r="R1715" s="35"/>
      <c r="S1715" s="35"/>
      <c r="T1715" s="35"/>
      <c r="U1715" s="35"/>
      <c r="V1715" s="35"/>
      <c r="W1715" s="35"/>
      <c r="X1715" s="35"/>
      <c r="Y1715" s="35"/>
      <c r="Z1715" s="35"/>
      <c r="AA1715" s="35"/>
      <c r="AB1715" s="35"/>
    </row>
    <row r="1716" ht="15.75" customHeight="1">
      <c r="A1716" s="35" t="s">
        <v>9163</v>
      </c>
      <c r="B1716" s="35">
        <v>1.0</v>
      </c>
      <c r="C1716" s="35"/>
      <c r="D1716" s="35"/>
      <c r="E1716" s="35"/>
      <c r="F1716" s="35"/>
      <c r="G1716" s="35"/>
      <c r="H1716" s="35"/>
      <c r="I1716" s="35"/>
      <c r="J1716" s="35"/>
      <c r="K1716" s="35"/>
      <c r="L1716" s="35"/>
      <c r="M1716" s="35"/>
      <c r="N1716" s="35"/>
      <c r="O1716" s="35"/>
      <c r="P1716" s="35"/>
      <c r="Q1716" s="35"/>
      <c r="R1716" s="35"/>
      <c r="S1716" s="35"/>
      <c r="T1716" s="35"/>
      <c r="U1716" s="35"/>
      <c r="V1716" s="35"/>
      <c r="W1716" s="35"/>
      <c r="X1716" s="35"/>
      <c r="Y1716" s="35"/>
      <c r="Z1716" s="35"/>
      <c r="AA1716" s="35"/>
      <c r="AB1716" s="35"/>
    </row>
    <row r="1717" ht="15.75" customHeight="1">
      <c r="A1717" s="35" t="s">
        <v>9166</v>
      </c>
      <c r="B1717" s="35">
        <v>1.0</v>
      </c>
      <c r="C1717" s="35"/>
      <c r="D1717" s="35"/>
      <c r="E1717" s="35"/>
      <c r="F1717" s="35"/>
      <c r="G1717" s="35"/>
      <c r="H1717" s="35"/>
      <c r="I1717" s="35"/>
      <c r="J1717" s="35"/>
      <c r="K1717" s="35"/>
      <c r="L1717" s="35"/>
      <c r="M1717" s="35"/>
      <c r="N1717" s="35"/>
      <c r="O1717" s="35"/>
      <c r="P1717" s="35"/>
      <c r="Q1717" s="35"/>
      <c r="R1717" s="35"/>
      <c r="S1717" s="35"/>
      <c r="T1717" s="35"/>
      <c r="U1717" s="35"/>
      <c r="V1717" s="35"/>
      <c r="W1717" s="35"/>
      <c r="X1717" s="35"/>
      <c r="Y1717" s="35"/>
      <c r="Z1717" s="35"/>
      <c r="AA1717" s="35"/>
      <c r="AB1717" s="35"/>
    </row>
    <row r="1718" ht="15.75" customHeight="1">
      <c r="A1718" s="35" t="s">
        <v>9170</v>
      </c>
      <c r="B1718" s="35">
        <v>1.0</v>
      </c>
      <c r="C1718" s="35"/>
      <c r="D1718" s="35"/>
      <c r="E1718" s="35"/>
      <c r="F1718" s="35"/>
      <c r="G1718" s="35"/>
      <c r="H1718" s="35"/>
      <c r="I1718" s="35"/>
      <c r="J1718" s="35"/>
      <c r="K1718" s="35"/>
      <c r="L1718" s="35"/>
      <c r="M1718" s="35"/>
      <c r="N1718" s="35"/>
      <c r="O1718" s="35"/>
      <c r="P1718" s="35"/>
      <c r="Q1718" s="35"/>
      <c r="R1718" s="35"/>
      <c r="S1718" s="35"/>
      <c r="T1718" s="35"/>
      <c r="U1718" s="35"/>
      <c r="V1718" s="35"/>
      <c r="W1718" s="35"/>
      <c r="X1718" s="35"/>
      <c r="Y1718" s="35"/>
      <c r="Z1718" s="35"/>
      <c r="AA1718" s="35"/>
      <c r="AB1718" s="35"/>
    </row>
    <row r="1719" ht="15.75" customHeight="1">
      <c r="A1719" s="35" t="s">
        <v>9173</v>
      </c>
      <c r="B1719" s="35">
        <v>1.0</v>
      </c>
      <c r="C1719" s="35"/>
      <c r="D1719" s="35"/>
      <c r="E1719" s="35"/>
      <c r="F1719" s="35"/>
      <c r="G1719" s="35"/>
      <c r="H1719" s="35"/>
      <c r="I1719" s="35"/>
      <c r="J1719" s="35"/>
      <c r="K1719" s="35"/>
      <c r="L1719" s="35"/>
      <c r="M1719" s="35"/>
      <c r="N1719" s="35"/>
      <c r="O1719" s="35"/>
      <c r="P1719" s="35"/>
      <c r="Q1719" s="35"/>
      <c r="R1719" s="35"/>
      <c r="S1719" s="35"/>
      <c r="T1719" s="35"/>
      <c r="U1719" s="35"/>
      <c r="V1719" s="35"/>
      <c r="W1719" s="35"/>
      <c r="X1719" s="35"/>
      <c r="Y1719" s="35"/>
      <c r="Z1719" s="35"/>
      <c r="AA1719" s="35"/>
      <c r="AB1719" s="35"/>
    </row>
    <row r="1720" ht="15.75" customHeight="1">
      <c r="A1720" s="35" t="s">
        <v>9176</v>
      </c>
      <c r="B1720" s="35">
        <v>1.0</v>
      </c>
      <c r="C1720" s="35"/>
      <c r="D1720" s="35"/>
      <c r="E1720" s="35"/>
      <c r="F1720" s="35"/>
      <c r="G1720" s="35"/>
      <c r="H1720" s="35"/>
      <c r="I1720" s="35"/>
      <c r="J1720" s="35"/>
      <c r="K1720" s="35"/>
      <c r="L1720" s="35"/>
      <c r="M1720" s="35"/>
      <c r="N1720" s="35"/>
      <c r="O1720" s="35"/>
      <c r="P1720" s="35"/>
      <c r="Q1720" s="35"/>
      <c r="R1720" s="35"/>
      <c r="S1720" s="35"/>
      <c r="T1720" s="35"/>
      <c r="U1720" s="35"/>
      <c r="V1720" s="35"/>
      <c r="W1720" s="35"/>
      <c r="X1720" s="35"/>
      <c r="Y1720" s="35"/>
      <c r="Z1720" s="35"/>
      <c r="AA1720" s="35"/>
      <c r="AB1720" s="35"/>
    </row>
    <row r="1721" ht="15.75" customHeight="1">
      <c r="A1721" s="35" t="s">
        <v>9179</v>
      </c>
      <c r="B1721" s="35">
        <v>1.0</v>
      </c>
      <c r="C1721" s="35"/>
      <c r="D1721" s="35"/>
      <c r="E1721" s="35"/>
      <c r="F1721" s="35"/>
      <c r="G1721" s="35"/>
      <c r="H1721" s="35"/>
      <c r="I1721" s="35"/>
      <c r="J1721" s="35"/>
      <c r="K1721" s="35"/>
      <c r="L1721" s="35"/>
      <c r="M1721" s="35"/>
      <c r="N1721" s="35"/>
      <c r="O1721" s="35"/>
      <c r="P1721" s="35"/>
      <c r="Q1721" s="35"/>
      <c r="R1721" s="35"/>
      <c r="S1721" s="35"/>
      <c r="T1721" s="35"/>
      <c r="U1721" s="35"/>
      <c r="V1721" s="35"/>
      <c r="W1721" s="35"/>
      <c r="X1721" s="35"/>
      <c r="Y1721" s="35"/>
      <c r="Z1721" s="35"/>
      <c r="AA1721" s="35"/>
      <c r="AB1721" s="35"/>
    </row>
    <row r="1722" ht="15.75" customHeight="1">
      <c r="A1722" s="35" t="s">
        <v>9183</v>
      </c>
      <c r="B1722" s="35">
        <v>1.0</v>
      </c>
      <c r="C1722" s="35"/>
      <c r="D1722" s="35"/>
      <c r="E1722" s="35"/>
      <c r="F1722" s="35"/>
      <c r="G1722" s="35"/>
      <c r="H1722" s="35"/>
      <c r="I1722" s="35"/>
      <c r="J1722" s="35"/>
      <c r="K1722" s="35"/>
      <c r="L1722" s="35"/>
      <c r="M1722" s="35"/>
      <c r="N1722" s="35"/>
      <c r="O1722" s="35"/>
      <c r="P1722" s="35"/>
      <c r="Q1722" s="35"/>
      <c r="R1722" s="35"/>
      <c r="S1722" s="35"/>
      <c r="T1722" s="35"/>
      <c r="U1722" s="35"/>
      <c r="V1722" s="35"/>
      <c r="W1722" s="35"/>
      <c r="X1722" s="35"/>
      <c r="Y1722" s="35"/>
      <c r="Z1722" s="35"/>
      <c r="AA1722" s="35"/>
      <c r="AB1722" s="35"/>
    </row>
    <row r="1723" ht="15.75" customHeight="1">
      <c r="A1723" s="35" t="s">
        <v>9186</v>
      </c>
      <c r="B1723" s="35">
        <v>1.0</v>
      </c>
      <c r="C1723" s="35"/>
      <c r="D1723" s="35"/>
      <c r="E1723" s="35"/>
      <c r="F1723" s="35"/>
      <c r="G1723" s="35"/>
      <c r="H1723" s="35"/>
      <c r="I1723" s="35"/>
      <c r="J1723" s="35"/>
      <c r="K1723" s="35"/>
      <c r="L1723" s="35"/>
      <c r="M1723" s="35"/>
      <c r="N1723" s="35"/>
      <c r="O1723" s="35"/>
      <c r="P1723" s="35"/>
      <c r="Q1723" s="35"/>
      <c r="R1723" s="35"/>
      <c r="S1723" s="35"/>
      <c r="T1723" s="35"/>
      <c r="U1723" s="35"/>
      <c r="V1723" s="35"/>
      <c r="W1723" s="35"/>
      <c r="X1723" s="35"/>
      <c r="Y1723" s="35"/>
      <c r="Z1723" s="35"/>
      <c r="AA1723" s="35"/>
      <c r="AB1723" s="35"/>
    </row>
    <row r="1724" ht="15.75" customHeight="1">
      <c r="A1724" s="35" t="s">
        <v>9188</v>
      </c>
      <c r="B1724" s="35">
        <v>1.0</v>
      </c>
      <c r="C1724" s="35"/>
      <c r="D1724" s="35"/>
      <c r="E1724" s="35"/>
      <c r="F1724" s="35"/>
      <c r="G1724" s="35"/>
      <c r="H1724" s="35"/>
      <c r="I1724" s="35"/>
      <c r="J1724" s="35"/>
      <c r="K1724" s="35"/>
      <c r="L1724" s="35"/>
      <c r="M1724" s="35"/>
      <c r="N1724" s="35"/>
      <c r="O1724" s="35"/>
      <c r="P1724" s="35"/>
      <c r="Q1724" s="35"/>
      <c r="R1724" s="35"/>
      <c r="S1724" s="35"/>
      <c r="T1724" s="35"/>
      <c r="U1724" s="35"/>
      <c r="V1724" s="35"/>
      <c r="W1724" s="35"/>
      <c r="X1724" s="35"/>
      <c r="Y1724" s="35"/>
      <c r="Z1724" s="35"/>
      <c r="AA1724" s="35"/>
      <c r="AB1724" s="35"/>
    </row>
    <row r="1725" ht="15.75" customHeight="1">
      <c r="A1725" s="35" t="s">
        <v>9191</v>
      </c>
      <c r="B1725" s="35">
        <v>1.0</v>
      </c>
      <c r="C1725" s="35"/>
      <c r="D1725" s="35"/>
      <c r="E1725" s="35"/>
      <c r="F1725" s="35"/>
      <c r="G1725" s="35"/>
      <c r="H1725" s="35"/>
      <c r="I1725" s="35"/>
      <c r="J1725" s="35"/>
      <c r="K1725" s="35"/>
      <c r="L1725" s="35"/>
      <c r="M1725" s="35"/>
      <c r="N1725" s="35"/>
      <c r="O1725" s="35"/>
      <c r="P1725" s="35"/>
      <c r="Q1725" s="35"/>
      <c r="R1725" s="35"/>
      <c r="S1725" s="35"/>
      <c r="T1725" s="35"/>
      <c r="U1725" s="35"/>
      <c r="V1725" s="35"/>
      <c r="W1725" s="35"/>
      <c r="X1725" s="35"/>
      <c r="Y1725" s="35"/>
      <c r="Z1725" s="35"/>
      <c r="AA1725" s="35"/>
      <c r="AB1725" s="35"/>
    </row>
    <row r="1726" ht="15.75" customHeight="1">
      <c r="A1726" s="35" t="s">
        <v>9194</v>
      </c>
      <c r="B1726" s="35">
        <v>1.0</v>
      </c>
      <c r="C1726" s="35"/>
      <c r="D1726" s="35"/>
      <c r="E1726" s="35"/>
      <c r="F1726" s="35"/>
      <c r="G1726" s="35"/>
      <c r="H1726" s="35"/>
      <c r="I1726" s="35"/>
      <c r="J1726" s="35"/>
      <c r="K1726" s="35"/>
      <c r="L1726" s="35"/>
      <c r="M1726" s="35"/>
      <c r="N1726" s="35"/>
      <c r="O1726" s="35"/>
      <c r="P1726" s="35"/>
      <c r="Q1726" s="35"/>
      <c r="R1726" s="35"/>
      <c r="S1726" s="35"/>
      <c r="T1726" s="35"/>
      <c r="U1726" s="35"/>
      <c r="V1726" s="35"/>
      <c r="W1726" s="35"/>
      <c r="X1726" s="35"/>
      <c r="Y1726" s="35"/>
      <c r="Z1726" s="35"/>
      <c r="AA1726" s="35"/>
      <c r="AB1726" s="35"/>
    </row>
    <row r="1727" ht="15.75" customHeight="1">
      <c r="A1727" s="35" t="s">
        <v>9198</v>
      </c>
      <c r="B1727" s="35">
        <v>1.0</v>
      </c>
      <c r="C1727" s="35"/>
      <c r="D1727" s="35"/>
      <c r="E1727" s="35"/>
      <c r="F1727" s="35"/>
      <c r="G1727" s="35"/>
      <c r="H1727" s="35"/>
      <c r="I1727" s="35"/>
      <c r="J1727" s="35"/>
      <c r="K1727" s="35"/>
      <c r="L1727" s="35"/>
      <c r="M1727" s="35"/>
      <c r="N1727" s="35"/>
      <c r="O1727" s="35"/>
      <c r="P1727" s="35"/>
      <c r="Q1727" s="35"/>
      <c r="R1727" s="35"/>
      <c r="S1727" s="35"/>
      <c r="T1727" s="35"/>
      <c r="U1727" s="35"/>
      <c r="V1727" s="35"/>
      <c r="W1727" s="35"/>
      <c r="X1727" s="35"/>
      <c r="Y1727" s="35"/>
      <c r="Z1727" s="35"/>
      <c r="AA1727" s="35"/>
      <c r="AB1727" s="35"/>
    </row>
    <row r="1728" ht="15.75" customHeight="1">
      <c r="A1728" s="35" t="s">
        <v>9201</v>
      </c>
      <c r="B1728" s="35">
        <v>1.0</v>
      </c>
      <c r="C1728" s="35"/>
      <c r="D1728" s="35"/>
      <c r="E1728" s="35"/>
      <c r="F1728" s="35"/>
      <c r="G1728" s="35"/>
      <c r="H1728" s="35"/>
      <c r="I1728" s="35"/>
      <c r="J1728" s="35"/>
      <c r="K1728" s="35"/>
      <c r="L1728" s="35"/>
      <c r="M1728" s="35"/>
      <c r="N1728" s="35"/>
      <c r="O1728" s="35"/>
      <c r="P1728" s="35"/>
      <c r="Q1728" s="35"/>
      <c r="R1728" s="35"/>
      <c r="S1728" s="35"/>
      <c r="T1728" s="35"/>
      <c r="U1728" s="35"/>
      <c r="V1728" s="35"/>
      <c r="W1728" s="35"/>
      <c r="X1728" s="35"/>
      <c r="Y1728" s="35"/>
      <c r="Z1728" s="35"/>
      <c r="AA1728" s="35"/>
      <c r="AB1728" s="35"/>
    </row>
    <row r="1729" ht="15.75" customHeight="1">
      <c r="A1729" s="35" t="s">
        <v>9204</v>
      </c>
      <c r="B1729" s="35">
        <v>1.0</v>
      </c>
      <c r="C1729" s="35"/>
      <c r="D1729" s="35"/>
      <c r="E1729" s="35"/>
      <c r="F1729" s="35"/>
      <c r="G1729" s="35"/>
      <c r="H1729" s="35"/>
      <c r="I1729" s="35"/>
      <c r="J1729" s="35"/>
      <c r="K1729" s="35"/>
      <c r="L1729" s="35"/>
      <c r="M1729" s="35"/>
      <c r="N1729" s="35"/>
      <c r="O1729" s="35"/>
      <c r="P1729" s="35"/>
      <c r="Q1729" s="35"/>
      <c r="R1729" s="35"/>
      <c r="S1729" s="35"/>
      <c r="T1729" s="35"/>
      <c r="U1729" s="35"/>
      <c r="V1729" s="35"/>
      <c r="W1729" s="35"/>
      <c r="X1729" s="35"/>
      <c r="Y1729" s="35"/>
      <c r="Z1729" s="35"/>
      <c r="AA1729" s="35"/>
      <c r="AB1729" s="35"/>
    </row>
    <row r="1730" ht="15.75" customHeight="1">
      <c r="A1730" s="35" t="s">
        <v>9207</v>
      </c>
      <c r="B1730" s="35">
        <v>1.0</v>
      </c>
      <c r="C1730" s="35"/>
      <c r="D1730" s="35"/>
      <c r="E1730" s="35"/>
      <c r="F1730" s="35"/>
      <c r="G1730" s="35"/>
      <c r="H1730" s="35"/>
      <c r="I1730" s="35"/>
      <c r="J1730" s="35"/>
      <c r="K1730" s="35"/>
      <c r="L1730" s="35"/>
      <c r="M1730" s="35"/>
      <c r="N1730" s="35"/>
      <c r="O1730" s="35"/>
      <c r="P1730" s="35"/>
      <c r="Q1730" s="35"/>
      <c r="R1730" s="35"/>
      <c r="S1730" s="35"/>
      <c r="T1730" s="35"/>
      <c r="U1730" s="35"/>
      <c r="V1730" s="35"/>
      <c r="W1730" s="35"/>
      <c r="X1730" s="35"/>
      <c r="Y1730" s="35"/>
      <c r="Z1730" s="35"/>
      <c r="AA1730" s="35"/>
      <c r="AB1730" s="35"/>
    </row>
    <row r="1731" ht="15.75" customHeight="1">
      <c r="A1731" s="35" t="s">
        <v>9210</v>
      </c>
      <c r="B1731" s="35">
        <v>1.0</v>
      </c>
      <c r="C1731" s="35"/>
      <c r="D1731" s="35"/>
      <c r="E1731" s="35"/>
      <c r="F1731" s="35"/>
      <c r="G1731" s="35"/>
      <c r="H1731" s="35"/>
      <c r="I1731" s="35"/>
      <c r="J1731" s="35"/>
      <c r="K1731" s="35"/>
      <c r="L1731" s="35"/>
      <c r="M1731" s="35"/>
      <c r="N1731" s="35"/>
      <c r="O1731" s="35"/>
      <c r="P1731" s="35"/>
      <c r="Q1731" s="35"/>
      <c r="R1731" s="35"/>
      <c r="S1731" s="35"/>
      <c r="T1731" s="35"/>
      <c r="U1731" s="35"/>
      <c r="V1731" s="35"/>
      <c r="W1731" s="35"/>
      <c r="X1731" s="35"/>
      <c r="Y1731" s="35"/>
      <c r="Z1731" s="35"/>
      <c r="AA1731" s="35"/>
      <c r="AB1731" s="35"/>
    </row>
    <row r="1732" ht="15.75" customHeight="1">
      <c r="A1732" s="35" t="s">
        <v>9213</v>
      </c>
      <c r="B1732" s="35">
        <v>1.0</v>
      </c>
      <c r="C1732" s="35"/>
      <c r="D1732" s="35"/>
      <c r="E1732" s="35"/>
      <c r="F1732" s="35"/>
      <c r="G1732" s="35"/>
      <c r="H1732" s="35"/>
      <c r="I1732" s="35"/>
      <c r="J1732" s="35"/>
      <c r="K1732" s="35"/>
      <c r="L1732" s="35"/>
      <c r="M1732" s="35"/>
      <c r="N1732" s="35"/>
      <c r="O1732" s="35"/>
      <c r="P1732" s="35"/>
      <c r="Q1732" s="35"/>
      <c r="R1732" s="35"/>
      <c r="S1732" s="35"/>
      <c r="T1732" s="35"/>
      <c r="U1732" s="35"/>
      <c r="V1732" s="35"/>
      <c r="W1732" s="35"/>
      <c r="X1732" s="35"/>
      <c r="Y1732" s="35"/>
      <c r="Z1732" s="35"/>
      <c r="AA1732" s="35"/>
      <c r="AB1732" s="35"/>
    </row>
    <row r="1733" ht="15.75" customHeight="1">
      <c r="A1733" s="35" t="s">
        <v>9216</v>
      </c>
      <c r="B1733" s="35">
        <v>1.0</v>
      </c>
      <c r="C1733" s="35"/>
      <c r="D1733" s="35"/>
      <c r="E1733" s="35"/>
      <c r="F1733" s="35"/>
      <c r="G1733" s="35"/>
      <c r="H1733" s="35"/>
      <c r="I1733" s="35"/>
      <c r="J1733" s="35"/>
      <c r="K1733" s="35"/>
      <c r="L1733" s="35"/>
      <c r="M1733" s="35"/>
      <c r="N1733" s="35"/>
      <c r="O1733" s="35"/>
      <c r="P1733" s="35"/>
      <c r="Q1733" s="35"/>
      <c r="R1733" s="35"/>
      <c r="S1733" s="35"/>
      <c r="T1733" s="35"/>
      <c r="U1733" s="35"/>
      <c r="V1733" s="35"/>
      <c r="W1733" s="35"/>
      <c r="X1733" s="35"/>
      <c r="Y1733" s="35"/>
      <c r="Z1733" s="35"/>
      <c r="AA1733" s="35"/>
      <c r="AB1733" s="35"/>
    </row>
    <row r="1734" ht="15.75" customHeight="1">
      <c r="A1734" s="35" t="s">
        <v>9219</v>
      </c>
      <c r="B1734" s="35">
        <v>1.0</v>
      </c>
      <c r="C1734" s="35"/>
      <c r="D1734" s="35"/>
      <c r="E1734" s="35"/>
      <c r="F1734" s="35"/>
      <c r="G1734" s="35"/>
      <c r="H1734" s="35"/>
      <c r="I1734" s="35"/>
      <c r="J1734" s="35"/>
      <c r="K1734" s="35"/>
      <c r="L1734" s="35"/>
      <c r="M1734" s="35"/>
      <c r="N1734" s="35"/>
      <c r="O1734" s="35"/>
      <c r="P1734" s="35"/>
      <c r="Q1734" s="35"/>
      <c r="R1734" s="35"/>
      <c r="S1734" s="35"/>
      <c r="T1734" s="35"/>
      <c r="U1734" s="35"/>
      <c r="V1734" s="35"/>
      <c r="W1734" s="35"/>
      <c r="X1734" s="35"/>
      <c r="Y1734" s="35"/>
      <c r="Z1734" s="35"/>
      <c r="AA1734" s="35"/>
      <c r="AB1734" s="35"/>
    </row>
    <row r="1735" ht="15.75" customHeight="1">
      <c r="A1735" s="35" t="s">
        <v>9223</v>
      </c>
      <c r="B1735" s="35">
        <v>1.0</v>
      </c>
      <c r="C1735" s="35"/>
      <c r="D1735" s="35"/>
      <c r="E1735" s="35"/>
      <c r="F1735" s="35"/>
      <c r="G1735" s="35"/>
      <c r="H1735" s="35"/>
      <c r="I1735" s="35"/>
      <c r="J1735" s="35"/>
      <c r="K1735" s="35"/>
      <c r="L1735" s="35"/>
      <c r="M1735" s="35"/>
      <c r="N1735" s="35"/>
      <c r="O1735" s="35"/>
      <c r="P1735" s="35"/>
      <c r="Q1735" s="35"/>
      <c r="R1735" s="35"/>
      <c r="S1735" s="35"/>
      <c r="T1735" s="35"/>
      <c r="U1735" s="35"/>
      <c r="V1735" s="35"/>
      <c r="W1735" s="35"/>
      <c r="X1735" s="35"/>
      <c r="Y1735" s="35"/>
      <c r="Z1735" s="35"/>
      <c r="AA1735" s="35"/>
      <c r="AB1735" s="35"/>
    </row>
    <row r="1736" ht="15.75" customHeight="1">
      <c r="A1736" s="35" t="s">
        <v>9226</v>
      </c>
      <c r="B1736" s="35">
        <v>1.0</v>
      </c>
      <c r="C1736" s="35"/>
      <c r="D1736" s="35"/>
      <c r="E1736" s="35"/>
      <c r="F1736" s="35"/>
      <c r="G1736" s="35"/>
      <c r="H1736" s="35"/>
      <c r="I1736" s="35"/>
      <c r="J1736" s="35"/>
      <c r="K1736" s="35"/>
      <c r="L1736" s="35"/>
      <c r="M1736" s="35"/>
      <c r="N1736" s="35"/>
      <c r="O1736" s="35"/>
      <c r="P1736" s="35"/>
      <c r="Q1736" s="35"/>
      <c r="R1736" s="35"/>
      <c r="S1736" s="35"/>
      <c r="T1736" s="35"/>
      <c r="U1736" s="35"/>
      <c r="V1736" s="35"/>
      <c r="W1736" s="35"/>
      <c r="X1736" s="35"/>
      <c r="Y1736" s="35"/>
      <c r="Z1736" s="35"/>
      <c r="AA1736" s="35"/>
      <c r="AB1736" s="35"/>
    </row>
    <row r="1737" ht="15.75" customHeight="1">
      <c r="A1737" s="35" t="s">
        <v>9229</v>
      </c>
      <c r="B1737" s="35">
        <v>1.0</v>
      </c>
      <c r="C1737" s="35"/>
      <c r="D1737" s="35"/>
      <c r="E1737" s="35"/>
      <c r="F1737" s="35"/>
      <c r="G1737" s="35"/>
      <c r="H1737" s="35"/>
      <c r="I1737" s="35"/>
      <c r="J1737" s="35"/>
      <c r="K1737" s="35"/>
      <c r="L1737" s="35"/>
      <c r="M1737" s="35"/>
      <c r="N1737" s="35"/>
      <c r="O1737" s="35"/>
      <c r="P1737" s="35"/>
      <c r="Q1737" s="35"/>
      <c r="R1737" s="35"/>
      <c r="S1737" s="35"/>
      <c r="T1737" s="35"/>
      <c r="U1737" s="35"/>
      <c r="V1737" s="35"/>
      <c r="W1737" s="35"/>
      <c r="X1737" s="35"/>
      <c r="Y1737" s="35"/>
      <c r="Z1737" s="35"/>
      <c r="AA1737" s="35"/>
      <c r="AB1737" s="35"/>
    </row>
    <row r="1738" ht="15.75" customHeight="1">
      <c r="A1738" s="35" t="s">
        <v>9232</v>
      </c>
      <c r="B1738" s="35">
        <v>1.0</v>
      </c>
      <c r="C1738" s="35"/>
      <c r="D1738" s="35"/>
      <c r="E1738" s="35"/>
      <c r="F1738" s="35"/>
      <c r="G1738" s="35"/>
      <c r="H1738" s="35"/>
      <c r="I1738" s="35"/>
      <c r="J1738" s="35"/>
      <c r="K1738" s="35"/>
      <c r="L1738" s="35"/>
      <c r="M1738" s="35"/>
      <c r="N1738" s="35"/>
      <c r="O1738" s="35"/>
      <c r="P1738" s="35"/>
      <c r="Q1738" s="35"/>
      <c r="R1738" s="35"/>
      <c r="S1738" s="35"/>
      <c r="T1738" s="35"/>
      <c r="U1738" s="35"/>
      <c r="V1738" s="35"/>
      <c r="W1738" s="35"/>
      <c r="X1738" s="35"/>
      <c r="Y1738" s="35"/>
      <c r="Z1738" s="35"/>
      <c r="AA1738" s="35"/>
      <c r="AB1738" s="35"/>
    </row>
    <row r="1739" ht="15.75" customHeight="1">
      <c r="A1739" s="35" t="s">
        <v>9235</v>
      </c>
      <c r="B1739" s="35">
        <v>1.0</v>
      </c>
      <c r="C1739" s="35"/>
      <c r="D1739" s="35"/>
      <c r="E1739" s="35"/>
      <c r="F1739" s="35"/>
      <c r="G1739" s="35"/>
      <c r="H1739" s="35"/>
      <c r="I1739" s="35"/>
      <c r="J1739" s="35"/>
      <c r="K1739" s="35"/>
      <c r="L1739" s="35"/>
      <c r="M1739" s="35"/>
      <c r="N1739" s="35"/>
      <c r="O1739" s="35"/>
      <c r="P1739" s="35"/>
      <c r="Q1739" s="35"/>
      <c r="R1739" s="35"/>
      <c r="S1739" s="35"/>
      <c r="T1739" s="35"/>
      <c r="U1739" s="35"/>
      <c r="V1739" s="35"/>
      <c r="W1739" s="35"/>
      <c r="X1739" s="35"/>
      <c r="Y1739" s="35"/>
      <c r="Z1739" s="35"/>
      <c r="AA1739" s="35"/>
      <c r="AB1739" s="35"/>
    </row>
    <row r="1740" ht="15.75" customHeight="1">
      <c r="A1740" s="35" t="s">
        <v>9239</v>
      </c>
      <c r="B1740" s="35">
        <v>1.0</v>
      </c>
      <c r="C1740" s="35"/>
      <c r="D1740" s="35"/>
      <c r="E1740" s="35"/>
      <c r="F1740" s="35"/>
      <c r="G1740" s="35"/>
      <c r="H1740" s="35"/>
      <c r="I1740" s="35"/>
      <c r="J1740" s="35"/>
      <c r="K1740" s="35"/>
      <c r="L1740" s="35"/>
      <c r="M1740" s="35"/>
      <c r="N1740" s="35"/>
      <c r="O1740" s="35"/>
      <c r="P1740" s="35"/>
      <c r="Q1740" s="35"/>
      <c r="R1740" s="35"/>
      <c r="S1740" s="35"/>
      <c r="T1740" s="35"/>
      <c r="U1740" s="35"/>
      <c r="V1740" s="35"/>
      <c r="W1740" s="35"/>
      <c r="X1740" s="35"/>
      <c r="Y1740" s="35"/>
      <c r="Z1740" s="35"/>
      <c r="AA1740" s="35"/>
      <c r="AB1740" s="35"/>
    </row>
    <row r="1741" ht="15.75" customHeight="1">
      <c r="A1741" s="35" t="s">
        <v>9242</v>
      </c>
      <c r="B1741" s="35">
        <v>1.0</v>
      </c>
      <c r="C1741" s="35"/>
      <c r="D1741" s="35"/>
      <c r="E1741" s="35"/>
      <c r="F1741" s="35"/>
      <c r="G1741" s="35"/>
      <c r="H1741" s="35"/>
      <c r="I1741" s="35"/>
      <c r="J1741" s="35"/>
      <c r="K1741" s="35"/>
      <c r="L1741" s="35"/>
      <c r="M1741" s="35"/>
      <c r="N1741" s="35"/>
      <c r="O1741" s="35"/>
      <c r="P1741" s="35"/>
      <c r="Q1741" s="35"/>
      <c r="R1741" s="35"/>
      <c r="S1741" s="35"/>
      <c r="T1741" s="35"/>
      <c r="U1741" s="35"/>
      <c r="V1741" s="35"/>
      <c r="W1741" s="35"/>
      <c r="X1741" s="35"/>
      <c r="Y1741" s="35"/>
      <c r="Z1741" s="35"/>
      <c r="AA1741" s="35"/>
      <c r="AB1741" s="35"/>
    </row>
    <row r="1742" ht="15.75" customHeight="1">
      <c r="A1742" s="35" t="s">
        <v>9245</v>
      </c>
      <c r="B1742" s="35">
        <v>1.0</v>
      </c>
      <c r="C1742" s="35"/>
      <c r="D1742" s="35"/>
      <c r="E1742" s="35"/>
      <c r="F1742" s="35"/>
      <c r="G1742" s="35"/>
      <c r="H1742" s="35"/>
      <c r="I1742" s="35"/>
      <c r="J1742" s="35"/>
      <c r="K1742" s="35"/>
      <c r="L1742" s="35"/>
      <c r="M1742" s="35"/>
      <c r="N1742" s="35"/>
      <c r="O1742" s="35"/>
      <c r="P1742" s="35"/>
      <c r="Q1742" s="35"/>
      <c r="R1742" s="35"/>
      <c r="S1742" s="35"/>
      <c r="T1742" s="35"/>
      <c r="U1742" s="35"/>
      <c r="V1742" s="35"/>
      <c r="W1742" s="35"/>
      <c r="X1742" s="35"/>
      <c r="Y1742" s="35"/>
      <c r="Z1742" s="35"/>
      <c r="AA1742" s="35"/>
      <c r="AB1742" s="35"/>
    </row>
    <row r="1743" ht="15.75" customHeight="1">
      <c r="A1743" s="35" t="s">
        <v>9248</v>
      </c>
      <c r="B1743" s="35">
        <v>1.0</v>
      </c>
      <c r="C1743" s="35"/>
      <c r="D1743" s="35"/>
      <c r="E1743" s="35"/>
      <c r="F1743" s="35"/>
      <c r="G1743" s="35"/>
      <c r="H1743" s="35"/>
      <c r="I1743" s="35"/>
      <c r="J1743" s="35"/>
      <c r="K1743" s="35"/>
      <c r="L1743" s="35"/>
      <c r="M1743" s="35"/>
      <c r="N1743" s="35"/>
      <c r="O1743" s="35"/>
      <c r="P1743" s="35"/>
      <c r="Q1743" s="35"/>
      <c r="R1743" s="35"/>
      <c r="S1743" s="35"/>
      <c r="T1743" s="35"/>
      <c r="U1743" s="35"/>
      <c r="V1743" s="35"/>
      <c r="W1743" s="35"/>
      <c r="X1743" s="35"/>
      <c r="Y1743" s="35"/>
      <c r="Z1743" s="35"/>
      <c r="AA1743" s="35"/>
      <c r="AB1743" s="35"/>
    </row>
    <row r="1744" ht="15.75" customHeight="1">
      <c r="A1744" s="35" t="s">
        <v>9252</v>
      </c>
      <c r="B1744" s="35">
        <v>1.0</v>
      </c>
      <c r="C1744" s="35"/>
      <c r="D1744" s="35"/>
      <c r="E1744" s="35"/>
      <c r="F1744" s="35"/>
      <c r="G1744" s="35"/>
      <c r="H1744" s="35"/>
      <c r="I1744" s="35"/>
      <c r="J1744" s="35"/>
      <c r="K1744" s="35"/>
      <c r="L1744" s="35"/>
      <c r="M1744" s="35"/>
      <c r="N1744" s="35"/>
      <c r="O1744" s="35"/>
      <c r="P1744" s="35"/>
      <c r="Q1744" s="35"/>
      <c r="R1744" s="35"/>
      <c r="S1744" s="35"/>
      <c r="T1744" s="35"/>
      <c r="U1744" s="35"/>
      <c r="V1744" s="35"/>
      <c r="W1744" s="35"/>
      <c r="X1744" s="35"/>
      <c r="Y1744" s="35"/>
      <c r="Z1744" s="35"/>
      <c r="AA1744" s="35"/>
      <c r="AB1744" s="35"/>
    </row>
    <row r="1745" ht="15.75" customHeight="1">
      <c r="A1745" s="35" t="s">
        <v>9255</v>
      </c>
      <c r="B1745" s="35">
        <v>1.0</v>
      </c>
      <c r="C1745" s="35"/>
      <c r="D1745" s="35"/>
      <c r="E1745" s="35"/>
      <c r="F1745" s="35"/>
      <c r="G1745" s="35"/>
      <c r="H1745" s="35"/>
      <c r="I1745" s="35"/>
      <c r="J1745" s="35"/>
      <c r="K1745" s="35"/>
      <c r="L1745" s="35"/>
      <c r="M1745" s="35"/>
      <c r="N1745" s="35"/>
      <c r="O1745" s="35"/>
      <c r="P1745" s="35"/>
      <c r="Q1745" s="35"/>
      <c r="R1745" s="35"/>
      <c r="S1745" s="35"/>
      <c r="T1745" s="35"/>
      <c r="U1745" s="35"/>
      <c r="V1745" s="35"/>
      <c r="W1745" s="35"/>
      <c r="X1745" s="35"/>
      <c r="Y1745" s="35"/>
      <c r="Z1745" s="35"/>
      <c r="AA1745" s="35"/>
      <c r="AB1745" s="35"/>
    </row>
    <row r="1746" ht="15.75" customHeight="1">
      <c r="A1746" s="35" t="s">
        <v>9258</v>
      </c>
      <c r="B1746" s="35">
        <v>1.0</v>
      </c>
      <c r="C1746" s="35"/>
      <c r="D1746" s="35"/>
      <c r="E1746" s="35"/>
      <c r="F1746" s="35"/>
      <c r="G1746" s="35"/>
      <c r="H1746" s="35"/>
      <c r="I1746" s="35"/>
      <c r="J1746" s="35"/>
      <c r="K1746" s="35"/>
      <c r="L1746" s="35"/>
      <c r="M1746" s="35"/>
      <c r="N1746" s="35"/>
      <c r="O1746" s="35"/>
      <c r="P1746" s="35"/>
      <c r="Q1746" s="35"/>
      <c r="R1746" s="35"/>
      <c r="S1746" s="35"/>
      <c r="T1746" s="35"/>
      <c r="U1746" s="35"/>
      <c r="V1746" s="35"/>
      <c r="W1746" s="35"/>
      <c r="X1746" s="35"/>
      <c r="Y1746" s="35"/>
      <c r="Z1746" s="35"/>
      <c r="AA1746" s="35"/>
      <c r="AB1746" s="35"/>
    </row>
    <row r="1747" ht="15.75" customHeight="1">
      <c r="A1747" s="35" t="s">
        <v>9261</v>
      </c>
      <c r="B1747" s="35">
        <v>1.0</v>
      </c>
      <c r="C1747" s="35"/>
      <c r="D1747" s="35"/>
      <c r="E1747" s="35"/>
      <c r="F1747" s="35"/>
      <c r="G1747" s="35"/>
      <c r="H1747" s="35"/>
      <c r="I1747" s="35"/>
      <c r="J1747" s="35"/>
      <c r="K1747" s="35"/>
      <c r="L1747" s="35"/>
      <c r="M1747" s="35"/>
      <c r="N1747" s="35"/>
      <c r="O1747" s="35"/>
      <c r="P1747" s="35"/>
      <c r="Q1747" s="35"/>
      <c r="R1747" s="35"/>
      <c r="S1747" s="35"/>
      <c r="T1747" s="35"/>
      <c r="U1747" s="35"/>
      <c r="V1747" s="35"/>
      <c r="W1747" s="35"/>
      <c r="X1747" s="35"/>
      <c r="Y1747" s="35"/>
      <c r="Z1747" s="35"/>
      <c r="AA1747" s="35"/>
      <c r="AB1747" s="35"/>
    </row>
    <row r="1748" ht="15.75" customHeight="1">
      <c r="A1748" s="35" t="s">
        <v>9265</v>
      </c>
      <c r="B1748" s="35">
        <v>1.0</v>
      </c>
      <c r="C1748" s="35"/>
      <c r="D1748" s="35"/>
      <c r="E1748" s="35"/>
      <c r="F1748" s="35"/>
      <c r="G1748" s="35"/>
      <c r="H1748" s="35"/>
      <c r="I1748" s="35"/>
      <c r="J1748" s="35"/>
      <c r="K1748" s="35"/>
      <c r="L1748" s="35"/>
      <c r="M1748" s="35"/>
      <c r="N1748" s="35"/>
      <c r="O1748" s="35"/>
      <c r="P1748" s="35"/>
      <c r="Q1748" s="35"/>
      <c r="R1748" s="35"/>
      <c r="S1748" s="35"/>
      <c r="T1748" s="35"/>
      <c r="U1748" s="35"/>
      <c r="V1748" s="35"/>
      <c r="W1748" s="35"/>
      <c r="X1748" s="35"/>
      <c r="Y1748" s="35"/>
      <c r="Z1748" s="35"/>
      <c r="AA1748" s="35"/>
      <c r="AB1748" s="35"/>
    </row>
    <row r="1749" ht="15.75" customHeight="1">
      <c r="A1749" s="35" t="s">
        <v>9268</v>
      </c>
      <c r="B1749" s="35">
        <v>1.0</v>
      </c>
      <c r="C1749" s="35"/>
      <c r="D1749" s="35"/>
      <c r="E1749" s="35"/>
      <c r="F1749" s="35"/>
      <c r="G1749" s="35"/>
      <c r="H1749" s="35"/>
      <c r="I1749" s="35"/>
      <c r="J1749" s="35"/>
      <c r="K1749" s="35"/>
      <c r="L1749" s="35"/>
      <c r="M1749" s="35"/>
      <c r="N1749" s="35"/>
      <c r="O1749" s="35"/>
      <c r="P1749" s="35"/>
      <c r="Q1749" s="35"/>
      <c r="R1749" s="35"/>
      <c r="S1749" s="35"/>
      <c r="T1749" s="35"/>
      <c r="U1749" s="35"/>
      <c r="V1749" s="35"/>
      <c r="W1749" s="35"/>
      <c r="X1749" s="35"/>
      <c r="Y1749" s="35"/>
      <c r="Z1749" s="35"/>
      <c r="AA1749" s="35"/>
      <c r="AB1749" s="35"/>
    </row>
    <row r="1750" ht="15.75" customHeight="1">
      <c r="A1750" s="35" t="s">
        <v>9272</v>
      </c>
      <c r="B1750" s="35">
        <v>1.0</v>
      </c>
      <c r="C1750" s="35"/>
      <c r="D1750" s="35"/>
      <c r="E1750" s="35"/>
      <c r="F1750" s="35"/>
      <c r="G1750" s="35"/>
      <c r="H1750" s="35"/>
      <c r="I1750" s="35"/>
      <c r="J1750" s="35"/>
      <c r="K1750" s="35"/>
      <c r="L1750" s="35"/>
      <c r="M1750" s="35"/>
      <c r="N1750" s="35"/>
      <c r="O1750" s="35"/>
      <c r="P1750" s="35"/>
      <c r="Q1750" s="35"/>
      <c r="R1750" s="35"/>
      <c r="S1750" s="35"/>
      <c r="T1750" s="35"/>
      <c r="U1750" s="35"/>
      <c r="V1750" s="35"/>
      <c r="W1750" s="35"/>
      <c r="X1750" s="35"/>
      <c r="Y1750" s="35"/>
      <c r="Z1750" s="35"/>
      <c r="AA1750" s="35"/>
      <c r="AB1750" s="35"/>
    </row>
    <row r="1751" ht="15.75" customHeight="1">
      <c r="A1751" s="35" t="s">
        <v>9275</v>
      </c>
      <c r="B1751" s="35">
        <v>1.0</v>
      </c>
      <c r="C1751" s="35"/>
      <c r="D1751" s="35"/>
      <c r="E1751" s="35"/>
      <c r="F1751" s="35"/>
      <c r="G1751" s="35"/>
      <c r="H1751" s="35"/>
      <c r="I1751" s="35"/>
      <c r="J1751" s="35"/>
      <c r="K1751" s="35"/>
      <c r="L1751" s="35"/>
      <c r="M1751" s="35"/>
      <c r="N1751" s="35"/>
      <c r="O1751" s="35"/>
      <c r="P1751" s="35"/>
      <c r="Q1751" s="35"/>
      <c r="R1751" s="35"/>
      <c r="S1751" s="35"/>
      <c r="T1751" s="35"/>
      <c r="U1751" s="35"/>
      <c r="V1751" s="35"/>
      <c r="W1751" s="35"/>
      <c r="X1751" s="35"/>
      <c r="Y1751" s="35"/>
      <c r="Z1751" s="35"/>
      <c r="AA1751" s="35"/>
      <c r="AB1751" s="35"/>
    </row>
    <row r="1752" ht="15.75" customHeight="1">
      <c r="A1752" s="35" t="s">
        <v>9278</v>
      </c>
      <c r="B1752" s="35">
        <v>1.0</v>
      </c>
      <c r="C1752" s="35"/>
      <c r="D1752" s="35"/>
      <c r="E1752" s="35"/>
      <c r="F1752" s="35"/>
      <c r="G1752" s="35"/>
      <c r="H1752" s="35"/>
      <c r="I1752" s="35"/>
      <c r="J1752" s="35"/>
      <c r="K1752" s="35"/>
      <c r="L1752" s="35"/>
      <c r="M1752" s="35"/>
      <c r="N1752" s="35"/>
      <c r="O1752" s="35"/>
      <c r="P1752" s="35"/>
      <c r="Q1752" s="35"/>
      <c r="R1752" s="35"/>
      <c r="S1752" s="35"/>
      <c r="T1752" s="35"/>
      <c r="U1752" s="35"/>
      <c r="V1752" s="35"/>
      <c r="W1752" s="35"/>
      <c r="X1752" s="35"/>
      <c r="Y1752" s="35"/>
      <c r="Z1752" s="35"/>
      <c r="AA1752" s="35"/>
      <c r="AB1752" s="35"/>
    </row>
    <row r="1753" ht="15.75" customHeight="1">
      <c r="A1753" s="35" t="s">
        <v>9281</v>
      </c>
      <c r="B1753" s="35">
        <v>1.0</v>
      </c>
      <c r="C1753" s="35"/>
      <c r="D1753" s="35"/>
      <c r="E1753" s="35"/>
      <c r="F1753" s="35"/>
      <c r="G1753" s="35"/>
      <c r="H1753" s="35"/>
      <c r="I1753" s="35"/>
      <c r="J1753" s="35"/>
      <c r="K1753" s="35"/>
      <c r="L1753" s="35"/>
      <c r="M1753" s="35"/>
      <c r="N1753" s="35"/>
      <c r="O1753" s="35"/>
      <c r="P1753" s="35"/>
      <c r="Q1753" s="35"/>
      <c r="R1753" s="35"/>
      <c r="S1753" s="35"/>
      <c r="T1753" s="35"/>
      <c r="U1753" s="35"/>
      <c r="V1753" s="35"/>
      <c r="W1753" s="35"/>
      <c r="X1753" s="35"/>
      <c r="Y1753" s="35"/>
      <c r="Z1753" s="35"/>
      <c r="AA1753" s="35"/>
      <c r="AB1753" s="35"/>
    </row>
    <row r="1754" ht="15.75" customHeight="1">
      <c r="A1754" s="35" t="s">
        <v>9284</v>
      </c>
      <c r="B1754" s="35">
        <v>1.0</v>
      </c>
      <c r="C1754" s="35"/>
      <c r="D1754" s="35"/>
      <c r="E1754" s="35"/>
      <c r="F1754" s="35"/>
      <c r="G1754" s="35"/>
      <c r="H1754" s="35"/>
      <c r="I1754" s="35"/>
      <c r="J1754" s="35"/>
      <c r="K1754" s="35"/>
      <c r="L1754" s="35"/>
      <c r="M1754" s="35"/>
      <c r="N1754" s="35"/>
      <c r="O1754" s="35"/>
      <c r="P1754" s="35"/>
      <c r="Q1754" s="35"/>
      <c r="R1754" s="35"/>
      <c r="S1754" s="35"/>
      <c r="T1754" s="35"/>
      <c r="U1754" s="35"/>
      <c r="V1754" s="35"/>
      <c r="W1754" s="35"/>
      <c r="X1754" s="35"/>
      <c r="Y1754" s="35"/>
      <c r="Z1754" s="35"/>
      <c r="AA1754" s="35"/>
      <c r="AB1754" s="35"/>
    </row>
    <row r="1755" ht="15.75" customHeight="1">
      <c r="A1755" s="35" t="s">
        <v>9288</v>
      </c>
      <c r="B1755" s="35">
        <v>1.0</v>
      </c>
      <c r="C1755" s="35"/>
      <c r="D1755" s="35"/>
      <c r="E1755" s="35"/>
      <c r="F1755" s="35"/>
      <c r="G1755" s="35"/>
      <c r="H1755" s="35"/>
      <c r="I1755" s="35"/>
      <c r="J1755" s="35"/>
      <c r="K1755" s="35"/>
      <c r="L1755" s="35"/>
      <c r="M1755" s="35"/>
      <c r="N1755" s="35"/>
      <c r="O1755" s="35"/>
      <c r="P1755" s="35"/>
      <c r="Q1755" s="35"/>
      <c r="R1755" s="35"/>
      <c r="S1755" s="35"/>
      <c r="T1755" s="35"/>
      <c r="U1755" s="35"/>
      <c r="V1755" s="35"/>
      <c r="W1755" s="35"/>
      <c r="X1755" s="35"/>
      <c r="Y1755" s="35"/>
      <c r="Z1755" s="35"/>
      <c r="AA1755" s="35"/>
      <c r="AB1755" s="35"/>
    </row>
    <row r="1756" ht="15.75" customHeight="1">
      <c r="A1756" s="35" t="s">
        <v>9291</v>
      </c>
      <c r="B1756" s="35">
        <v>1.0</v>
      </c>
      <c r="C1756" s="35"/>
      <c r="D1756" s="35"/>
      <c r="E1756" s="35"/>
      <c r="F1756" s="35"/>
      <c r="G1756" s="35"/>
      <c r="H1756" s="35"/>
      <c r="I1756" s="35"/>
      <c r="J1756" s="35"/>
      <c r="K1756" s="35"/>
      <c r="L1756" s="35"/>
      <c r="M1756" s="35"/>
      <c r="N1756" s="35"/>
      <c r="O1756" s="35"/>
      <c r="P1756" s="35"/>
      <c r="Q1756" s="35"/>
      <c r="R1756" s="35"/>
      <c r="S1756" s="35"/>
      <c r="T1756" s="35"/>
      <c r="U1756" s="35"/>
      <c r="V1756" s="35"/>
      <c r="W1756" s="35"/>
      <c r="X1756" s="35"/>
      <c r="Y1756" s="35"/>
      <c r="Z1756" s="35"/>
      <c r="AA1756" s="35"/>
      <c r="AB1756" s="35"/>
    </row>
    <row r="1757" ht="15.75" customHeight="1">
      <c r="A1757" s="35" t="s">
        <v>9296</v>
      </c>
      <c r="B1757" s="35">
        <v>1.0</v>
      </c>
      <c r="C1757" s="35"/>
      <c r="D1757" s="35"/>
      <c r="E1757" s="35"/>
      <c r="F1757" s="35"/>
      <c r="G1757" s="35"/>
      <c r="H1757" s="35"/>
      <c r="I1757" s="35"/>
      <c r="J1757" s="35"/>
      <c r="K1757" s="35"/>
      <c r="L1757" s="35"/>
      <c r="M1757" s="35"/>
      <c r="N1757" s="35"/>
      <c r="O1757" s="35"/>
      <c r="P1757" s="35"/>
      <c r="Q1757" s="35"/>
      <c r="R1757" s="35"/>
      <c r="S1757" s="35"/>
      <c r="T1757" s="35"/>
      <c r="U1757" s="35"/>
      <c r="V1757" s="35"/>
      <c r="W1757" s="35"/>
      <c r="X1757" s="35"/>
      <c r="Y1757" s="35"/>
      <c r="Z1757" s="35"/>
      <c r="AA1757" s="35"/>
      <c r="AB1757" s="35"/>
    </row>
    <row r="1758" ht="15.75" customHeight="1">
      <c r="A1758" s="35" t="s">
        <v>9299</v>
      </c>
      <c r="B1758" s="35">
        <v>1.0</v>
      </c>
      <c r="C1758" s="35"/>
      <c r="D1758" s="35"/>
      <c r="E1758" s="35"/>
      <c r="F1758" s="35"/>
      <c r="G1758" s="35"/>
      <c r="H1758" s="35"/>
      <c r="I1758" s="35"/>
      <c r="J1758" s="35"/>
      <c r="K1758" s="35"/>
      <c r="L1758" s="35"/>
      <c r="M1758" s="35"/>
      <c r="N1758" s="35"/>
      <c r="O1758" s="35"/>
      <c r="P1758" s="35"/>
      <c r="Q1758" s="35"/>
      <c r="R1758" s="35"/>
      <c r="S1758" s="35"/>
      <c r="T1758" s="35"/>
      <c r="U1758" s="35"/>
      <c r="V1758" s="35"/>
      <c r="W1758" s="35"/>
      <c r="X1758" s="35"/>
      <c r="Y1758" s="35"/>
      <c r="Z1758" s="35"/>
      <c r="AA1758" s="35"/>
      <c r="AB1758" s="35"/>
    </row>
    <row r="1759" ht="15.75" customHeight="1">
      <c r="A1759" s="35" t="s">
        <v>9302</v>
      </c>
      <c r="B1759" s="35">
        <v>1.0</v>
      </c>
      <c r="C1759" s="35"/>
      <c r="D1759" s="35"/>
      <c r="E1759" s="35"/>
      <c r="F1759" s="35"/>
      <c r="G1759" s="35"/>
      <c r="H1759" s="35"/>
      <c r="I1759" s="35"/>
      <c r="J1759" s="35"/>
      <c r="K1759" s="35"/>
      <c r="L1759" s="35"/>
      <c r="M1759" s="35"/>
      <c r="N1759" s="35"/>
      <c r="O1759" s="35"/>
      <c r="P1759" s="35"/>
      <c r="Q1759" s="35"/>
      <c r="R1759" s="35"/>
      <c r="S1759" s="35"/>
      <c r="T1759" s="35"/>
      <c r="U1759" s="35"/>
      <c r="V1759" s="35"/>
      <c r="W1759" s="35"/>
      <c r="X1759" s="35"/>
      <c r="Y1759" s="35"/>
      <c r="Z1759" s="35"/>
      <c r="AA1759" s="35"/>
      <c r="AB1759" s="35"/>
    </row>
    <row r="1760" ht="15.75" customHeight="1">
      <c r="A1760" s="35" t="s">
        <v>9306</v>
      </c>
      <c r="B1760" s="35">
        <v>1.0</v>
      </c>
      <c r="C1760" s="35"/>
      <c r="D1760" s="35"/>
      <c r="E1760" s="35"/>
      <c r="F1760" s="35"/>
      <c r="G1760" s="35"/>
      <c r="H1760" s="35"/>
      <c r="I1760" s="35"/>
      <c r="J1760" s="35"/>
      <c r="K1760" s="35"/>
      <c r="L1760" s="35"/>
      <c r="M1760" s="35"/>
      <c r="N1760" s="35"/>
      <c r="O1760" s="35"/>
      <c r="P1760" s="35"/>
      <c r="Q1760" s="35"/>
      <c r="R1760" s="35"/>
      <c r="S1760" s="35"/>
      <c r="T1760" s="35"/>
      <c r="U1760" s="35"/>
      <c r="V1760" s="35"/>
      <c r="W1760" s="35"/>
      <c r="X1760" s="35"/>
      <c r="Y1760" s="35"/>
      <c r="Z1760" s="35"/>
      <c r="AA1760" s="35"/>
      <c r="AB1760" s="35"/>
    </row>
    <row r="1761" ht="15.75" customHeight="1">
      <c r="A1761" s="35" t="s">
        <v>9309</v>
      </c>
      <c r="B1761" s="35">
        <v>1.0</v>
      </c>
      <c r="C1761" s="35"/>
      <c r="D1761" s="35"/>
      <c r="E1761" s="35"/>
      <c r="F1761" s="35"/>
      <c r="G1761" s="35"/>
      <c r="H1761" s="35"/>
      <c r="I1761" s="35"/>
      <c r="J1761" s="35"/>
      <c r="K1761" s="35"/>
      <c r="L1761" s="35"/>
      <c r="M1761" s="35"/>
      <c r="N1761" s="35"/>
      <c r="O1761" s="35"/>
      <c r="P1761" s="35"/>
      <c r="Q1761" s="35"/>
      <c r="R1761" s="35"/>
      <c r="S1761" s="35"/>
      <c r="T1761" s="35"/>
      <c r="U1761" s="35"/>
      <c r="V1761" s="35"/>
      <c r="W1761" s="35"/>
      <c r="X1761" s="35"/>
      <c r="Y1761" s="35"/>
      <c r="Z1761" s="35"/>
      <c r="AA1761" s="35"/>
      <c r="AB1761" s="35"/>
    </row>
    <row r="1762" ht="15.75" customHeight="1">
      <c r="A1762" s="35" t="s">
        <v>9312</v>
      </c>
      <c r="B1762" s="35">
        <v>1.0</v>
      </c>
      <c r="C1762" s="35"/>
      <c r="D1762" s="35"/>
      <c r="E1762" s="35"/>
      <c r="F1762" s="35"/>
      <c r="G1762" s="35"/>
      <c r="H1762" s="35"/>
      <c r="I1762" s="35"/>
      <c r="J1762" s="35"/>
      <c r="K1762" s="35"/>
      <c r="L1762" s="35"/>
      <c r="M1762" s="35"/>
      <c r="N1762" s="35"/>
      <c r="O1762" s="35"/>
      <c r="P1762" s="35"/>
      <c r="Q1762" s="35"/>
      <c r="R1762" s="35"/>
      <c r="S1762" s="35"/>
      <c r="T1762" s="35"/>
      <c r="U1762" s="35"/>
      <c r="V1762" s="35"/>
      <c r="W1762" s="35"/>
      <c r="X1762" s="35"/>
      <c r="Y1762" s="35"/>
      <c r="Z1762" s="35"/>
      <c r="AA1762" s="35"/>
      <c r="AB1762" s="35"/>
    </row>
    <row r="1763" ht="15.75" customHeight="1">
      <c r="A1763" s="35" t="s">
        <v>9315</v>
      </c>
      <c r="B1763" s="35">
        <v>1.0</v>
      </c>
      <c r="C1763" s="35"/>
      <c r="D1763" s="35"/>
      <c r="E1763" s="35"/>
      <c r="F1763" s="35"/>
      <c r="G1763" s="35"/>
      <c r="H1763" s="35"/>
      <c r="I1763" s="35"/>
      <c r="J1763" s="35"/>
      <c r="K1763" s="35"/>
      <c r="L1763" s="35"/>
      <c r="M1763" s="35"/>
      <c r="N1763" s="35"/>
      <c r="O1763" s="35"/>
      <c r="P1763" s="35"/>
      <c r="Q1763" s="35"/>
      <c r="R1763" s="35"/>
      <c r="S1763" s="35"/>
      <c r="T1763" s="35"/>
      <c r="U1763" s="35"/>
      <c r="V1763" s="35"/>
      <c r="W1763" s="35"/>
      <c r="X1763" s="35"/>
      <c r="Y1763" s="35"/>
      <c r="Z1763" s="35"/>
      <c r="AA1763" s="35"/>
      <c r="AB1763" s="35"/>
    </row>
    <row r="1764" ht="15.75" customHeight="1">
      <c r="A1764" s="35" t="s">
        <v>9318</v>
      </c>
      <c r="B1764" s="35">
        <v>1.0</v>
      </c>
      <c r="C1764" s="35"/>
      <c r="D1764" s="35"/>
      <c r="E1764" s="35"/>
      <c r="F1764" s="35"/>
      <c r="G1764" s="35"/>
      <c r="H1764" s="35"/>
      <c r="I1764" s="35"/>
      <c r="J1764" s="35"/>
      <c r="K1764" s="35"/>
      <c r="L1764" s="35"/>
      <c r="M1764" s="35"/>
      <c r="N1764" s="35"/>
      <c r="O1764" s="35"/>
      <c r="P1764" s="35"/>
      <c r="Q1764" s="35"/>
      <c r="R1764" s="35"/>
      <c r="S1764" s="35"/>
      <c r="T1764" s="35"/>
      <c r="U1764" s="35"/>
      <c r="V1764" s="35"/>
      <c r="W1764" s="35"/>
      <c r="X1764" s="35"/>
      <c r="Y1764" s="35"/>
      <c r="Z1764" s="35"/>
      <c r="AA1764" s="35"/>
      <c r="AB1764" s="35"/>
    </row>
    <row r="1765" ht="15.75" customHeight="1">
      <c r="A1765" s="35" t="s">
        <v>9322</v>
      </c>
      <c r="B1765" s="35">
        <v>1.0</v>
      </c>
      <c r="C1765" s="35"/>
      <c r="D1765" s="35"/>
      <c r="E1765" s="35"/>
      <c r="F1765" s="35"/>
      <c r="G1765" s="35"/>
      <c r="H1765" s="35"/>
      <c r="I1765" s="35"/>
      <c r="J1765" s="35"/>
      <c r="K1765" s="35"/>
      <c r="L1765" s="35"/>
      <c r="M1765" s="35"/>
      <c r="N1765" s="35"/>
      <c r="O1765" s="35"/>
      <c r="P1765" s="35"/>
      <c r="Q1765" s="35"/>
      <c r="R1765" s="35"/>
      <c r="S1765" s="35"/>
      <c r="T1765" s="35"/>
      <c r="U1765" s="35"/>
      <c r="V1765" s="35"/>
      <c r="W1765" s="35"/>
      <c r="X1765" s="35"/>
      <c r="Y1765" s="35"/>
      <c r="Z1765" s="35"/>
      <c r="AA1765" s="35"/>
      <c r="AB1765" s="35"/>
    </row>
    <row r="1766" ht="15.75" customHeight="1">
      <c r="A1766" s="35" t="s">
        <v>9325</v>
      </c>
      <c r="B1766" s="35">
        <v>1.0</v>
      </c>
      <c r="C1766" s="35"/>
      <c r="D1766" s="35"/>
      <c r="E1766" s="35"/>
      <c r="F1766" s="35"/>
      <c r="G1766" s="35"/>
      <c r="H1766" s="35"/>
      <c r="I1766" s="35"/>
      <c r="J1766" s="35"/>
      <c r="K1766" s="35"/>
      <c r="L1766" s="35"/>
      <c r="M1766" s="35"/>
      <c r="N1766" s="35"/>
      <c r="O1766" s="35"/>
      <c r="P1766" s="35"/>
      <c r="Q1766" s="35"/>
      <c r="R1766" s="35"/>
      <c r="S1766" s="35"/>
      <c r="T1766" s="35"/>
      <c r="U1766" s="35"/>
      <c r="V1766" s="35"/>
      <c r="W1766" s="35"/>
      <c r="X1766" s="35"/>
      <c r="Y1766" s="35"/>
      <c r="Z1766" s="35"/>
      <c r="AA1766" s="35"/>
      <c r="AB1766" s="35"/>
    </row>
    <row r="1767" ht="15.75" customHeight="1">
      <c r="A1767" s="35" t="s">
        <v>9330</v>
      </c>
      <c r="B1767" s="35">
        <v>1.0</v>
      </c>
      <c r="C1767" s="35"/>
      <c r="D1767" s="35"/>
      <c r="E1767" s="35"/>
      <c r="F1767" s="35"/>
      <c r="G1767" s="35"/>
      <c r="H1767" s="35"/>
      <c r="I1767" s="35"/>
      <c r="J1767" s="35"/>
      <c r="K1767" s="35"/>
      <c r="L1767" s="35"/>
      <c r="M1767" s="35"/>
      <c r="N1767" s="35"/>
      <c r="O1767" s="35"/>
      <c r="P1767" s="35"/>
      <c r="Q1767" s="35"/>
      <c r="R1767" s="35"/>
      <c r="S1767" s="35"/>
      <c r="T1767" s="35"/>
      <c r="U1767" s="35"/>
      <c r="V1767" s="35"/>
      <c r="W1767" s="35"/>
      <c r="X1767" s="35"/>
      <c r="Y1767" s="35"/>
      <c r="Z1767" s="35"/>
      <c r="AA1767" s="35"/>
      <c r="AB1767" s="35"/>
    </row>
    <row r="1768" ht="15.75" customHeight="1">
      <c r="A1768" s="35" t="s">
        <v>9333</v>
      </c>
      <c r="B1768" s="35">
        <v>1.0</v>
      </c>
      <c r="C1768" s="35"/>
      <c r="D1768" s="35"/>
      <c r="E1768" s="35"/>
      <c r="F1768" s="35"/>
      <c r="G1768" s="35"/>
      <c r="H1768" s="35"/>
      <c r="I1768" s="35"/>
      <c r="J1768" s="35"/>
      <c r="K1768" s="35"/>
      <c r="L1768" s="35"/>
      <c r="M1768" s="35"/>
      <c r="N1768" s="35"/>
      <c r="O1768" s="35"/>
      <c r="P1768" s="35"/>
      <c r="Q1768" s="35"/>
      <c r="R1768" s="35"/>
      <c r="S1768" s="35"/>
      <c r="T1768" s="35"/>
      <c r="U1768" s="35"/>
      <c r="V1768" s="35"/>
      <c r="W1768" s="35"/>
      <c r="X1768" s="35"/>
      <c r="Y1768" s="35"/>
      <c r="Z1768" s="35"/>
      <c r="AA1768" s="35"/>
      <c r="AB1768" s="35"/>
    </row>
    <row r="1769" ht="15.75" customHeight="1">
      <c r="A1769" s="35" t="s">
        <v>9336</v>
      </c>
      <c r="B1769" s="35">
        <v>1.0</v>
      </c>
      <c r="C1769" s="35"/>
      <c r="D1769" s="35"/>
      <c r="E1769" s="35"/>
      <c r="F1769" s="35"/>
      <c r="G1769" s="35"/>
      <c r="H1769" s="35"/>
      <c r="I1769" s="35"/>
      <c r="J1769" s="35"/>
      <c r="K1769" s="35"/>
      <c r="L1769" s="35"/>
      <c r="M1769" s="35"/>
      <c r="N1769" s="35"/>
      <c r="O1769" s="35"/>
      <c r="P1769" s="35"/>
      <c r="Q1769" s="35"/>
      <c r="R1769" s="35"/>
      <c r="S1769" s="35"/>
      <c r="T1769" s="35"/>
      <c r="U1769" s="35"/>
      <c r="V1769" s="35"/>
      <c r="W1769" s="35"/>
      <c r="X1769" s="35"/>
      <c r="Y1769" s="35"/>
      <c r="Z1769" s="35"/>
      <c r="AA1769" s="35"/>
      <c r="AB1769" s="35"/>
    </row>
    <row r="1770" ht="15.75" customHeight="1">
      <c r="A1770" s="35" t="s">
        <v>9340</v>
      </c>
      <c r="B1770" s="35">
        <v>1.0</v>
      </c>
      <c r="C1770" s="35"/>
      <c r="D1770" s="35"/>
      <c r="E1770" s="35"/>
      <c r="F1770" s="35"/>
      <c r="G1770" s="35"/>
      <c r="H1770" s="35"/>
      <c r="I1770" s="35"/>
      <c r="J1770" s="35"/>
      <c r="K1770" s="35"/>
      <c r="L1770" s="35"/>
      <c r="M1770" s="35"/>
      <c r="N1770" s="35"/>
      <c r="O1770" s="35"/>
      <c r="P1770" s="35"/>
      <c r="Q1770" s="35"/>
      <c r="R1770" s="35"/>
      <c r="S1770" s="35"/>
      <c r="T1770" s="35"/>
      <c r="U1770" s="35"/>
      <c r="V1770" s="35"/>
      <c r="W1770" s="35"/>
      <c r="X1770" s="35"/>
      <c r="Y1770" s="35"/>
      <c r="Z1770" s="35"/>
      <c r="AA1770" s="35"/>
      <c r="AB1770" s="35"/>
    </row>
    <row r="1771" ht="15.75" customHeight="1">
      <c r="A1771" s="35" t="s">
        <v>9343</v>
      </c>
      <c r="B1771" s="35">
        <v>1.0</v>
      </c>
      <c r="C1771" s="35"/>
      <c r="D1771" s="35"/>
      <c r="E1771" s="35"/>
      <c r="F1771" s="35"/>
      <c r="G1771" s="35"/>
      <c r="H1771" s="35"/>
      <c r="I1771" s="35"/>
      <c r="J1771" s="35"/>
      <c r="K1771" s="35"/>
      <c r="L1771" s="35"/>
      <c r="M1771" s="35"/>
      <c r="N1771" s="35"/>
      <c r="O1771" s="35"/>
      <c r="P1771" s="35"/>
      <c r="Q1771" s="35"/>
      <c r="R1771" s="35"/>
      <c r="S1771" s="35"/>
      <c r="T1771" s="35"/>
      <c r="U1771" s="35"/>
      <c r="V1771" s="35"/>
      <c r="W1771" s="35"/>
      <c r="X1771" s="35"/>
      <c r="Y1771" s="35"/>
      <c r="Z1771" s="35"/>
      <c r="AA1771" s="35"/>
      <c r="AB1771" s="35"/>
    </row>
    <row r="1772" ht="15.75" customHeight="1">
      <c r="A1772" s="35" t="s">
        <v>9346</v>
      </c>
      <c r="B1772" s="35">
        <v>1.0</v>
      </c>
      <c r="C1772" s="35"/>
      <c r="D1772" s="35"/>
      <c r="E1772" s="35"/>
      <c r="F1772" s="35"/>
      <c r="G1772" s="35"/>
      <c r="H1772" s="35"/>
      <c r="I1772" s="35"/>
      <c r="J1772" s="35"/>
      <c r="K1772" s="35"/>
      <c r="L1772" s="35"/>
      <c r="M1772" s="35"/>
      <c r="N1772" s="35"/>
      <c r="O1772" s="35"/>
      <c r="P1772" s="35"/>
      <c r="Q1772" s="35"/>
      <c r="R1772" s="35"/>
      <c r="S1772" s="35"/>
      <c r="T1772" s="35"/>
      <c r="U1772" s="35"/>
      <c r="V1772" s="35"/>
      <c r="W1772" s="35"/>
      <c r="X1772" s="35"/>
      <c r="Y1772" s="35"/>
      <c r="Z1772" s="35"/>
      <c r="AA1772" s="35"/>
      <c r="AB1772" s="35"/>
    </row>
    <row r="1773" ht="15.75" customHeight="1">
      <c r="A1773" s="35" t="s">
        <v>9350</v>
      </c>
      <c r="B1773" s="35">
        <v>1.0</v>
      </c>
      <c r="C1773" s="35"/>
      <c r="D1773" s="35"/>
      <c r="E1773" s="35"/>
      <c r="F1773" s="35"/>
      <c r="G1773" s="35"/>
      <c r="H1773" s="35"/>
      <c r="I1773" s="35"/>
      <c r="J1773" s="35"/>
      <c r="K1773" s="35"/>
      <c r="L1773" s="35"/>
      <c r="M1773" s="35"/>
      <c r="N1773" s="35"/>
      <c r="O1773" s="35"/>
      <c r="P1773" s="35"/>
      <c r="Q1773" s="35"/>
      <c r="R1773" s="35"/>
      <c r="S1773" s="35"/>
      <c r="T1773" s="35"/>
      <c r="U1773" s="35"/>
      <c r="V1773" s="35"/>
      <c r="W1773" s="35"/>
      <c r="X1773" s="35"/>
      <c r="Y1773" s="35"/>
      <c r="Z1773" s="35"/>
      <c r="AA1773" s="35"/>
      <c r="AB1773" s="35"/>
    </row>
    <row r="1774" ht="15.75" customHeight="1">
      <c r="A1774" s="35" t="s">
        <v>9353</v>
      </c>
      <c r="B1774" s="35">
        <v>1.0</v>
      </c>
      <c r="C1774" s="35"/>
      <c r="D1774" s="35"/>
      <c r="E1774" s="35"/>
      <c r="F1774" s="35"/>
      <c r="G1774" s="35"/>
      <c r="H1774" s="35"/>
      <c r="I1774" s="35"/>
      <c r="J1774" s="35"/>
      <c r="K1774" s="35"/>
      <c r="L1774" s="35"/>
      <c r="M1774" s="35"/>
      <c r="N1774" s="35"/>
      <c r="O1774" s="35"/>
      <c r="P1774" s="35"/>
      <c r="Q1774" s="35"/>
      <c r="R1774" s="35"/>
      <c r="S1774" s="35"/>
      <c r="T1774" s="35"/>
      <c r="U1774" s="35"/>
      <c r="V1774" s="35"/>
      <c r="W1774" s="35"/>
      <c r="X1774" s="35"/>
      <c r="Y1774" s="35"/>
      <c r="Z1774" s="35"/>
      <c r="AA1774" s="35"/>
      <c r="AB1774" s="35"/>
    </row>
    <row r="1775" ht="15.75" customHeight="1">
      <c r="A1775" s="35" t="s">
        <v>9356</v>
      </c>
      <c r="B1775" s="35">
        <v>1.0</v>
      </c>
      <c r="C1775" s="35"/>
      <c r="D1775" s="35"/>
      <c r="E1775" s="35"/>
      <c r="F1775" s="35"/>
      <c r="G1775" s="35"/>
      <c r="H1775" s="35"/>
      <c r="I1775" s="35"/>
      <c r="J1775" s="35"/>
      <c r="K1775" s="35"/>
      <c r="L1775" s="35"/>
      <c r="M1775" s="35"/>
      <c r="N1775" s="35"/>
      <c r="O1775" s="35"/>
      <c r="P1775" s="35"/>
      <c r="Q1775" s="35"/>
      <c r="R1775" s="35"/>
      <c r="S1775" s="35"/>
      <c r="T1775" s="35"/>
      <c r="U1775" s="35"/>
      <c r="V1775" s="35"/>
      <c r="W1775" s="35"/>
      <c r="X1775" s="35"/>
      <c r="Y1775" s="35"/>
      <c r="Z1775" s="35"/>
      <c r="AA1775" s="35"/>
      <c r="AB1775" s="35"/>
    </row>
    <row r="1776" ht="15.75" customHeight="1">
      <c r="A1776" s="35" t="s">
        <v>9360</v>
      </c>
      <c r="B1776" s="35">
        <v>1.0</v>
      </c>
      <c r="C1776" s="35"/>
      <c r="D1776" s="35"/>
      <c r="E1776" s="35"/>
      <c r="F1776" s="35"/>
      <c r="G1776" s="35"/>
      <c r="H1776" s="35"/>
      <c r="I1776" s="35"/>
      <c r="J1776" s="35"/>
      <c r="K1776" s="35"/>
      <c r="L1776" s="35"/>
      <c r="M1776" s="35"/>
      <c r="N1776" s="35"/>
      <c r="O1776" s="35"/>
      <c r="P1776" s="35"/>
      <c r="Q1776" s="35"/>
      <c r="R1776" s="35"/>
      <c r="S1776" s="35"/>
      <c r="T1776" s="35"/>
      <c r="U1776" s="35"/>
      <c r="V1776" s="35"/>
      <c r="W1776" s="35"/>
      <c r="X1776" s="35"/>
      <c r="Y1776" s="35"/>
      <c r="Z1776" s="35"/>
      <c r="AA1776" s="35"/>
      <c r="AB1776" s="35"/>
    </row>
    <row r="1777" ht="15.75" customHeight="1">
      <c r="A1777" s="35" t="s">
        <v>9363</v>
      </c>
      <c r="B1777" s="35">
        <v>1.0</v>
      </c>
      <c r="C1777" s="35"/>
      <c r="D1777" s="35"/>
      <c r="E1777" s="35"/>
      <c r="F1777" s="35"/>
      <c r="G1777" s="35"/>
      <c r="H1777" s="35"/>
      <c r="I1777" s="35"/>
      <c r="J1777" s="35"/>
      <c r="K1777" s="35"/>
      <c r="L1777" s="35"/>
      <c r="M1777" s="35"/>
      <c r="N1777" s="35"/>
      <c r="O1777" s="35"/>
      <c r="P1777" s="35"/>
      <c r="Q1777" s="35"/>
      <c r="R1777" s="35"/>
      <c r="S1777" s="35"/>
      <c r="T1777" s="35"/>
      <c r="U1777" s="35"/>
      <c r="V1777" s="35"/>
      <c r="W1777" s="35"/>
      <c r="X1777" s="35"/>
      <c r="Y1777" s="35"/>
      <c r="Z1777" s="35"/>
      <c r="AA1777" s="35"/>
      <c r="AB1777" s="35"/>
    </row>
    <row r="1778" ht="15.75" customHeight="1">
      <c r="A1778" s="35" t="s">
        <v>9366</v>
      </c>
      <c r="B1778" s="35">
        <v>1.0</v>
      </c>
      <c r="C1778" s="35"/>
      <c r="D1778" s="35"/>
      <c r="E1778" s="35"/>
      <c r="F1778" s="35"/>
      <c r="G1778" s="35"/>
      <c r="H1778" s="35"/>
      <c r="I1778" s="35"/>
      <c r="J1778" s="35"/>
      <c r="K1778" s="35"/>
      <c r="L1778" s="35"/>
      <c r="M1778" s="35"/>
      <c r="N1778" s="35"/>
      <c r="O1778" s="35"/>
      <c r="P1778" s="35"/>
      <c r="Q1778" s="35"/>
      <c r="R1778" s="35"/>
      <c r="S1778" s="35"/>
      <c r="T1778" s="35"/>
      <c r="U1778" s="35"/>
      <c r="V1778" s="35"/>
      <c r="W1778" s="35"/>
      <c r="X1778" s="35"/>
      <c r="Y1778" s="35"/>
      <c r="Z1778" s="35"/>
      <c r="AA1778" s="35"/>
      <c r="AB1778" s="35"/>
    </row>
    <row r="1779" ht="15.75" customHeight="1">
      <c r="A1779" s="35" t="s">
        <v>9369</v>
      </c>
      <c r="B1779" s="35">
        <v>1.0</v>
      </c>
      <c r="C1779" s="35"/>
      <c r="D1779" s="35"/>
      <c r="E1779" s="35"/>
      <c r="F1779" s="35"/>
      <c r="G1779" s="35"/>
      <c r="H1779" s="35"/>
      <c r="I1779" s="35"/>
      <c r="J1779" s="35"/>
      <c r="K1779" s="35"/>
      <c r="L1779" s="35"/>
      <c r="M1779" s="35"/>
      <c r="N1779" s="35"/>
      <c r="O1779" s="35"/>
      <c r="P1779" s="35"/>
      <c r="Q1779" s="35"/>
      <c r="R1779" s="35"/>
      <c r="S1779" s="35"/>
      <c r="T1779" s="35"/>
      <c r="U1779" s="35"/>
      <c r="V1779" s="35"/>
      <c r="W1779" s="35"/>
      <c r="X1779" s="35"/>
      <c r="Y1779" s="35"/>
      <c r="Z1779" s="35"/>
      <c r="AA1779" s="35"/>
      <c r="AB1779" s="35"/>
    </row>
    <row r="1780" ht="15.75" customHeight="1">
      <c r="A1780" s="35" t="s">
        <v>9373</v>
      </c>
      <c r="B1780" s="35">
        <v>1.0</v>
      </c>
      <c r="C1780" s="35"/>
      <c r="D1780" s="35"/>
      <c r="E1780" s="35"/>
      <c r="F1780" s="35"/>
      <c r="G1780" s="35"/>
      <c r="H1780" s="35"/>
      <c r="I1780" s="35"/>
      <c r="J1780" s="35"/>
      <c r="K1780" s="35"/>
      <c r="L1780" s="35"/>
      <c r="M1780" s="35"/>
      <c r="N1780" s="35"/>
      <c r="O1780" s="35"/>
      <c r="P1780" s="35"/>
      <c r="Q1780" s="35"/>
      <c r="R1780" s="35"/>
      <c r="S1780" s="35"/>
      <c r="T1780" s="35"/>
      <c r="U1780" s="35"/>
      <c r="V1780" s="35"/>
      <c r="W1780" s="35"/>
      <c r="X1780" s="35"/>
      <c r="Y1780" s="35"/>
      <c r="Z1780" s="35"/>
      <c r="AA1780" s="35"/>
      <c r="AB1780" s="35"/>
    </row>
    <row r="1781" ht="15.75" customHeight="1">
      <c r="A1781" s="35" t="s">
        <v>9376</v>
      </c>
      <c r="B1781" s="35">
        <v>1.0</v>
      </c>
      <c r="C1781" s="35"/>
      <c r="D1781" s="35"/>
      <c r="E1781" s="35"/>
      <c r="F1781" s="35"/>
      <c r="G1781" s="35"/>
      <c r="H1781" s="35"/>
      <c r="I1781" s="35"/>
      <c r="J1781" s="35"/>
      <c r="K1781" s="35"/>
      <c r="L1781" s="35"/>
      <c r="M1781" s="35"/>
      <c r="N1781" s="35"/>
      <c r="O1781" s="35"/>
      <c r="P1781" s="35"/>
      <c r="Q1781" s="35"/>
      <c r="R1781" s="35"/>
      <c r="S1781" s="35"/>
      <c r="T1781" s="35"/>
      <c r="U1781" s="35"/>
      <c r="V1781" s="35"/>
      <c r="W1781" s="35"/>
      <c r="X1781" s="35"/>
      <c r="Y1781" s="35"/>
      <c r="Z1781" s="35"/>
      <c r="AA1781" s="35"/>
      <c r="AB1781" s="35"/>
    </row>
    <row r="1782" ht="15.75" customHeight="1">
      <c r="A1782" s="35" t="s">
        <v>9379</v>
      </c>
      <c r="B1782" s="35">
        <v>1.0</v>
      </c>
      <c r="C1782" s="35"/>
      <c r="D1782" s="35"/>
      <c r="E1782" s="35"/>
      <c r="F1782" s="35"/>
      <c r="G1782" s="35"/>
      <c r="H1782" s="35"/>
      <c r="I1782" s="35"/>
      <c r="J1782" s="35"/>
      <c r="K1782" s="35"/>
      <c r="L1782" s="35"/>
      <c r="M1782" s="35"/>
      <c r="N1782" s="35"/>
      <c r="O1782" s="35"/>
      <c r="P1782" s="35"/>
      <c r="Q1782" s="35"/>
      <c r="R1782" s="35"/>
      <c r="S1782" s="35"/>
      <c r="T1782" s="35"/>
      <c r="U1782" s="35"/>
      <c r="V1782" s="35"/>
      <c r="W1782" s="35"/>
      <c r="X1782" s="35"/>
      <c r="Y1782" s="35"/>
      <c r="Z1782" s="35"/>
      <c r="AA1782" s="35"/>
      <c r="AB1782" s="35"/>
    </row>
    <row r="1783" ht="15.75" customHeight="1">
      <c r="A1783" s="35" t="s">
        <v>9382</v>
      </c>
      <c r="B1783" s="35">
        <v>1.0</v>
      </c>
      <c r="C1783" s="35"/>
      <c r="D1783" s="35"/>
      <c r="E1783" s="35"/>
      <c r="F1783" s="35"/>
      <c r="G1783" s="35"/>
      <c r="H1783" s="35"/>
      <c r="I1783" s="35"/>
      <c r="J1783" s="35"/>
      <c r="K1783" s="35"/>
      <c r="L1783" s="35"/>
      <c r="M1783" s="35"/>
      <c r="N1783" s="35"/>
      <c r="O1783" s="35"/>
      <c r="P1783" s="35"/>
      <c r="Q1783" s="35"/>
      <c r="R1783" s="35"/>
      <c r="S1783" s="35"/>
      <c r="T1783" s="35"/>
      <c r="U1783" s="35"/>
      <c r="V1783" s="35"/>
      <c r="W1783" s="35"/>
      <c r="X1783" s="35"/>
      <c r="Y1783" s="35"/>
      <c r="Z1783" s="35"/>
      <c r="AA1783" s="35"/>
      <c r="AB1783" s="35"/>
    </row>
    <row r="1784" ht="15.75" customHeight="1">
      <c r="A1784" s="35" t="s">
        <v>9386</v>
      </c>
      <c r="B1784" s="35">
        <v>1.0</v>
      </c>
      <c r="C1784" s="35"/>
      <c r="D1784" s="35"/>
      <c r="E1784" s="35"/>
      <c r="F1784" s="35"/>
      <c r="G1784" s="35"/>
      <c r="H1784" s="35"/>
      <c r="I1784" s="35"/>
      <c r="J1784" s="35"/>
      <c r="K1784" s="35"/>
      <c r="L1784" s="35"/>
      <c r="M1784" s="35"/>
      <c r="N1784" s="35"/>
      <c r="O1784" s="35"/>
      <c r="P1784" s="35"/>
      <c r="Q1784" s="35"/>
      <c r="R1784" s="35"/>
      <c r="S1784" s="35"/>
      <c r="T1784" s="35"/>
      <c r="U1784" s="35"/>
      <c r="V1784" s="35"/>
      <c r="W1784" s="35"/>
      <c r="X1784" s="35"/>
      <c r="Y1784" s="35"/>
      <c r="Z1784" s="35"/>
      <c r="AA1784" s="35"/>
      <c r="AB1784" s="35"/>
    </row>
    <row r="1785" ht="15.75" customHeight="1">
      <c r="A1785" s="35" t="s">
        <v>9389</v>
      </c>
      <c r="B1785" s="35">
        <v>1.0</v>
      </c>
      <c r="C1785" s="35"/>
      <c r="D1785" s="35"/>
      <c r="E1785" s="35"/>
      <c r="F1785" s="35"/>
      <c r="G1785" s="35"/>
      <c r="H1785" s="35"/>
      <c r="I1785" s="35"/>
      <c r="J1785" s="35"/>
      <c r="K1785" s="35"/>
      <c r="L1785" s="35"/>
      <c r="M1785" s="35"/>
      <c r="N1785" s="35"/>
      <c r="O1785" s="35"/>
      <c r="P1785" s="35"/>
      <c r="Q1785" s="35"/>
      <c r="R1785" s="35"/>
      <c r="S1785" s="35"/>
      <c r="T1785" s="35"/>
      <c r="U1785" s="35"/>
      <c r="V1785" s="35"/>
      <c r="W1785" s="35"/>
      <c r="X1785" s="35"/>
      <c r="Y1785" s="35"/>
      <c r="Z1785" s="35"/>
      <c r="AA1785" s="35"/>
      <c r="AB1785" s="35"/>
    </row>
    <row r="1786" ht="15.75" customHeight="1">
      <c r="A1786" s="35" t="s">
        <v>9392</v>
      </c>
      <c r="B1786" s="35">
        <v>1.0</v>
      </c>
      <c r="C1786" s="35"/>
      <c r="D1786" s="35"/>
      <c r="E1786" s="35"/>
      <c r="F1786" s="35"/>
      <c r="G1786" s="35"/>
      <c r="H1786" s="35"/>
      <c r="I1786" s="35"/>
      <c r="J1786" s="35"/>
      <c r="K1786" s="35"/>
      <c r="L1786" s="35"/>
      <c r="M1786" s="35"/>
      <c r="N1786" s="35"/>
      <c r="O1786" s="35"/>
      <c r="P1786" s="35"/>
      <c r="Q1786" s="35"/>
      <c r="R1786" s="35"/>
      <c r="S1786" s="35"/>
      <c r="T1786" s="35"/>
      <c r="U1786" s="35"/>
      <c r="V1786" s="35"/>
      <c r="W1786" s="35"/>
      <c r="X1786" s="35"/>
      <c r="Y1786" s="35"/>
      <c r="Z1786" s="35"/>
      <c r="AA1786" s="35"/>
      <c r="AB1786" s="35"/>
    </row>
    <row r="1787" ht="15.75" customHeight="1">
      <c r="A1787" s="35" t="s">
        <v>9395</v>
      </c>
      <c r="B1787" s="35">
        <v>1.0</v>
      </c>
      <c r="C1787" s="35"/>
      <c r="D1787" s="35"/>
      <c r="E1787" s="35"/>
      <c r="F1787" s="35"/>
      <c r="G1787" s="35"/>
      <c r="H1787" s="35"/>
      <c r="I1787" s="35"/>
      <c r="J1787" s="35"/>
      <c r="K1787" s="35"/>
      <c r="L1787" s="35"/>
      <c r="M1787" s="35"/>
      <c r="N1787" s="35"/>
      <c r="O1787" s="35"/>
      <c r="P1787" s="35"/>
      <c r="Q1787" s="35"/>
      <c r="R1787" s="35"/>
      <c r="S1787" s="35"/>
      <c r="T1787" s="35"/>
      <c r="U1787" s="35"/>
      <c r="V1787" s="35"/>
      <c r="W1787" s="35"/>
      <c r="X1787" s="35"/>
      <c r="Y1787" s="35"/>
      <c r="Z1787" s="35"/>
      <c r="AA1787" s="35"/>
      <c r="AB1787" s="35"/>
    </row>
    <row r="1788" ht="15.75" customHeight="1">
      <c r="A1788" s="35" t="s">
        <v>9396</v>
      </c>
      <c r="B1788" s="35">
        <v>1.0</v>
      </c>
      <c r="C1788" s="35"/>
      <c r="D1788" s="35"/>
      <c r="E1788" s="35"/>
      <c r="F1788" s="35"/>
      <c r="G1788" s="35"/>
      <c r="H1788" s="35"/>
      <c r="I1788" s="35"/>
      <c r="J1788" s="35"/>
      <c r="K1788" s="35"/>
      <c r="L1788" s="35"/>
      <c r="M1788" s="35"/>
      <c r="N1788" s="35"/>
      <c r="O1788" s="35"/>
      <c r="P1788" s="35"/>
      <c r="Q1788" s="35"/>
      <c r="R1788" s="35"/>
      <c r="S1788" s="35"/>
      <c r="T1788" s="35"/>
      <c r="U1788" s="35"/>
      <c r="V1788" s="35"/>
      <c r="W1788" s="35"/>
      <c r="X1788" s="35"/>
      <c r="Y1788" s="35"/>
      <c r="Z1788" s="35"/>
      <c r="AA1788" s="35"/>
      <c r="AB1788" s="35"/>
    </row>
    <row r="1789" ht="15.75" customHeight="1">
      <c r="A1789" s="35" t="s">
        <v>9397</v>
      </c>
      <c r="B1789" s="35">
        <v>1.0</v>
      </c>
      <c r="C1789" s="35"/>
      <c r="D1789" s="35"/>
      <c r="E1789" s="35"/>
      <c r="F1789" s="35"/>
      <c r="G1789" s="35"/>
      <c r="H1789" s="35"/>
      <c r="I1789" s="35"/>
      <c r="J1789" s="35"/>
      <c r="K1789" s="35"/>
      <c r="L1789" s="35"/>
      <c r="M1789" s="35"/>
      <c r="N1789" s="35"/>
      <c r="O1789" s="35"/>
      <c r="P1789" s="35"/>
      <c r="Q1789" s="35"/>
      <c r="R1789" s="35"/>
      <c r="S1789" s="35"/>
      <c r="T1789" s="35"/>
      <c r="U1789" s="35"/>
      <c r="V1789" s="35"/>
      <c r="W1789" s="35"/>
      <c r="X1789" s="35"/>
      <c r="Y1789" s="35"/>
      <c r="Z1789" s="35"/>
      <c r="AA1789" s="35"/>
      <c r="AB1789" s="35"/>
    </row>
    <row r="1790" ht="15.75" customHeight="1">
      <c r="A1790" s="35" t="s">
        <v>9398</v>
      </c>
      <c r="B1790" s="35">
        <v>1.0</v>
      </c>
      <c r="C1790" s="35"/>
      <c r="D1790" s="35"/>
      <c r="E1790" s="35"/>
      <c r="F1790" s="35"/>
      <c r="G1790" s="35"/>
      <c r="H1790" s="35"/>
      <c r="I1790" s="35"/>
      <c r="J1790" s="35"/>
      <c r="K1790" s="35"/>
      <c r="L1790" s="35"/>
      <c r="M1790" s="35"/>
      <c r="N1790" s="35"/>
      <c r="O1790" s="35"/>
      <c r="P1790" s="35"/>
      <c r="Q1790" s="35"/>
      <c r="R1790" s="35"/>
      <c r="S1790" s="35"/>
      <c r="T1790" s="35"/>
      <c r="U1790" s="35"/>
      <c r="V1790" s="35"/>
      <c r="W1790" s="35"/>
      <c r="X1790" s="35"/>
      <c r="Y1790" s="35"/>
      <c r="Z1790" s="35"/>
      <c r="AA1790" s="35"/>
      <c r="AB1790" s="35"/>
    </row>
    <row r="1791" ht="15.75" customHeight="1">
      <c r="A1791" s="35" t="s">
        <v>9399</v>
      </c>
      <c r="B1791" s="35">
        <v>1.0</v>
      </c>
      <c r="C1791" s="35"/>
      <c r="D1791" s="35"/>
      <c r="E1791" s="35"/>
      <c r="F1791" s="35"/>
      <c r="G1791" s="35"/>
      <c r="H1791" s="35"/>
      <c r="I1791" s="35"/>
      <c r="J1791" s="35"/>
      <c r="K1791" s="35"/>
      <c r="L1791" s="35"/>
      <c r="M1791" s="35"/>
      <c r="N1791" s="35"/>
      <c r="O1791" s="35"/>
      <c r="P1791" s="35"/>
      <c r="Q1791" s="35"/>
      <c r="R1791" s="35"/>
      <c r="S1791" s="35"/>
      <c r="T1791" s="35"/>
      <c r="U1791" s="35"/>
      <c r="V1791" s="35"/>
      <c r="W1791" s="35"/>
      <c r="X1791" s="35"/>
      <c r="Y1791" s="35"/>
      <c r="Z1791" s="35"/>
      <c r="AA1791" s="35"/>
      <c r="AB1791" s="35"/>
    </row>
    <row r="1792" ht="15.75" customHeight="1">
      <c r="A1792" s="35" t="s">
        <v>9400</v>
      </c>
      <c r="B1792" s="35">
        <v>1.0</v>
      </c>
      <c r="C1792" s="35"/>
      <c r="D1792" s="35"/>
      <c r="E1792" s="35"/>
      <c r="F1792" s="35"/>
      <c r="G1792" s="35"/>
      <c r="H1792" s="35"/>
      <c r="I1792" s="35"/>
      <c r="J1792" s="35"/>
      <c r="K1792" s="35"/>
      <c r="L1792" s="35"/>
      <c r="M1792" s="35"/>
      <c r="N1792" s="35"/>
      <c r="O1792" s="35"/>
      <c r="P1792" s="35"/>
      <c r="Q1792" s="35"/>
      <c r="R1792" s="35"/>
      <c r="S1792" s="35"/>
      <c r="T1792" s="35"/>
      <c r="U1792" s="35"/>
      <c r="V1792" s="35"/>
      <c r="W1792" s="35"/>
      <c r="X1792" s="35"/>
      <c r="Y1792" s="35"/>
      <c r="Z1792" s="35"/>
      <c r="AA1792" s="35"/>
      <c r="AB1792" s="35"/>
    </row>
    <row r="1793" ht="15.75" customHeight="1">
      <c r="A1793" s="35" t="s">
        <v>9401</v>
      </c>
      <c r="B1793" s="35">
        <v>1.0</v>
      </c>
      <c r="C1793" s="35"/>
      <c r="D1793" s="35"/>
      <c r="E1793" s="35"/>
      <c r="F1793" s="35"/>
      <c r="G1793" s="35"/>
      <c r="H1793" s="35"/>
      <c r="I1793" s="35"/>
      <c r="J1793" s="35"/>
      <c r="K1793" s="35"/>
      <c r="L1793" s="35"/>
      <c r="M1793" s="35"/>
      <c r="N1793" s="35"/>
      <c r="O1793" s="35"/>
      <c r="P1793" s="35"/>
      <c r="Q1793" s="35"/>
      <c r="R1793" s="35"/>
      <c r="S1793" s="35"/>
      <c r="T1793" s="35"/>
      <c r="U1793" s="35"/>
      <c r="V1793" s="35"/>
      <c r="W1793" s="35"/>
      <c r="X1793" s="35"/>
      <c r="Y1793" s="35"/>
      <c r="Z1793" s="35"/>
      <c r="AA1793" s="35"/>
      <c r="AB1793" s="35"/>
    </row>
    <row r="1794" ht="15.75" customHeight="1">
      <c r="A1794" s="35" t="s">
        <v>9402</v>
      </c>
      <c r="B1794" s="35">
        <v>1.0</v>
      </c>
      <c r="C1794" s="35"/>
      <c r="D1794" s="35"/>
      <c r="E1794" s="35"/>
      <c r="F1794" s="35"/>
      <c r="G1794" s="35"/>
      <c r="H1794" s="35"/>
      <c r="I1794" s="35"/>
      <c r="J1794" s="35"/>
      <c r="K1794" s="35"/>
      <c r="L1794" s="35"/>
      <c r="M1794" s="35"/>
      <c r="N1794" s="35"/>
      <c r="O1794" s="35"/>
      <c r="P1794" s="35"/>
      <c r="Q1794" s="35"/>
      <c r="R1794" s="35"/>
      <c r="S1794" s="35"/>
      <c r="T1794" s="35"/>
      <c r="U1794" s="35"/>
      <c r="V1794" s="35"/>
      <c r="W1794" s="35"/>
      <c r="X1794" s="35"/>
      <c r="Y1794" s="35"/>
      <c r="Z1794" s="35"/>
      <c r="AA1794" s="35"/>
      <c r="AB1794" s="35"/>
    </row>
    <row r="1795" ht="15.75" customHeight="1">
      <c r="A1795" s="35" t="s">
        <v>9403</v>
      </c>
      <c r="B1795" s="35">
        <v>1.0</v>
      </c>
      <c r="C1795" s="35"/>
      <c r="D1795" s="35"/>
      <c r="E1795" s="35"/>
      <c r="F1795" s="35"/>
      <c r="G1795" s="35"/>
      <c r="H1795" s="35"/>
      <c r="I1795" s="35"/>
      <c r="J1795" s="35"/>
      <c r="K1795" s="35"/>
      <c r="L1795" s="35"/>
      <c r="M1795" s="35"/>
      <c r="N1795" s="35"/>
      <c r="O1795" s="35"/>
      <c r="P1795" s="35"/>
      <c r="Q1795" s="35"/>
      <c r="R1795" s="35"/>
      <c r="S1795" s="35"/>
      <c r="T1795" s="35"/>
      <c r="U1795" s="35"/>
      <c r="V1795" s="35"/>
      <c r="W1795" s="35"/>
      <c r="X1795" s="35"/>
      <c r="Y1795" s="35"/>
      <c r="Z1795" s="35"/>
      <c r="AA1795" s="35"/>
      <c r="AB1795" s="35"/>
    </row>
    <row r="1796" ht="15.75" customHeight="1">
      <c r="A1796" s="35" t="s">
        <v>9404</v>
      </c>
      <c r="B1796" s="35">
        <v>1.0</v>
      </c>
      <c r="C1796" s="35"/>
      <c r="D1796" s="35"/>
      <c r="E1796" s="35"/>
      <c r="F1796" s="35"/>
      <c r="G1796" s="35"/>
      <c r="H1796" s="35"/>
      <c r="I1796" s="35"/>
      <c r="J1796" s="35"/>
      <c r="K1796" s="35"/>
      <c r="L1796" s="35"/>
      <c r="M1796" s="35"/>
      <c r="N1796" s="35"/>
      <c r="O1796" s="35"/>
      <c r="P1796" s="35"/>
      <c r="Q1796" s="35"/>
      <c r="R1796" s="35"/>
      <c r="S1796" s="35"/>
      <c r="T1796" s="35"/>
      <c r="U1796" s="35"/>
      <c r="V1796" s="35"/>
      <c r="W1796" s="35"/>
      <c r="X1796" s="35"/>
      <c r="Y1796" s="35"/>
      <c r="Z1796" s="35"/>
      <c r="AA1796" s="35"/>
      <c r="AB1796" s="35"/>
    </row>
    <row r="1797" ht="15.75" customHeight="1">
      <c r="A1797" s="35" t="s">
        <v>9405</v>
      </c>
      <c r="B1797" s="35">
        <v>1.0</v>
      </c>
      <c r="C1797" s="35"/>
      <c r="D1797" s="35"/>
      <c r="E1797" s="35"/>
      <c r="F1797" s="35"/>
      <c r="G1797" s="35"/>
      <c r="H1797" s="35"/>
      <c r="I1797" s="35"/>
      <c r="J1797" s="35"/>
      <c r="K1797" s="35"/>
      <c r="L1797" s="35"/>
      <c r="M1797" s="35"/>
      <c r="N1797" s="35"/>
      <c r="O1797" s="35"/>
      <c r="P1797" s="35"/>
      <c r="Q1797" s="35"/>
      <c r="R1797" s="35"/>
      <c r="S1797" s="35"/>
      <c r="T1797" s="35"/>
      <c r="U1797" s="35"/>
      <c r="V1797" s="35"/>
      <c r="W1797" s="35"/>
      <c r="X1797" s="35"/>
      <c r="Y1797" s="35"/>
      <c r="Z1797" s="35"/>
      <c r="AA1797" s="35"/>
      <c r="AB1797" s="35"/>
    </row>
    <row r="1798" ht="15.75" customHeight="1">
      <c r="A1798" s="35" t="s">
        <v>9406</v>
      </c>
      <c r="B1798" s="35">
        <v>1.0</v>
      </c>
      <c r="C1798" s="35"/>
      <c r="D1798" s="35"/>
      <c r="E1798" s="35"/>
      <c r="F1798" s="35"/>
      <c r="G1798" s="35"/>
      <c r="H1798" s="35"/>
      <c r="I1798" s="35"/>
      <c r="J1798" s="35"/>
      <c r="K1798" s="35"/>
      <c r="L1798" s="35"/>
      <c r="M1798" s="35"/>
      <c r="N1798" s="35"/>
      <c r="O1798" s="35"/>
      <c r="P1798" s="35"/>
      <c r="Q1798" s="35"/>
      <c r="R1798" s="35"/>
      <c r="S1798" s="35"/>
      <c r="T1798" s="35"/>
      <c r="U1798" s="35"/>
      <c r="V1798" s="35"/>
      <c r="W1798" s="35"/>
      <c r="X1798" s="35"/>
      <c r="Y1798" s="35"/>
      <c r="Z1798" s="35"/>
      <c r="AA1798" s="35"/>
      <c r="AB1798" s="35"/>
    </row>
    <row r="1799" ht="15.75" customHeight="1">
      <c r="A1799" s="35" t="s">
        <v>9407</v>
      </c>
      <c r="B1799" s="35">
        <v>1.0</v>
      </c>
      <c r="C1799" s="35"/>
      <c r="D1799" s="35"/>
      <c r="E1799" s="35"/>
      <c r="F1799" s="35"/>
      <c r="G1799" s="35"/>
      <c r="H1799" s="35"/>
      <c r="I1799" s="35"/>
      <c r="J1799" s="35"/>
      <c r="K1799" s="35"/>
      <c r="L1799" s="35"/>
      <c r="M1799" s="35"/>
      <c r="N1799" s="35"/>
      <c r="O1799" s="35"/>
      <c r="P1799" s="35"/>
      <c r="Q1799" s="35"/>
      <c r="R1799" s="35"/>
      <c r="S1799" s="35"/>
      <c r="T1799" s="35"/>
      <c r="U1799" s="35"/>
      <c r="V1799" s="35"/>
      <c r="W1799" s="35"/>
      <c r="X1799" s="35"/>
      <c r="Y1799" s="35"/>
      <c r="Z1799" s="35"/>
      <c r="AA1799" s="35"/>
      <c r="AB1799" s="35"/>
    </row>
    <row r="1800" ht="15.75" customHeight="1">
      <c r="A1800" s="35" t="s">
        <v>9408</v>
      </c>
      <c r="B1800" s="35">
        <v>1.0</v>
      </c>
      <c r="C1800" s="35"/>
      <c r="D1800" s="35"/>
      <c r="E1800" s="35"/>
      <c r="F1800" s="35"/>
      <c r="G1800" s="35"/>
      <c r="H1800" s="35"/>
      <c r="I1800" s="35"/>
      <c r="J1800" s="35"/>
      <c r="K1800" s="35"/>
      <c r="L1800" s="35"/>
      <c r="M1800" s="35"/>
      <c r="N1800" s="35"/>
      <c r="O1800" s="35"/>
      <c r="P1800" s="35"/>
      <c r="Q1800" s="35"/>
      <c r="R1800" s="35"/>
      <c r="S1800" s="35"/>
      <c r="T1800" s="35"/>
      <c r="U1800" s="35"/>
      <c r="V1800" s="35"/>
      <c r="W1800" s="35"/>
      <c r="X1800" s="35"/>
      <c r="Y1800" s="35"/>
      <c r="Z1800" s="35"/>
      <c r="AA1800" s="35"/>
      <c r="AB1800" s="35"/>
    </row>
    <row r="1801" ht="15.75" customHeight="1">
      <c r="A1801" s="35" t="s">
        <v>9409</v>
      </c>
      <c r="B1801" s="35">
        <v>1.0</v>
      </c>
      <c r="C1801" s="35"/>
      <c r="D1801" s="35"/>
      <c r="E1801" s="35"/>
      <c r="F1801" s="35"/>
      <c r="G1801" s="35"/>
      <c r="H1801" s="35"/>
      <c r="I1801" s="35"/>
      <c r="J1801" s="35"/>
      <c r="K1801" s="35"/>
      <c r="L1801" s="35"/>
      <c r="M1801" s="35"/>
      <c r="N1801" s="35"/>
      <c r="O1801" s="35"/>
      <c r="P1801" s="35"/>
      <c r="Q1801" s="35"/>
      <c r="R1801" s="35"/>
      <c r="S1801" s="35"/>
      <c r="T1801" s="35"/>
      <c r="U1801" s="35"/>
      <c r="V1801" s="35"/>
      <c r="W1801" s="35"/>
      <c r="X1801" s="35"/>
      <c r="Y1801" s="35"/>
      <c r="Z1801" s="35"/>
      <c r="AA1801" s="35"/>
      <c r="AB1801" s="35"/>
    </row>
    <row r="1802" ht="15.75" customHeight="1">
      <c r="A1802" s="35" t="s">
        <v>9410</v>
      </c>
      <c r="B1802" s="35">
        <v>1.0</v>
      </c>
      <c r="C1802" s="35"/>
      <c r="D1802" s="35"/>
      <c r="E1802" s="35"/>
      <c r="F1802" s="35"/>
      <c r="G1802" s="35"/>
      <c r="H1802" s="35"/>
      <c r="I1802" s="35"/>
      <c r="J1802" s="35"/>
      <c r="K1802" s="35"/>
      <c r="L1802" s="35"/>
      <c r="M1802" s="35"/>
      <c r="N1802" s="35"/>
      <c r="O1802" s="35"/>
      <c r="P1802" s="35"/>
      <c r="Q1802" s="35"/>
      <c r="R1802" s="35"/>
      <c r="S1802" s="35"/>
      <c r="T1802" s="35"/>
      <c r="U1802" s="35"/>
      <c r="V1802" s="35"/>
      <c r="W1802" s="35"/>
      <c r="X1802" s="35"/>
      <c r="Y1802" s="35"/>
      <c r="Z1802" s="35"/>
      <c r="AA1802" s="35"/>
      <c r="AB1802" s="35"/>
    </row>
    <row r="1803" ht="15.75" customHeight="1">
      <c r="A1803" s="35" t="s">
        <v>9411</v>
      </c>
      <c r="B1803" s="35">
        <v>1.0</v>
      </c>
      <c r="C1803" s="35"/>
      <c r="D1803" s="35"/>
      <c r="E1803" s="35"/>
      <c r="F1803" s="35"/>
      <c r="G1803" s="35"/>
      <c r="H1803" s="35"/>
      <c r="I1803" s="35"/>
      <c r="J1803" s="35"/>
      <c r="K1803" s="35"/>
      <c r="L1803" s="35"/>
      <c r="M1803" s="35"/>
      <c r="N1803" s="35"/>
      <c r="O1803" s="35"/>
      <c r="P1803" s="35"/>
      <c r="Q1803" s="35"/>
      <c r="R1803" s="35"/>
      <c r="S1803" s="35"/>
      <c r="T1803" s="35"/>
      <c r="U1803" s="35"/>
      <c r="V1803" s="35"/>
      <c r="W1803" s="35"/>
      <c r="X1803" s="35"/>
      <c r="Y1803" s="35"/>
      <c r="Z1803" s="35"/>
      <c r="AA1803" s="35"/>
      <c r="AB1803" s="35"/>
    </row>
    <row r="1804" ht="15.75" customHeight="1">
      <c r="A1804" s="35" t="s">
        <v>9412</v>
      </c>
      <c r="B1804" s="35">
        <v>1.0</v>
      </c>
      <c r="C1804" s="35"/>
      <c r="D1804" s="35"/>
      <c r="E1804" s="35"/>
      <c r="F1804" s="35"/>
      <c r="G1804" s="35"/>
      <c r="H1804" s="35"/>
      <c r="I1804" s="35"/>
      <c r="J1804" s="35"/>
      <c r="K1804" s="35"/>
      <c r="L1804" s="35"/>
      <c r="M1804" s="35"/>
      <c r="N1804" s="35"/>
      <c r="O1804" s="35"/>
      <c r="P1804" s="35"/>
      <c r="Q1804" s="35"/>
      <c r="R1804" s="35"/>
      <c r="S1804" s="35"/>
      <c r="T1804" s="35"/>
      <c r="U1804" s="35"/>
      <c r="V1804" s="35"/>
      <c r="W1804" s="35"/>
      <c r="X1804" s="35"/>
      <c r="Y1804" s="35"/>
      <c r="Z1804" s="35"/>
      <c r="AA1804" s="35"/>
      <c r="AB1804" s="35"/>
    </row>
    <row r="1805" ht="15.75" customHeight="1">
      <c r="A1805" s="35" t="s">
        <v>9413</v>
      </c>
      <c r="B1805" s="35">
        <v>1.0</v>
      </c>
      <c r="C1805" s="35"/>
      <c r="D1805" s="35"/>
      <c r="E1805" s="35"/>
      <c r="F1805" s="35"/>
      <c r="G1805" s="35"/>
      <c r="H1805" s="35"/>
      <c r="I1805" s="35"/>
      <c r="J1805" s="35"/>
      <c r="K1805" s="35"/>
      <c r="L1805" s="35"/>
      <c r="M1805" s="35"/>
      <c r="N1805" s="35"/>
      <c r="O1805" s="35"/>
      <c r="P1805" s="35"/>
      <c r="Q1805" s="35"/>
      <c r="R1805" s="35"/>
      <c r="S1805" s="35"/>
      <c r="T1805" s="35"/>
      <c r="U1805" s="35"/>
      <c r="V1805" s="35"/>
      <c r="W1805" s="35"/>
      <c r="X1805" s="35"/>
      <c r="Y1805" s="35"/>
      <c r="Z1805" s="35"/>
      <c r="AA1805" s="35"/>
      <c r="AB1805" s="35"/>
    </row>
    <row r="1806" ht="15.75" customHeight="1">
      <c r="A1806" s="35" t="s">
        <v>9414</v>
      </c>
      <c r="B1806" s="35">
        <v>1.0</v>
      </c>
      <c r="C1806" s="35"/>
      <c r="D1806" s="35"/>
      <c r="E1806" s="35"/>
      <c r="F1806" s="35"/>
      <c r="G1806" s="35"/>
      <c r="H1806" s="35"/>
      <c r="I1806" s="35"/>
      <c r="J1806" s="35"/>
      <c r="K1806" s="35"/>
      <c r="L1806" s="35"/>
      <c r="M1806" s="35"/>
      <c r="N1806" s="35"/>
      <c r="O1806" s="35"/>
      <c r="P1806" s="35"/>
      <c r="Q1806" s="35"/>
      <c r="R1806" s="35"/>
      <c r="S1806" s="35"/>
      <c r="T1806" s="35"/>
      <c r="U1806" s="35"/>
      <c r="V1806" s="35"/>
      <c r="W1806" s="35"/>
      <c r="X1806" s="35"/>
      <c r="Y1806" s="35"/>
      <c r="Z1806" s="35"/>
      <c r="AA1806" s="35"/>
      <c r="AB1806" s="35"/>
    </row>
    <row r="1807" ht="15.75" customHeight="1">
      <c r="A1807" s="35" t="s">
        <v>9415</v>
      </c>
      <c r="B1807" s="35">
        <v>1.0</v>
      </c>
      <c r="C1807" s="35"/>
      <c r="D1807" s="35"/>
      <c r="E1807" s="35"/>
      <c r="F1807" s="35"/>
      <c r="G1807" s="35"/>
      <c r="H1807" s="35"/>
      <c r="I1807" s="35"/>
      <c r="J1807" s="35"/>
      <c r="K1807" s="35"/>
      <c r="L1807" s="35"/>
      <c r="M1807" s="35"/>
      <c r="N1807" s="35"/>
      <c r="O1807" s="35"/>
      <c r="P1807" s="35"/>
      <c r="Q1807" s="35"/>
      <c r="R1807" s="35"/>
      <c r="S1807" s="35"/>
      <c r="T1807" s="35"/>
      <c r="U1807" s="35"/>
      <c r="V1807" s="35"/>
      <c r="W1807" s="35"/>
      <c r="X1807" s="35"/>
      <c r="Y1807" s="35"/>
      <c r="Z1807" s="35"/>
      <c r="AA1807" s="35"/>
      <c r="AB1807" s="35"/>
    </row>
    <row r="1808" ht="15.75" customHeight="1">
      <c r="A1808" s="35" t="s">
        <v>9416</v>
      </c>
      <c r="B1808" s="35">
        <v>1.0</v>
      </c>
      <c r="C1808" s="35"/>
      <c r="D1808" s="35"/>
      <c r="E1808" s="35"/>
      <c r="F1808" s="35"/>
      <c r="G1808" s="35"/>
      <c r="H1808" s="35"/>
      <c r="I1808" s="35"/>
      <c r="J1808" s="35"/>
      <c r="K1808" s="35"/>
      <c r="L1808" s="35"/>
      <c r="M1808" s="35"/>
      <c r="N1808" s="35"/>
      <c r="O1808" s="35"/>
      <c r="P1808" s="35"/>
      <c r="Q1808" s="35"/>
      <c r="R1808" s="35"/>
      <c r="S1808" s="35"/>
      <c r="T1808" s="35"/>
      <c r="U1808" s="35"/>
      <c r="V1808" s="35"/>
      <c r="W1808" s="35"/>
      <c r="X1808" s="35"/>
      <c r="Y1808" s="35"/>
      <c r="Z1808" s="35"/>
      <c r="AA1808" s="35"/>
      <c r="AB1808" s="35"/>
    </row>
    <row r="1809" ht="15.75" customHeight="1">
      <c r="A1809" s="35" t="s">
        <v>9417</v>
      </c>
      <c r="B1809" s="35">
        <v>1.0</v>
      </c>
      <c r="C1809" s="35"/>
      <c r="D1809" s="35"/>
      <c r="E1809" s="35"/>
      <c r="F1809" s="35"/>
      <c r="G1809" s="35"/>
      <c r="H1809" s="35"/>
      <c r="I1809" s="35"/>
      <c r="J1809" s="35"/>
      <c r="K1809" s="35"/>
      <c r="L1809" s="35"/>
      <c r="M1809" s="35"/>
      <c r="N1809" s="35"/>
      <c r="O1809" s="35"/>
      <c r="P1809" s="35"/>
      <c r="Q1809" s="35"/>
      <c r="R1809" s="35"/>
      <c r="S1809" s="35"/>
      <c r="T1809" s="35"/>
      <c r="U1809" s="35"/>
      <c r="V1809" s="35"/>
      <c r="W1809" s="35"/>
      <c r="X1809" s="35"/>
      <c r="Y1809" s="35"/>
      <c r="Z1809" s="35"/>
      <c r="AA1809" s="35"/>
      <c r="AB1809" s="35"/>
    </row>
    <row r="1810" ht="15.75" customHeight="1">
      <c r="A1810" s="35" t="s">
        <v>9418</v>
      </c>
      <c r="B1810" s="35">
        <v>1.0</v>
      </c>
      <c r="C1810" s="35"/>
      <c r="D1810" s="35"/>
      <c r="E1810" s="35"/>
      <c r="F1810" s="35"/>
      <c r="G1810" s="35"/>
      <c r="H1810" s="35"/>
      <c r="I1810" s="35"/>
      <c r="J1810" s="35"/>
      <c r="K1810" s="35"/>
      <c r="L1810" s="35"/>
      <c r="M1810" s="35"/>
      <c r="N1810" s="35"/>
      <c r="O1810" s="35"/>
      <c r="P1810" s="35"/>
      <c r="Q1810" s="35"/>
      <c r="R1810" s="35"/>
      <c r="S1810" s="35"/>
      <c r="T1810" s="35"/>
      <c r="U1810" s="35"/>
      <c r="V1810" s="35"/>
      <c r="W1810" s="35"/>
      <c r="X1810" s="35"/>
      <c r="Y1810" s="35"/>
      <c r="Z1810" s="35"/>
      <c r="AA1810" s="35"/>
      <c r="AB1810" s="35"/>
    </row>
    <row r="1811" ht="15.75" customHeight="1">
      <c r="A1811" s="35" t="s">
        <v>9419</v>
      </c>
      <c r="B1811" s="35">
        <v>1.0</v>
      </c>
      <c r="C1811" s="35"/>
      <c r="D1811" s="35"/>
      <c r="E1811" s="35"/>
      <c r="F1811" s="35"/>
      <c r="G1811" s="35"/>
      <c r="H1811" s="35"/>
      <c r="I1811" s="35"/>
      <c r="J1811" s="35"/>
      <c r="K1811" s="35"/>
      <c r="L1811" s="35"/>
      <c r="M1811" s="35"/>
      <c r="N1811" s="35"/>
      <c r="O1811" s="35"/>
      <c r="P1811" s="35"/>
      <c r="Q1811" s="35"/>
      <c r="R1811" s="35"/>
      <c r="S1811" s="35"/>
      <c r="T1811" s="35"/>
      <c r="U1811" s="35"/>
      <c r="V1811" s="35"/>
      <c r="W1811" s="35"/>
      <c r="X1811" s="35"/>
      <c r="Y1811" s="35"/>
      <c r="Z1811" s="35"/>
      <c r="AA1811" s="35"/>
      <c r="AB1811" s="35"/>
    </row>
    <row r="1812" ht="15.75" customHeight="1">
      <c r="A1812" s="35" t="s">
        <v>9420</v>
      </c>
      <c r="B1812" s="35">
        <v>1.0</v>
      </c>
      <c r="C1812" s="35"/>
      <c r="D1812" s="35"/>
      <c r="E1812" s="35"/>
      <c r="F1812" s="35"/>
      <c r="G1812" s="35"/>
      <c r="H1812" s="35"/>
      <c r="I1812" s="35"/>
      <c r="J1812" s="35"/>
      <c r="K1812" s="35"/>
      <c r="L1812" s="35"/>
      <c r="M1812" s="35"/>
      <c r="N1812" s="35"/>
      <c r="O1812" s="35"/>
      <c r="P1812" s="35"/>
      <c r="Q1812" s="35"/>
      <c r="R1812" s="35"/>
      <c r="S1812" s="35"/>
      <c r="T1812" s="35"/>
      <c r="U1812" s="35"/>
      <c r="V1812" s="35"/>
      <c r="W1812" s="35"/>
      <c r="X1812" s="35"/>
      <c r="Y1812" s="35"/>
      <c r="Z1812" s="35"/>
      <c r="AA1812" s="35"/>
      <c r="AB1812" s="35"/>
    </row>
    <row r="1813" ht="15.75" customHeight="1">
      <c r="A1813" s="35" t="s">
        <v>9421</v>
      </c>
      <c r="B1813" s="35">
        <v>1.0</v>
      </c>
      <c r="C1813" s="35"/>
      <c r="D1813" s="35"/>
      <c r="E1813" s="35"/>
      <c r="F1813" s="35"/>
      <c r="G1813" s="35"/>
      <c r="H1813" s="35"/>
      <c r="I1813" s="35"/>
      <c r="J1813" s="35"/>
      <c r="K1813" s="35"/>
      <c r="L1813" s="35"/>
      <c r="M1813" s="35"/>
      <c r="N1813" s="35"/>
      <c r="O1813" s="35"/>
      <c r="P1813" s="35"/>
      <c r="Q1813" s="35"/>
      <c r="R1813" s="35"/>
      <c r="S1813" s="35"/>
      <c r="T1813" s="35"/>
      <c r="U1813" s="35"/>
      <c r="V1813" s="35"/>
      <c r="W1813" s="35"/>
      <c r="X1813" s="35"/>
      <c r="Y1813" s="35"/>
      <c r="Z1813" s="35"/>
      <c r="AA1813" s="35"/>
      <c r="AB1813" s="35"/>
    </row>
    <row r="1814" ht="15.75" customHeight="1">
      <c r="A1814" s="35" t="s">
        <v>9422</v>
      </c>
      <c r="B1814" s="35">
        <v>1.0</v>
      </c>
      <c r="C1814" s="35"/>
      <c r="D1814" s="35"/>
      <c r="E1814" s="35"/>
      <c r="F1814" s="35"/>
      <c r="G1814" s="35"/>
      <c r="H1814" s="35"/>
      <c r="I1814" s="35"/>
      <c r="J1814" s="35"/>
      <c r="K1814" s="35"/>
      <c r="L1814" s="35"/>
      <c r="M1814" s="35"/>
      <c r="N1814" s="35"/>
      <c r="O1814" s="35"/>
      <c r="P1814" s="35"/>
      <c r="Q1814" s="35"/>
      <c r="R1814" s="35"/>
      <c r="S1814" s="35"/>
      <c r="T1814" s="35"/>
      <c r="U1814" s="35"/>
      <c r="V1814" s="35"/>
      <c r="W1814" s="35"/>
      <c r="X1814" s="35"/>
      <c r="Y1814" s="35"/>
      <c r="Z1814" s="35"/>
      <c r="AA1814" s="35"/>
      <c r="AB1814" s="35"/>
    </row>
    <row r="1815" ht="15.75" customHeight="1">
      <c r="A1815" s="35" t="s">
        <v>9423</v>
      </c>
      <c r="B1815" s="35">
        <v>1.0</v>
      </c>
      <c r="C1815" s="35"/>
      <c r="D1815" s="35"/>
      <c r="E1815" s="35"/>
      <c r="F1815" s="35"/>
      <c r="G1815" s="35"/>
      <c r="H1815" s="35"/>
      <c r="I1815" s="35"/>
      <c r="J1815" s="35"/>
      <c r="K1815" s="35"/>
      <c r="L1815" s="35"/>
      <c r="M1815" s="35"/>
      <c r="N1815" s="35"/>
      <c r="O1815" s="35"/>
      <c r="P1815" s="35"/>
      <c r="Q1815" s="35"/>
      <c r="R1815" s="35"/>
      <c r="S1815" s="35"/>
      <c r="T1815" s="35"/>
      <c r="U1815" s="35"/>
      <c r="V1815" s="35"/>
      <c r="W1815" s="35"/>
      <c r="X1815" s="35"/>
      <c r="Y1815" s="35"/>
      <c r="Z1815" s="35"/>
      <c r="AA1815" s="35"/>
      <c r="AB1815" s="35"/>
    </row>
    <row r="1816" ht="15.75" customHeight="1">
      <c r="A1816" s="35" t="s">
        <v>9424</v>
      </c>
      <c r="B1816" s="35">
        <v>1.0</v>
      </c>
      <c r="C1816" s="35"/>
      <c r="D1816" s="35"/>
      <c r="E1816" s="35"/>
      <c r="F1816" s="35"/>
      <c r="G1816" s="35"/>
      <c r="H1816" s="35"/>
      <c r="I1816" s="35"/>
      <c r="J1816" s="35"/>
      <c r="K1816" s="35"/>
      <c r="L1816" s="35"/>
      <c r="M1816" s="35"/>
      <c r="N1816" s="35"/>
      <c r="O1816" s="35"/>
      <c r="P1816" s="35"/>
      <c r="Q1816" s="35"/>
      <c r="R1816" s="35"/>
      <c r="S1816" s="35"/>
      <c r="T1816" s="35"/>
      <c r="U1816" s="35"/>
      <c r="V1816" s="35"/>
      <c r="W1816" s="35"/>
      <c r="X1816" s="35"/>
      <c r="Y1816" s="35"/>
      <c r="Z1816" s="35"/>
      <c r="AA1816" s="35"/>
      <c r="AB1816" s="35"/>
    </row>
    <row r="1817" ht="15.75" customHeight="1">
      <c r="A1817" s="35" t="s">
        <v>9425</v>
      </c>
      <c r="B1817" s="35">
        <v>1.0</v>
      </c>
      <c r="C1817" s="35"/>
      <c r="D1817" s="35"/>
      <c r="E1817" s="35"/>
      <c r="F1817" s="35"/>
      <c r="G1817" s="35"/>
      <c r="H1817" s="35"/>
      <c r="I1817" s="35"/>
      <c r="J1817" s="35"/>
      <c r="K1817" s="35"/>
      <c r="L1817" s="35"/>
      <c r="M1817" s="35"/>
      <c r="N1817" s="35"/>
      <c r="O1817" s="35"/>
      <c r="P1817" s="35"/>
      <c r="Q1817" s="35"/>
      <c r="R1817" s="35"/>
      <c r="S1817" s="35"/>
      <c r="T1817" s="35"/>
      <c r="U1817" s="35"/>
      <c r="V1817" s="35"/>
      <c r="W1817" s="35"/>
      <c r="X1817" s="35"/>
      <c r="Y1817" s="35"/>
      <c r="Z1817" s="35"/>
      <c r="AA1817" s="35"/>
      <c r="AB1817" s="35"/>
    </row>
    <row r="1818" ht="15.75" customHeight="1">
      <c r="A1818" s="35" t="s">
        <v>9426</v>
      </c>
      <c r="B1818" s="35">
        <v>1.0</v>
      </c>
      <c r="C1818" s="35"/>
      <c r="D1818" s="35"/>
      <c r="E1818" s="35"/>
      <c r="F1818" s="35"/>
      <c r="G1818" s="35"/>
      <c r="H1818" s="35"/>
      <c r="I1818" s="35"/>
      <c r="J1818" s="35"/>
      <c r="K1818" s="35"/>
      <c r="L1818" s="35"/>
      <c r="M1818" s="35"/>
      <c r="N1818" s="35"/>
      <c r="O1818" s="35"/>
      <c r="P1818" s="35"/>
      <c r="Q1818" s="35"/>
      <c r="R1818" s="35"/>
      <c r="S1818" s="35"/>
      <c r="T1818" s="35"/>
      <c r="U1818" s="35"/>
      <c r="V1818" s="35"/>
      <c r="W1818" s="35"/>
      <c r="X1818" s="35"/>
      <c r="Y1818" s="35"/>
      <c r="Z1818" s="35"/>
      <c r="AA1818" s="35"/>
      <c r="AB1818" s="35"/>
    </row>
    <row r="1819" ht="15.75" customHeight="1">
      <c r="A1819" s="35" t="s">
        <v>9427</v>
      </c>
      <c r="B1819" s="35">
        <v>1.0</v>
      </c>
      <c r="C1819" s="35"/>
      <c r="D1819" s="35"/>
      <c r="E1819" s="35"/>
      <c r="F1819" s="35"/>
      <c r="G1819" s="35"/>
      <c r="H1819" s="35"/>
      <c r="I1819" s="35"/>
      <c r="J1819" s="35"/>
      <c r="K1819" s="35"/>
      <c r="L1819" s="35"/>
      <c r="M1819" s="35"/>
      <c r="N1819" s="35"/>
      <c r="O1819" s="35"/>
      <c r="P1819" s="35"/>
      <c r="Q1819" s="35"/>
      <c r="R1819" s="35"/>
      <c r="S1819" s="35"/>
      <c r="T1819" s="35"/>
      <c r="U1819" s="35"/>
      <c r="V1819" s="35"/>
      <c r="W1819" s="35"/>
      <c r="X1819" s="35"/>
      <c r="Y1819" s="35"/>
      <c r="Z1819" s="35"/>
      <c r="AA1819" s="35"/>
      <c r="AB1819" s="35"/>
    </row>
    <row r="1820" ht="15.75" customHeight="1">
      <c r="A1820" s="35" t="s">
        <v>296</v>
      </c>
      <c r="B1820" s="35">
        <v>1.0</v>
      </c>
      <c r="C1820" s="35"/>
      <c r="D1820" s="35"/>
      <c r="E1820" s="35"/>
      <c r="F1820" s="35"/>
      <c r="G1820" s="35"/>
      <c r="H1820" s="35"/>
      <c r="I1820" s="35"/>
      <c r="J1820" s="35"/>
      <c r="K1820" s="35"/>
      <c r="L1820" s="35"/>
      <c r="M1820" s="35"/>
      <c r="N1820" s="35"/>
      <c r="O1820" s="35"/>
      <c r="P1820" s="35"/>
      <c r="Q1820" s="35"/>
      <c r="R1820" s="35"/>
      <c r="S1820" s="35"/>
      <c r="T1820" s="35"/>
      <c r="U1820" s="35"/>
      <c r="V1820" s="35"/>
      <c r="W1820" s="35"/>
      <c r="X1820" s="35"/>
      <c r="Y1820" s="35"/>
      <c r="Z1820" s="35"/>
      <c r="AA1820" s="35"/>
      <c r="AB1820" s="35"/>
    </row>
    <row r="1821" ht="15.75" customHeight="1">
      <c r="A1821" s="35" t="s">
        <v>9428</v>
      </c>
      <c r="B1821" s="35">
        <v>1.0</v>
      </c>
      <c r="C1821" s="35"/>
      <c r="D1821" s="35"/>
      <c r="E1821" s="35"/>
      <c r="F1821" s="35"/>
      <c r="G1821" s="35"/>
      <c r="H1821" s="35"/>
      <c r="I1821" s="35"/>
      <c r="J1821" s="35"/>
      <c r="K1821" s="35"/>
      <c r="L1821" s="35"/>
      <c r="M1821" s="35"/>
      <c r="N1821" s="35"/>
      <c r="O1821" s="35"/>
      <c r="P1821" s="35"/>
      <c r="Q1821" s="35"/>
      <c r="R1821" s="35"/>
      <c r="S1821" s="35"/>
      <c r="T1821" s="35"/>
      <c r="U1821" s="35"/>
      <c r="V1821" s="35"/>
      <c r="W1821" s="35"/>
      <c r="X1821" s="35"/>
      <c r="Y1821" s="35"/>
      <c r="Z1821" s="35"/>
      <c r="AA1821" s="35"/>
      <c r="AB1821" s="35"/>
    </row>
    <row r="1822" ht="15.75" customHeight="1">
      <c r="A1822" s="35" t="s">
        <v>9429</v>
      </c>
      <c r="B1822" s="35">
        <v>1.0</v>
      </c>
      <c r="C1822" s="35"/>
      <c r="D1822" s="35"/>
      <c r="E1822" s="35"/>
      <c r="F1822" s="35"/>
      <c r="G1822" s="35"/>
      <c r="H1822" s="35"/>
      <c r="I1822" s="35"/>
      <c r="J1822" s="35"/>
      <c r="K1822" s="35"/>
      <c r="L1822" s="35"/>
      <c r="M1822" s="35"/>
      <c r="N1822" s="35"/>
      <c r="O1822" s="35"/>
      <c r="P1822" s="35"/>
      <c r="Q1822" s="35"/>
      <c r="R1822" s="35"/>
      <c r="S1822" s="35"/>
      <c r="T1822" s="35"/>
      <c r="U1822" s="35"/>
      <c r="V1822" s="35"/>
      <c r="W1822" s="35"/>
      <c r="X1822" s="35"/>
      <c r="Y1822" s="35"/>
      <c r="Z1822" s="35"/>
      <c r="AA1822" s="35"/>
      <c r="AB1822" s="35"/>
    </row>
    <row r="1823" ht="15.75" customHeight="1">
      <c r="A1823" s="35" t="s">
        <v>9430</v>
      </c>
      <c r="B1823" s="35">
        <v>1.0</v>
      </c>
      <c r="C1823" s="35"/>
      <c r="D1823" s="35"/>
      <c r="E1823" s="35"/>
      <c r="F1823" s="35"/>
      <c r="G1823" s="35"/>
      <c r="H1823" s="35"/>
      <c r="I1823" s="35"/>
      <c r="J1823" s="35"/>
      <c r="K1823" s="35"/>
      <c r="L1823" s="35"/>
      <c r="M1823" s="35"/>
      <c r="N1823" s="35"/>
      <c r="O1823" s="35"/>
      <c r="P1823" s="35"/>
      <c r="Q1823" s="35"/>
      <c r="R1823" s="35"/>
      <c r="S1823" s="35"/>
      <c r="T1823" s="35"/>
      <c r="U1823" s="35"/>
      <c r="V1823" s="35"/>
      <c r="W1823" s="35"/>
      <c r="X1823" s="35"/>
      <c r="Y1823" s="35"/>
      <c r="Z1823" s="35"/>
      <c r="AA1823" s="35"/>
      <c r="AB1823" s="35"/>
    </row>
    <row r="1824" ht="15.75" customHeight="1">
      <c r="A1824" s="35" t="s">
        <v>9431</v>
      </c>
      <c r="B1824" s="35">
        <v>1.0</v>
      </c>
      <c r="C1824" s="35"/>
      <c r="D1824" s="35"/>
      <c r="E1824" s="35"/>
      <c r="F1824" s="35"/>
      <c r="G1824" s="35"/>
      <c r="H1824" s="35"/>
      <c r="I1824" s="35"/>
      <c r="J1824" s="35"/>
      <c r="K1824" s="35"/>
      <c r="L1824" s="35"/>
      <c r="M1824" s="35"/>
      <c r="N1824" s="35"/>
      <c r="O1824" s="35"/>
      <c r="P1824" s="35"/>
      <c r="Q1824" s="35"/>
      <c r="R1824" s="35"/>
      <c r="S1824" s="35"/>
      <c r="T1824" s="35"/>
      <c r="U1824" s="35"/>
      <c r="V1824" s="35"/>
      <c r="W1824" s="35"/>
      <c r="X1824" s="35"/>
      <c r="Y1824" s="35"/>
      <c r="Z1824" s="35"/>
      <c r="AA1824" s="35"/>
      <c r="AB1824" s="35"/>
    </row>
    <row r="1825" ht="15.75" customHeight="1">
      <c r="A1825" s="35" t="s">
        <v>9432</v>
      </c>
      <c r="B1825" s="35">
        <v>1.0</v>
      </c>
      <c r="C1825" s="35"/>
      <c r="D1825" s="35"/>
      <c r="E1825" s="35"/>
      <c r="F1825" s="35"/>
      <c r="G1825" s="35"/>
      <c r="H1825" s="35"/>
      <c r="I1825" s="35"/>
      <c r="J1825" s="35"/>
      <c r="K1825" s="35"/>
      <c r="L1825" s="35"/>
      <c r="M1825" s="35"/>
      <c r="N1825" s="35"/>
      <c r="O1825" s="35"/>
      <c r="P1825" s="35"/>
      <c r="Q1825" s="35"/>
      <c r="R1825" s="35"/>
      <c r="S1825" s="35"/>
      <c r="T1825" s="35"/>
      <c r="U1825" s="35"/>
      <c r="V1825" s="35"/>
      <c r="W1825" s="35"/>
      <c r="X1825" s="35"/>
      <c r="Y1825" s="35"/>
      <c r="Z1825" s="35"/>
      <c r="AA1825" s="35"/>
      <c r="AB1825" s="35"/>
    </row>
    <row r="1826" ht="15.75" customHeight="1">
      <c r="A1826" s="35" t="s">
        <v>9433</v>
      </c>
      <c r="B1826" s="35">
        <v>1.0</v>
      </c>
      <c r="C1826" s="35"/>
      <c r="D1826" s="35"/>
      <c r="E1826" s="35"/>
      <c r="F1826" s="35"/>
      <c r="G1826" s="35"/>
      <c r="H1826" s="35"/>
      <c r="I1826" s="35"/>
      <c r="J1826" s="35"/>
      <c r="K1826" s="35"/>
      <c r="L1826" s="35"/>
      <c r="M1826" s="35"/>
      <c r="N1826" s="35"/>
      <c r="O1826" s="35"/>
      <c r="P1826" s="35"/>
      <c r="Q1826" s="35"/>
      <c r="R1826" s="35"/>
      <c r="S1826" s="35"/>
      <c r="T1826" s="35"/>
      <c r="U1826" s="35"/>
      <c r="V1826" s="35"/>
      <c r="W1826" s="35"/>
      <c r="X1826" s="35"/>
      <c r="Y1826" s="35"/>
      <c r="Z1826" s="35"/>
      <c r="AA1826" s="35"/>
      <c r="AB1826" s="35"/>
    </row>
    <row r="1827" ht="15.75" customHeight="1">
      <c r="A1827" s="35" t="s">
        <v>9434</v>
      </c>
      <c r="B1827" s="35">
        <v>1.0</v>
      </c>
      <c r="C1827" s="35"/>
      <c r="D1827" s="35"/>
      <c r="E1827" s="35"/>
      <c r="F1827" s="35"/>
      <c r="G1827" s="35"/>
      <c r="H1827" s="35"/>
      <c r="I1827" s="35"/>
      <c r="J1827" s="35"/>
      <c r="K1827" s="35"/>
      <c r="L1827" s="35"/>
      <c r="M1827" s="35"/>
      <c r="N1827" s="35"/>
      <c r="O1827" s="35"/>
      <c r="P1827" s="35"/>
      <c r="Q1827" s="35"/>
      <c r="R1827" s="35"/>
      <c r="S1827" s="35"/>
      <c r="T1827" s="35"/>
      <c r="U1827" s="35"/>
      <c r="V1827" s="35"/>
      <c r="W1827" s="35"/>
      <c r="X1827" s="35"/>
      <c r="Y1827" s="35"/>
      <c r="Z1827" s="35"/>
      <c r="AA1827" s="35"/>
      <c r="AB1827" s="35"/>
    </row>
    <row r="1828" ht="15.75" customHeight="1">
      <c r="A1828" s="35" t="s">
        <v>9435</v>
      </c>
      <c r="B1828" s="35">
        <v>1.0</v>
      </c>
      <c r="C1828" s="35"/>
      <c r="D1828" s="35"/>
      <c r="E1828" s="35"/>
      <c r="F1828" s="35"/>
      <c r="G1828" s="35"/>
      <c r="H1828" s="35"/>
      <c r="I1828" s="35"/>
      <c r="J1828" s="35"/>
      <c r="K1828" s="35"/>
      <c r="L1828" s="35"/>
      <c r="M1828" s="35"/>
      <c r="N1828" s="35"/>
      <c r="O1828" s="35"/>
      <c r="P1828" s="35"/>
      <c r="Q1828" s="35"/>
      <c r="R1828" s="35"/>
      <c r="S1828" s="35"/>
      <c r="T1828" s="35"/>
      <c r="U1828" s="35"/>
      <c r="V1828" s="35"/>
      <c r="W1828" s="35"/>
      <c r="X1828" s="35"/>
      <c r="Y1828" s="35"/>
      <c r="Z1828" s="35"/>
      <c r="AA1828" s="35"/>
      <c r="AB1828" s="35"/>
    </row>
    <row r="1829" ht="15.75" customHeight="1">
      <c r="A1829" s="35" t="s">
        <v>9436</v>
      </c>
      <c r="B1829" s="35">
        <v>1.0</v>
      </c>
      <c r="C1829" s="35"/>
      <c r="D1829" s="35"/>
      <c r="E1829" s="35"/>
      <c r="F1829" s="35"/>
      <c r="G1829" s="35"/>
      <c r="H1829" s="35"/>
      <c r="I1829" s="35"/>
      <c r="J1829" s="35"/>
      <c r="K1829" s="35"/>
      <c r="L1829" s="35"/>
      <c r="M1829" s="35"/>
      <c r="N1829" s="35"/>
      <c r="O1829" s="35"/>
      <c r="P1829" s="35"/>
      <c r="Q1829" s="35"/>
      <c r="R1829" s="35"/>
      <c r="S1829" s="35"/>
      <c r="T1829" s="35"/>
      <c r="U1829" s="35"/>
      <c r="V1829" s="35"/>
      <c r="W1829" s="35"/>
      <c r="X1829" s="35"/>
      <c r="Y1829" s="35"/>
      <c r="Z1829" s="35"/>
      <c r="AA1829" s="35"/>
      <c r="AB1829" s="35"/>
    </row>
    <row r="1830" ht="15.75" customHeight="1">
      <c r="A1830" s="35" t="s">
        <v>9437</v>
      </c>
      <c r="B1830" s="35">
        <v>1.0</v>
      </c>
      <c r="C1830" s="35"/>
      <c r="D1830" s="35"/>
      <c r="E1830" s="35"/>
      <c r="F1830" s="35"/>
      <c r="G1830" s="35"/>
      <c r="H1830" s="35"/>
      <c r="I1830" s="35"/>
      <c r="J1830" s="35"/>
      <c r="K1830" s="35"/>
      <c r="L1830" s="35"/>
      <c r="M1830" s="35"/>
      <c r="N1830" s="35"/>
      <c r="O1830" s="35"/>
      <c r="P1830" s="35"/>
      <c r="Q1830" s="35"/>
      <c r="R1830" s="35"/>
      <c r="S1830" s="35"/>
      <c r="T1830" s="35"/>
      <c r="U1830" s="35"/>
      <c r="V1830" s="35"/>
      <c r="W1830" s="35"/>
      <c r="X1830" s="35"/>
      <c r="Y1830" s="35"/>
      <c r="Z1830" s="35"/>
      <c r="AA1830" s="35"/>
      <c r="AB1830" s="35"/>
    </row>
    <row r="1831" ht="15.75" customHeight="1">
      <c r="A1831" s="35" t="s">
        <v>9438</v>
      </c>
      <c r="B1831" s="35">
        <v>1.0</v>
      </c>
      <c r="C1831" s="35"/>
      <c r="D1831" s="35"/>
      <c r="E1831" s="35"/>
      <c r="F1831" s="35"/>
      <c r="G1831" s="35"/>
      <c r="H1831" s="35"/>
      <c r="I1831" s="35"/>
      <c r="J1831" s="35"/>
      <c r="K1831" s="35"/>
      <c r="L1831" s="35"/>
      <c r="M1831" s="35"/>
      <c r="N1831" s="35"/>
      <c r="O1831" s="35"/>
      <c r="P1831" s="35"/>
      <c r="Q1831" s="35"/>
      <c r="R1831" s="35"/>
      <c r="S1831" s="35"/>
      <c r="T1831" s="35"/>
      <c r="U1831" s="35"/>
      <c r="V1831" s="35"/>
      <c r="W1831" s="35"/>
      <c r="X1831" s="35"/>
      <c r="Y1831" s="35"/>
      <c r="Z1831" s="35"/>
      <c r="AA1831" s="35"/>
      <c r="AB1831" s="35"/>
    </row>
    <row r="1832" ht="15.75" customHeight="1">
      <c r="A1832" s="35" t="s">
        <v>9439</v>
      </c>
      <c r="B1832" s="35">
        <v>1.0</v>
      </c>
      <c r="C1832" s="35"/>
      <c r="D1832" s="35"/>
      <c r="E1832" s="35"/>
      <c r="F1832" s="35"/>
      <c r="G1832" s="35"/>
      <c r="H1832" s="35"/>
      <c r="I1832" s="35"/>
      <c r="J1832" s="35"/>
      <c r="K1832" s="35"/>
      <c r="L1832" s="35"/>
      <c r="M1832" s="35"/>
      <c r="N1832" s="35"/>
      <c r="O1832" s="35"/>
      <c r="P1832" s="35"/>
      <c r="Q1832" s="35"/>
      <c r="R1832" s="35"/>
      <c r="S1832" s="35"/>
      <c r="T1832" s="35"/>
      <c r="U1832" s="35"/>
      <c r="V1832" s="35"/>
      <c r="W1832" s="35"/>
      <c r="X1832" s="35"/>
      <c r="Y1832" s="35"/>
      <c r="Z1832" s="35"/>
      <c r="AA1832" s="35"/>
      <c r="AB1832" s="35"/>
    </row>
    <row r="1833" ht="15.75" customHeight="1">
      <c r="A1833" s="35" t="s">
        <v>9440</v>
      </c>
      <c r="B1833" s="35">
        <v>1.0</v>
      </c>
      <c r="C1833" s="35"/>
      <c r="D1833" s="35"/>
      <c r="E1833" s="35"/>
      <c r="F1833" s="35"/>
      <c r="G1833" s="35"/>
      <c r="H1833" s="35"/>
      <c r="I1833" s="35"/>
      <c r="J1833" s="35"/>
      <c r="K1833" s="35"/>
      <c r="L1833" s="35"/>
      <c r="M1833" s="35"/>
      <c r="N1833" s="35"/>
      <c r="O1833" s="35"/>
      <c r="P1833" s="35"/>
      <c r="Q1833" s="35"/>
      <c r="R1833" s="35"/>
      <c r="S1833" s="35"/>
      <c r="T1833" s="35"/>
      <c r="U1833" s="35"/>
      <c r="V1833" s="35"/>
      <c r="W1833" s="35"/>
      <c r="X1833" s="35"/>
      <c r="Y1833" s="35"/>
      <c r="Z1833" s="35"/>
      <c r="AA1833" s="35"/>
      <c r="AB1833" s="35"/>
    </row>
    <row r="1834" ht="15.75" customHeight="1">
      <c r="A1834" s="35" t="s">
        <v>9441</v>
      </c>
      <c r="B1834" s="35">
        <v>1.0</v>
      </c>
      <c r="C1834" s="35"/>
      <c r="D1834" s="35"/>
      <c r="E1834" s="35"/>
      <c r="F1834" s="35"/>
      <c r="G1834" s="35"/>
      <c r="H1834" s="35"/>
      <c r="I1834" s="35"/>
      <c r="J1834" s="35"/>
      <c r="K1834" s="35"/>
      <c r="L1834" s="35"/>
      <c r="M1834" s="35"/>
      <c r="N1834" s="35"/>
      <c r="O1834" s="35"/>
      <c r="P1834" s="35"/>
      <c r="Q1834" s="35"/>
      <c r="R1834" s="35"/>
      <c r="S1834" s="35"/>
      <c r="T1834" s="35"/>
      <c r="U1834" s="35"/>
      <c r="V1834" s="35"/>
      <c r="W1834" s="35"/>
      <c r="X1834" s="35"/>
      <c r="Y1834" s="35"/>
      <c r="Z1834" s="35"/>
      <c r="AA1834" s="35"/>
      <c r="AB1834" s="35"/>
    </row>
    <row r="1835" ht="15.75" customHeight="1">
      <c r="A1835" s="35" t="s">
        <v>9442</v>
      </c>
      <c r="B1835" s="35">
        <v>1.0</v>
      </c>
      <c r="C1835" s="35"/>
      <c r="D1835" s="35"/>
      <c r="E1835" s="35"/>
      <c r="F1835" s="35"/>
      <c r="G1835" s="35"/>
      <c r="H1835" s="35"/>
      <c r="I1835" s="35"/>
      <c r="J1835" s="35"/>
      <c r="K1835" s="35"/>
      <c r="L1835" s="35"/>
      <c r="M1835" s="35"/>
      <c r="N1835" s="35"/>
      <c r="O1835" s="35"/>
      <c r="P1835" s="35"/>
      <c r="Q1835" s="35"/>
      <c r="R1835" s="35"/>
      <c r="S1835" s="35"/>
      <c r="T1835" s="35"/>
      <c r="U1835" s="35"/>
      <c r="V1835" s="35"/>
      <c r="W1835" s="35"/>
      <c r="X1835" s="35"/>
      <c r="Y1835" s="35"/>
      <c r="Z1835" s="35"/>
      <c r="AA1835" s="35"/>
      <c r="AB1835" s="35"/>
    </row>
    <row r="1836" ht="15.75" customHeight="1">
      <c r="A1836" s="35" t="s">
        <v>9443</v>
      </c>
      <c r="B1836" s="35">
        <v>1.0</v>
      </c>
      <c r="C1836" s="35"/>
      <c r="D1836" s="35"/>
      <c r="E1836" s="35"/>
      <c r="F1836" s="35"/>
      <c r="G1836" s="35"/>
      <c r="H1836" s="35"/>
      <c r="I1836" s="35"/>
      <c r="J1836" s="35"/>
      <c r="K1836" s="35"/>
      <c r="L1836" s="35"/>
      <c r="M1836" s="35"/>
      <c r="N1836" s="35"/>
      <c r="O1836" s="35"/>
      <c r="P1836" s="35"/>
      <c r="Q1836" s="35"/>
      <c r="R1836" s="35"/>
      <c r="S1836" s="35"/>
      <c r="T1836" s="35"/>
      <c r="U1836" s="35"/>
      <c r="V1836" s="35"/>
      <c r="W1836" s="35"/>
      <c r="X1836" s="35"/>
      <c r="Y1836" s="35"/>
      <c r="Z1836" s="35"/>
      <c r="AA1836" s="35"/>
      <c r="AB1836" s="35"/>
    </row>
    <row r="1837" ht="15.75" customHeight="1">
      <c r="A1837" s="35" t="s">
        <v>9444</v>
      </c>
      <c r="B1837" s="35">
        <v>1.0</v>
      </c>
      <c r="C1837" s="35"/>
      <c r="D1837" s="35"/>
      <c r="E1837" s="35"/>
      <c r="F1837" s="35"/>
      <c r="G1837" s="35"/>
      <c r="H1837" s="35"/>
      <c r="I1837" s="35"/>
      <c r="J1837" s="35"/>
      <c r="K1837" s="35"/>
      <c r="L1837" s="35"/>
      <c r="M1837" s="35"/>
      <c r="N1837" s="35"/>
      <c r="O1837" s="35"/>
      <c r="P1837" s="35"/>
      <c r="Q1837" s="35"/>
      <c r="R1837" s="35"/>
      <c r="S1837" s="35"/>
      <c r="T1837" s="35"/>
      <c r="U1837" s="35"/>
      <c r="V1837" s="35"/>
      <c r="W1837" s="35"/>
      <c r="X1837" s="35"/>
      <c r="Y1837" s="35"/>
      <c r="Z1837" s="35"/>
      <c r="AA1837" s="35"/>
      <c r="AB1837" s="35"/>
    </row>
    <row r="1838" ht="15.75" customHeight="1">
      <c r="A1838" s="35" t="s">
        <v>9445</v>
      </c>
      <c r="B1838" s="35">
        <v>1.0</v>
      </c>
      <c r="C1838" s="35"/>
      <c r="D1838" s="35"/>
      <c r="E1838" s="35"/>
      <c r="F1838" s="35"/>
      <c r="G1838" s="35"/>
      <c r="H1838" s="35"/>
      <c r="I1838" s="35"/>
      <c r="J1838" s="35"/>
      <c r="K1838" s="35"/>
      <c r="L1838" s="35"/>
      <c r="M1838" s="35"/>
      <c r="N1838" s="35"/>
      <c r="O1838" s="35"/>
      <c r="P1838" s="35"/>
      <c r="Q1838" s="35"/>
      <c r="R1838" s="35"/>
      <c r="S1838" s="35"/>
      <c r="T1838" s="35"/>
      <c r="U1838" s="35"/>
      <c r="V1838" s="35"/>
      <c r="W1838" s="35"/>
      <c r="X1838" s="35"/>
      <c r="Y1838" s="35"/>
      <c r="Z1838" s="35"/>
      <c r="AA1838" s="35"/>
      <c r="AB1838" s="35"/>
    </row>
    <row r="1839" ht="15.75" customHeight="1">
      <c r="A1839" s="35" t="s">
        <v>9446</v>
      </c>
      <c r="B1839" s="35">
        <v>1.0</v>
      </c>
      <c r="C1839" s="35"/>
      <c r="D1839" s="35"/>
      <c r="E1839" s="35"/>
      <c r="F1839" s="35"/>
      <c r="G1839" s="35"/>
      <c r="H1839" s="35"/>
      <c r="I1839" s="35"/>
      <c r="J1839" s="35"/>
      <c r="K1839" s="35"/>
      <c r="L1839" s="35"/>
      <c r="M1839" s="35"/>
      <c r="N1839" s="35"/>
      <c r="O1839" s="35"/>
      <c r="P1839" s="35"/>
      <c r="Q1839" s="35"/>
      <c r="R1839" s="35"/>
      <c r="S1839" s="35"/>
      <c r="T1839" s="35"/>
      <c r="U1839" s="35"/>
      <c r="V1839" s="35"/>
      <c r="W1839" s="35"/>
      <c r="X1839" s="35"/>
      <c r="Y1839" s="35"/>
      <c r="Z1839" s="35"/>
      <c r="AA1839" s="35"/>
      <c r="AB1839" s="35"/>
    </row>
    <row r="1840" ht="15.75" customHeight="1">
      <c r="A1840" s="35" t="s">
        <v>9447</v>
      </c>
      <c r="B1840" s="35">
        <v>1.0</v>
      </c>
      <c r="C1840" s="35"/>
      <c r="D1840" s="35"/>
      <c r="E1840" s="35"/>
      <c r="F1840" s="35"/>
      <c r="G1840" s="35"/>
      <c r="H1840" s="35"/>
      <c r="I1840" s="35"/>
      <c r="J1840" s="35"/>
      <c r="K1840" s="35"/>
      <c r="L1840" s="35"/>
      <c r="M1840" s="35"/>
      <c r="N1840" s="35"/>
      <c r="O1840" s="35"/>
      <c r="P1840" s="35"/>
      <c r="Q1840" s="35"/>
      <c r="R1840" s="35"/>
      <c r="S1840" s="35"/>
      <c r="T1840" s="35"/>
      <c r="U1840" s="35"/>
      <c r="V1840" s="35"/>
      <c r="W1840" s="35"/>
      <c r="X1840" s="35"/>
      <c r="Y1840" s="35"/>
      <c r="Z1840" s="35"/>
      <c r="AA1840" s="35"/>
      <c r="AB1840" s="35"/>
    </row>
    <row r="1841" ht="15.75" customHeight="1">
      <c r="A1841" s="35" t="s">
        <v>9448</v>
      </c>
      <c r="B1841" s="35">
        <v>1.0</v>
      </c>
      <c r="C1841" s="35"/>
      <c r="D1841" s="35"/>
      <c r="E1841" s="35"/>
      <c r="F1841" s="35"/>
      <c r="G1841" s="35"/>
      <c r="H1841" s="35"/>
      <c r="I1841" s="35"/>
      <c r="J1841" s="35"/>
      <c r="K1841" s="35"/>
      <c r="L1841" s="35"/>
      <c r="M1841" s="35"/>
      <c r="N1841" s="35"/>
      <c r="O1841" s="35"/>
      <c r="P1841" s="35"/>
      <c r="Q1841" s="35"/>
      <c r="R1841" s="35"/>
      <c r="S1841" s="35"/>
      <c r="T1841" s="35"/>
      <c r="U1841" s="35"/>
      <c r="V1841" s="35"/>
      <c r="W1841" s="35"/>
      <c r="X1841" s="35"/>
      <c r="Y1841" s="35"/>
      <c r="Z1841" s="35"/>
      <c r="AA1841" s="35"/>
      <c r="AB1841" s="35"/>
    </row>
    <row r="1842" ht="15.75" customHeight="1">
      <c r="A1842" s="35" t="s">
        <v>9449</v>
      </c>
      <c r="B1842" s="35">
        <v>1.0</v>
      </c>
      <c r="C1842" s="35"/>
      <c r="D1842" s="35"/>
      <c r="E1842" s="35"/>
      <c r="F1842" s="35"/>
      <c r="G1842" s="35"/>
      <c r="H1842" s="35"/>
      <c r="I1842" s="35"/>
      <c r="J1842" s="35"/>
      <c r="K1842" s="35"/>
      <c r="L1842" s="35"/>
      <c r="M1842" s="35"/>
      <c r="N1842" s="35"/>
      <c r="O1842" s="35"/>
      <c r="P1842" s="35"/>
      <c r="Q1842" s="35"/>
      <c r="R1842" s="35"/>
      <c r="S1842" s="35"/>
      <c r="T1842" s="35"/>
      <c r="U1842" s="35"/>
      <c r="V1842" s="35"/>
      <c r="W1842" s="35"/>
      <c r="X1842" s="35"/>
      <c r="Y1842" s="35"/>
      <c r="Z1842" s="35"/>
      <c r="AA1842" s="35"/>
      <c r="AB1842" s="35"/>
    </row>
    <row r="1843" ht="15.75" customHeight="1">
      <c r="A1843" s="35" t="s">
        <v>9450</v>
      </c>
      <c r="B1843" s="35">
        <v>1.0</v>
      </c>
      <c r="C1843" s="35"/>
      <c r="D1843" s="35"/>
      <c r="E1843" s="35"/>
      <c r="F1843" s="35"/>
      <c r="G1843" s="35"/>
      <c r="H1843" s="35"/>
      <c r="I1843" s="35"/>
      <c r="J1843" s="35"/>
      <c r="K1843" s="35"/>
      <c r="L1843" s="35"/>
      <c r="M1843" s="35"/>
      <c r="N1843" s="35"/>
      <c r="O1843" s="35"/>
      <c r="P1843" s="35"/>
      <c r="Q1843" s="35"/>
      <c r="R1843" s="35"/>
      <c r="S1843" s="35"/>
      <c r="T1843" s="35"/>
      <c r="U1843" s="35"/>
      <c r="V1843" s="35"/>
      <c r="W1843" s="35"/>
      <c r="X1843" s="35"/>
      <c r="Y1843" s="35"/>
      <c r="Z1843" s="35"/>
      <c r="AA1843" s="35"/>
      <c r="AB1843" s="35"/>
    </row>
    <row r="1844" ht="15.75" customHeight="1">
      <c r="A1844" s="35" t="s">
        <v>9451</v>
      </c>
      <c r="B1844" s="35">
        <v>1.0</v>
      </c>
      <c r="C1844" s="35"/>
      <c r="D1844" s="35"/>
      <c r="E1844" s="35"/>
      <c r="F1844" s="35"/>
      <c r="G1844" s="35"/>
      <c r="H1844" s="35"/>
      <c r="I1844" s="35"/>
      <c r="J1844" s="35"/>
      <c r="K1844" s="35"/>
      <c r="L1844" s="35"/>
      <c r="M1844" s="35"/>
      <c r="N1844" s="35"/>
      <c r="O1844" s="35"/>
      <c r="P1844" s="35"/>
      <c r="Q1844" s="35"/>
      <c r="R1844" s="35"/>
      <c r="S1844" s="35"/>
      <c r="T1844" s="35"/>
      <c r="U1844" s="35"/>
      <c r="V1844" s="35"/>
      <c r="W1844" s="35"/>
      <c r="X1844" s="35"/>
      <c r="Y1844" s="35"/>
      <c r="Z1844" s="35"/>
      <c r="AA1844" s="35"/>
      <c r="AB1844" s="35"/>
    </row>
    <row r="1845" ht="15.75" customHeight="1">
      <c r="A1845" s="35" t="s">
        <v>9452</v>
      </c>
      <c r="B1845" s="35">
        <v>1.0</v>
      </c>
      <c r="C1845" s="35"/>
      <c r="D1845" s="35"/>
      <c r="E1845" s="35"/>
      <c r="F1845" s="35"/>
      <c r="G1845" s="35"/>
      <c r="H1845" s="35"/>
      <c r="I1845" s="35"/>
      <c r="J1845" s="35"/>
      <c r="K1845" s="35"/>
      <c r="L1845" s="35"/>
      <c r="M1845" s="35"/>
      <c r="N1845" s="35"/>
      <c r="O1845" s="35"/>
      <c r="P1845" s="35"/>
      <c r="Q1845" s="35"/>
      <c r="R1845" s="35"/>
      <c r="S1845" s="35"/>
      <c r="T1845" s="35"/>
      <c r="U1845" s="35"/>
      <c r="V1845" s="35"/>
      <c r="W1845" s="35"/>
      <c r="X1845" s="35"/>
      <c r="Y1845" s="35"/>
      <c r="Z1845" s="35"/>
      <c r="AA1845" s="35"/>
      <c r="AB1845" s="35"/>
    </row>
    <row r="1846" ht="15.75" customHeight="1">
      <c r="A1846" s="35" t="s">
        <v>9453</v>
      </c>
      <c r="B1846" s="35">
        <v>1.0</v>
      </c>
      <c r="C1846" s="35"/>
      <c r="D1846" s="35"/>
      <c r="E1846" s="35"/>
      <c r="F1846" s="35"/>
      <c r="G1846" s="35"/>
      <c r="H1846" s="35"/>
      <c r="I1846" s="35"/>
      <c r="J1846" s="35"/>
      <c r="K1846" s="35"/>
      <c r="L1846" s="35"/>
      <c r="M1846" s="35"/>
      <c r="N1846" s="35"/>
      <c r="O1846" s="35"/>
      <c r="P1846" s="35"/>
      <c r="Q1846" s="35"/>
      <c r="R1846" s="35"/>
      <c r="S1846" s="35"/>
      <c r="T1846" s="35"/>
      <c r="U1846" s="35"/>
      <c r="V1846" s="35"/>
      <c r="W1846" s="35"/>
      <c r="X1846" s="35"/>
      <c r="Y1846" s="35"/>
      <c r="Z1846" s="35"/>
      <c r="AA1846" s="35"/>
      <c r="AB1846" s="35"/>
    </row>
    <row r="1847" ht="15.75" customHeight="1">
      <c r="A1847" s="35" t="s">
        <v>9454</v>
      </c>
      <c r="B1847" s="35">
        <v>1.0</v>
      </c>
      <c r="C1847" s="35"/>
      <c r="D1847" s="35"/>
      <c r="E1847" s="35"/>
      <c r="F1847" s="35"/>
      <c r="G1847" s="35"/>
      <c r="H1847" s="35"/>
      <c r="I1847" s="35"/>
      <c r="J1847" s="35"/>
      <c r="K1847" s="35"/>
      <c r="L1847" s="35"/>
      <c r="M1847" s="35"/>
      <c r="N1847" s="35"/>
      <c r="O1847" s="35"/>
      <c r="P1847" s="35"/>
      <c r="Q1847" s="35"/>
      <c r="R1847" s="35"/>
      <c r="S1847" s="35"/>
      <c r="T1847" s="35"/>
      <c r="U1847" s="35"/>
      <c r="V1847" s="35"/>
      <c r="W1847" s="35"/>
      <c r="X1847" s="35"/>
      <c r="Y1847" s="35"/>
      <c r="Z1847" s="35"/>
      <c r="AA1847" s="35"/>
      <c r="AB1847" s="35"/>
    </row>
    <row r="1848" ht="15.75" customHeight="1">
      <c r="A1848" s="35" t="s">
        <v>9455</v>
      </c>
      <c r="B1848" s="35">
        <v>1.0</v>
      </c>
      <c r="C1848" s="35"/>
      <c r="D1848" s="35"/>
      <c r="E1848" s="35"/>
      <c r="F1848" s="35"/>
      <c r="G1848" s="35"/>
      <c r="H1848" s="35"/>
      <c r="I1848" s="35"/>
      <c r="J1848" s="35"/>
      <c r="K1848" s="35"/>
      <c r="L1848" s="35"/>
      <c r="M1848" s="35"/>
      <c r="N1848" s="35"/>
      <c r="O1848" s="35"/>
      <c r="P1848" s="35"/>
      <c r="Q1848" s="35"/>
      <c r="R1848" s="35"/>
      <c r="S1848" s="35"/>
      <c r="T1848" s="35"/>
      <c r="U1848" s="35"/>
      <c r="V1848" s="35"/>
      <c r="W1848" s="35"/>
      <c r="X1848" s="35"/>
      <c r="Y1848" s="35"/>
      <c r="Z1848" s="35"/>
      <c r="AA1848" s="35"/>
      <c r="AB1848" s="35"/>
    </row>
    <row r="1849" ht="15.75" customHeight="1">
      <c r="A1849" s="35" t="s">
        <v>9456</v>
      </c>
      <c r="B1849" s="35">
        <v>1.0</v>
      </c>
      <c r="C1849" s="35"/>
      <c r="D1849" s="35"/>
      <c r="E1849" s="35"/>
      <c r="F1849" s="35"/>
      <c r="G1849" s="35"/>
      <c r="H1849" s="35"/>
      <c r="I1849" s="35"/>
      <c r="J1849" s="35"/>
      <c r="K1849" s="35"/>
      <c r="L1849" s="35"/>
      <c r="M1849" s="35"/>
      <c r="N1849" s="35"/>
      <c r="O1849" s="35"/>
      <c r="P1849" s="35"/>
      <c r="Q1849" s="35"/>
      <c r="R1849" s="35"/>
      <c r="S1849" s="35"/>
      <c r="T1849" s="35"/>
      <c r="U1849" s="35"/>
      <c r="V1849" s="35"/>
      <c r="W1849" s="35"/>
      <c r="X1849" s="35"/>
      <c r="Y1849" s="35"/>
      <c r="Z1849" s="35"/>
      <c r="AA1849" s="35"/>
      <c r="AB1849" s="35"/>
    </row>
    <row r="1850" ht="15.75" customHeight="1">
      <c r="A1850" s="35" t="s">
        <v>9457</v>
      </c>
      <c r="B1850" s="35">
        <v>1.0</v>
      </c>
      <c r="C1850" s="35"/>
      <c r="D1850" s="35"/>
      <c r="E1850" s="35"/>
      <c r="F1850" s="35"/>
      <c r="G1850" s="35"/>
      <c r="H1850" s="35"/>
      <c r="I1850" s="35"/>
      <c r="J1850" s="35"/>
      <c r="K1850" s="35"/>
      <c r="L1850" s="35"/>
      <c r="M1850" s="35"/>
      <c r="N1850" s="35"/>
      <c r="O1850" s="35"/>
      <c r="P1850" s="35"/>
      <c r="Q1850" s="35"/>
      <c r="R1850" s="35"/>
      <c r="S1850" s="35"/>
      <c r="T1850" s="35"/>
      <c r="U1850" s="35"/>
      <c r="V1850" s="35"/>
      <c r="W1850" s="35"/>
      <c r="X1850" s="35"/>
      <c r="Y1850" s="35"/>
      <c r="Z1850" s="35"/>
      <c r="AA1850" s="35"/>
      <c r="AB1850" s="35"/>
    </row>
    <row r="1851" ht="15.75" customHeight="1">
      <c r="A1851" s="35" t="s">
        <v>9458</v>
      </c>
      <c r="B1851" s="35">
        <v>1.0</v>
      </c>
      <c r="C1851" s="35"/>
      <c r="D1851" s="35"/>
      <c r="E1851" s="35"/>
      <c r="F1851" s="35"/>
      <c r="G1851" s="35"/>
      <c r="H1851" s="35"/>
      <c r="I1851" s="35"/>
      <c r="J1851" s="35"/>
      <c r="K1851" s="35"/>
      <c r="L1851" s="35"/>
      <c r="M1851" s="35"/>
      <c r="N1851" s="35"/>
      <c r="O1851" s="35"/>
      <c r="P1851" s="35"/>
      <c r="Q1851" s="35"/>
      <c r="R1851" s="35"/>
      <c r="S1851" s="35"/>
      <c r="T1851" s="35"/>
      <c r="U1851" s="35"/>
      <c r="V1851" s="35"/>
      <c r="W1851" s="35"/>
      <c r="X1851" s="35"/>
      <c r="Y1851" s="35"/>
      <c r="Z1851" s="35"/>
      <c r="AA1851" s="35"/>
      <c r="AB1851" s="35"/>
    </row>
    <row r="1852" ht="15.75" customHeight="1">
      <c r="A1852" s="35" t="s">
        <v>9459</v>
      </c>
      <c r="B1852" s="35">
        <v>1.0</v>
      </c>
      <c r="C1852" s="35"/>
      <c r="D1852" s="35"/>
      <c r="E1852" s="35"/>
      <c r="F1852" s="35"/>
      <c r="G1852" s="35"/>
      <c r="H1852" s="35"/>
      <c r="I1852" s="35"/>
      <c r="J1852" s="35"/>
      <c r="K1852" s="35"/>
      <c r="L1852" s="35"/>
      <c r="M1852" s="35"/>
      <c r="N1852" s="35"/>
      <c r="O1852" s="35"/>
      <c r="P1852" s="35"/>
      <c r="Q1852" s="35"/>
      <c r="R1852" s="35"/>
      <c r="S1852" s="35"/>
      <c r="T1852" s="35"/>
      <c r="U1852" s="35"/>
      <c r="V1852" s="35"/>
      <c r="W1852" s="35"/>
      <c r="X1852" s="35"/>
      <c r="Y1852" s="35"/>
      <c r="Z1852" s="35"/>
      <c r="AA1852" s="35"/>
      <c r="AB1852" s="35"/>
    </row>
    <row r="1853" ht="15.75" customHeight="1">
      <c r="A1853" s="35" t="s">
        <v>9460</v>
      </c>
      <c r="B1853" s="35">
        <v>1.0</v>
      </c>
      <c r="C1853" s="35"/>
      <c r="D1853" s="35"/>
      <c r="E1853" s="35"/>
      <c r="F1853" s="35"/>
      <c r="G1853" s="35"/>
      <c r="H1853" s="35"/>
      <c r="I1853" s="35"/>
      <c r="J1853" s="35"/>
      <c r="K1853" s="35"/>
      <c r="L1853" s="35"/>
      <c r="M1853" s="35"/>
      <c r="N1853" s="35"/>
      <c r="O1853" s="35"/>
      <c r="P1853" s="35"/>
      <c r="Q1853" s="35"/>
      <c r="R1853" s="35"/>
      <c r="S1853" s="35"/>
      <c r="T1853" s="35"/>
      <c r="U1853" s="35"/>
      <c r="V1853" s="35"/>
      <c r="W1853" s="35"/>
      <c r="X1853" s="35"/>
      <c r="Y1853" s="35"/>
      <c r="Z1853" s="35"/>
      <c r="AA1853" s="35"/>
      <c r="AB1853" s="35"/>
    </row>
    <row r="1854" ht="15.75" customHeight="1">
      <c r="A1854" s="35" t="s">
        <v>9461</v>
      </c>
      <c r="B1854" s="35">
        <v>1.0</v>
      </c>
      <c r="C1854" s="35"/>
      <c r="D1854" s="35"/>
      <c r="E1854" s="35"/>
      <c r="F1854" s="35"/>
      <c r="G1854" s="35"/>
      <c r="H1854" s="35"/>
      <c r="I1854" s="35"/>
      <c r="J1854" s="35"/>
      <c r="K1854" s="35"/>
      <c r="L1854" s="35"/>
      <c r="M1854" s="35"/>
      <c r="N1854" s="35"/>
      <c r="O1854" s="35"/>
      <c r="P1854" s="35"/>
      <c r="Q1854" s="35"/>
      <c r="R1854" s="35"/>
      <c r="S1854" s="35"/>
      <c r="T1854" s="35"/>
      <c r="U1854" s="35"/>
      <c r="V1854" s="35"/>
      <c r="W1854" s="35"/>
      <c r="X1854" s="35"/>
      <c r="Y1854" s="35"/>
      <c r="Z1854" s="35"/>
      <c r="AA1854" s="35"/>
      <c r="AB1854" s="35"/>
    </row>
    <row r="1855" ht="15.75" customHeight="1">
      <c r="A1855" s="35" t="s">
        <v>9462</v>
      </c>
      <c r="B1855" s="35">
        <v>1.0</v>
      </c>
      <c r="C1855" s="35"/>
      <c r="D1855" s="35"/>
      <c r="E1855" s="35"/>
      <c r="F1855" s="35"/>
      <c r="G1855" s="35"/>
      <c r="H1855" s="35"/>
      <c r="I1855" s="35"/>
      <c r="J1855" s="35"/>
      <c r="K1855" s="35"/>
      <c r="L1855" s="35"/>
      <c r="M1855" s="35"/>
      <c r="N1855" s="35"/>
      <c r="O1855" s="35"/>
      <c r="P1855" s="35"/>
      <c r="Q1855" s="35"/>
      <c r="R1855" s="35"/>
      <c r="S1855" s="35"/>
      <c r="T1855" s="35"/>
      <c r="U1855" s="35"/>
      <c r="V1855" s="35"/>
      <c r="W1855" s="35"/>
      <c r="X1855" s="35"/>
      <c r="Y1855" s="35"/>
      <c r="Z1855" s="35"/>
      <c r="AA1855" s="35"/>
      <c r="AB1855" s="35"/>
    </row>
    <row r="1856" ht="15.75" customHeight="1">
      <c r="A1856" s="35" t="s">
        <v>9463</v>
      </c>
      <c r="B1856" s="35">
        <v>1.0</v>
      </c>
      <c r="C1856" s="35"/>
      <c r="D1856" s="35"/>
      <c r="E1856" s="35"/>
      <c r="F1856" s="35"/>
      <c r="G1856" s="35"/>
      <c r="H1856" s="35"/>
      <c r="I1856" s="35"/>
      <c r="J1856" s="35"/>
      <c r="K1856" s="35"/>
      <c r="L1856" s="35"/>
      <c r="M1856" s="35"/>
      <c r="N1856" s="35"/>
      <c r="O1856" s="35"/>
      <c r="P1856" s="35"/>
      <c r="Q1856" s="35"/>
      <c r="R1856" s="35"/>
      <c r="S1856" s="35"/>
      <c r="T1856" s="35"/>
      <c r="U1856" s="35"/>
      <c r="V1856" s="35"/>
      <c r="W1856" s="35"/>
      <c r="X1856" s="35"/>
      <c r="Y1856" s="35"/>
      <c r="Z1856" s="35"/>
      <c r="AA1856" s="35"/>
      <c r="AB1856" s="35"/>
    </row>
    <row r="1857" ht="15.75" customHeight="1">
      <c r="A1857" s="35" t="s">
        <v>9464</v>
      </c>
      <c r="B1857" s="35">
        <v>1.0</v>
      </c>
      <c r="C1857" s="35"/>
      <c r="D1857" s="35"/>
      <c r="E1857" s="35"/>
      <c r="F1857" s="35"/>
      <c r="G1857" s="35"/>
      <c r="H1857" s="35"/>
      <c r="I1857" s="35"/>
      <c r="J1857" s="35"/>
      <c r="K1857" s="35"/>
      <c r="L1857" s="35"/>
      <c r="M1857" s="35"/>
      <c r="N1857" s="35"/>
      <c r="O1857" s="35"/>
      <c r="P1857" s="35"/>
      <c r="Q1857" s="35"/>
      <c r="R1857" s="35"/>
      <c r="S1857" s="35"/>
      <c r="T1857" s="35"/>
      <c r="U1857" s="35"/>
      <c r="V1857" s="35"/>
      <c r="W1857" s="35"/>
      <c r="X1857" s="35"/>
      <c r="Y1857" s="35"/>
      <c r="Z1857" s="35"/>
      <c r="AA1857" s="35"/>
      <c r="AB1857" s="35"/>
    </row>
    <row r="1858" ht="15.75" customHeight="1">
      <c r="A1858" s="35" t="s">
        <v>9465</v>
      </c>
      <c r="B1858" s="35">
        <v>1.0</v>
      </c>
      <c r="C1858" s="35"/>
      <c r="D1858" s="35"/>
      <c r="E1858" s="35"/>
      <c r="F1858" s="35"/>
      <c r="G1858" s="35"/>
      <c r="H1858" s="35"/>
      <c r="I1858" s="35"/>
      <c r="J1858" s="35"/>
      <c r="K1858" s="35"/>
      <c r="L1858" s="35"/>
      <c r="M1858" s="35"/>
      <c r="N1858" s="35"/>
      <c r="O1858" s="35"/>
      <c r="P1858" s="35"/>
      <c r="Q1858" s="35"/>
      <c r="R1858" s="35"/>
      <c r="S1858" s="35"/>
      <c r="T1858" s="35"/>
      <c r="U1858" s="35"/>
      <c r="V1858" s="35"/>
      <c r="W1858" s="35"/>
      <c r="X1858" s="35"/>
      <c r="Y1858" s="35"/>
      <c r="Z1858" s="35"/>
      <c r="AA1858" s="35"/>
      <c r="AB1858" s="35"/>
    </row>
    <row r="1859" ht="15.75" customHeight="1">
      <c r="A1859" s="35" t="s">
        <v>9466</v>
      </c>
      <c r="B1859" s="35">
        <v>1.0</v>
      </c>
      <c r="C1859" s="35"/>
      <c r="D1859" s="35"/>
      <c r="E1859" s="35"/>
      <c r="F1859" s="35"/>
      <c r="G1859" s="35"/>
      <c r="H1859" s="35"/>
      <c r="I1859" s="35"/>
      <c r="J1859" s="35"/>
      <c r="K1859" s="35"/>
      <c r="L1859" s="35"/>
      <c r="M1859" s="35"/>
      <c r="N1859" s="35"/>
      <c r="O1859" s="35"/>
      <c r="P1859" s="35"/>
      <c r="Q1859" s="35"/>
      <c r="R1859" s="35"/>
      <c r="S1859" s="35"/>
      <c r="T1859" s="35"/>
      <c r="U1859" s="35"/>
      <c r="V1859" s="35"/>
      <c r="W1859" s="35"/>
      <c r="X1859" s="35"/>
      <c r="Y1859" s="35"/>
      <c r="Z1859" s="35"/>
      <c r="AA1859" s="35"/>
      <c r="AB1859" s="35"/>
    </row>
    <row r="1860" ht="15.75" customHeight="1">
      <c r="A1860" s="35" t="s">
        <v>9467</v>
      </c>
      <c r="B1860" s="35">
        <v>1.0</v>
      </c>
      <c r="C1860" s="35"/>
      <c r="D1860" s="35"/>
      <c r="E1860" s="35"/>
      <c r="F1860" s="35"/>
      <c r="G1860" s="35"/>
      <c r="H1860" s="35"/>
      <c r="I1860" s="35"/>
      <c r="J1860" s="35"/>
      <c r="K1860" s="35"/>
      <c r="L1860" s="35"/>
      <c r="M1860" s="35"/>
      <c r="N1860" s="35"/>
      <c r="O1860" s="35"/>
      <c r="P1860" s="35"/>
      <c r="Q1860" s="35"/>
      <c r="R1860" s="35"/>
      <c r="S1860" s="35"/>
      <c r="T1860" s="35"/>
      <c r="U1860" s="35"/>
      <c r="V1860" s="35"/>
      <c r="W1860" s="35"/>
      <c r="X1860" s="35"/>
      <c r="Y1860" s="35"/>
      <c r="Z1860" s="35"/>
      <c r="AA1860" s="35"/>
      <c r="AB1860" s="35"/>
    </row>
    <row r="1861" ht="15.75" customHeight="1">
      <c r="A1861" s="35" t="s">
        <v>9468</v>
      </c>
      <c r="B1861" s="35">
        <v>1.0</v>
      </c>
      <c r="C1861" s="35"/>
      <c r="D1861" s="35"/>
      <c r="E1861" s="35"/>
      <c r="F1861" s="35"/>
      <c r="G1861" s="35"/>
      <c r="H1861" s="35"/>
      <c r="I1861" s="35"/>
      <c r="J1861" s="35"/>
      <c r="K1861" s="35"/>
      <c r="L1861" s="35"/>
      <c r="M1861" s="35"/>
      <c r="N1861" s="35"/>
      <c r="O1861" s="35"/>
      <c r="P1861" s="35"/>
      <c r="Q1861" s="35"/>
      <c r="R1861" s="35"/>
      <c r="S1861" s="35"/>
      <c r="T1861" s="35"/>
      <c r="U1861" s="35"/>
      <c r="V1861" s="35"/>
      <c r="W1861" s="35"/>
      <c r="X1861" s="35"/>
      <c r="Y1861" s="35"/>
      <c r="Z1861" s="35"/>
      <c r="AA1861" s="35"/>
      <c r="AB1861" s="35"/>
    </row>
    <row r="1862" ht="15.75" customHeight="1">
      <c r="A1862" s="35" t="s">
        <v>9469</v>
      </c>
      <c r="B1862" s="35">
        <v>1.0</v>
      </c>
      <c r="C1862" s="35"/>
      <c r="D1862" s="35"/>
      <c r="E1862" s="35"/>
      <c r="F1862" s="35"/>
      <c r="G1862" s="35"/>
      <c r="H1862" s="35"/>
      <c r="I1862" s="35"/>
      <c r="J1862" s="35"/>
      <c r="K1862" s="35"/>
      <c r="L1862" s="35"/>
      <c r="M1862" s="35"/>
      <c r="N1862" s="35"/>
      <c r="O1862" s="35"/>
      <c r="P1862" s="35"/>
      <c r="Q1862" s="35"/>
      <c r="R1862" s="35"/>
      <c r="S1862" s="35"/>
      <c r="T1862" s="35"/>
      <c r="U1862" s="35"/>
      <c r="V1862" s="35"/>
      <c r="W1862" s="35"/>
      <c r="X1862" s="35"/>
      <c r="Y1862" s="35"/>
      <c r="Z1862" s="35"/>
      <c r="AA1862" s="35"/>
      <c r="AB1862" s="35"/>
    </row>
    <row r="1863" ht="15.75" customHeight="1">
      <c r="A1863" s="35" t="s">
        <v>9470</v>
      </c>
      <c r="B1863" s="35">
        <v>1.0</v>
      </c>
      <c r="C1863" s="35"/>
      <c r="D1863" s="35"/>
      <c r="E1863" s="35"/>
      <c r="F1863" s="35"/>
      <c r="G1863" s="35"/>
      <c r="H1863" s="35"/>
      <c r="I1863" s="35"/>
      <c r="J1863" s="35"/>
      <c r="K1863" s="35"/>
      <c r="L1863" s="35"/>
      <c r="M1863" s="35"/>
      <c r="N1863" s="35"/>
      <c r="O1863" s="35"/>
      <c r="P1863" s="35"/>
      <c r="Q1863" s="35"/>
      <c r="R1863" s="35"/>
      <c r="S1863" s="35"/>
      <c r="T1863" s="35"/>
      <c r="U1863" s="35"/>
      <c r="V1863" s="35"/>
      <c r="W1863" s="35"/>
      <c r="X1863" s="35"/>
      <c r="Y1863" s="35"/>
      <c r="Z1863" s="35"/>
      <c r="AA1863" s="35"/>
      <c r="AB1863" s="35"/>
    </row>
    <row r="1864" ht="15.75" customHeight="1">
      <c r="A1864" s="35" t="s">
        <v>9471</v>
      </c>
      <c r="B1864" s="35">
        <v>1.0</v>
      </c>
      <c r="C1864" s="35"/>
      <c r="D1864" s="35"/>
      <c r="E1864" s="35"/>
      <c r="F1864" s="35"/>
      <c r="G1864" s="35"/>
      <c r="H1864" s="35"/>
      <c r="I1864" s="35"/>
      <c r="J1864" s="35"/>
      <c r="K1864" s="35"/>
      <c r="L1864" s="35"/>
      <c r="M1864" s="35"/>
      <c r="N1864" s="35"/>
      <c r="O1864" s="35"/>
      <c r="P1864" s="35"/>
      <c r="Q1864" s="35"/>
      <c r="R1864" s="35"/>
      <c r="S1864" s="35"/>
      <c r="T1864" s="35"/>
      <c r="U1864" s="35"/>
      <c r="V1864" s="35"/>
      <c r="W1864" s="35"/>
      <c r="X1864" s="35"/>
      <c r="Y1864" s="35"/>
      <c r="Z1864" s="35"/>
      <c r="AA1864" s="35"/>
      <c r="AB1864" s="35"/>
    </row>
    <row r="1865" ht="15.75" customHeight="1">
      <c r="A1865" s="35" t="s">
        <v>9472</v>
      </c>
      <c r="B1865" s="35">
        <v>1.0</v>
      </c>
      <c r="C1865" s="35"/>
      <c r="D1865" s="35"/>
      <c r="E1865" s="35"/>
      <c r="F1865" s="35"/>
      <c r="G1865" s="35"/>
      <c r="H1865" s="35"/>
      <c r="I1865" s="35"/>
      <c r="J1865" s="35"/>
      <c r="K1865" s="35"/>
      <c r="L1865" s="35"/>
      <c r="M1865" s="35"/>
      <c r="N1865" s="35"/>
      <c r="O1865" s="35"/>
      <c r="P1865" s="35"/>
      <c r="Q1865" s="35"/>
      <c r="R1865" s="35"/>
      <c r="S1865" s="35"/>
      <c r="T1865" s="35"/>
      <c r="U1865" s="35"/>
      <c r="V1865" s="35"/>
      <c r="W1865" s="35"/>
      <c r="X1865" s="35"/>
      <c r="Y1865" s="35"/>
      <c r="Z1865" s="35"/>
      <c r="AA1865" s="35"/>
      <c r="AB1865" s="35"/>
    </row>
    <row r="1866" ht="15.75" customHeight="1">
      <c r="A1866" s="35" t="s">
        <v>9473</v>
      </c>
      <c r="B1866" s="35">
        <v>1.0</v>
      </c>
      <c r="C1866" s="35"/>
      <c r="D1866" s="35"/>
      <c r="E1866" s="35"/>
      <c r="F1866" s="35"/>
      <c r="G1866" s="35"/>
      <c r="H1866" s="35"/>
      <c r="I1866" s="35"/>
      <c r="J1866" s="35"/>
      <c r="K1866" s="35"/>
      <c r="L1866" s="35"/>
      <c r="M1866" s="35"/>
      <c r="N1866" s="35"/>
      <c r="O1866" s="35"/>
      <c r="P1866" s="35"/>
      <c r="Q1866" s="35"/>
      <c r="R1866" s="35"/>
      <c r="S1866" s="35"/>
      <c r="T1866" s="35"/>
      <c r="U1866" s="35"/>
      <c r="V1866" s="35"/>
      <c r="W1866" s="35"/>
      <c r="X1866" s="35"/>
      <c r="Y1866" s="35"/>
      <c r="Z1866" s="35"/>
      <c r="AA1866" s="35"/>
      <c r="AB1866" s="35"/>
    </row>
    <row r="1867" ht="15.75" customHeight="1">
      <c r="A1867" s="35" t="s">
        <v>9474</v>
      </c>
      <c r="B1867" s="35">
        <v>1.0</v>
      </c>
      <c r="C1867" s="35"/>
      <c r="D1867" s="35"/>
      <c r="E1867" s="35"/>
      <c r="F1867" s="35"/>
      <c r="G1867" s="35"/>
      <c r="H1867" s="35"/>
      <c r="I1867" s="35"/>
      <c r="J1867" s="35"/>
      <c r="K1867" s="35"/>
      <c r="L1867" s="35"/>
      <c r="M1867" s="35"/>
      <c r="N1867" s="35"/>
      <c r="O1867" s="35"/>
      <c r="P1867" s="35"/>
      <c r="Q1867" s="35"/>
      <c r="R1867" s="35"/>
      <c r="S1867" s="35"/>
      <c r="T1867" s="35"/>
      <c r="U1867" s="35"/>
      <c r="V1867" s="35"/>
      <c r="W1867" s="35"/>
      <c r="X1867" s="35"/>
      <c r="Y1867" s="35"/>
      <c r="Z1867" s="35"/>
      <c r="AA1867" s="35"/>
      <c r="AB1867" s="35"/>
    </row>
    <row r="1868" ht="15.75" customHeight="1">
      <c r="A1868" s="35" t="s">
        <v>9475</v>
      </c>
      <c r="B1868" s="35">
        <v>1.0</v>
      </c>
      <c r="C1868" s="35"/>
      <c r="D1868" s="35"/>
      <c r="E1868" s="35"/>
      <c r="F1868" s="35"/>
      <c r="G1868" s="35"/>
      <c r="H1868" s="35"/>
      <c r="I1868" s="35"/>
      <c r="J1868" s="35"/>
      <c r="K1868" s="35"/>
      <c r="L1868" s="35"/>
      <c r="M1868" s="35"/>
      <c r="N1868" s="35"/>
      <c r="O1868" s="35"/>
      <c r="P1868" s="35"/>
      <c r="Q1868" s="35"/>
      <c r="R1868" s="35"/>
      <c r="S1868" s="35"/>
      <c r="T1868" s="35"/>
      <c r="U1868" s="35"/>
      <c r="V1868" s="35"/>
      <c r="W1868" s="35"/>
      <c r="X1868" s="35"/>
      <c r="Y1868" s="35"/>
      <c r="Z1868" s="35"/>
      <c r="AA1868" s="35"/>
      <c r="AB1868" s="35"/>
    </row>
    <row r="1869" ht="15.75" customHeight="1">
      <c r="A1869" s="35" t="s">
        <v>9476</v>
      </c>
      <c r="B1869" s="35">
        <v>1.0</v>
      </c>
      <c r="C1869" s="35"/>
      <c r="D1869" s="35"/>
      <c r="E1869" s="35"/>
      <c r="F1869" s="35"/>
      <c r="G1869" s="35"/>
      <c r="H1869" s="35"/>
      <c r="I1869" s="35"/>
      <c r="J1869" s="35"/>
      <c r="K1869" s="35"/>
      <c r="L1869" s="35"/>
      <c r="M1869" s="35"/>
      <c r="N1869" s="35"/>
      <c r="O1869" s="35"/>
      <c r="P1869" s="35"/>
      <c r="Q1869" s="35"/>
      <c r="R1869" s="35"/>
      <c r="S1869" s="35"/>
      <c r="T1869" s="35"/>
      <c r="U1869" s="35"/>
      <c r="V1869" s="35"/>
      <c r="W1869" s="35"/>
      <c r="X1869" s="35"/>
      <c r="Y1869" s="35"/>
      <c r="Z1869" s="35"/>
      <c r="AA1869" s="35"/>
      <c r="AB1869" s="35"/>
    </row>
    <row r="1870" ht="15.75" customHeight="1">
      <c r="A1870" s="35" t="s">
        <v>9477</v>
      </c>
      <c r="B1870" s="35">
        <v>1.0</v>
      </c>
      <c r="C1870" s="35"/>
      <c r="D1870" s="35"/>
      <c r="E1870" s="35"/>
      <c r="F1870" s="35"/>
      <c r="G1870" s="35"/>
      <c r="H1870" s="35"/>
      <c r="I1870" s="35"/>
      <c r="J1870" s="35"/>
      <c r="K1870" s="35"/>
      <c r="L1870" s="35"/>
      <c r="M1870" s="35"/>
      <c r="N1870" s="35"/>
      <c r="O1870" s="35"/>
      <c r="P1870" s="35"/>
      <c r="Q1870" s="35"/>
      <c r="R1870" s="35"/>
      <c r="S1870" s="35"/>
      <c r="T1870" s="35"/>
      <c r="U1870" s="35"/>
      <c r="V1870" s="35"/>
      <c r="W1870" s="35"/>
      <c r="X1870" s="35"/>
      <c r="Y1870" s="35"/>
      <c r="Z1870" s="35"/>
      <c r="AA1870" s="35"/>
      <c r="AB1870" s="35"/>
    </row>
    <row r="1871" ht="15.75" customHeight="1">
      <c r="A1871" s="35" t="s">
        <v>9478</v>
      </c>
      <c r="B1871" s="35">
        <v>1.0</v>
      </c>
      <c r="C1871" s="35"/>
      <c r="D1871" s="35"/>
      <c r="E1871" s="35"/>
      <c r="F1871" s="35"/>
      <c r="G1871" s="35"/>
      <c r="H1871" s="35"/>
      <c r="I1871" s="35"/>
      <c r="J1871" s="35"/>
      <c r="K1871" s="35"/>
      <c r="L1871" s="35"/>
      <c r="M1871" s="35"/>
      <c r="N1871" s="35"/>
      <c r="O1871" s="35"/>
      <c r="P1871" s="35"/>
      <c r="Q1871" s="35"/>
      <c r="R1871" s="35"/>
      <c r="S1871" s="35"/>
      <c r="T1871" s="35"/>
      <c r="U1871" s="35"/>
      <c r="V1871" s="35"/>
      <c r="W1871" s="35"/>
      <c r="X1871" s="35"/>
      <c r="Y1871" s="35"/>
      <c r="Z1871" s="35"/>
      <c r="AA1871" s="35"/>
      <c r="AB1871" s="35"/>
    </row>
    <row r="1872" ht="15.75" customHeight="1">
      <c r="A1872" s="35" t="s">
        <v>9479</v>
      </c>
      <c r="B1872" s="35">
        <v>1.0</v>
      </c>
      <c r="C1872" s="35"/>
      <c r="D1872" s="35"/>
      <c r="E1872" s="35"/>
      <c r="F1872" s="35"/>
      <c r="G1872" s="35"/>
      <c r="H1872" s="35"/>
      <c r="I1872" s="35"/>
      <c r="J1872" s="35"/>
      <c r="K1872" s="35"/>
      <c r="L1872" s="35"/>
      <c r="M1872" s="35"/>
      <c r="N1872" s="35"/>
      <c r="O1872" s="35"/>
      <c r="P1872" s="35"/>
      <c r="Q1872" s="35"/>
      <c r="R1872" s="35"/>
      <c r="S1872" s="35"/>
      <c r="T1872" s="35"/>
      <c r="U1872" s="35"/>
      <c r="V1872" s="35"/>
      <c r="W1872" s="35"/>
      <c r="X1872" s="35"/>
      <c r="Y1872" s="35"/>
      <c r="Z1872" s="35"/>
      <c r="AA1872" s="35"/>
      <c r="AB1872" s="35"/>
    </row>
    <row r="1873" ht="15.75" customHeight="1">
      <c r="A1873" s="35" t="s">
        <v>9480</v>
      </c>
      <c r="B1873" s="35">
        <v>1.0</v>
      </c>
      <c r="C1873" s="35"/>
      <c r="D1873" s="35"/>
      <c r="E1873" s="35"/>
      <c r="F1873" s="35"/>
      <c r="G1873" s="35"/>
      <c r="H1873" s="35"/>
      <c r="I1873" s="35"/>
      <c r="J1873" s="35"/>
      <c r="K1873" s="35"/>
      <c r="L1873" s="35"/>
      <c r="M1873" s="35"/>
      <c r="N1873" s="35"/>
      <c r="O1873" s="35"/>
      <c r="P1873" s="35"/>
      <c r="Q1873" s="35"/>
      <c r="R1873" s="35"/>
      <c r="S1873" s="35"/>
      <c r="T1873" s="35"/>
      <c r="U1873" s="35"/>
      <c r="V1873" s="35"/>
      <c r="W1873" s="35"/>
      <c r="X1873" s="35"/>
      <c r="Y1873" s="35"/>
      <c r="Z1873" s="35"/>
      <c r="AA1873" s="35"/>
      <c r="AB1873" s="35"/>
    </row>
    <row r="1874" ht="15.75" customHeight="1">
      <c r="A1874" s="35" t="s">
        <v>9481</v>
      </c>
      <c r="B1874" s="35">
        <v>1.0</v>
      </c>
      <c r="C1874" s="35"/>
      <c r="D1874" s="35"/>
      <c r="E1874" s="35"/>
      <c r="F1874" s="35"/>
      <c r="G1874" s="35"/>
      <c r="H1874" s="35"/>
      <c r="I1874" s="35"/>
      <c r="J1874" s="35"/>
      <c r="K1874" s="35"/>
      <c r="L1874" s="35"/>
      <c r="M1874" s="35"/>
      <c r="N1874" s="35"/>
      <c r="O1874" s="35"/>
      <c r="P1874" s="35"/>
      <c r="Q1874" s="35"/>
      <c r="R1874" s="35"/>
      <c r="S1874" s="35"/>
      <c r="T1874" s="35"/>
      <c r="U1874" s="35"/>
      <c r="V1874" s="35"/>
      <c r="W1874" s="35"/>
      <c r="X1874" s="35"/>
      <c r="Y1874" s="35"/>
      <c r="Z1874" s="35"/>
      <c r="AA1874" s="35"/>
      <c r="AB1874" s="35"/>
    </row>
    <row r="1875" ht="15.75" customHeight="1">
      <c r="A1875" s="35" t="s">
        <v>9482</v>
      </c>
      <c r="B1875" s="35">
        <v>1.0</v>
      </c>
      <c r="C1875" s="35"/>
      <c r="D1875" s="35"/>
      <c r="E1875" s="35"/>
      <c r="F1875" s="35"/>
      <c r="G1875" s="35"/>
      <c r="H1875" s="35"/>
      <c r="I1875" s="35"/>
      <c r="J1875" s="35"/>
      <c r="K1875" s="35"/>
      <c r="L1875" s="35"/>
      <c r="M1875" s="35"/>
      <c r="N1875" s="35"/>
      <c r="O1875" s="35"/>
      <c r="P1875" s="35"/>
      <c r="Q1875" s="35"/>
      <c r="R1875" s="35"/>
      <c r="S1875" s="35"/>
      <c r="T1875" s="35"/>
      <c r="U1875" s="35"/>
      <c r="V1875" s="35"/>
      <c r="W1875" s="35"/>
      <c r="X1875" s="35"/>
      <c r="Y1875" s="35"/>
      <c r="Z1875" s="35"/>
      <c r="AA1875" s="35"/>
      <c r="AB1875" s="35"/>
    </row>
    <row r="1876" ht="15.75" customHeight="1">
      <c r="A1876" s="35" t="s">
        <v>9483</v>
      </c>
      <c r="B1876" s="35">
        <v>1.0</v>
      </c>
      <c r="C1876" s="35"/>
      <c r="D1876" s="35"/>
      <c r="E1876" s="35"/>
      <c r="F1876" s="35"/>
      <c r="G1876" s="35"/>
      <c r="H1876" s="35"/>
      <c r="I1876" s="35"/>
      <c r="J1876" s="35"/>
      <c r="K1876" s="35"/>
      <c r="L1876" s="35"/>
      <c r="M1876" s="35"/>
      <c r="N1876" s="35"/>
      <c r="O1876" s="35"/>
      <c r="P1876" s="35"/>
      <c r="Q1876" s="35"/>
      <c r="R1876" s="35"/>
      <c r="S1876" s="35"/>
      <c r="T1876" s="35"/>
      <c r="U1876" s="35"/>
      <c r="V1876" s="35"/>
      <c r="W1876" s="35"/>
      <c r="X1876" s="35"/>
      <c r="Y1876" s="35"/>
      <c r="Z1876" s="35"/>
      <c r="AA1876" s="35"/>
      <c r="AB1876" s="35"/>
    </row>
    <row r="1877" ht="15.75" customHeight="1">
      <c r="A1877" s="35" t="s">
        <v>9484</v>
      </c>
      <c r="B1877" s="35">
        <v>1.0</v>
      </c>
      <c r="C1877" s="35"/>
      <c r="D1877" s="35"/>
      <c r="E1877" s="35"/>
      <c r="F1877" s="35"/>
      <c r="G1877" s="35"/>
      <c r="H1877" s="35"/>
      <c r="I1877" s="35"/>
      <c r="J1877" s="35"/>
      <c r="K1877" s="35"/>
      <c r="L1877" s="35"/>
      <c r="M1877" s="35"/>
      <c r="N1877" s="35"/>
      <c r="O1877" s="35"/>
      <c r="P1877" s="35"/>
      <c r="Q1877" s="35"/>
      <c r="R1877" s="35"/>
      <c r="S1877" s="35"/>
      <c r="T1877" s="35"/>
      <c r="U1877" s="35"/>
      <c r="V1877" s="35"/>
      <c r="W1877" s="35"/>
      <c r="X1877" s="35"/>
      <c r="Y1877" s="35"/>
      <c r="Z1877" s="35"/>
      <c r="AA1877" s="35"/>
      <c r="AB1877" s="35"/>
    </row>
    <row r="1878" ht="15.75" customHeight="1">
      <c r="A1878" s="35" t="s">
        <v>9485</v>
      </c>
      <c r="B1878" s="35">
        <v>1.0</v>
      </c>
      <c r="C1878" s="35"/>
      <c r="D1878" s="35"/>
      <c r="E1878" s="35"/>
      <c r="F1878" s="35"/>
      <c r="G1878" s="35"/>
      <c r="H1878" s="35"/>
      <c r="I1878" s="35"/>
      <c r="J1878" s="35"/>
      <c r="K1878" s="35"/>
      <c r="L1878" s="35"/>
      <c r="M1878" s="35"/>
      <c r="N1878" s="35"/>
      <c r="O1878" s="35"/>
      <c r="P1878" s="35"/>
      <c r="Q1878" s="35"/>
      <c r="R1878" s="35"/>
      <c r="S1878" s="35"/>
      <c r="T1878" s="35"/>
      <c r="U1878" s="35"/>
      <c r="V1878" s="35"/>
      <c r="W1878" s="35"/>
      <c r="X1878" s="35"/>
      <c r="Y1878" s="35"/>
      <c r="Z1878" s="35"/>
      <c r="AA1878" s="35"/>
      <c r="AB1878" s="35"/>
    </row>
    <row r="1879" ht="15.75" customHeight="1">
      <c r="A1879" s="35" t="s">
        <v>9486</v>
      </c>
      <c r="B1879" s="35">
        <v>1.0</v>
      </c>
      <c r="C1879" s="35"/>
      <c r="D1879" s="35"/>
      <c r="E1879" s="35"/>
      <c r="F1879" s="35"/>
      <c r="G1879" s="35"/>
      <c r="H1879" s="35"/>
      <c r="I1879" s="35"/>
      <c r="J1879" s="35"/>
      <c r="K1879" s="35"/>
      <c r="L1879" s="35"/>
      <c r="M1879" s="35"/>
      <c r="N1879" s="35"/>
      <c r="O1879" s="35"/>
      <c r="P1879" s="35"/>
      <c r="Q1879" s="35"/>
      <c r="R1879" s="35"/>
      <c r="S1879" s="35"/>
      <c r="T1879" s="35"/>
      <c r="U1879" s="35"/>
      <c r="V1879" s="35"/>
      <c r="W1879" s="35"/>
      <c r="X1879" s="35"/>
      <c r="Y1879" s="35"/>
      <c r="Z1879" s="35"/>
      <c r="AA1879" s="35"/>
      <c r="AB1879" s="35"/>
    </row>
    <row r="1880" ht="15.75" customHeight="1">
      <c r="A1880" s="35" t="s">
        <v>9487</v>
      </c>
      <c r="B1880" s="35">
        <v>1.0</v>
      </c>
      <c r="C1880" s="35"/>
      <c r="D1880" s="35"/>
      <c r="E1880" s="35"/>
      <c r="F1880" s="35"/>
      <c r="G1880" s="35"/>
      <c r="H1880" s="35"/>
      <c r="I1880" s="35"/>
      <c r="J1880" s="35"/>
      <c r="K1880" s="35"/>
      <c r="L1880" s="35"/>
      <c r="M1880" s="35"/>
      <c r="N1880" s="35"/>
      <c r="O1880" s="35"/>
      <c r="P1880" s="35"/>
      <c r="Q1880" s="35"/>
      <c r="R1880" s="35"/>
      <c r="S1880" s="35"/>
      <c r="T1880" s="35"/>
      <c r="U1880" s="35"/>
      <c r="V1880" s="35"/>
      <c r="W1880" s="35"/>
      <c r="X1880" s="35"/>
      <c r="Y1880" s="35"/>
      <c r="Z1880" s="35"/>
      <c r="AA1880" s="35"/>
      <c r="AB1880" s="35"/>
    </row>
    <row r="1881" ht="15.75" customHeight="1">
      <c r="A1881" s="35" t="s">
        <v>9488</v>
      </c>
      <c r="B1881" s="35">
        <v>1.0</v>
      </c>
      <c r="C1881" s="35"/>
      <c r="D1881" s="35"/>
      <c r="E1881" s="35"/>
      <c r="F1881" s="35"/>
      <c r="G1881" s="35"/>
      <c r="H1881" s="35"/>
      <c r="I1881" s="35"/>
      <c r="J1881" s="35"/>
      <c r="K1881" s="35"/>
      <c r="L1881" s="35"/>
      <c r="M1881" s="35"/>
      <c r="N1881" s="35"/>
      <c r="O1881" s="35"/>
      <c r="P1881" s="35"/>
      <c r="Q1881" s="35"/>
      <c r="R1881" s="35"/>
      <c r="S1881" s="35"/>
      <c r="T1881" s="35"/>
      <c r="U1881" s="35"/>
      <c r="V1881" s="35"/>
      <c r="W1881" s="35"/>
      <c r="X1881" s="35"/>
      <c r="Y1881" s="35"/>
      <c r="Z1881" s="35"/>
      <c r="AA1881" s="35"/>
      <c r="AB1881" s="35"/>
    </row>
    <row r="1882" ht="15.75" customHeight="1">
      <c r="A1882" s="35" t="s">
        <v>9489</v>
      </c>
      <c r="B1882" s="35">
        <v>1.0</v>
      </c>
      <c r="C1882" s="35"/>
      <c r="D1882" s="35"/>
      <c r="E1882" s="35"/>
      <c r="F1882" s="35"/>
      <c r="G1882" s="35"/>
      <c r="H1882" s="35"/>
      <c r="I1882" s="35"/>
      <c r="J1882" s="35"/>
      <c r="K1882" s="35"/>
      <c r="L1882" s="35"/>
      <c r="M1882" s="35"/>
      <c r="N1882" s="35"/>
      <c r="O1882" s="35"/>
      <c r="P1882" s="35"/>
      <c r="Q1882" s="35"/>
      <c r="R1882" s="35"/>
      <c r="S1882" s="35"/>
      <c r="T1882" s="35"/>
      <c r="U1882" s="35"/>
      <c r="V1882" s="35"/>
      <c r="W1882" s="35"/>
      <c r="X1882" s="35"/>
      <c r="Y1882" s="35"/>
      <c r="Z1882" s="35"/>
      <c r="AA1882" s="35"/>
      <c r="AB1882" s="35"/>
    </row>
    <row r="1883" ht="15.75" customHeight="1">
      <c r="A1883" s="35" t="s">
        <v>9490</v>
      </c>
      <c r="B1883" s="35">
        <v>1.0</v>
      </c>
      <c r="C1883" s="35"/>
      <c r="D1883" s="35"/>
      <c r="E1883" s="35"/>
      <c r="F1883" s="35"/>
      <c r="G1883" s="35"/>
      <c r="H1883" s="35"/>
      <c r="I1883" s="35"/>
      <c r="J1883" s="35"/>
      <c r="K1883" s="35"/>
      <c r="L1883" s="35"/>
      <c r="M1883" s="35"/>
      <c r="N1883" s="35"/>
      <c r="O1883" s="35"/>
      <c r="P1883" s="35"/>
      <c r="Q1883" s="35"/>
      <c r="R1883" s="35"/>
      <c r="S1883" s="35"/>
      <c r="T1883" s="35"/>
      <c r="U1883" s="35"/>
      <c r="V1883" s="35"/>
      <c r="W1883" s="35"/>
      <c r="X1883" s="35"/>
      <c r="Y1883" s="35"/>
      <c r="Z1883" s="35"/>
      <c r="AA1883" s="35"/>
      <c r="AB1883" s="35"/>
    </row>
    <row r="1884" ht="15.75" customHeight="1">
      <c r="A1884" s="35" t="s">
        <v>9491</v>
      </c>
      <c r="B1884" s="35">
        <v>1.0</v>
      </c>
      <c r="C1884" s="35"/>
      <c r="D1884" s="35"/>
      <c r="E1884" s="35"/>
      <c r="F1884" s="35"/>
      <c r="G1884" s="35"/>
      <c r="H1884" s="35"/>
      <c r="I1884" s="35"/>
      <c r="J1884" s="35"/>
      <c r="K1884" s="35"/>
      <c r="L1884" s="35"/>
      <c r="M1884" s="35"/>
      <c r="N1884" s="35"/>
      <c r="O1884" s="35"/>
      <c r="P1884" s="35"/>
      <c r="Q1884" s="35"/>
      <c r="R1884" s="35"/>
      <c r="S1884" s="35"/>
      <c r="T1884" s="35"/>
      <c r="U1884" s="35"/>
      <c r="V1884" s="35"/>
      <c r="W1884" s="35"/>
      <c r="X1884" s="35"/>
      <c r="Y1884" s="35"/>
      <c r="Z1884" s="35"/>
      <c r="AA1884" s="35"/>
      <c r="AB1884" s="35"/>
    </row>
    <row r="1885" ht="15.75" customHeight="1">
      <c r="A1885" s="35" t="s">
        <v>9492</v>
      </c>
      <c r="B1885" s="35">
        <v>1.0</v>
      </c>
      <c r="C1885" s="35"/>
      <c r="D1885" s="35"/>
      <c r="E1885" s="35"/>
      <c r="F1885" s="35"/>
      <c r="G1885" s="35"/>
      <c r="H1885" s="35"/>
      <c r="I1885" s="35"/>
      <c r="J1885" s="35"/>
      <c r="K1885" s="35"/>
      <c r="L1885" s="35"/>
      <c r="M1885" s="35"/>
      <c r="N1885" s="35"/>
      <c r="O1885" s="35"/>
      <c r="P1885" s="35"/>
      <c r="Q1885" s="35"/>
      <c r="R1885" s="35"/>
      <c r="S1885" s="35"/>
      <c r="T1885" s="35"/>
      <c r="U1885" s="35"/>
      <c r="V1885" s="35"/>
      <c r="W1885" s="35"/>
      <c r="X1885" s="35"/>
      <c r="Y1885" s="35"/>
      <c r="Z1885" s="35"/>
      <c r="AA1885" s="35"/>
      <c r="AB1885" s="35"/>
    </row>
    <row r="1886" ht="15.75" customHeight="1">
      <c r="A1886" s="35" t="s">
        <v>9493</v>
      </c>
      <c r="B1886" s="35">
        <v>1.0</v>
      </c>
      <c r="C1886" s="35"/>
      <c r="D1886" s="35"/>
      <c r="E1886" s="35"/>
      <c r="F1886" s="35"/>
      <c r="G1886" s="35"/>
      <c r="H1886" s="35"/>
      <c r="I1886" s="35"/>
      <c r="J1886" s="35"/>
      <c r="K1886" s="35"/>
      <c r="L1886" s="35"/>
      <c r="M1886" s="35"/>
      <c r="N1886" s="35"/>
      <c r="O1886" s="35"/>
      <c r="P1886" s="35"/>
      <c r="Q1886" s="35"/>
      <c r="R1886" s="35"/>
      <c r="S1886" s="35"/>
      <c r="T1886" s="35"/>
      <c r="U1886" s="35"/>
      <c r="V1886" s="35"/>
      <c r="W1886" s="35"/>
      <c r="X1886" s="35"/>
      <c r="Y1886" s="35"/>
      <c r="Z1886" s="35"/>
      <c r="AA1886" s="35"/>
      <c r="AB1886" s="35"/>
    </row>
    <row r="1887" ht="15.75" customHeight="1">
      <c r="A1887" s="35" t="s">
        <v>9494</v>
      </c>
      <c r="B1887" s="35">
        <v>1.0</v>
      </c>
      <c r="C1887" s="35"/>
      <c r="D1887" s="35"/>
      <c r="E1887" s="35"/>
      <c r="F1887" s="35"/>
      <c r="G1887" s="35"/>
      <c r="H1887" s="35"/>
      <c r="I1887" s="35"/>
      <c r="J1887" s="35"/>
      <c r="K1887" s="35"/>
      <c r="L1887" s="35"/>
      <c r="M1887" s="35"/>
      <c r="N1887" s="35"/>
      <c r="O1887" s="35"/>
      <c r="P1887" s="35"/>
      <c r="Q1887" s="35"/>
      <c r="R1887" s="35"/>
      <c r="S1887" s="35"/>
      <c r="T1887" s="35"/>
      <c r="U1887" s="35"/>
      <c r="V1887" s="35"/>
      <c r="W1887" s="35"/>
      <c r="X1887" s="35"/>
      <c r="Y1887" s="35"/>
      <c r="Z1887" s="35"/>
      <c r="AA1887" s="35"/>
      <c r="AB1887" s="35"/>
    </row>
    <row r="1888" ht="15.75" customHeight="1">
      <c r="A1888" s="35" t="s">
        <v>9495</v>
      </c>
      <c r="B1888" s="35">
        <v>1.0</v>
      </c>
      <c r="C1888" s="35"/>
      <c r="D1888" s="35"/>
      <c r="E1888" s="35"/>
      <c r="F1888" s="35"/>
      <c r="G1888" s="35"/>
      <c r="H1888" s="35"/>
      <c r="I1888" s="35"/>
      <c r="J1888" s="35"/>
      <c r="K1888" s="35"/>
      <c r="L1888" s="35"/>
      <c r="M1888" s="35"/>
      <c r="N1888" s="35"/>
      <c r="O1888" s="35"/>
      <c r="P1888" s="35"/>
      <c r="Q1888" s="35"/>
      <c r="R1888" s="35"/>
      <c r="S1888" s="35"/>
      <c r="T1888" s="35"/>
      <c r="U1888" s="35"/>
      <c r="V1888" s="35"/>
      <c r="W1888" s="35"/>
      <c r="X1888" s="35"/>
      <c r="Y1888" s="35"/>
      <c r="Z1888" s="35"/>
      <c r="AA1888" s="35"/>
      <c r="AB1888" s="35"/>
    </row>
    <row r="1889" ht="15.75" customHeight="1">
      <c r="A1889" s="35" t="s">
        <v>9496</v>
      </c>
      <c r="B1889" s="35">
        <v>1.0</v>
      </c>
      <c r="C1889" s="35"/>
      <c r="D1889" s="35"/>
      <c r="E1889" s="35"/>
      <c r="F1889" s="35"/>
      <c r="G1889" s="35"/>
      <c r="H1889" s="35"/>
      <c r="I1889" s="35"/>
      <c r="J1889" s="35"/>
      <c r="K1889" s="35"/>
      <c r="L1889" s="35"/>
      <c r="M1889" s="35"/>
      <c r="N1889" s="35"/>
      <c r="O1889" s="35"/>
      <c r="P1889" s="35"/>
      <c r="Q1889" s="35"/>
      <c r="R1889" s="35"/>
      <c r="S1889" s="35"/>
      <c r="T1889" s="35"/>
      <c r="U1889" s="35"/>
      <c r="V1889" s="35"/>
      <c r="W1889" s="35"/>
      <c r="X1889" s="35"/>
      <c r="Y1889" s="35"/>
      <c r="Z1889" s="35"/>
      <c r="AA1889" s="35"/>
      <c r="AB1889" s="35"/>
    </row>
    <row r="1890" ht="15.75" customHeight="1">
      <c r="A1890" s="35" t="s">
        <v>9497</v>
      </c>
      <c r="B1890" s="35">
        <v>1.0</v>
      </c>
      <c r="C1890" s="35"/>
      <c r="D1890" s="35"/>
      <c r="E1890" s="35"/>
      <c r="F1890" s="35"/>
      <c r="G1890" s="35"/>
      <c r="H1890" s="35"/>
      <c r="I1890" s="35"/>
      <c r="J1890" s="35"/>
      <c r="K1890" s="35"/>
      <c r="L1890" s="35"/>
      <c r="M1890" s="35"/>
      <c r="N1890" s="35"/>
      <c r="O1890" s="35"/>
      <c r="P1890" s="35"/>
      <c r="Q1890" s="35"/>
      <c r="R1890" s="35"/>
      <c r="S1890" s="35"/>
      <c r="T1890" s="35"/>
      <c r="U1890" s="35"/>
      <c r="V1890" s="35"/>
      <c r="W1890" s="35"/>
      <c r="X1890" s="35"/>
      <c r="Y1890" s="35"/>
      <c r="Z1890" s="35"/>
      <c r="AA1890" s="35"/>
      <c r="AB1890" s="35"/>
    </row>
    <row r="1891" ht="15.75" customHeight="1">
      <c r="A1891" s="35" t="s">
        <v>9498</v>
      </c>
      <c r="B1891" s="35">
        <v>1.0</v>
      </c>
      <c r="C1891" s="35"/>
      <c r="D1891" s="35"/>
      <c r="E1891" s="35"/>
      <c r="F1891" s="35"/>
      <c r="G1891" s="35"/>
      <c r="H1891" s="35"/>
      <c r="I1891" s="35"/>
      <c r="J1891" s="35"/>
      <c r="K1891" s="35"/>
      <c r="L1891" s="35"/>
      <c r="M1891" s="35"/>
      <c r="N1891" s="35"/>
      <c r="O1891" s="35"/>
      <c r="P1891" s="35"/>
      <c r="Q1891" s="35"/>
      <c r="R1891" s="35"/>
      <c r="S1891" s="35"/>
      <c r="T1891" s="35"/>
      <c r="U1891" s="35"/>
      <c r="V1891" s="35"/>
      <c r="W1891" s="35"/>
      <c r="X1891" s="35"/>
      <c r="Y1891" s="35"/>
      <c r="Z1891" s="35"/>
      <c r="AA1891" s="35"/>
      <c r="AB1891" s="35"/>
    </row>
    <row r="1892" ht="15.75" customHeight="1">
      <c r="A1892" s="35" t="s">
        <v>9499</v>
      </c>
      <c r="B1892" s="35">
        <v>1.0</v>
      </c>
      <c r="C1892" s="35"/>
      <c r="D1892" s="35"/>
      <c r="E1892" s="35"/>
      <c r="F1892" s="35"/>
      <c r="G1892" s="35"/>
      <c r="H1892" s="35"/>
      <c r="I1892" s="35"/>
      <c r="J1892" s="35"/>
      <c r="K1892" s="35"/>
      <c r="L1892" s="35"/>
      <c r="M1892" s="35"/>
      <c r="N1892" s="35"/>
      <c r="O1892" s="35"/>
      <c r="P1892" s="35"/>
      <c r="Q1892" s="35"/>
      <c r="R1892" s="35"/>
      <c r="S1892" s="35"/>
      <c r="T1892" s="35"/>
      <c r="U1892" s="35"/>
      <c r="V1892" s="35"/>
      <c r="W1892" s="35"/>
      <c r="X1892" s="35"/>
      <c r="Y1892" s="35"/>
      <c r="Z1892" s="35"/>
      <c r="AA1892" s="35"/>
      <c r="AB1892" s="35"/>
    </row>
    <row r="1893" ht="15.75" customHeight="1">
      <c r="A1893" s="35" t="s">
        <v>9500</v>
      </c>
      <c r="B1893" s="35">
        <v>1.0</v>
      </c>
      <c r="C1893" s="35"/>
      <c r="D1893" s="35"/>
      <c r="E1893" s="35"/>
      <c r="F1893" s="35"/>
      <c r="G1893" s="35"/>
      <c r="H1893" s="35"/>
      <c r="I1893" s="35"/>
      <c r="J1893" s="35"/>
      <c r="K1893" s="35"/>
      <c r="L1893" s="35"/>
      <c r="M1893" s="35"/>
      <c r="N1893" s="35"/>
      <c r="O1893" s="35"/>
      <c r="P1893" s="35"/>
      <c r="Q1893" s="35"/>
      <c r="R1893" s="35"/>
      <c r="S1893" s="35"/>
      <c r="T1893" s="35"/>
      <c r="U1893" s="35"/>
      <c r="V1893" s="35"/>
      <c r="W1893" s="35"/>
      <c r="X1893" s="35"/>
      <c r="Y1893" s="35"/>
      <c r="Z1893" s="35"/>
      <c r="AA1893" s="35"/>
      <c r="AB1893" s="35"/>
    </row>
    <row r="1894" ht="15.75" customHeight="1">
      <c r="A1894" s="35" t="s">
        <v>9501</v>
      </c>
      <c r="B1894" s="35">
        <v>1.0</v>
      </c>
      <c r="C1894" s="35"/>
      <c r="D1894" s="35"/>
      <c r="E1894" s="35"/>
      <c r="F1894" s="35"/>
      <c r="G1894" s="35"/>
      <c r="H1894" s="35"/>
      <c r="I1894" s="35"/>
      <c r="J1894" s="35"/>
      <c r="K1894" s="35"/>
      <c r="L1894" s="35"/>
      <c r="M1894" s="35"/>
      <c r="N1894" s="35"/>
      <c r="O1894" s="35"/>
      <c r="P1894" s="35"/>
      <c r="Q1894" s="35"/>
      <c r="R1894" s="35"/>
      <c r="S1894" s="35"/>
      <c r="T1894" s="35"/>
      <c r="U1894" s="35"/>
      <c r="V1894" s="35"/>
      <c r="W1894" s="35"/>
      <c r="X1894" s="35"/>
      <c r="Y1894" s="35"/>
      <c r="Z1894" s="35"/>
      <c r="AA1894" s="35"/>
      <c r="AB1894" s="35"/>
    </row>
    <row r="1895" ht="15.75" customHeight="1">
      <c r="A1895" s="35" t="s">
        <v>9502</v>
      </c>
      <c r="B1895" s="35">
        <v>1.0</v>
      </c>
      <c r="C1895" s="35"/>
      <c r="D1895" s="35"/>
      <c r="E1895" s="35"/>
      <c r="F1895" s="35"/>
      <c r="G1895" s="35"/>
      <c r="H1895" s="35"/>
      <c r="I1895" s="35"/>
      <c r="J1895" s="35"/>
      <c r="K1895" s="35"/>
      <c r="L1895" s="35"/>
      <c r="M1895" s="35"/>
      <c r="N1895" s="35"/>
      <c r="O1895" s="35"/>
      <c r="P1895" s="35"/>
      <c r="Q1895" s="35"/>
      <c r="R1895" s="35"/>
      <c r="S1895" s="35"/>
      <c r="T1895" s="35"/>
      <c r="U1895" s="35"/>
      <c r="V1895" s="35"/>
      <c r="W1895" s="35"/>
      <c r="X1895" s="35"/>
      <c r="Y1895" s="35"/>
      <c r="Z1895" s="35"/>
      <c r="AA1895" s="35"/>
      <c r="AB1895" s="35"/>
    </row>
    <row r="1896" ht="15.75" customHeight="1">
      <c r="A1896" s="35" t="s">
        <v>9503</v>
      </c>
      <c r="B1896" s="35">
        <v>1.0</v>
      </c>
      <c r="C1896" s="35"/>
      <c r="D1896" s="35"/>
      <c r="E1896" s="35"/>
      <c r="F1896" s="35"/>
      <c r="G1896" s="35"/>
      <c r="H1896" s="35"/>
      <c r="I1896" s="35"/>
      <c r="J1896" s="35"/>
      <c r="K1896" s="35"/>
      <c r="L1896" s="35"/>
      <c r="M1896" s="35"/>
      <c r="N1896" s="35"/>
      <c r="O1896" s="35"/>
      <c r="P1896" s="35"/>
      <c r="Q1896" s="35"/>
      <c r="R1896" s="35"/>
      <c r="S1896" s="35"/>
      <c r="T1896" s="35"/>
      <c r="U1896" s="35"/>
      <c r="V1896" s="35"/>
      <c r="W1896" s="35"/>
      <c r="X1896" s="35"/>
      <c r="Y1896" s="35"/>
      <c r="Z1896" s="35"/>
      <c r="AA1896" s="35"/>
      <c r="AB1896" s="35"/>
    </row>
    <row r="1897" ht="15.75" customHeight="1">
      <c r="A1897" s="35" t="s">
        <v>9504</v>
      </c>
      <c r="B1897" s="35">
        <v>1.0</v>
      </c>
      <c r="C1897" s="35"/>
      <c r="D1897" s="35"/>
      <c r="E1897" s="35"/>
      <c r="F1897" s="35"/>
      <c r="G1897" s="35"/>
      <c r="H1897" s="35"/>
      <c r="I1897" s="35"/>
      <c r="J1897" s="35"/>
      <c r="K1897" s="35"/>
      <c r="L1897" s="35"/>
      <c r="M1897" s="35"/>
      <c r="N1897" s="35"/>
      <c r="O1897" s="35"/>
      <c r="P1897" s="35"/>
      <c r="Q1897" s="35"/>
      <c r="R1897" s="35"/>
      <c r="S1897" s="35"/>
      <c r="T1897" s="35"/>
      <c r="U1897" s="35"/>
      <c r="V1897" s="35"/>
      <c r="W1897" s="35"/>
      <c r="X1897" s="35"/>
      <c r="Y1897" s="35"/>
      <c r="Z1897" s="35"/>
      <c r="AA1897" s="35"/>
      <c r="AB1897" s="35"/>
    </row>
    <row r="1898" ht="15.75" customHeight="1">
      <c r="A1898" s="35" t="s">
        <v>9505</v>
      </c>
      <c r="B1898" s="35">
        <v>1.0</v>
      </c>
      <c r="C1898" s="35"/>
      <c r="D1898" s="35"/>
      <c r="E1898" s="35"/>
      <c r="F1898" s="35"/>
      <c r="G1898" s="35"/>
      <c r="H1898" s="35"/>
      <c r="I1898" s="35"/>
      <c r="J1898" s="35"/>
      <c r="K1898" s="35"/>
      <c r="L1898" s="35"/>
      <c r="M1898" s="35"/>
      <c r="N1898" s="35"/>
      <c r="O1898" s="35"/>
      <c r="P1898" s="35"/>
      <c r="Q1898" s="35"/>
      <c r="R1898" s="35"/>
      <c r="S1898" s="35"/>
      <c r="T1898" s="35"/>
      <c r="U1898" s="35"/>
      <c r="V1898" s="35"/>
      <c r="W1898" s="35"/>
      <c r="X1898" s="35"/>
      <c r="Y1898" s="35"/>
      <c r="Z1898" s="35"/>
      <c r="AA1898" s="35"/>
      <c r="AB1898" s="35"/>
    </row>
    <row r="1899" ht="15.75" customHeight="1">
      <c r="A1899" s="35" t="s">
        <v>9506</v>
      </c>
      <c r="B1899" s="35">
        <v>1.0</v>
      </c>
      <c r="C1899" s="35"/>
      <c r="D1899" s="35"/>
      <c r="E1899" s="35"/>
      <c r="F1899" s="35"/>
      <c r="G1899" s="35"/>
      <c r="H1899" s="35"/>
      <c r="I1899" s="35"/>
      <c r="J1899" s="35"/>
      <c r="K1899" s="35"/>
      <c r="L1899" s="35"/>
      <c r="M1899" s="35"/>
      <c r="N1899" s="35"/>
      <c r="O1899" s="35"/>
      <c r="P1899" s="35"/>
      <c r="Q1899" s="35"/>
      <c r="R1899" s="35"/>
      <c r="S1899" s="35"/>
      <c r="T1899" s="35"/>
      <c r="U1899" s="35"/>
      <c r="V1899" s="35"/>
      <c r="W1899" s="35"/>
      <c r="X1899" s="35"/>
      <c r="Y1899" s="35"/>
      <c r="Z1899" s="35"/>
      <c r="AA1899" s="35"/>
      <c r="AB1899" s="35"/>
    </row>
    <row r="1900" ht="15.75" customHeight="1">
      <c r="A1900" s="35" t="s">
        <v>9507</v>
      </c>
      <c r="B1900" s="35">
        <v>1.0</v>
      </c>
      <c r="C1900" s="35"/>
      <c r="D1900" s="35"/>
      <c r="E1900" s="35"/>
      <c r="F1900" s="35"/>
      <c r="G1900" s="35"/>
      <c r="H1900" s="35"/>
      <c r="I1900" s="35"/>
      <c r="J1900" s="35"/>
      <c r="K1900" s="35"/>
      <c r="L1900" s="35"/>
      <c r="M1900" s="35"/>
      <c r="N1900" s="35"/>
      <c r="O1900" s="35"/>
      <c r="P1900" s="35"/>
      <c r="Q1900" s="35"/>
      <c r="R1900" s="35"/>
      <c r="S1900" s="35"/>
      <c r="T1900" s="35"/>
      <c r="U1900" s="35"/>
      <c r="V1900" s="35"/>
      <c r="W1900" s="35"/>
      <c r="X1900" s="35"/>
      <c r="Y1900" s="35"/>
      <c r="Z1900" s="35"/>
      <c r="AA1900" s="35"/>
      <c r="AB1900" s="35"/>
    </row>
    <row r="1901" ht="15.75" customHeight="1">
      <c r="A1901" s="35" t="s">
        <v>9508</v>
      </c>
      <c r="B1901" s="35">
        <v>1.0</v>
      </c>
      <c r="C1901" s="35"/>
      <c r="D1901" s="35"/>
      <c r="E1901" s="35"/>
      <c r="F1901" s="35"/>
      <c r="G1901" s="35"/>
      <c r="H1901" s="35"/>
      <c r="I1901" s="35"/>
      <c r="J1901" s="35"/>
      <c r="K1901" s="35"/>
      <c r="L1901" s="35"/>
      <c r="M1901" s="35"/>
      <c r="N1901" s="35"/>
      <c r="O1901" s="35"/>
      <c r="P1901" s="35"/>
      <c r="Q1901" s="35"/>
      <c r="R1901" s="35"/>
      <c r="S1901" s="35"/>
      <c r="T1901" s="35"/>
      <c r="U1901" s="35"/>
      <c r="V1901" s="35"/>
      <c r="W1901" s="35"/>
      <c r="X1901" s="35"/>
      <c r="Y1901" s="35"/>
      <c r="Z1901" s="35"/>
      <c r="AA1901" s="35"/>
      <c r="AB1901" s="35"/>
    </row>
    <row r="1902" ht="15.75" customHeight="1">
      <c r="A1902" s="35" t="s">
        <v>9509</v>
      </c>
      <c r="B1902" s="35">
        <v>1.0</v>
      </c>
      <c r="C1902" s="35"/>
      <c r="D1902" s="35"/>
      <c r="E1902" s="35"/>
      <c r="F1902" s="35"/>
      <c r="G1902" s="35"/>
      <c r="H1902" s="35"/>
      <c r="I1902" s="35"/>
      <c r="J1902" s="35"/>
      <c r="K1902" s="35"/>
      <c r="L1902" s="35"/>
      <c r="M1902" s="35"/>
      <c r="N1902" s="35"/>
      <c r="O1902" s="35"/>
      <c r="P1902" s="35"/>
      <c r="Q1902" s="35"/>
      <c r="R1902" s="35"/>
      <c r="S1902" s="35"/>
      <c r="T1902" s="35"/>
      <c r="U1902" s="35"/>
      <c r="V1902" s="35"/>
      <c r="W1902" s="35"/>
      <c r="X1902" s="35"/>
      <c r="Y1902" s="35"/>
      <c r="Z1902" s="35"/>
      <c r="AA1902" s="35"/>
      <c r="AB1902" s="35"/>
    </row>
    <row r="1903" ht="15.75" customHeight="1">
      <c r="A1903" s="35" t="s">
        <v>9510</v>
      </c>
      <c r="B1903" s="35">
        <v>1.0</v>
      </c>
      <c r="C1903" s="35"/>
      <c r="D1903" s="35"/>
      <c r="E1903" s="35"/>
      <c r="F1903" s="35"/>
      <c r="G1903" s="35"/>
      <c r="H1903" s="35"/>
      <c r="I1903" s="35"/>
      <c r="J1903" s="35"/>
      <c r="K1903" s="35"/>
      <c r="L1903" s="35"/>
      <c r="M1903" s="35"/>
      <c r="N1903" s="35"/>
      <c r="O1903" s="35"/>
      <c r="P1903" s="35"/>
      <c r="Q1903" s="35"/>
      <c r="R1903" s="35"/>
      <c r="S1903" s="35"/>
      <c r="T1903" s="35"/>
      <c r="U1903" s="35"/>
      <c r="V1903" s="35"/>
      <c r="W1903" s="35"/>
      <c r="X1903" s="35"/>
      <c r="Y1903" s="35"/>
      <c r="Z1903" s="35"/>
      <c r="AA1903" s="35"/>
      <c r="AB1903" s="35"/>
    </row>
    <row r="1904" ht="15.75" customHeight="1">
      <c r="A1904" s="35" t="s">
        <v>9511</v>
      </c>
      <c r="B1904" s="35">
        <v>1.0</v>
      </c>
      <c r="C1904" s="35"/>
      <c r="D1904" s="35"/>
      <c r="E1904" s="35"/>
      <c r="F1904" s="35"/>
      <c r="G1904" s="35"/>
      <c r="H1904" s="35"/>
      <c r="I1904" s="35"/>
      <c r="J1904" s="35"/>
      <c r="K1904" s="35"/>
      <c r="L1904" s="35"/>
      <c r="M1904" s="35"/>
      <c r="N1904" s="35"/>
      <c r="O1904" s="35"/>
      <c r="P1904" s="35"/>
      <c r="Q1904" s="35"/>
      <c r="R1904" s="35"/>
      <c r="S1904" s="35"/>
      <c r="T1904" s="35"/>
      <c r="U1904" s="35"/>
      <c r="V1904" s="35"/>
      <c r="W1904" s="35"/>
      <c r="X1904" s="35"/>
      <c r="Y1904" s="35"/>
      <c r="Z1904" s="35"/>
      <c r="AA1904" s="35"/>
      <c r="AB1904" s="35"/>
    </row>
    <row r="1905" ht="15.75" customHeight="1">
      <c r="A1905" s="35" t="s">
        <v>9512</v>
      </c>
      <c r="B1905" s="35">
        <v>1.0</v>
      </c>
      <c r="C1905" s="35"/>
      <c r="D1905" s="35"/>
      <c r="E1905" s="35"/>
      <c r="F1905" s="35"/>
      <c r="G1905" s="35"/>
      <c r="H1905" s="35"/>
      <c r="I1905" s="35"/>
      <c r="J1905" s="35"/>
      <c r="K1905" s="35"/>
      <c r="L1905" s="35"/>
      <c r="M1905" s="35"/>
      <c r="N1905" s="35"/>
      <c r="O1905" s="35"/>
      <c r="P1905" s="35"/>
      <c r="Q1905" s="35"/>
      <c r="R1905" s="35"/>
      <c r="S1905" s="35"/>
      <c r="T1905" s="35"/>
      <c r="U1905" s="35"/>
      <c r="V1905" s="35"/>
      <c r="W1905" s="35"/>
      <c r="X1905" s="35"/>
      <c r="Y1905" s="35"/>
      <c r="Z1905" s="35"/>
      <c r="AA1905" s="35"/>
      <c r="AB1905" s="35"/>
    </row>
    <row r="1906" ht="15.75" customHeight="1">
      <c r="A1906" s="35" t="s">
        <v>9513</v>
      </c>
      <c r="B1906" s="35">
        <v>1.0</v>
      </c>
      <c r="C1906" s="35"/>
      <c r="D1906" s="35"/>
      <c r="E1906" s="35"/>
      <c r="F1906" s="35"/>
      <c r="G1906" s="35"/>
      <c r="H1906" s="35"/>
      <c r="I1906" s="35"/>
      <c r="J1906" s="35"/>
      <c r="K1906" s="35"/>
      <c r="L1906" s="35"/>
      <c r="M1906" s="35"/>
      <c r="N1906" s="35"/>
      <c r="O1906" s="35"/>
      <c r="P1906" s="35"/>
      <c r="Q1906" s="35"/>
      <c r="R1906" s="35"/>
      <c r="S1906" s="35"/>
      <c r="T1906" s="35"/>
      <c r="U1906" s="35"/>
      <c r="V1906" s="35"/>
      <c r="W1906" s="35"/>
      <c r="X1906" s="35"/>
      <c r="Y1906" s="35"/>
      <c r="Z1906" s="35"/>
      <c r="AA1906" s="35"/>
      <c r="AB1906" s="35"/>
    </row>
    <row r="1907" ht="15.75" customHeight="1">
      <c r="A1907" s="35" t="s">
        <v>9514</v>
      </c>
      <c r="B1907" s="35">
        <v>1.0</v>
      </c>
      <c r="C1907" s="35"/>
      <c r="D1907" s="35"/>
      <c r="E1907" s="35"/>
      <c r="F1907" s="35"/>
      <c r="G1907" s="35"/>
      <c r="H1907" s="35"/>
      <c r="I1907" s="35"/>
      <c r="J1907" s="35"/>
      <c r="K1907" s="35"/>
      <c r="L1907" s="35"/>
      <c r="M1907" s="35"/>
      <c r="N1907" s="35"/>
      <c r="O1907" s="35"/>
      <c r="P1907" s="35"/>
      <c r="Q1907" s="35"/>
      <c r="R1907" s="35"/>
      <c r="S1907" s="35"/>
      <c r="T1907" s="35"/>
      <c r="U1907" s="35"/>
      <c r="V1907" s="35"/>
      <c r="W1907" s="35"/>
      <c r="X1907" s="35"/>
      <c r="Y1907" s="35"/>
      <c r="Z1907" s="35"/>
      <c r="AA1907" s="35"/>
      <c r="AB1907" s="35"/>
    </row>
    <row r="1908" ht="15.75" customHeight="1">
      <c r="A1908" s="35" t="s">
        <v>9515</v>
      </c>
      <c r="B1908" s="35">
        <v>1.0</v>
      </c>
      <c r="C1908" s="35"/>
      <c r="D1908" s="35"/>
      <c r="E1908" s="35"/>
      <c r="F1908" s="35"/>
      <c r="G1908" s="35"/>
      <c r="H1908" s="35"/>
      <c r="I1908" s="35"/>
      <c r="J1908" s="35"/>
      <c r="K1908" s="35"/>
      <c r="L1908" s="35"/>
      <c r="M1908" s="35"/>
      <c r="N1908" s="35"/>
      <c r="O1908" s="35"/>
      <c r="P1908" s="35"/>
      <c r="Q1908" s="35"/>
      <c r="R1908" s="35"/>
      <c r="S1908" s="35"/>
      <c r="T1908" s="35"/>
      <c r="U1908" s="35"/>
      <c r="V1908" s="35"/>
      <c r="W1908" s="35"/>
      <c r="X1908" s="35"/>
      <c r="Y1908" s="35"/>
      <c r="Z1908" s="35"/>
      <c r="AA1908" s="35"/>
      <c r="AB1908" s="35"/>
    </row>
    <row r="1909" ht="15.75" customHeight="1">
      <c r="A1909" s="35" t="s">
        <v>9516</v>
      </c>
      <c r="B1909" s="35">
        <v>1.0</v>
      </c>
      <c r="C1909" s="35"/>
      <c r="D1909" s="35"/>
      <c r="E1909" s="35"/>
      <c r="F1909" s="35"/>
      <c r="G1909" s="35"/>
      <c r="H1909" s="35"/>
      <c r="I1909" s="35"/>
      <c r="J1909" s="35"/>
      <c r="K1909" s="35"/>
      <c r="L1909" s="35"/>
      <c r="M1909" s="35"/>
      <c r="N1909" s="35"/>
      <c r="O1909" s="35"/>
      <c r="P1909" s="35"/>
      <c r="Q1909" s="35"/>
      <c r="R1909" s="35"/>
      <c r="S1909" s="35"/>
      <c r="T1909" s="35"/>
      <c r="U1909" s="35"/>
      <c r="V1909" s="35"/>
      <c r="W1909" s="35"/>
      <c r="X1909" s="35"/>
      <c r="Y1909" s="35"/>
      <c r="Z1909" s="35"/>
      <c r="AA1909" s="35"/>
      <c r="AB1909" s="35"/>
    </row>
    <row r="1910" ht="15.75" customHeight="1">
      <c r="A1910" s="35" t="s">
        <v>9517</v>
      </c>
      <c r="B1910" s="35">
        <v>1.0</v>
      </c>
      <c r="C1910" s="35"/>
      <c r="D1910" s="35"/>
      <c r="E1910" s="35"/>
      <c r="F1910" s="35"/>
      <c r="G1910" s="35"/>
      <c r="H1910" s="35"/>
      <c r="I1910" s="35"/>
      <c r="J1910" s="35"/>
      <c r="K1910" s="35"/>
      <c r="L1910" s="35"/>
      <c r="M1910" s="35"/>
      <c r="N1910" s="35"/>
      <c r="O1910" s="35"/>
      <c r="P1910" s="35"/>
      <c r="Q1910" s="35"/>
      <c r="R1910" s="35"/>
      <c r="S1910" s="35"/>
      <c r="T1910" s="35"/>
      <c r="U1910" s="35"/>
      <c r="V1910" s="35"/>
      <c r="W1910" s="35"/>
      <c r="X1910" s="35"/>
      <c r="Y1910" s="35"/>
      <c r="Z1910" s="35"/>
      <c r="AA1910" s="35"/>
      <c r="AB1910" s="35"/>
    </row>
    <row r="1911" ht="15.75" customHeight="1">
      <c r="A1911" s="35" t="s">
        <v>9518</v>
      </c>
      <c r="B1911" s="35">
        <v>1.0</v>
      </c>
      <c r="C1911" s="35"/>
      <c r="D1911" s="35"/>
      <c r="E1911" s="35"/>
      <c r="F1911" s="35"/>
      <c r="G1911" s="35"/>
      <c r="H1911" s="35"/>
      <c r="I1911" s="35"/>
      <c r="J1911" s="35"/>
      <c r="K1911" s="35"/>
      <c r="L1911" s="35"/>
      <c r="M1911" s="35"/>
      <c r="N1911" s="35"/>
      <c r="O1911" s="35"/>
      <c r="P1911" s="35"/>
      <c r="Q1911" s="35"/>
      <c r="R1911" s="35"/>
      <c r="S1911" s="35"/>
      <c r="T1911" s="35"/>
      <c r="U1911" s="35"/>
      <c r="V1911" s="35"/>
      <c r="W1911" s="35"/>
      <c r="X1911" s="35"/>
      <c r="Y1911" s="35"/>
      <c r="Z1911" s="35"/>
      <c r="AA1911" s="35"/>
      <c r="AB1911" s="35"/>
    </row>
    <row r="1912" ht="15.75" customHeight="1">
      <c r="A1912" s="35" t="s">
        <v>9519</v>
      </c>
      <c r="B1912" s="35">
        <v>1.0</v>
      </c>
      <c r="C1912" s="35"/>
      <c r="D1912" s="35"/>
      <c r="E1912" s="35"/>
      <c r="F1912" s="35"/>
      <c r="G1912" s="35"/>
      <c r="H1912" s="35"/>
      <c r="I1912" s="35"/>
      <c r="J1912" s="35"/>
      <c r="K1912" s="35"/>
      <c r="L1912" s="35"/>
      <c r="M1912" s="35"/>
      <c r="N1912" s="35"/>
      <c r="O1912" s="35"/>
      <c r="P1912" s="35"/>
      <c r="Q1912" s="35"/>
      <c r="R1912" s="35"/>
      <c r="S1912" s="35"/>
      <c r="T1912" s="35"/>
      <c r="U1912" s="35"/>
      <c r="V1912" s="35"/>
      <c r="W1912" s="35"/>
      <c r="X1912" s="35"/>
      <c r="Y1912" s="35"/>
      <c r="Z1912" s="35"/>
      <c r="AA1912" s="35"/>
      <c r="AB1912" s="35"/>
    </row>
    <row r="1913" ht="15.75" customHeight="1">
      <c r="A1913" s="35" t="s">
        <v>9520</v>
      </c>
      <c r="B1913" s="35">
        <v>1.0</v>
      </c>
      <c r="C1913" s="35"/>
      <c r="D1913" s="35"/>
      <c r="E1913" s="35"/>
      <c r="F1913" s="35"/>
      <c r="G1913" s="35"/>
      <c r="H1913" s="35"/>
      <c r="I1913" s="35"/>
      <c r="J1913" s="35"/>
      <c r="K1913" s="35"/>
      <c r="L1913" s="35"/>
      <c r="M1913" s="35"/>
      <c r="N1913" s="35"/>
      <c r="O1913" s="35"/>
      <c r="P1913" s="35"/>
      <c r="Q1913" s="35"/>
      <c r="R1913" s="35"/>
      <c r="S1913" s="35"/>
      <c r="T1913" s="35"/>
      <c r="U1913" s="35"/>
      <c r="V1913" s="35"/>
      <c r="W1913" s="35"/>
      <c r="X1913" s="35"/>
      <c r="Y1913" s="35"/>
      <c r="Z1913" s="35"/>
      <c r="AA1913" s="35"/>
      <c r="AB1913" s="35"/>
    </row>
    <row r="1914" ht="15.75" customHeight="1">
      <c r="A1914" s="35" t="s">
        <v>9521</v>
      </c>
      <c r="B1914" s="35">
        <v>1.0</v>
      </c>
      <c r="C1914" s="35"/>
      <c r="D1914" s="35"/>
      <c r="E1914" s="35"/>
      <c r="F1914" s="35"/>
      <c r="G1914" s="35"/>
      <c r="H1914" s="35"/>
      <c r="I1914" s="35"/>
      <c r="J1914" s="35"/>
      <c r="K1914" s="35"/>
      <c r="L1914" s="35"/>
      <c r="M1914" s="35"/>
      <c r="N1914" s="35"/>
      <c r="O1914" s="35"/>
      <c r="P1914" s="35"/>
      <c r="Q1914" s="35"/>
      <c r="R1914" s="35"/>
      <c r="S1914" s="35"/>
      <c r="T1914" s="35"/>
      <c r="U1914" s="35"/>
      <c r="V1914" s="35"/>
      <c r="W1914" s="35"/>
      <c r="X1914" s="35"/>
      <c r="Y1914" s="35"/>
      <c r="Z1914" s="35"/>
      <c r="AA1914" s="35"/>
      <c r="AB1914" s="35"/>
    </row>
    <row r="1915" ht="15.75" customHeight="1">
      <c r="A1915" s="35" t="s">
        <v>9522</v>
      </c>
      <c r="B1915" s="35">
        <v>1.0</v>
      </c>
      <c r="C1915" s="35"/>
      <c r="D1915" s="35"/>
      <c r="E1915" s="35"/>
      <c r="F1915" s="35"/>
      <c r="G1915" s="35"/>
      <c r="H1915" s="35"/>
      <c r="I1915" s="35"/>
      <c r="J1915" s="35"/>
      <c r="K1915" s="35"/>
      <c r="L1915" s="35"/>
      <c r="M1915" s="35"/>
      <c r="N1915" s="35"/>
      <c r="O1915" s="35"/>
      <c r="P1915" s="35"/>
      <c r="Q1915" s="35"/>
      <c r="R1915" s="35"/>
      <c r="S1915" s="35"/>
      <c r="T1915" s="35"/>
      <c r="U1915" s="35"/>
      <c r="V1915" s="35"/>
      <c r="W1915" s="35"/>
      <c r="X1915" s="35"/>
      <c r="Y1915" s="35"/>
      <c r="Z1915" s="35"/>
      <c r="AA1915" s="35"/>
      <c r="AB1915" s="35"/>
    </row>
    <row r="1916" ht="15.75" customHeight="1">
      <c r="A1916" s="35" t="s">
        <v>9523</v>
      </c>
      <c r="B1916" s="35">
        <v>1.0</v>
      </c>
      <c r="C1916" s="35"/>
      <c r="D1916" s="35"/>
      <c r="E1916" s="35"/>
      <c r="F1916" s="35"/>
      <c r="G1916" s="35"/>
      <c r="H1916" s="35"/>
      <c r="I1916" s="35"/>
      <c r="J1916" s="35"/>
      <c r="K1916" s="35"/>
      <c r="L1916" s="35"/>
      <c r="M1916" s="35"/>
      <c r="N1916" s="35"/>
      <c r="O1916" s="35"/>
      <c r="P1916" s="35"/>
      <c r="Q1916" s="35"/>
      <c r="R1916" s="35"/>
      <c r="S1916" s="35"/>
      <c r="T1916" s="35"/>
      <c r="U1916" s="35"/>
      <c r="V1916" s="35"/>
      <c r="W1916" s="35"/>
      <c r="X1916" s="35"/>
      <c r="Y1916" s="35"/>
      <c r="Z1916" s="35"/>
      <c r="AA1916" s="35"/>
      <c r="AB1916" s="35"/>
    </row>
    <row r="1917" ht="15.75" customHeight="1">
      <c r="A1917" s="35" t="s">
        <v>9524</v>
      </c>
      <c r="B1917" s="35">
        <v>1.0</v>
      </c>
      <c r="C1917" s="35"/>
      <c r="D1917" s="35"/>
      <c r="E1917" s="35"/>
      <c r="F1917" s="35"/>
      <c r="G1917" s="35"/>
      <c r="H1917" s="35"/>
      <c r="I1917" s="35"/>
      <c r="J1917" s="35"/>
      <c r="K1917" s="35"/>
      <c r="L1917" s="35"/>
      <c r="M1917" s="35"/>
      <c r="N1917" s="35"/>
      <c r="O1917" s="35"/>
      <c r="P1917" s="35"/>
      <c r="Q1917" s="35"/>
      <c r="R1917" s="35"/>
      <c r="S1917" s="35"/>
      <c r="T1917" s="35"/>
      <c r="U1917" s="35"/>
      <c r="V1917" s="35"/>
      <c r="W1917" s="35"/>
      <c r="X1917" s="35"/>
      <c r="Y1917" s="35"/>
      <c r="Z1917" s="35"/>
      <c r="AA1917" s="35"/>
      <c r="AB1917" s="35"/>
    </row>
    <row r="1918" ht="15.75" customHeight="1">
      <c r="A1918" s="35" t="s">
        <v>40</v>
      </c>
      <c r="B1918" s="35">
        <v>1.0</v>
      </c>
      <c r="C1918" s="35"/>
      <c r="D1918" s="35"/>
      <c r="E1918" s="35"/>
      <c r="F1918" s="35"/>
      <c r="G1918" s="35"/>
      <c r="H1918" s="35"/>
      <c r="I1918" s="35"/>
      <c r="J1918" s="35"/>
      <c r="K1918" s="35"/>
      <c r="L1918" s="35"/>
      <c r="M1918" s="35"/>
      <c r="N1918" s="35"/>
      <c r="O1918" s="35"/>
      <c r="P1918" s="35"/>
      <c r="Q1918" s="35"/>
      <c r="R1918" s="35"/>
      <c r="S1918" s="35"/>
      <c r="T1918" s="35"/>
      <c r="U1918" s="35"/>
      <c r="V1918" s="35"/>
      <c r="W1918" s="35"/>
      <c r="X1918" s="35"/>
      <c r="Y1918" s="35"/>
      <c r="Z1918" s="35"/>
      <c r="AA1918" s="35"/>
      <c r="AB1918" s="35"/>
    </row>
    <row r="1919" ht="15.75" customHeight="1">
      <c r="A1919" s="35" t="s">
        <v>9525</v>
      </c>
      <c r="B1919" s="35">
        <v>1.0</v>
      </c>
      <c r="C1919" s="35"/>
      <c r="D1919" s="35"/>
      <c r="E1919" s="35"/>
      <c r="F1919" s="35"/>
      <c r="G1919" s="35"/>
      <c r="H1919" s="35"/>
      <c r="I1919" s="35"/>
      <c r="J1919" s="35"/>
      <c r="K1919" s="35"/>
      <c r="L1919" s="35"/>
      <c r="M1919" s="35"/>
      <c r="N1919" s="35"/>
      <c r="O1919" s="35"/>
      <c r="P1919" s="35"/>
      <c r="Q1919" s="35"/>
      <c r="R1919" s="35"/>
      <c r="S1919" s="35"/>
      <c r="T1919" s="35"/>
      <c r="U1919" s="35"/>
      <c r="V1919" s="35"/>
      <c r="W1919" s="35"/>
      <c r="X1919" s="35"/>
      <c r="Y1919" s="35"/>
      <c r="Z1919" s="35"/>
      <c r="AA1919" s="35"/>
      <c r="AB1919" s="35"/>
    </row>
    <row r="1920" ht="15.75" customHeight="1">
      <c r="A1920" s="35" t="s">
        <v>9526</v>
      </c>
      <c r="B1920" s="35">
        <v>1.0</v>
      </c>
      <c r="C1920" s="35"/>
      <c r="D1920" s="35"/>
      <c r="E1920" s="35"/>
      <c r="F1920" s="35"/>
      <c r="G1920" s="35"/>
      <c r="H1920" s="35"/>
      <c r="I1920" s="35"/>
      <c r="J1920" s="35"/>
      <c r="K1920" s="35"/>
      <c r="L1920" s="35"/>
      <c r="M1920" s="35"/>
      <c r="N1920" s="35"/>
      <c r="O1920" s="35"/>
      <c r="P1920" s="35"/>
      <c r="Q1920" s="35"/>
      <c r="R1920" s="35"/>
      <c r="S1920" s="35"/>
      <c r="T1920" s="35"/>
      <c r="U1920" s="35"/>
      <c r="V1920" s="35"/>
      <c r="W1920" s="35"/>
      <c r="X1920" s="35"/>
      <c r="Y1920" s="35"/>
      <c r="Z1920" s="35"/>
      <c r="AA1920" s="35"/>
      <c r="AB1920" s="35"/>
    </row>
    <row r="1921" ht="15.75" customHeight="1">
      <c r="A1921" s="35" t="s">
        <v>9527</v>
      </c>
      <c r="B1921" s="35">
        <v>1.0</v>
      </c>
      <c r="C1921" s="35"/>
      <c r="D1921" s="35"/>
      <c r="E1921" s="35"/>
      <c r="F1921" s="35"/>
      <c r="G1921" s="35"/>
      <c r="H1921" s="35"/>
      <c r="I1921" s="35"/>
      <c r="J1921" s="35"/>
      <c r="K1921" s="35"/>
      <c r="L1921" s="35"/>
      <c r="M1921" s="35"/>
      <c r="N1921" s="35"/>
      <c r="O1921" s="35"/>
      <c r="P1921" s="35"/>
      <c r="Q1921" s="35"/>
      <c r="R1921" s="35"/>
      <c r="S1921" s="35"/>
      <c r="T1921" s="35"/>
      <c r="U1921" s="35"/>
      <c r="V1921" s="35"/>
      <c r="W1921" s="35"/>
      <c r="X1921" s="35"/>
      <c r="Y1921" s="35"/>
      <c r="Z1921" s="35"/>
      <c r="AA1921" s="35"/>
      <c r="AB1921" s="35"/>
    </row>
    <row r="1922" ht="15.75" customHeight="1">
      <c r="A1922" s="35" t="s">
        <v>9528</v>
      </c>
      <c r="B1922" s="35">
        <v>1.0</v>
      </c>
      <c r="C1922" s="35"/>
      <c r="D1922" s="35"/>
      <c r="E1922" s="35"/>
      <c r="F1922" s="35"/>
      <c r="G1922" s="35"/>
      <c r="H1922" s="35"/>
      <c r="I1922" s="35"/>
      <c r="J1922" s="35"/>
      <c r="K1922" s="35"/>
      <c r="L1922" s="35"/>
      <c r="M1922" s="35"/>
      <c r="N1922" s="35"/>
      <c r="O1922" s="35"/>
      <c r="P1922" s="35"/>
      <c r="Q1922" s="35"/>
      <c r="R1922" s="35"/>
      <c r="S1922" s="35"/>
      <c r="T1922" s="35"/>
      <c r="U1922" s="35"/>
      <c r="V1922" s="35"/>
      <c r="W1922" s="35"/>
      <c r="X1922" s="35"/>
      <c r="Y1922" s="35"/>
      <c r="Z1922" s="35"/>
      <c r="AA1922" s="35"/>
      <c r="AB1922" s="35"/>
    </row>
    <row r="1923" ht="15.75" customHeight="1">
      <c r="A1923" s="35" t="s">
        <v>9529</v>
      </c>
      <c r="B1923" s="35">
        <v>1.0</v>
      </c>
      <c r="C1923" s="35"/>
      <c r="D1923" s="35"/>
      <c r="E1923" s="35"/>
      <c r="F1923" s="35"/>
      <c r="G1923" s="35"/>
      <c r="H1923" s="35"/>
      <c r="I1923" s="35"/>
      <c r="J1923" s="35"/>
      <c r="K1923" s="35"/>
      <c r="L1923" s="35"/>
      <c r="M1923" s="35"/>
      <c r="N1923" s="35"/>
      <c r="O1923" s="35"/>
      <c r="P1923" s="35"/>
      <c r="Q1923" s="35"/>
      <c r="R1923" s="35"/>
      <c r="S1923" s="35"/>
      <c r="T1923" s="35"/>
      <c r="U1923" s="35"/>
      <c r="V1923" s="35"/>
      <c r="W1923" s="35"/>
      <c r="X1923" s="35"/>
      <c r="Y1923" s="35"/>
      <c r="Z1923" s="35"/>
      <c r="AA1923" s="35"/>
      <c r="AB1923" s="35"/>
    </row>
    <row r="1924" ht="15.75" customHeight="1">
      <c r="A1924" s="35" t="s">
        <v>9530</v>
      </c>
      <c r="B1924" s="35">
        <v>1.0</v>
      </c>
      <c r="C1924" s="35"/>
      <c r="D1924" s="35"/>
      <c r="E1924" s="35"/>
      <c r="F1924" s="35"/>
      <c r="G1924" s="35"/>
      <c r="H1924" s="35"/>
      <c r="I1924" s="35"/>
      <c r="J1924" s="35"/>
      <c r="K1924" s="35"/>
      <c r="L1924" s="35"/>
      <c r="M1924" s="35"/>
      <c r="N1924" s="35"/>
      <c r="O1924" s="35"/>
      <c r="P1924" s="35"/>
      <c r="Q1924" s="35"/>
      <c r="R1924" s="35"/>
      <c r="S1924" s="35"/>
      <c r="T1924" s="35"/>
      <c r="U1924" s="35"/>
      <c r="V1924" s="35"/>
      <c r="W1924" s="35"/>
      <c r="X1924" s="35"/>
      <c r="Y1924" s="35"/>
      <c r="Z1924" s="35"/>
      <c r="AA1924" s="35"/>
      <c r="AB1924" s="35"/>
    </row>
    <row r="1925" ht="15.75" customHeight="1">
      <c r="A1925" s="35" t="s">
        <v>9531</v>
      </c>
      <c r="B1925" s="35">
        <v>1.0</v>
      </c>
      <c r="C1925" s="35"/>
      <c r="D1925" s="35"/>
      <c r="E1925" s="35"/>
      <c r="F1925" s="35"/>
      <c r="G1925" s="35"/>
      <c r="H1925" s="35"/>
      <c r="I1925" s="35"/>
      <c r="J1925" s="35"/>
      <c r="K1925" s="35"/>
      <c r="L1925" s="35"/>
      <c r="M1925" s="35"/>
      <c r="N1925" s="35"/>
      <c r="O1925" s="35"/>
      <c r="P1925" s="35"/>
      <c r="Q1925" s="35"/>
      <c r="R1925" s="35"/>
      <c r="S1925" s="35"/>
      <c r="T1925" s="35"/>
      <c r="U1925" s="35"/>
      <c r="V1925" s="35"/>
      <c r="W1925" s="35"/>
      <c r="X1925" s="35"/>
      <c r="Y1925" s="35"/>
      <c r="Z1925" s="35"/>
      <c r="AA1925" s="35"/>
      <c r="AB1925" s="35"/>
    </row>
    <row r="1926" ht="15.75" customHeight="1">
      <c r="A1926" s="35" t="s">
        <v>9532</v>
      </c>
      <c r="B1926" s="35">
        <v>1.0</v>
      </c>
      <c r="C1926" s="35"/>
      <c r="D1926" s="35"/>
      <c r="E1926" s="35"/>
      <c r="F1926" s="35"/>
      <c r="G1926" s="35"/>
      <c r="H1926" s="35"/>
      <c r="I1926" s="35"/>
      <c r="J1926" s="35"/>
      <c r="K1926" s="35"/>
      <c r="L1926" s="35"/>
      <c r="M1926" s="35"/>
      <c r="N1926" s="35"/>
      <c r="O1926" s="35"/>
      <c r="P1926" s="35"/>
      <c r="Q1926" s="35"/>
      <c r="R1926" s="35"/>
      <c r="S1926" s="35"/>
      <c r="T1926" s="35"/>
      <c r="U1926" s="35"/>
      <c r="V1926" s="35"/>
      <c r="W1926" s="35"/>
      <c r="X1926" s="35"/>
      <c r="Y1926" s="35"/>
      <c r="Z1926" s="35"/>
      <c r="AA1926" s="35"/>
      <c r="AB1926" s="35"/>
    </row>
    <row r="1927" ht="15.75" customHeight="1">
      <c r="A1927" s="35" t="s">
        <v>9533</v>
      </c>
      <c r="B1927" s="35">
        <v>1.0</v>
      </c>
      <c r="C1927" s="35"/>
      <c r="D1927" s="35"/>
      <c r="E1927" s="35"/>
      <c r="F1927" s="35"/>
      <c r="G1927" s="35"/>
      <c r="H1927" s="35"/>
      <c r="I1927" s="35"/>
      <c r="J1927" s="35"/>
      <c r="K1927" s="35"/>
      <c r="L1927" s="35"/>
      <c r="M1927" s="35"/>
      <c r="N1927" s="35"/>
      <c r="O1927" s="35"/>
      <c r="P1927" s="35"/>
      <c r="Q1927" s="35"/>
      <c r="R1927" s="35"/>
      <c r="S1927" s="35"/>
      <c r="T1927" s="35"/>
      <c r="U1927" s="35"/>
      <c r="V1927" s="35"/>
      <c r="W1927" s="35"/>
      <c r="X1927" s="35"/>
      <c r="Y1927" s="35"/>
      <c r="Z1927" s="35"/>
      <c r="AA1927" s="35"/>
      <c r="AB1927" s="35"/>
    </row>
    <row r="1928" ht="15.75" customHeight="1">
      <c r="A1928" s="35" t="s">
        <v>9534</v>
      </c>
      <c r="B1928" s="35">
        <v>1.0</v>
      </c>
      <c r="C1928" s="35"/>
      <c r="D1928" s="35"/>
      <c r="E1928" s="35"/>
      <c r="F1928" s="35"/>
      <c r="G1928" s="35"/>
      <c r="H1928" s="35"/>
      <c r="I1928" s="35"/>
      <c r="J1928" s="35"/>
      <c r="K1928" s="35"/>
      <c r="L1928" s="35"/>
      <c r="M1928" s="35"/>
      <c r="N1928" s="35"/>
      <c r="O1928" s="35"/>
      <c r="P1928" s="35"/>
      <c r="Q1928" s="35"/>
      <c r="R1928" s="35"/>
      <c r="S1928" s="35"/>
      <c r="T1928" s="35"/>
      <c r="U1928" s="35"/>
      <c r="V1928" s="35"/>
      <c r="W1928" s="35"/>
      <c r="X1928" s="35"/>
      <c r="Y1928" s="35"/>
      <c r="Z1928" s="35"/>
      <c r="AA1928" s="35"/>
      <c r="AB1928" s="35"/>
    </row>
    <row r="1929" ht="15.75" customHeight="1">
      <c r="A1929" s="35" t="s">
        <v>9535</v>
      </c>
      <c r="B1929" s="35">
        <v>1.0</v>
      </c>
      <c r="C1929" s="35"/>
      <c r="D1929" s="35"/>
      <c r="E1929" s="35"/>
      <c r="F1929" s="35"/>
      <c r="G1929" s="35"/>
      <c r="H1929" s="35"/>
      <c r="I1929" s="35"/>
      <c r="J1929" s="35"/>
      <c r="K1929" s="35"/>
      <c r="L1929" s="35"/>
      <c r="M1929" s="35"/>
      <c r="N1929" s="35"/>
      <c r="O1929" s="35"/>
      <c r="P1929" s="35"/>
      <c r="Q1929" s="35"/>
      <c r="R1929" s="35"/>
      <c r="S1929" s="35"/>
      <c r="T1929" s="35"/>
      <c r="U1929" s="35"/>
      <c r="V1929" s="35"/>
      <c r="W1929" s="35"/>
      <c r="X1929" s="35"/>
      <c r="Y1929" s="35"/>
      <c r="Z1929" s="35"/>
      <c r="AA1929" s="35"/>
      <c r="AB1929" s="35"/>
    </row>
    <row r="1930" ht="15.75" customHeight="1">
      <c r="A1930" s="35" t="s">
        <v>9536</v>
      </c>
      <c r="B1930" s="35">
        <v>1.0</v>
      </c>
      <c r="C1930" s="35"/>
      <c r="D1930" s="35"/>
      <c r="E1930" s="35"/>
      <c r="F1930" s="35"/>
      <c r="G1930" s="35"/>
      <c r="H1930" s="35"/>
      <c r="I1930" s="35"/>
      <c r="J1930" s="35"/>
      <c r="K1930" s="35"/>
      <c r="L1930" s="35"/>
      <c r="M1930" s="35"/>
      <c r="N1930" s="35"/>
      <c r="O1930" s="35"/>
      <c r="P1930" s="35"/>
      <c r="Q1930" s="35"/>
      <c r="R1930" s="35"/>
      <c r="S1930" s="35"/>
      <c r="T1930" s="35"/>
      <c r="U1930" s="35"/>
      <c r="V1930" s="35"/>
      <c r="W1930" s="35"/>
      <c r="X1930" s="35"/>
      <c r="Y1930" s="35"/>
      <c r="Z1930" s="35"/>
      <c r="AA1930" s="35"/>
      <c r="AB1930" s="35"/>
    </row>
    <row r="1931" ht="15.75" customHeight="1">
      <c r="A1931" s="35" t="s">
        <v>9537</v>
      </c>
      <c r="B1931" s="35">
        <v>1.0</v>
      </c>
      <c r="C1931" s="35"/>
      <c r="D1931" s="35"/>
      <c r="E1931" s="35"/>
      <c r="F1931" s="35"/>
      <c r="G1931" s="35"/>
      <c r="H1931" s="35"/>
      <c r="I1931" s="35"/>
      <c r="J1931" s="35"/>
      <c r="K1931" s="35"/>
      <c r="L1931" s="35"/>
      <c r="M1931" s="35"/>
      <c r="N1931" s="35"/>
      <c r="O1931" s="35"/>
      <c r="P1931" s="35"/>
      <c r="Q1931" s="35"/>
      <c r="R1931" s="35"/>
      <c r="S1931" s="35"/>
      <c r="T1931" s="35"/>
      <c r="U1931" s="35"/>
      <c r="V1931" s="35"/>
      <c r="W1931" s="35"/>
      <c r="X1931" s="35"/>
      <c r="Y1931" s="35"/>
      <c r="Z1931" s="35"/>
      <c r="AA1931" s="35"/>
      <c r="AB1931" s="35"/>
    </row>
    <row r="1932" ht="15.75" customHeight="1">
      <c r="A1932" s="35" t="s">
        <v>9538</v>
      </c>
      <c r="B1932" s="35">
        <v>1.0</v>
      </c>
      <c r="C1932" s="35"/>
      <c r="D1932" s="35"/>
      <c r="E1932" s="35"/>
      <c r="F1932" s="35"/>
      <c r="G1932" s="35"/>
      <c r="H1932" s="35"/>
      <c r="I1932" s="35"/>
      <c r="J1932" s="35"/>
      <c r="K1932" s="35"/>
      <c r="L1932" s="35"/>
      <c r="M1932" s="35"/>
      <c r="N1932" s="35"/>
      <c r="O1932" s="35"/>
      <c r="P1932" s="35"/>
      <c r="Q1932" s="35"/>
      <c r="R1932" s="35"/>
      <c r="S1932" s="35"/>
      <c r="T1932" s="35"/>
      <c r="U1932" s="35"/>
      <c r="V1932" s="35"/>
      <c r="W1932" s="35"/>
      <c r="X1932" s="35"/>
      <c r="Y1932" s="35"/>
      <c r="Z1932" s="35"/>
      <c r="AA1932" s="35"/>
      <c r="AB1932" s="35"/>
    </row>
    <row r="1933" ht="15.75" customHeight="1">
      <c r="A1933" s="35" t="s">
        <v>9539</v>
      </c>
      <c r="B1933" s="35">
        <v>1.0</v>
      </c>
      <c r="C1933" s="35"/>
      <c r="D1933" s="35"/>
      <c r="E1933" s="35"/>
      <c r="F1933" s="35"/>
      <c r="G1933" s="35"/>
      <c r="H1933" s="35"/>
      <c r="I1933" s="35"/>
      <c r="J1933" s="35"/>
      <c r="K1933" s="35"/>
      <c r="L1933" s="35"/>
      <c r="M1933" s="35"/>
      <c r="N1933" s="35"/>
      <c r="O1933" s="35"/>
      <c r="P1933" s="35"/>
      <c r="Q1933" s="35"/>
      <c r="R1933" s="35"/>
      <c r="S1933" s="35"/>
      <c r="T1933" s="35"/>
      <c r="U1933" s="35"/>
      <c r="V1933" s="35"/>
      <c r="W1933" s="35"/>
      <c r="X1933" s="35"/>
      <c r="Y1933" s="35"/>
      <c r="Z1933" s="35"/>
      <c r="AA1933" s="35"/>
      <c r="AB1933" s="35"/>
    </row>
    <row r="1934" ht="15.75" customHeight="1">
      <c r="A1934" s="35" t="s">
        <v>9540</v>
      </c>
      <c r="B1934" s="35">
        <v>1.0</v>
      </c>
      <c r="C1934" s="35"/>
      <c r="D1934" s="35"/>
      <c r="E1934" s="35"/>
      <c r="F1934" s="35"/>
      <c r="G1934" s="35"/>
      <c r="H1934" s="35"/>
      <c r="I1934" s="35"/>
      <c r="J1934" s="35"/>
      <c r="K1934" s="35"/>
      <c r="L1934" s="35"/>
      <c r="M1934" s="35"/>
      <c r="N1934" s="35"/>
      <c r="O1934" s="35"/>
      <c r="P1934" s="35"/>
      <c r="Q1934" s="35"/>
      <c r="R1934" s="35"/>
      <c r="S1934" s="35"/>
      <c r="T1934" s="35"/>
      <c r="U1934" s="35"/>
      <c r="V1934" s="35"/>
      <c r="W1934" s="35"/>
      <c r="X1934" s="35"/>
      <c r="Y1934" s="35"/>
      <c r="Z1934" s="35"/>
      <c r="AA1934" s="35"/>
      <c r="AB1934" s="35"/>
    </row>
    <row r="1935" ht="15.75" customHeight="1">
      <c r="A1935" s="35" t="s">
        <v>9541</v>
      </c>
      <c r="B1935" s="35">
        <v>1.0</v>
      </c>
      <c r="C1935" s="35"/>
      <c r="D1935" s="35"/>
      <c r="E1935" s="35"/>
      <c r="F1935" s="35"/>
      <c r="G1935" s="35"/>
      <c r="H1935" s="35"/>
      <c r="I1935" s="35"/>
      <c r="J1935" s="35"/>
      <c r="K1935" s="35"/>
      <c r="L1935" s="35"/>
      <c r="M1935" s="35"/>
      <c r="N1935" s="35"/>
      <c r="O1935" s="35"/>
      <c r="P1935" s="35"/>
      <c r="Q1935" s="35"/>
      <c r="R1935" s="35"/>
      <c r="S1935" s="35"/>
      <c r="T1935" s="35"/>
      <c r="U1935" s="35"/>
      <c r="V1935" s="35"/>
      <c r="W1935" s="35"/>
      <c r="X1935" s="35"/>
      <c r="Y1935" s="35"/>
      <c r="Z1935" s="35"/>
      <c r="AA1935" s="35"/>
      <c r="AB1935" s="35"/>
    </row>
    <row r="1936" ht="15.75" customHeight="1">
      <c r="A1936" s="35" t="s">
        <v>9542</v>
      </c>
      <c r="B1936" s="35">
        <v>1.0</v>
      </c>
      <c r="C1936" s="35"/>
      <c r="D1936" s="35"/>
      <c r="E1936" s="35"/>
      <c r="F1936" s="35"/>
      <c r="G1936" s="35"/>
      <c r="H1936" s="35"/>
      <c r="I1936" s="35"/>
      <c r="J1936" s="35"/>
      <c r="K1936" s="35"/>
      <c r="L1936" s="35"/>
      <c r="M1936" s="35"/>
      <c r="N1936" s="35"/>
      <c r="O1936" s="35"/>
      <c r="P1936" s="35"/>
      <c r="Q1936" s="35"/>
      <c r="R1936" s="35"/>
      <c r="S1936" s="35"/>
      <c r="T1936" s="35"/>
      <c r="U1936" s="35"/>
      <c r="V1936" s="35"/>
      <c r="W1936" s="35"/>
      <c r="X1936" s="35"/>
      <c r="Y1936" s="35"/>
      <c r="Z1936" s="35"/>
      <c r="AA1936" s="35"/>
      <c r="AB1936" s="35"/>
    </row>
    <row r="1937" ht="15.75" customHeight="1">
      <c r="A1937" s="35" t="s">
        <v>9543</v>
      </c>
      <c r="B1937" s="35">
        <v>1.0</v>
      </c>
      <c r="C1937" s="35"/>
      <c r="D1937" s="35"/>
      <c r="E1937" s="35"/>
      <c r="F1937" s="35"/>
      <c r="G1937" s="35"/>
      <c r="H1937" s="35"/>
      <c r="I1937" s="35"/>
      <c r="J1937" s="35"/>
      <c r="K1937" s="35"/>
      <c r="L1937" s="35"/>
      <c r="M1937" s="35"/>
      <c r="N1937" s="35"/>
      <c r="O1937" s="35"/>
      <c r="P1937" s="35"/>
      <c r="Q1937" s="35"/>
      <c r="R1937" s="35"/>
      <c r="S1937" s="35"/>
      <c r="T1937" s="35"/>
      <c r="U1937" s="35"/>
      <c r="V1937" s="35"/>
      <c r="W1937" s="35"/>
      <c r="X1937" s="35"/>
      <c r="Y1937" s="35"/>
      <c r="Z1937" s="35"/>
      <c r="AA1937" s="35"/>
      <c r="AB1937" s="35"/>
    </row>
    <row r="1938" ht="15.75" customHeight="1">
      <c r="A1938" s="35" t="s">
        <v>9544</v>
      </c>
      <c r="B1938" s="35">
        <v>1.0</v>
      </c>
      <c r="C1938" s="35"/>
      <c r="D1938" s="35"/>
      <c r="E1938" s="35"/>
      <c r="F1938" s="35"/>
      <c r="G1938" s="35"/>
      <c r="H1938" s="35"/>
      <c r="I1938" s="35"/>
      <c r="J1938" s="35"/>
      <c r="K1938" s="35"/>
      <c r="L1938" s="35"/>
      <c r="M1938" s="35"/>
      <c r="N1938" s="35"/>
      <c r="O1938" s="35"/>
      <c r="P1938" s="35"/>
      <c r="Q1938" s="35"/>
      <c r="R1938" s="35"/>
      <c r="S1938" s="35"/>
      <c r="T1938" s="35"/>
      <c r="U1938" s="35"/>
      <c r="V1938" s="35"/>
      <c r="W1938" s="35"/>
      <c r="X1938" s="35"/>
      <c r="Y1938" s="35"/>
      <c r="Z1938" s="35"/>
      <c r="AA1938" s="35"/>
      <c r="AB1938" s="35"/>
    </row>
    <row r="1939" ht="15.75" customHeight="1">
      <c r="A1939" s="35" t="s">
        <v>9545</v>
      </c>
      <c r="B1939" s="35">
        <v>1.0</v>
      </c>
      <c r="C1939" s="35"/>
      <c r="D1939" s="35"/>
      <c r="E1939" s="35"/>
      <c r="F1939" s="35"/>
      <c r="G1939" s="35"/>
      <c r="H1939" s="35"/>
      <c r="I1939" s="35"/>
      <c r="J1939" s="35"/>
      <c r="K1939" s="35"/>
      <c r="L1939" s="35"/>
      <c r="M1939" s="35"/>
      <c r="N1939" s="35"/>
      <c r="O1939" s="35"/>
      <c r="P1939" s="35"/>
      <c r="Q1939" s="35"/>
      <c r="R1939" s="35"/>
      <c r="S1939" s="35"/>
      <c r="T1939" s="35"/>
      <c r="U1939" s="35"/>
      <c r="V1939" s="35"/>
      <c r="W1939" s="35"/>
      <c r="X1939" s="35"/>
      <c r="Y1939" s="35"/>
      <c r="Z1939" s="35"/>
      <c r="AA1939" s="35"/>
      <c r="AB1939" s="35"/>
    </row>
    <row r="1940" ht="15.75" customHeight="1">
      <c r="A1940" s="35" t="s">
        <v>9546</v>
      </c>
      <c r="B1940" s="35">
        <v>1.0</v>
      </c>
      <c r="C1940" s="35"/>
      <c r="D1940" s="35"/>
      <c r="E1940" s="35"/>
      <c r="F1940" s="35"/>
      <c r="G1940" s="35"/>
      <c r="H1940" s="35"/>
      <c r="I1940" s="35"/>
      <c r="J1940" s="35"/>
      <c r="K1940" s="35"/>
      <c r="L1940" s="35"/>
      <c r="M1940" s="35"/>
      <c r="N1940" s="35"/>
      <c r="O1940" s="35"/>
      <c r="P1940" s="35"/>
      <c r="Q1940" s="35"/>
      <c r="R1940" s="35"/>
      <c r="S1940" s="35"/>
      <c r="T1940" s="35"/>
      <c r="U1940" s="35"/>
      <c r="V1940" s="35"/>
      <c r="W1940" s="35"/>
      <c r="X1940" s="35"/>
      <c r="Y1940" s="35"/>
      <c r="Z1940" s="35"/>
      <c r="AA1940" s="35"/>
      <c r="AB1940" s="35"/>
    </row>
    <row r="1941" ht="15.75" customHeight="1">
      <c r="A1941" s="35" t="s">
        <v>9547</v>
      </c>
      <c r="B1941" s="35">
        <v>1.0</v>
      </c>
      <c r="C1941" s="35"/>
      <c r="D1941" s="35"/>
      <c r="E1941" s="35"/>
      <c r="F1941" s="35"/>
      <c r="G1941" s="35"/>
      <c r="H1941" s="35"/>
      <c r="I1941" s="35"/>
      <c r="J1941" s="35"/>
      <c r="K1941" s="35"/>
      <c r="L1941" s="35"/>
      <c r="M1941" s="35"/>
      <c r="N1941" s="35"/>
      <c r="O1941" s="35"/>
      <c r="P1941" s="35"/>
      <c r="Q1941" s="35"/>
      <c r="R1941" s="35"/>
      <c r="S1941" s="35"/>
      <c r="T1941" s="35"/>
      <c r="U1941" s="35"/>
      <c r="V1941" s="35"/>
      <c r="W1941" s="35"/>
      <c r="X1941" s="35"/>
      <c r="Y1941" s="35"/>
      <c r="Z1941" s="35"/>
      <c r="AA1941" s="35"/>
      <c r="AB1941" s="35"/>
    </row>
    <row r="1942" ht="15.75" customHeight="1">
      <c r="A1942" s="35" t="s">
        <v>9548</v>
      </c>
      <c r="B1942" s="35">
        <v>1.0</v>
      </c>
      <c r="C1942" s="35"/>
      <c r="D1942" s="35"/>
      <c r="E1942" s="35"/>
      <c r="F1942" s="35"/>
      <c r="G1942" s="35"/>
      <c r="H1942" s="35"/>
      <c r="I1942" s="35"/>
      <c r="J1942" s="35"/>
      <c r="K1942" s="35"/>
      <c r="L1942" s="35"/>
      <c r="M1942" s="35"/>
      <c r="N1942" s="35"/>
      <c r="O1942" s="35"/>
      <c r="P1942" s="35"/>
      <c r="Q1942" s="35"/>
      <c r="R1942" s="35"/>
      <c r="S1942" s="35"/>
      <c r="T1942" s="35"/>
      <c r="U1942" s="35"/>
      <c r="V1942" s="35"/>
      <c r="W1942" s="35"/>
      <c r="X1942" s="35"/>
      <c r="Y1942" s="35"/>
      <c r="Z1942" s="35"/>
      <c r="AA1942" s="35"/>
      <c r="AB1942" s="35"/>
    </row>
    <row r="1943" ht="15.75" customHeight="1">
      <c r="A1943" s="35" t="s">
        <v>9549</v>
      </c>
      <c r="B1943" s="35">
        <v>1.0</v>
      </c>
      <c r="C1943" s="35"/>
      <c r="D1943" s="35"/>
      <c r="E1943" s="35"/>
      <c r="F1943" s="35"/>
      <c r="G1943" s="35"/>
      <c r="H1943" s="35"/>
      <c r="I1943" s="35"/>
      <c r="J1943" s="35"/>
      <c r="K1943" s="35"/>
      <c r="L1943" s="35"/>
      <c r="M1943" s="35"/>
      <c r="N1943" s="35"/>
      <c r="O1943" s="35"/>
      <c r="P1943" s="35"/>
      <c r="Q1943" s="35"/>
      <c r="R1943" s="35"/>
      <c r="S1943" s="35"/>
      <c r="T1943" s="35"/>
      <c r="U1943" s="35"/>
      <c r="V1943" s="35"/>
      <c r="W1943" s="35"/>
      <c r="X1943" s="35"/>
      <c r="Y1943" s="35"/>
      <c r="Z1943" s="35"/>
      <c r="AA1943" s="35"/>
      <c r="AB1943" s="35"/>
    </row>
    <row r="1944" ht="15.75" customHeight="1">
      <c r="A1944" s="35" t="s">
        <v>9550</v>
      </c>
      <c r="B1944" s="35">
        <v>1.0</v>
      </c>
      <c r="C1944" s="35"/>
      <c r="D1944" s="35"/>
      <c r="E1944" s="35"/>
      <c r="F1944" s="35"/>
      <c r="G1944" s="35"/>
      <c r="H1944" s="35"/>
      <c r="I1944" s="35"/>
      <c r="J1944" s="35"/>
      <c r="K1944" s="35"/>
      <c r="L1944" s="35"/>
      <c r="M1944" s="35"/>
      <c r="N1944" s="35"/>
      <c r="O1944" s="35"/>
      <c r="P1944" s="35"/>
      <c r="Q1944" s="35"/>
      <c r="R1944" s="35"/>
      <c r="S1944" s="35"/>
      <c r="T1944" s="35"/>
      <c r="U1944" s="35"/>
      <c r="V1944" s="35"/>
      <c r="W1944" s="35"/>
      <c r="X1944" s="35"/>
      <c r="Y1944" s="35"/>
      <c r="Z1944" s="35"/>
      <c r="AA1944" s="35"/>
      <c r="AB1944" s="35"/>
    </row>
    <row r="1945" ht="15.75" customHeight="1">
      <c r="A1945" s="35" t="s">
        <v>9551</v>
      </c>
      <c r="B1945" s="35">
        <v>1.0</v>
      </c>
      <c r="C1945" s="35"/>
      <c r="D1945" s="35"/>
      <c r="E1945" s="35"/>
      <c r="F1945" s="35"/>
      <c r="G1945" s="35"/>
      <c r="H1945" s="35"/>
      <c r="I1945" s="35"/>
      <c r="J1945" s="35"/>
      <c r="K1945" s="35"/>
      <c r="L1945" s="35"/>
      <c r="M1945" s="35"/>
      <c r="N1945" s="35"/>
      <c r="O1945" s="35"/>
      <c r="P1945" s="35"/>
      <c r="Q1945" s="35"/>
      <c r="R1945" s="35"/>
      <c r="S1945" s="35"/>
      <c r="T1945" s="35"/>
      <c r="U1945" s="35"/>
      <c r="V1945" s="35"/>
      <c r="W1945" s="35"/>
      <c r="X1945" s="35"/>
      <c r="Y1945" s="35"/>
      <c r="Z1945" s="35"/>
      <c r="AA1945" s="35"/>
      <c r="AB1945" s="35"/>
    </row>
    <row r="1946" ht="15.75" customHeight="1">
      <c r="A1946" s="35" t="s">
        <v>9552</v>
      </c>
      <c r="B1946" s="35">
        <v>1.0</v>
      </c>
      <c r="C1946" s="35"/>
      <c r="D1946" s="35"/>
      <c r="E1946" s="35"/>
      <c r="F1946" s="35"/>
      <c r="G1946" s="35"/>
      <c r="H1946" s="35"/>
      <c r="I1946" s="35"/>
      <c r="J1946" s="35"/>
      <c r="K1946" s="35"/>
      <c r="L1946" s="35"/>
      <c r="M1946" s="35"/>
      <c r="N1946" s="35"/>
      <c r="O1946" s="35"/>
      <c r="P1946" s="35"/>
      <c r="Q1946" s="35"/>
      <c r="R1946" s="35"/>
      <c r="S1946" s="35"/>
      <c r="T1946" s="35"/>
      <c r="U1946" s="35"/>
      <c r="V1946" s="35"/>
      <c r="W1946" s="35"/>
      <c r="X1946" s="35"/>
      <c r="Y1946" s="35"/>
      <c r="Z1946" s="35"/>
      <c r="AA1946" s="35"/>
      <c r="AB1946" s="35"/>
    </row>
    <row r="1947" ht="15.75" customHeight="1">
      <c r="A1947" s="35" t="s">
        <v>9553</v>
      </c>
      <c r="B1947" s="35">
        <v>1.0</v>
      </c>
      <c r="C1947" s="35"/>
      <c r="D1947" s="35"/>
      <c r="E1947" s="35"/>
      <c r="F1947" s="35"/>
      <c r="G1947" s="35"/>
      <c r="H1947" s="35"/>
      <c r="I1947" s="35"/>
      <c r="J1947" s="35"/>
      <c r="K1947" s="35"/>
      <c r="L1947" s="35"/>
      <c r="M1947" s="35"/>
      <c r="N1947" s="35"/>
      <c r="O1947" s="35"/>
      <c r="P1947" s="35"/>
      <c r="Q1947" s="35"/>
      <c r="R1947" s="35"/>
      <c r="S1947" s="35"/>
      <c r="T1947" s="35"/>
      <c r="U1947" s="35"/>
      <c r="V1947" s="35"/>
      <c r="W1947" s="35"/>
      <c r="X1947" s="35"/>
      <c r="Y1947" s="35"/>
      <c r="Z1947" s="35"/>
      <c r="AA1947" s="35"/>
      <c r="AB1947" s="35"/>
    </row>
    <row r="1948" ht="15.75" customHeight="1">
      <c r="A1948" s="35" t="s">
        <v>9554</v>
      </c>
      <c r="B1948" s="35">
        <v>1.0</v>
      </c>
      <c r="C1948" s="35"/>
      <c r="D1948" s="35"/>
      <c r="E1948" s="35"/>
      <c r="F1948" s="35"/>
      <c r="G1948" s="35"/>
      <c r="H1948" s="35"/>
      <c r="I1948" s="35"/>
      <c r="J1948" s="35"/>
      <c r="K1948" s="35"/>
      <c r="L1948" s="35"/>
      <c r="M1948" s="35"/>
      <c r="N1948" s="35"/>
      <c r="O1948" s="35"/>
      <c r="P1948" s="35"/>
      <c r="Q1948" s="35"/>
      <c r="R1948" s="35"/>
      <c r="S1948" s="35"/>
      <c r="T1948" s="35"/>
      <c r="U1948" s="35"/>
      <c r="V1948" s="35"/>
      <c r="W1948" s="35"/>
      <c r="X1948" s="35"/>
      <c r="Y1948" s="35"/>
      <c r="Z1948" s="35"/>
      <c r="AA1948" s="35"/>
      <c r="AB1948" s="35"/>
    </row>
    <row r="1949" ht="15.75" customHeight="1">
      <c r="A1949" s="35" t="s">
        <v>9555</v>
      </c>
      <c r="B1949" s="35">
        <v>1.0</v>
      </c>
      <c r="C1949" s="35"/>
      <c r="D1949" s="35"/>
      <c r="E1949" s="35"/>
      <c r="F1949" s="35"/>
      <c r="G1949" s="35"/>
      <c r="H1949" s="35"/>
      <c r="I1949" s="35"/>
      <c r="J1949" s="35"/>
      <c r="K1949" s="35"/>
      <c r="L1949" s="35"/>
      <c r="M1949" s="35"/>
      <c r="N1949" s="35"/>
      <c r="O1949" s="35"/>
      <c r="P1949" s="35"/>
      <c r="Q1949" s="35"/>
      <c r="R1949" s="35"/>
      <c r="S1949" s="35"/>
      <c r="T1949" s="35"/>
      <c r="U1949" s="35"/>
      <c r="V1949" s="35"/>
      <c r="W1949" s="35"/>
      <c r="X1949" s="35"/>
      <c r="Y1949" s="35"/>
      <c r="Z1949" s="35"/>
      <c r="AA1949" s="35"/>
      <c r="AB1949" s="35"/>
    </row>
    <row r="1950" ht="15.75" customHeight="1">
      <c r="A1950" s="35" t="s">
        <v>9556</v>
      </c>
      <c r="B1950" s="35">
        <v>1.0</v>
      </c>
      <c r="C1950" s="35"/>
      <c r="D1950" s="35"/>
      <c r="E1950" s="35"/>
      <c r="F1950" s="35"/>
      <c r="G1950" s="35"/>
      <c r="H1950" s="35"/>
      <c r="I1950" s="35"/>
      <c r="J1950" s="35"/>
      <c r="K1950" s="35"/>
      <c r="L1950" s="35"/>
      <c r="M1950" s="35"/>
      <c r="N1950" s="35"/>
      <c r="O1950" s="35"/>
      <c r="P1950" s="35"/>
      <c r="Q1950" s="35"/>
      <c r="R1950" s="35"/>
      <c r="S1950" s="35"/>
      <c r="T1950" s="35"/>
      <c r="U1950" s="35"/>
      <c r="V1950" s="35"/>
      <c r="W1950" s="35"/>
      <c r="X1950" s="35"/>
      <c r="Y1950" s="35"/>
      <c r="Z1950" s="35"/>
      <c r="AA1950" s="35"/>
      <c r="AB1950" s="35"/>
    </row>
    <row r="1951" ht="15.75" customHeight="1">
      <c r="A1951" s="35" t="s">
        <v>9557</v>
      </c>
      <c r="B1951" s="35">
        <v>1.0</v>
      </c>
      <c r="C1951" s="35"/>
      <c r="D1951" s="35"/>
      <c r="E1951" s="35"/>
      <c r="F1951" s="35"/>
      <c r="G1951" s="35"/>
      <c r="H1951" s="35"/>
      <c r="I1951" s="35"/>
      <c r="J1951" s="35"/>
      <c r="K1951" s="35"/>
      <c r="L1951" s="35"/>
      <c r="M1951" s="35"/>
      <c r="N1951" s="35"/>
      <c r="O1951" s="35"/>
      <c r="P1951" s="35"/>
      <c r="Q1951" s="35"/>
      <c r="R1951" s="35"/>
      <c r="S1951" s="35"/>
      <c r="T1951" s="35"/>
      <c r="U1951" s="35"/>
      <c r="V1951" s="35"/>
      <c r="W1951" s="35"/>
      <c r="X1951" s="35"/>
      <c r="Y1951" s="35"/>
      <c r="Z1951" s="35"/>
      <c r="AA1951" s="35"/>
      <c r="AB1951" s="35"/>
    </row>
    <row r="1952" ht="15.75" customHeight="1">
      <c r="A1952" s="35" t="s">
        <v>9558</v>
      </c>
      <c r="B1952" s="35">
        <v>1.0</v>
      </c>
      <c r="C1952" s="35"/>
      <c r="D1952" s="35"/>
      <c r="E1952" s="35"/>
      <c r="F1952" s="35"/>
      <c r="G1952" s="35"/>
      <c r="H1952" s="35"/>
      <c r="I1952" s="35"/>
      <c r="J1952" s="35"/>
      <c r="K1952" s="35"/>
      <c r="L1952" s="35"/>
      <c r="M1952" s="35"/>
      <c r="N1952" s="35"/>
      <c r="O1952" s="35"/>
      <c r="P1952" s="35"/>
      <c r="Q1952" s="35"/>
      <c r="R1952" s="35"/>
      <c r="S1952" s="35"/>
      <c r="T1952" s="35"/>
      <c r="U1952" s="35"/>
      <c r="V1952" s="35"/>
      <c r="W1952" s="35"/>
      <c r="X1952" s="35"/>
      <c r="Y1952" s="35"/>
      <c r="Z1952" s="35"/>
      <c r="AA1952" s="35"/>
      <c r="AB1952" s="35"/>
    </row>
    <row r="1953" ht="15.75" customHeight="1">
      <c r="A1953" s="35" t="s">
        <v>9559</v>
      </c>
      <c r="B1953" s="35">
        <v>1.0</v>
      </c>
      <c r="C1953" s="35"/>
      <c r="D1953" s="35"/>
      <c r="E1953" s="35"/>
      <c r="F1953" s="35"/>
      <c r="G1953" s="35"/>
      <c r="H1953" s="35"/>
      <c r="I1953" s="35"/>
      <c r="J1953" s="35"/>
      <c r="K1953" s="35"/>
      <c r="L1953" s="35"/>
      <c r="M1953" s="35"/>
      <c r="N1953" s="35"/>
      <c r="O1953" s="35"/>
      <c r="P1953" s="35"/>
      <c r="Q1953" s="35"/>
      <c r="R1953" s="35"/>
      <c r="S1953" s="35"/>
      <c r="T1953" s="35"/>
      <c r="U1953" s="35"/>
      <c r="V1953" s="35"/>
      <c r="W1953" s="35"/>
      <c r="X1953" s="35"/>
      <c r="Y1953" s="35"/>
      <c r="Z1953" s="35"/>
      <c r="AA1953" s="35"/>
      <c r="AB1953" s="35"/>
    </row>
    <row r="1954" ht="15.75" customHeight="1">
      <c r="A1954" s="35" t="s">
        <v>9560</v>
      </c>
      <c r="B1954" s="35">
        <v>1.0</v>
      </c>
      <c r="C1954" s="35"/>
      <c r="D1954" s="35"/>
      <c r="E1954" s="35"/>
      <c r="F1954" s="35"/>
      <c r="G1954" s="35"/>
      <c r="H1954" s="35"/>
      <c r="I1954" s="35"/>
      <c r="J1954" s="35"/>
      <c r="K1954" s="35"/>
      <c r="L1954" s="35"/>
      <c r="M1954" s="35"/>
      <c r="N1954" s="35"/>
      <c r="O1954" s="35"/>
      <c r="P1954" s="35"/>
      <c r="Q1954" s="35"/>
      <c r="R1954" s="35"/>
      <c r="S1954" s="35"/>
      <c r="T1954" s="35"/>
      <c r="U1954" s="35"/>
      <c r="V1954" s="35"/>
      <c r="W1954" s="35"/>
      <c r="X1954" s="35"/>
      <c r="Y1954" s="35"/>
      <c r="Z1954" s="35"/>
      <c r="AA1954" s="35"/>
      <c r="AB1954" s="35"/>
    </row>
    <row r="1955" ht="15.75" customHeight="1">
      <c r="A1955" s="35" t="s">
        <v>9561</v>
      </c>
      <c r="B1955" s="35">
        <v>1.0</v>
      </c>
      <c r="C1955" s="35"/>
      <c r="D1955" s="35"/>
      <c r="E1955" s="35"/>
      <c r="F1955" s="35"/>
      <c r="G1955" s="35"/>
      <c r="H1955" s="35"/>
      <c r="I1955" s="35"/>
      <c r="J1955" s="35"/>
      <c r="K1955" s="35"/>
      <c r="L1955" s="35"/>
      <c r="M1955" s="35"/>
      <c r="N1955" s="35"/>
      <c r="O1955" s="35"/>
      <c r="P1955" s="35"/>
      <c r="Q1955" s="35"/>
      <c r="R1955" s="35"/>
      <c r="S1955" s="35"/>
      <c r="T1955" s="35"/>
      <c r="U1955" s="35"/>
      <c r="V1955" s="35"/>
      <c r="W1955" s="35"/>
      <c r="X1955" s="35"/>
      <c r="Y1955" s="35"/>
      <c r="Z1955" s="35"/>
      <c r="AA1955" s="35"/>
      <c r="AB1955" s="35"/>
    </row>
    <row r="1956" ht="15.75" customHeight="1">
      <c r="A1956" s="35" t="s">
        <v>9562</v>
      </c>
      <c r="B1956" s="35">
        <v>1.0</v>
      </c>
      <c r="C1956" s="35"/>
      <c r="D1956" s="35"/>
      <c r="E1956" s="35"/>
      <c r="F1956" s="35"/>
      <c r="G1956" s="35"/>
      <c r="H1956" s="35"/>
      <c r="I1956" s="35"/>
      <c r="J1956" s="35"/>
      <c r="K1956" s="35"/>
      <c r="L1956" s="35"/>
      <c r="M1956" s="35"/>
      <c r="N1956" s="35"/>
      <c r="O1956" s="35"/>
      <c r="P1956" s="35"/>
      <c r="Q1956" s="35"/>
      <c r="R1956" s="35"/>
      <c r="S1956" s="35"/>
      <c r="T1956" s="35"/>
      <c r="U1956" s="35"/>
      <c r="V1956" s="35"/>
      <c r="W1956" s="35"/>
      <c r="X1956" s="35"/>
      <c r="Y1956" s="35"/>
      <c r="Z1956" s="35"/>
      <c r="AA1956" s="35"/>
      <c r="AB1956" s="35"/>
    </row>
    <row r="1957" ht="15.75" customHeight="1">
      <c r="A1957" s="35" t="s">
        <v>9563</v>
      </c>
      <c r="B1957" s="35">
        <v>1.0</v>
      </c>
      <c r="C1957" s="35"/>
      <c r="D1957" s="35"/>
      <c r="E1957" s="35"/>
      <c r="F1957" s="35"/>
      <c r="G1957" s="35"/>
      <c r="H1957" s="35"/>
      <c r="I1957" s="35"/>
      <c r="J1957" s="35"/>
      <c r="K1957" s="35"/>
      <c r="L1957" s="35"/>
      <c r="M1957" s="35"/>
      <c r="N1957" s="35"/>
      <c r="O1957" s="35"/>
      <c r="P1957" s="35"/>
      <c r="Q1957" s="35"/>
      <c r="R1957" s="35"/>
      <c r="S1957" s="35"/>
      <c r="T1957" s="35"/>
      <c r="U1957" s="35"/>
      <c r="V1957" s="35"/>
      <c r="W1957" s="35"/>
      <c r="X1957" s="35"/>
      <c r="Y1957" s="35"/>
      <c r="Z1957" s="35"/>
      <c r="AA1957" s="35"/>
      <c r="AB1957" s="35"/>
    </row>
    <row r="1958" ht="15.75" customHeight="1">
      <c r="A1958" s="35" t="s">
        <v>9564</v>
      </c>
      <c r="B1958" s="35">
        <v>1.0</v>
      </c>
      <c r="C1958" s="35"/>
      <c r="D1958" s="35"/>
      <c r="E1958" s="35"/>
      <c r="F1958" s="35"/>
      <c r="G1958" s="35"/>
      <c r="H1958" s="35"/>
      <c r="I1958" s="35"/>
      <c r="J1958" s="35"/>
      <c r="K1958" s="35"/>
      <c r="L1958" s="35"/>
      <c r="M1958" s="35"/>
      <c r="N1958" s="35"/>
      <c r="O1958" s="35"/>
      <c r="P1958" s="35"/>
      <c r="Q1958" s="35"/>
      <c r="R1958" s="35"/>
      <c r="S1958" s="35"/>
      <c r="T1958" s="35"/>
      <c r="U1958" s="35"/>
      <c r="V1958" s="35"/>
      <c r="W1958" s="35"/>
      <c r="X1958" s="35"/>
      <c r="Y1958" s="35"/>
      <c r="Z1958" s="35"/>
      <c r="AA1958" s="35"/>
      <c r="AB1958" s="35"/>
    </row>
    <row r="1959" ht="15.75" customHeight="1">
      <c r="A1959" s="35" t="s">
        <v>9565</v>
      </c>
      <c r="B1959" s="35">
        <v>1.0</v>
      </c>
      <c r="C1959" s="35"/>
      <c r="D1959" s="35"/>
      <c r="E1959" s="35"/>
      <c r="F1959" s="35"/>
      <c r="G1959" s="35"/>
      <c r="H1959" s="35"/>
      <c r="I1959" s="35"/>
      <c r="J1959" s="35"/>
      <c r="K1959" s="35"/>
      <c r="L1959" s="35"/>
      <c r="M1959" s="35"/>
      <c r="N1959" s="35"/>
      <c r="O1959" s="35"/>
      <c r="P1959" s="35"/>
      <c r="Q1959" s="35"/>
      <c r="R1959" s="35"/>
      <c r="S1959" s="35"/>
      <c r="T1959" s="35"/>
      <c r="U1959" s="35"/>
      <c r="V1959" s="35"/>
      <c r="W1959" s="35"/>
      <c r="X1959" s="35"/>
      <c r="Y1959" s="35"/>
      <c r="Z1959" s="35"/>
      <c r="AA1959" s="35"/>
      <c r="AB1959" s="35"/>
    </row>
    <row r="1960" ht="15.75" customHeight="1">
      <c r="A1960" s="35" t="s">
        <v>9566</v>
      </c>
      <c r="B1960" s="35">
        <v>1.0</v>
      </c>
      <c r="C1960" s="35"/>
      <c r="D1960" s="35"/>
      <c r="E1960" s="35"/>
      <c r="F1960" s="35"/>
      <c r="G1960" s="35"/>
      <c r="H1960" s="35"/>
      <c r="I1960" s="35"/>
      <c r="J1960" s="35"/>
      <c r="K1960" s="35"/>
      <c r="L1960" s="35"/>
      <c r="M1960" s="35"/>
      <c r="N1960" s="35"/>
      <c r="O1960" s="35"/>
      <c r="P1960" s="35"/>
      <c r="Q1960" s="35"/>
      <c r="R1960" s="35"/>
      <c r="S1960" s="35"/>
      <c r="T1960" s="35"/>
      <c r="U1960" s="35"/>
      <c r="V1960" s="35"/>
      <c r="W1960" s="35"/>
      <c r="X1960" s="35"/>
      <c r="Y1960" s="35"/>
      <c r="Z1960" s="35"/>
      <c r="AA1960" s="35"/>
      <c r="AB1960" s="35"/>
    </row>
    <row r="1961" ht="15.75" customHeight="1">
      <c r="A1961" s="35" t="s">
        <v>9567</v>
      </c>
      <c r="B1961" s="35">
        <v>1.0</v>
      </c>
      <c r="C1961" s="35"/>
      <c r="D1961" s="35"/>
      <c r="E1961" s="35"/>
      <c r="F1961" s="35"/>
      <c r="G1961" s="35"/>
      <c r="H1961" s="35"/>
      <c r="I1961" s="35"/>
      <c r="J1961" s="35"/>
      <c r="K1961" s="35"/>
      <c r="L1961" s="35"/>
      <c r="M1961" s="35"/>
      <c r="N1961" s="35"/>
      <c r="O1961" s="35"/>
      <c r="P1961" s="35"/>
      <c r="Q1961" s="35"/>
      <c r="R1961" s="35"/>
      <c r="S1961" s="35"/>
      <c r="T1961" s="35"/>
      <c r="U1961" s="35"/>
      <c r="V1961" s="35"/>
      <c r="W1961" s="35"/>
      <c r="X1961" s="35"/>
      <c r="Y1961" s="35"/>
      <c r="Z1961" s="35"/>
      <c r="AA1961" s="35"/>
      <c r="AB1961" s="35"/>
    </row>
    <row r="1962" ht="15.75" customHeight="1">
      <c r="A1962" s="35" t="s">
        <v>9568</v>
      </c>
      <c r="B1962" s="35">
        <v>1.0</v>
      </c>
      <c r="C1962" s="35"/>
      <c r="D1962" s="35"/>
      <c r="E1962" s="35"/>
      <c r="F1962" s="35"/>
      <c r="G1962" s="35"/>
      <c r="H1962" s="35"/>
      <c r="I1962" s="35"/>
      <c r="J1962" s="35"/>
      <c r="K1962" s="35"/>
      <c r="L1962" s="35"/>
      <c r="M1962" s="35"/>
      <c r="N1962" s="35"/>
      <c r="O1962" s="35"/>
      <c r="P1962" s="35"/>
      <c r="Q1962" s="35"/>
      <c r="R1962" s="35"/>
      <c r="S1962" s="35"/>
      <c r="T1962" s="35"/>
      <c r="U1962" s="35"/>
      <c r="V1962" s="35"/>
      <c r="W1962" s="35"/>
      <c r="X1962" s="35"/>
      <c r="Y1962" s="35"/>
      <c r="Z1962" s="35"/>
      <c r="AA1962" s="35"/>
      <c r="AB1962" s="35"/>
    </row>
    <row r="1963" ht="15.75" customHeight="1">
      <c r="A1963" s="35" t="s">
        <v>9569</v>
      </c>
      <c r="B1963" s="35">
        <v>1.0</v>
      </c>
      <c r="C1963" s="35"/>
      <c r="D1963" s="35"/>
      <c r="E1963" s="35"/>
      <c r="F1963" s="35"/>
      <c r="G1963" s="35"/>
      <c r="H1963" s="35"/>
      <c r="I1963" s="35"/>
      <c r="J1963" s="35"/>
      <c r="K1963" s="35"/>
      <c r="L1963" s="35"/>
      <c r="M1963" s="35"/>
      <c r="N1963" s="35"/>
      <c r="O1963" s="35"/>
      <c r="P1963" s="35"/>
      <c r="Q1963" s="35"/>
      <c r="R1963" s="35"/>
      <c r="S1963" s="35"/>
      <c r="T1963" s="35"/>
      <c r="U1963" s="35"/>
      <c r="V1963" s="35"/>
      <c r="W1963" s="35"/>
      <c r="X1963" s="35"/>
      <c r="Y1963" s="35"/>
      <c r="Z1963" s="35"/>
      <c r="AA1963" s="35"/>
      <c r="AB1963" s="35"/>
    </row>
    <row r="1964" ht="15.75" customHeight="1">
      <c r="A1964" s="35" t="s">
        <v>9570</v>
      </c>
      <c r="B1964" s="35">
        <v>1.0</v>
      </c>
      <c r="C1964" s="35"/>
      <c r="D1964" s="35"/>
      <c r="E1964" s="35"/>
      <c r="F1964" s="35"/>
      <c r="G1964" s="35"/>
      <c r="H1964" s="35"/>
      <c r="I1964" s="35"/>
      <c r="J1964" s="35"/>
      <c r="K1964" s="35"/>
      <c r="L1964" s="35"/>
      <c r="M1964" s="35"/>
      <c r="N1964" s="35"/>
      <c r="O1964" s="35"/>
      <c r="P1964" s="35"/>
      <c r="Q1964" s="35"/>
      <c r="R1964" s="35"/>
      <c r="S1964" s="35"/>
      <c r="T1964" s="35"/>
      <c r="U1964" s="35"/>
      <c r="V1964" s="35"/>
      <c r="W1964" s="35"/>
      <c r="X1964" s="35"/>
      <c r="Y1964" s="35"/>
      <c r="Z1964" s="35"/>
      <c r="AA1964" s="35"/>
      <c r="AB1964" s="35"/>
    </row>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41.14"/>
    <col customWidth="1" min="3" max="3" width="11.43"/>
    <col customWidth="1" min="4" max="4" width="18.29"/>
    <col customWidth="1" min="5" max="5" width="11.43"/>
    <col customWidth="1" min="6" max="7" width="38.86"/>
    <col customWidth="1" min="8" max="9" width="41.14"/>
    <col customWidth="1" min="10" max="10" width="11.43"/>
    <col customWidth="1" min="11" max="11" width="41.14"/>
  </cols>
  <sheetData>
    <row r="1">
      <c r="A1" s="34" t="s">
        <v>2277</v>
      </c>
      <c r="B1" s="34" t="s">
        <v>2278</v>
      </c>
      <c r="C1" s="34" t="s">
        <v>2280</v>
      </c>
      <c r="D1" s="34" t="s">
        <v>950</v>
      </c>
      <c r="E1" s="34" t="s">
        <v>2282</v>
      </c>
      <c r="F1" s="34" t="s">
        <v>2283</v>
      </c>
      <c r="G1" s="34" t="s">
        <v>2284</v>
      </c>
      <c r="H1" s="34" t="s">
        <v>2285</v>
      </c>
      <c r="I1" s="34" t="s">
        <v>2286</v>
      </c>
      <c r="J1" s="34"/>
      <c r="K1" s="34" t="s">
        <v>2288</v>
      </c>
    </row>
    <row r="2">
      <c r="A2" s="35" t="s">
        <v>2290</v>
      </c>
      <c r="B2" s="35" t="s">
        <v>2291</v>
      </c>
      <c r="C2" s="35">
        <v>100.0</v>
      </c>
      <c r="D2" s="35" t="s">
        <v>1996</v>
      </c>
      <c r="E2" s="35">
        <v>46086.0</v>
      </c>
      <c r="F2" s="35">
        <v>0.0</v>
      </c>
      <c r="G2" s="35">
        <v>1.0</v>
      </c>
      <c r="H2" s="35">
        <v>12.0</v>
      </c>
      <c r="I2" s="35">
        <v>2.0</v>
      </c>
      <c r="J2" s="35"/>
      <c r="K2" s="35">
        <v>0.0</v>
      </c>
    </row>
    <row r="3">
      <c r="A3" s="35" t="s">
        <v>2292</v>
      </c>
      <c r="B3" s="35"/>
      <c r="C3" s="35">
        <v>100.0</v>
      </c>
      <c r="D3" s="35" t="s">
        <v>2293</v>
      </c>
      <c r="E3" s="35">
        <v>46027.0</v>
      </c>
      <c r="F3" s="35">
        <v>0.0</v>
      </c>
      <c r="G3" s="35">
        <v>17.0</v>
      </c>
      <c r="H3" s="35">
        <v>0.0</v>
      </c>
      <c r="I3" s="35">
        <v>0.0</v>
      </c>
      <c r="J3" s="35"/>
      <c r="K3" s="35">
        <v>0.0</v>
      </c>
    </row>
    <row r="4">
      <c r="A4" s="35" t="s">
        <v>2295</v>
      </c>
      <c r="B4" s="35"/>
      <c r="C4" s="35">
        <v>100.0</v>
      </c>
      <c r="D4" s="35" t="s">
        <v>2297</v>
      </c>
      <c r="E4" s="35">
        <v>46027.0</v>
      </c>
      <c r="F4" s="35">
        <v>0.0</v>
      </c>
      <c r="G4" s="35">
        <v>2.0</v>
      </c>
      <c r="H4" s="35">
        <v>0.0</v>
      </c>
      <c r="I4" s="35">
        <v>0.0</v>
      </c>
      <c r="J4" s="35"/>
      <c r="K4" s="35">
        <v>0.0</v>
      </c>
    </row>
    <row r="5">
      <c r="A5" s="35" t="s">
        <v>2298</v>
      </c>
      <c r="B5" s="35"/>
      <c r="C5" s="35">
        <v>100.0</v>
      </c>
      <c r="D5" s="35" t="s">
        <v>2300</v>
      </c>
      <c r="E5" s="35">
        <v>46027.0</v>
      </c>
      <c r="F5" s="35">
        <v>0.0</v>
      </c>
      <c r="G5" s="35">
        <v>23.0</v>
      </c>
      <c r="H5" s="35">
        <v>0.0</v>
      </c>
      <c r="I5" s="35">
        <v>0.0</v>
      </c>
      <c r="J5" s="35"/>
      <c r="K5" s="35">
        <v>0.0</v>
      </c>
    </row>
    <row r="6">
      <c r="A6" s="35" t="s">
        <v>2063</v>
      </c>
      <c r="B6" s="35"/>
      <c r="C6" s="35">
        <v>100.0</v>
      </c>
      <c r="D6" s="35" t="s">
        <v>2064</v>
      </c>
      <c r="E6" s="35">
        <v>46027.0</v>
      </c>
      <c r="F6" s="35">
        <v>0.0</v>
      </c>
      <c r="G6" s="35">
        <v>0.0</v>
      </c>
      <c r="H6" s="35">
        <v>3.0</v>
      </c>
      <c r="I6" s="35">
        <v>0.0</v>
      </c>
      <c r="J6" s="35"/>
      <c r="K6" s="35">
        <v>0.0</v>
      </c>
    </row>
    <row r="7">
      <c r="A7" s="35" t="s">
        <v>2303</v>
      </c>
      <c r="B7" s="35"/>
      <c r="C7" s="35">
        <v>100.0</v>
      </c>
      <c r="D7" s="35" t="s">
        <v>2304</v>
      </c>
      <c r="E7" s="35">
        <v>46027.0</v>
      </c>
      <c r="F7" s="35">
        <v>0.0</v>
      </c>
      <c r="G7" s="35">
        <v>1.0</v>
      </c>
      <c r="H7" s="35">
        <v>0.0</v>
      </c>
      <c r="I7" s="35">
        <v>0.0</v>
      </c>
      <c r="J7" s="35"/>
      <c r="K7" s="35">
        <v>0.0</v>
      </c>
    </row>
    <row r="8">
      <c r="A8" s="35" t="s">
        <v>2306</v>
      </c>
      <c r="B8" s="35" t="s">
        <v>2307</v>
      </c>
      <c r="C8" s="35">
        <v>100.0</v>
      </c>
      <c r="D8" s="35" t="s">
        <v>2308</v>
      </c>
      <c r="E8" s="35">
        <v>46027.0</v>
      </c>
      <c r="F8" s="35">
        <v>0.0</v>
      </c>
      <c r="G8" s="35">
        <v>10.0</v>
      </c>
      <c r="H8" s="35">
        <v>0.0</v>
      </c>
      <c r="I8" s="35">
        <v>0.0</v>
      </c>
      <c r="J8" s="35"/>
      <c r="K8" s="35">
        <v>0.0</v>
      </c>
    </row>
    <row r="9">
      <c r="A9" s="35" t="s">
        <v>2309</v>
      </c>
      <c r="B9" s="35"/>
      <c r="C9" s="35">
        <v>98.0</v>
      </c>
      <c r="D9" s="35" t="s">
        <v>2310</v>
      </c>
      <c r="E9" s="35">
        <v>46027.0</v>
      </c>
      <c r="F9" s="35">
        <v>0.0</v>
      </c>
      <c r="G9" s="35">
        <v>13.0</v>
      </c>
      <c r="H9" s="35">
        <v>0.0</v>
      </c>
      <c r="I9" s="35">
        <v>0.0</v>
      </c>
      <c r="J9" s="35"/>
      <c r="K9" s="35">
        <v>0.0</v>
      </c>
    </row>
    <row r="10">
      <c r="A10" s="35" t="s">
        <v>957</v>
      </c>
      <c r="B10" s="35" t="s">
        <v>958</v>
      </c>
      <c r="C10" s="35">
        <v>97.0</v>
      </c>
      <c r="D10" s="35" t="s">
        <v>2313</v>
      </c>
      <c r="E10" s="35">
        <v>46027.0</v>
      </c>
      <c r="F10" s="35">
        <v>0.0</v>
      </c>
      <c r="G10" s="35">
        <v>5.0</v>
      </c>
      <c r="H10" s="35">
        <v>0.0</v>
      </c>
      <c r="I10" s="35">
        <v>0.0</v>
      </c>
      <c r="J10" s="35"/>
      <c r="K10" s="35">
        <v>0.0</v>
      </c>
    </row>
    <row r="11">
      <c r="A11" s="35" t="s">
        <v>2314</v>
      </c>
      <c r="B11" s="35"/>
      <c r="C11" s="35">
        <v>96.0</v>
      </c>
      <c r="D11" s="35" t="s">
        <v>2315</v>
      </c>
      <c r="E11" s="35">
        <v>46027.0</v>
      </c>
      <c r="F11" s="35">
        <v>0.0</v>
      </c>
      <c r="G11" s="35">
        <v>4.0</v>
      </c>
      <c r="H11" s="35">
        <v>0.0</v>
      </c>
      <c r="I11" s="35">
        <v>0.0</v>
      </c>
      <c r="J11" s="35"/>
      <c r="K11" s="35">
        <v>0.0</v>
      </c>
    </row>
    <row r="12">
      <c r="A12" s="35" t="s">
        <v>2317</v>
      </c>
      <c r="B12" s="35"/>
      <c r="C12" s="35">
        <v>96.0</v>
      </c>
      <c r="D12" s="35" t="s">
        <v>2319</v>
      </c>
      <c r="E12" s="35">
        <v>46027.0</v>
      </c>
      <c r="F12" s="35">
        <v>0.0</v>
      </c>
      <c r="G12" s="35">
        <v>3.0</v>
      </c>
      <c r="H12" s="35">
        <v>0.0</v>
      </c>
      <c r="I12" s="35">
        <v>0.0</v>
      </c>
      <c r="J12" s="35"/>
      <c r="K12" s="35">
        <v>0.0</v>
      </c>
    </row>
    <row r="13">
      <c r="A13" s="35" t="s">
        <v>2320</v>
      </c>
      <c r="B13" s="35"/>
      <c r="C13" s="35">
        <v>95.0</v>
      </c>
      <c r="D13" s="35" t="s">
        <v>2321</v>
      </c>
      <c r="E13" s="35">
        <v>46027.0</v>
      </c>
      <c r="F13" s="35">
        <v>0.0</v>
      </c>
      <c r="G13" s="35">
        <v>1.0</v>
      </c>
      <c r="H13" s="35">
        <v>0.0</v>
      </c>
      <c r="I13" s="35">
        <v>0.0</v>
      </c>
      <c r="J13" s="35"/>
      <c r="K13" s="35">
        <v>0.0</v>
      </c>
    </row>
    <row r="14">
      <c r="A14" s="35" t="s">
        <v>2322</v>
      </c>
      <c r="B14" s="35"/>
      <c r="C14" s="35">
        <v>94.0</v>
      </c>
      <c r="D14" s="35" t="s">
        <v>2323</v>
      </c>
      <c r="E14" s="35">
        <v>46027.0</v>
      </c>
      <c r="F14" s="35">
        <v>0.0</v>
      </c>
      <c r="G14" s="35">
        <v>5.0</v>
      </c>
      <c r="H14" s="35">
        <v>0.0</v>
      </c>
      <c r="I14" s="35">
        <v>0.0</v>
      </c>
      <c r="J14" s="35"/>
      <c r="K14" s="35">
        <v>0.0</v>
      </c>
    </row>
    <row r="15">
      <c r="A15" s="35" t="s">
        <v>966</v>
      </c>
      <c r="B15" s="35" t="s">
        <v>967</v>
      </c>
      <c r="C15" s="35">
        <v>91.0</v>
      </c>
      <c r="D15" s="35" t="s">
        <v>2327</v>
      </c>
      <c r="E15" s="35">
        <v>46027.0</v>
      </c>
      <c r="F15" s="35">
        <v>0.0</v>
      </c>
      <c r="G15" s="35">
        <v>8.0</v>
      </c>
      <c r="H15" s="35">
        <v>0.0</v>
      </c>
      <c r="I15" s="35">
        <v>0.0</v>
      </c>
      <c r="J15" s="35"/>
      <c r="K15" s="35">
        <v>0.0</v>
      </c>
    </row>
    <row r="16">
      <c r="A16" s="35" t="s">
        <v>2328</v>
      </c>
      <c r="B16" s="35"/>
      <c r="C16" s="35">
        <v>91.0</v>
      </c>
      <c r="D16" s="35" t="s">
        <v>2330</v>
      </c>
      <c r="E16" s="35">
        <v>46027.0</v>
      </c>
      <c r="F16" s="35">
        <v>0.0</v>
      </c>
      <c r="G16" s="35">
        <v>1.0</v>
      </c>
      <c r="H16" s="35">
        <v>0.0</v>
      </c>
      <c r="I16" s="35">
        <v>0.0</v>
      </c>
      <c r="J16" s="35"/>
      <c r="K16" s="35">
        <v>0.0</v>
      </c>
    </row>
    <row r="17">
      <c r="A17" s="35" t="s">
        <v>2332</v>
      </c>
      <c r="B17" s="35" t="s">
        <v>2333</v>
      </c>
      <c r="C17" s="35">
        <v>91.0</v>
      </c>
      <c r="D17" s="35" t="s">
        <v>2334</v>
      </c>
      <c r="E17" s="35">
        <v>46027.0</v>
      </c>
      <c r="F17" s="35">
        <v>0.0</v>
      </c>
      <c r="G17" s="35">
        <v>13.0</v>
      </c>
      <c r="H17" s="35">
        <v>0.0</v>
      </c>
      <c r="I17" s="35">
        <v>0.0</v>
      </c>
      <c r="J17" s="35"/>
      <c r="K17" s="35">
        <v>0.0</v>
      </c>
    </row>
    <row r="18">
      <c r="A18" s="35" t="s">
        <v>2336</v>
      </c>
      <c r="B18" s="35"/>
      <c r="C18" s="35">
        <v>89.0</v>
      </c>
      <c r="D18" s="35" t="s">
        <v>2091</v>
      </c>
      <c r="E18" s="35">
        <v>46027.0</v>
      </c>
      <c r="F18" s="35">
        <v>0.0</v>
      </c>
      <c r="G18" s="35">
        <v>1.0</v>
      </c>
      <c r="H18" s="35">
        <v>0.0</v>
      </c>
      <c r="I18" s="35">
        <v>0.0</v>
      </c>
      <c r="J18" s="35"/>
      <c r="K18" s="35">
        <v>0.0</v>
      </c>
    </row>
    <row r="19">
      <c r="A19" s="35" t="s">
        <v>2338</v>
      </c>
      <c r="B19" s="35" t="s">
        <v>2340</v>
      </c>
      <c r="C19" s="35">
        <v>89.0</v>
      </c>
      <c r="D19" s="35" t="s">
        <v>2096</v>
      </c>
      <c r="E19" s="35">
        <v>46027.0</v>
      </c>
      <c r="F19" s="35">
        <v>0.0</v>
      </c>
      <c r="G19" s="35">
        <v>1.0</v>
      </c>
      <c r="H19" s="35">
        <v>0.0</v>
      </c>
      <c r="I19" s="35">
        <v>0.0</v>
      </c>
      <c r="J19" s="35"/>
      <c r="K19" s="35">
        <v>0.0</v>
      </c>
    </row>
    <row r="20">
      <c r="A20" s="35" t="s">
        <v>2342</v>
      </c>
      <c r="B20" s="35" t="s">
        <v>2098</v>
      </c>
      <c r="C20" s="35">
        <v>85.0</v>
      </c>
      <c r="D20" s="35" t="s">
        <v>2100</v>
      </c>
      <c r="E20" s="35">
        <v>46086.0</v>
      </c>
      <c r="F20" s="35">
        <v>0.0</v>
      </c>
      <c r="G20" s="35">
        <v>6.0</v>
      </c>
      <c r="H20" s="35">
        <v>10.0</v>
      </c>
      <c r="I20" s="35">
        <v>4.0</v>
      </c>
      <c r="J20" s="35"/>
      <c r="K20" s="35">
        <v>0.0</v>
      </c>
    </row>
    <row r="21" ht="15.75" customHeight="1">
      <c r="A21" s="35" t="s">
        <v>969</v>
      </c>
      <c r="B21" s="35" t="s">
        <v>970</v>
      </c>
      <c r="C21" s="35">
        <v>84.0</v>
      </c>
      <c r="D21" s="35" t="s">
        <v>2346</v>
      </c>
      <c r="E21" s="35">
        <v>46027.0</v>
      </c>
      <c r="F21" s="35">
        <v>0.0</v>
      </c>
      <c r="G21" s="35">
        <v>3.0</v>
      </c>
      <c r="H21" s="35">
        <v>0.0</v>
      </c>
      <c r="I21" s="35">
        <v>0.0</v>
      </c>
      <c r="J21" s="35"/>
      <c r="K21" s="35">
        <v>0.0</v>
      </c>
    </row>
    <row r="22" ht="15.75" customHeight="1">
      <c r="A22" s="35" t="s">
        <v>2347</v>
      </c>
      <c r="B22" s="35"/>
      <c r="C22" s="35">
        <v>81.0</v>
      </c>
      <c r="D22" s="35" t="s">
        <v>2349</v>
      </c>
      <c r="E22" s="35">
        <v>46027.0</v>
      </c>
      <c r="F22" s="35">
        <v>0.0</v>
      </c>
      <c r="G22" s="35">
        <v>0.0</v>
      </c>
      <c r="H22" s="35">
        <v>1.0</v>
      </c>
      <c r="I22" s="35">
        <v>0.0</v>
      </c>
      <c r="J22" s="35"/>
      <c r="K22" s="35">
        <v>0.0</v>
      </c>
    </row>
    <row r="23" ht="15.75" customHeight="1">
      <c r="A23" s="35" t="s">
        <v>2350</v>
      </c>
      <c r="B23" s="35"/>
      <c r="C23" s="35">
        <v>80.0</v>
      </c>
      <c r="D23" s="35" t="s">
        <v>2103</v>
      </c>
      <c r="E23" s="35">
        <v>46027.0</v>
      </c>
      <c r="F23" s="35">
        <v>0.0</v>
      </c>
      <c r="G23" s="35">
        <v>1.0</v>
      </c>
      <c r="H23" s="35">
        <v>0.0</v>
      </c>
      <c r="I23" s="35">
        <v>0.0</v>
      </c>
      <c r="J23" s="35"/>
      <c r="K23" s="35">
        <v>0.0</v>
      </c>
    </row>
    <row r="24" ht="15.75" customHeight="1">
      <c r="A24" s="35" t="s">
        <v>2353</v>
      </c>
      <c r="B24" s="35"/>
      <c r="C24" s="35">
        <v>80.0</v>
      </c>
      <c r="D24" s="35" t="s">
        <v>2107</v>
      </c>
      <c r="E24" s="35">
        <v>46027.0</v>
      </c>
      <c r="F24" s="35">
        <v>0.0</v>
      </c>
      <c r="G24" s="35">
        <v>1.0</v>
      </c>
      <c r="H24" s="35">
        <v>0.0</v>
      </c>
      <c r="I24" s="35">
        <v>0.0</v>
      </c>
      <c r="J24" s="35"/>
      <c r="K24" s="35">
        <v>0.0</v>
      </c>
    </row>
    <row r="25" ht="15.75" customHeight="1">
      <c r="A25" s="35" t="s">
        <v>2355</v>
      </c>
      <c r="B25" s="35"/>
      <c r="C25" s="35">
        <v>79.0</v>
      </c>
      <c r="D25" s="35" t="s">
        <v>2109</v>
      </c>
      <c r="E25" s="35">
        <v>46027.0</v>
      </c>
      <c r="F25" s="35">
        <v>0.0</v>
      </c>
      <c r="G25" s="35">
        <v>1.0</v>
      </c>
      <c r="H25" s="35">
        <v>0.0</v>
      </c>
      <c r="I25" s="35">
        <v>0.0</v>
      </c>
      <c r="J25" s="35"/>
      <c r="K25" s="35">
        <v>0.0</v>
      </c>
    </row>
    <row r="26" ht="15.75" customHeight="1">
      <c r="A26" s="35" t="s">
        <v>2357</v>
      </c>
      <c r="B26" s="35"/>
      <c r="C26" s="35">
        <v>79.0</v>
      </c>
      <c r="D26" s="35" t="s">
        <v>2113</v>
      </c>
      <c r="E26" s="35">
        <v>46027.0</v>
      </c>
      <c r="F26" s="35">
        <v>0.0</v>
      </c>
      <c r="G26" s="35">
        <v>1.0</v>
      </c>
      <c r="H26" s="35">
        <v>0.0</v>
      </c>
      <c r="I26" s="35">
        <v>0.0</v>
      </c>
      <c r="J26" s="35"/>
      <c r="K26" s="35">
        <v>0.0</v>
      </c>
    </row>
    <row r="27" ht="15.75" customHeight="1">
      <c r="A27" s="35" t="s">
        <v>2358</v>
      </c>
      <c r="B27" s="35"/>
      <c r="C27" s="35">
        <v>78.0</v>
      </c>
      <c r="D27" s="35" t="s">
        <v>2361</v>
      </c>
      <c r="E27" s="35">
        <v>46027.0</v>
      </c>
      <c r="F27" s="35">
        <v>0.0</v>
      </c>
      <c r="G27" s="35">
        <v>1.0</v>
      </c>
      <c r="H27" s="35">
        <v>0.0</v>
      </c>
      <c r="I27" s="35">
        <v>0.0</v>
      </c>
      <c r="J27" s="35"/>
      <c r="K27" s="35">
        <v>0.0</v>
      </c>
    </row>
    <row r="28" ht="15.75" customHeight="1">
      <c r="A28" s="35" t="s">
        <v>2363</v>
      </c>
      <c r="B28" s="35"/>
      <c r="C28" s="35">
        <v>78.0</v>
      </c>
      <c r="D28" s="35" t="s">
        <v>2364</v>
      </c>
      <c r="E28" s="35">
        <v>46027.0</v>
      </c>
      <c r="F28" s="35">
        <v>0.0</v>
      </c>
      <c r="G28" s="35">
        <v>2.0</v>
      </c>
      <c r="H28" s="35">
        <v>0.0</v>
      </c>
      <c r="I28" s="35">
        <v>0.0</v>
      </c>
      <c r="J28" s="35"/>
      <c r="K28" s="35">
        <v>0.0</v>
      </c>
    </row>
    <row r="29" ht="15.75" customHeight="1">
      <c r="A29" s="35" t="s">
        <v>2367</v>
      </c>
      <c r="B29" s="35"/>
      <c r="C29" s="35">
        <v>77.0</v>
      </c>
      <c r="D29" s="35" t="s">
        <v>2378</v>
      </c>
      <c r="E29" s="35">
        <v>46058.0</v>
      </c>
      <c r="F29" s="35">
        <v>0.0</v>
      </c>
      <c r="G29" s="35">
        <v>7.0</v>
      </c>
      <c r="H29" s="35">
        <v>0.0</v>
      </c>
      <c r="I29" s="35">
        <v>2.0</v>
      </c>
      <c r="J29" s="35"/>
      <c r="K29" s="35">
        <v>0.0</v>
      </c>
    </row>
    <row r="30" ht="15.75" customHeight="1">
      <c r="A30" s="35" t="s">
        <v>2380</v>
      </c>
      <c r="B30" s="35"/>
      <c r="C30" s="35">
        <v>77.0</v>
      </c>
      <c r="D30" s="35" t="s">
        <v>2078</v>
      </c>
      <c r="E30" s="35">
        <v>46027.0</v>
      </c>
      <c r="F30" s="35">
        <v>0.0</v>
      </c>
      <c r="G30" s="35">
        <v>1.0</v>
      </c>
      <c r="H30" s="35">
        <v>0.0</v>
      </c>
      <c r="I30" s="35">
        <v>0.0</v>
      </c>
      <c r="J30" s="35"/>
      <c r="K30" s="35">
        <v>0.0</v>
      </c>
    </row>
    <row r="31" ht="15.75" customHeight="1">
      <c r="A31" s="35" t="s">
        <v>2384</v>
      </c>
      <c r="B31" s="35"/>
      <c r="C31" s="35">
        <v>77.0</v>
      </c>
      <c r="D31" s="35" t="s">
        <v>2386</v>
      </c>
      <c r="E31" s="35">
        <v>46027.0</v>
      </c>
      <c r="F31" s="35">
        <v>0.0</v>
      </c>
      <c r="G31" s="35">
        <v>3.0</v>
      </c>
      <c r="H31" s="35">
        <v>0.0</v>
      </c>
      <c r="I31" s="35">
        <v>0.0</v>
      </c>
      <c r="J31" s="35"/>
      <c r="K31" s="35">
        <v>0.0</v>
      </c>
    </row>
    <row r="32" ht="15.75" customHeight="1">
      <c r="A32" s="35" t="s">
        <v>2388</v>
      </c>
      <c r="B32" s="35"/>
      <c r="C32" s="35">
        <v>76.0</v>
      </c>
      <c r="D32" s="35" t="s">
        <v>2071</v>
      </c>
      <c r="E32" s="35">
        <v>46058.0</v>
      </c>
      <c r="F32" s="35">
        <v>0.0</v>
      </c>
      <c r="G32" s="35">
        <v>5.0</v>
      </c>
      <c r="H32" s="35">
        <v>1.0</v>
      </c>
      <c r="I32" s="35">
        <v>0.0</v>
      </c>
      <c r="J32" s="35"/>
      <c r="K32" s="35">
        <v>0.0</v>
      </c>
    </row>
    <row r="33" ht="15.75" customHeight="1">
      <c r="A33" s="35" t="s">
        <v>2393</v>
      </c>
      <c r="B33" s="35"/>
      <c r="C33" s="35">
        <v>76.0</v>
      </c>
      <c r="D33" s="35" t="s">
        <v>2395</v>
      </c>
      <c r="E33" s="35">
        <v>46027.0</v>
      </c>
      <c r="F33" s="35">
        <v>0.0</v>
      </c>
      <c r="G33" s="35">
        <v>3.0</v>
      </c>
      <c r="H33" s="35">
        <v>0.0</v>
      </c>
      <c r="I33" s="35">
        <v>0.0</v>
      </c>
      <c r="J33" s="35"/>
      <c r="K33" s="35">
        <v>0.0</v>
      </c>
    </row>
    <row r="34" ht="15.75" customHeight="1">
      <c r="A34" s="35" t="s">
        <v>2396</v>
      </c>
      <c r="B34" s="35"/>
      <c r="C34" s="35">
        <v>76.0</v>
      </c>
      <c r="D34" s="35" t="s">
        <v>2117</v>
      </c>
      <c r="E34" s="35">
        <v>46027.0</v>
      </c>
      <c r="F34" s="35">
        <v>0.0</v>
      </c>
      <c r="G34" s="35">
        <v>3.0</v>
      </c>
      <c r="H34" s="35">
        <v>0.0</v>
      </c>
      <c r="I34" s="35">
        <v>0.0</v>
      </c>
      <c r="J34" s="35"/>
      <c r="K34" s="35">
        <v>0.0</v>
      </c>
    </row>
    <row r="35" ht="15.75" customHeight="1">
      <c r="A35" s="35" t="s">
        <v>2399</v>
      </c>
      <c r="B35" s="35"/>
      <c r="C35" s="35">
        <v>76.0</v>
      </c>
      <c r="D35" s="35" t="s">
        <v>2121</v>
      </c>
      <c r="E35" s="35">
        <v>46027.0</v>
      </c>
      <c r="F35" s="35">
        <v>0.0</v>
      </c>
      <c r="G35" s="35">
        <v>1.0</v>
      </c>
      <c r="H35" s="35">
        <v>0.0</v>
      </c>
      <c r="I35" s="35">
        <v>0.0</v>
      </c>
      <c r="J35" s="35"/>
      <c r="K35" s="35">
        <v>0.0</v>
      </c>
    </row>
    <row r="36" ht="15.75" customHeight="1">
      <c r="A36" s="35" t="s">
        <v>2403</v>
      </c>
      <c r="B36" s="35"/>
      <c r="C36" s="35">
        <v>76.0</v>
      </c>
      <c r="D36" s="35" t="s">
        <v>2405</v>
      </c>
      <c r="E36" s="35">
        <v>46027.0</v>
      </c>
      <c r="F36" s="35">
        <v>0.0</v>
      </c>
      <c r="G36" s="35">
        <v>7.0</v>
      </c>
      <c r="H36" s="35">
        <v>0.0</v>
      </c>
      <c r="I36" s="35">
        <v>0.0</v>
      </c>
      <c r="J36" s="35"/>
      <c r="K36" s="35">
        <v>0.0</v>
      </c>
    </row>
    <row r="37" ht="15.75" customHeight="1">
      <c r="A37" s="35" t="s">
        <v>2406</v>
      </c>
      <c r="B37" s="35"/>
      <c r="C37" s="35">
        <v>76.0</v>
      </c>
      <c r="D37" s="35" t="s">
        <v>2408</v>
      </c>
      <c r="E37" s="35">
        <v>46027.0</v>
      </c>
      <c r="F37" s="35">
        <v>0.0</v>
      </c>
      <c r="G37" s="35">
        <v>2.0</v>
      </c>
      <c r="H37" s="35">
        <v>0.0</v>
      </c>
      <c r="I37" s="35">
        <v>0.0</v>
      </c>
      <c r="J37" s="35"/>
      <c r="K37" s="35">
        <v>0.0</v>
      </c>
    </row>
    <row r="38" ht="15.75" customHeight="1">
      <c r="A38" s="35" t="s">
        <v>2412</v>
      </c>
      <c r="B38" s="35"/>
      <c r="C38" s="35">
        <v>75.0</v>
      </c>
      <c r="D38" s="35" t="s">
        <v>2413</v>
      </c>
      <c r="E38" s="35">
        <v>46027.0</v>
      </c>
      <c r="F38" s="35">
        <v>0.0</v>
      </c>
      <c r="G38" s="35">
        <v>1.0</v>
      </c>
      <c r="H38" s="35">
        <v>0.0</v>
      </c>
      <c r="I38" s="35">
        <v>0.0</v>
      </c>
      <c r="J38" s="35"/>
      <c r="K38" s="35">
        <v>0.0</v>
      </c>
    </row>
    <row r="39" ht="15.75" customHeight="1">
      <c r="A39" s="35" t="s">
        <v>2415</v>
      </c>
      <c r="B39" s="35"/>
      <c r="C39" s="35">
        <v>74.0</v>
      </c>
      <c r="D39" s="35" t="s">
        <v>2416</v>
      </c>
      <c r="E39" s="35">
        <v>46027.0</v>
      </c>
      <c r="F39" s="35">
        <v>0.0</v>
      </c>
      <c r="G39" s="35">
        <v>55.0</v>
      </c>
      <c r="H39" s="35">
        <v>0.0</v>
      </c>
      <c r="I39" s="35">
        <v>0.0</v>
      </c>
      <c r="J39" s="35"/>
      <c r="K39" s="35">
        <v>0.0</v>
      </c>
    </row>
    <row r="40" ht="15.75" customHeight="1">
      <c r="A40" s="35" t="s">
        <v>2418</v>
      </c>
      <c r="B40" s="35"/>
      <c r="C40" s="35">
        <v>73.0</v>
      </c>
      <c r="D40" s="35" t="s">
        <v>2028</v>
      </c>
      <c r="E40" s="35">
        <v>46027.0</v>
      </c>
      <c r="F40" s="35">
        <v>0.0</v>
      </c>
      <c r="G40" s="35">
        <v>0.0</v>
      </c>
      <c r="H40" s="35">
        <v>0.0</v>
      </c>
      <c r="I40" s="35">
        <v>1.0</v>
      </c>
      <c r="J40" s="35"/>
      <c r="K40" s="35">
        <v>0.0</v>
      </c>
    </row>
    <row r="41" ht="15.75" customHeight="1">
      <c r="A41" s="35" t="s">
        <v>2422</v>
      </c>
      <c r="B41" s="35"/>
      <c r="C41" s="35">
        <v>73.0</v>
      </c>
      <c r="D41" s="35" t="s">
        <v>2423</v>
      </c>
      <c r="E41" s="35">
        <v>46027.0</v>
      </c>
      <c r="F41" s="35">
        <v>0.0</v>
      </c>
      <c r="G41" s="35">
        <v>3.0</v>
      </c>
      <c r="H41" s="35">
        <v>0.0</v>
      </c>
      <c r="I41" s="35">
        <v>0.0</v>
      </c>
      <c r="J41" s="35"/>
      <c r="K41" s="35">
        <v>0.0</v>
      </c>
    </row>
    <row r="42" ht="15.75" customHeight="1">
      <c r="A42" s="35" t="s">
        <v>2428</v>
      </c>
      <c r="B42" s="35"/>
      <c r="C42" s="35">
        <v>72.0</v>
      </c>
      <c r="D42" s="35" t="s">
        <v>1998</v>
      </c>
      <c r="E42" s="35">
        <v>46058.0</v>
      </c>
      <c r="F42" s="35">
        <v>0.0</v>
      </c>
      <c r="G42" s="35">
        <v>9.0</v>
      </c>
      <c r="H42" s="35">
        <v>0.0</v>
      </c>
      <c r="I42" s="35">
        <v>1.0</v>
      </c>
      <c r="J42" s="35"/>
      <c r="K42" s="35">
        <v>0.0</v>
      </c>
    </row>
    <row r="43" ht="15.75" customHeight="1">
      <c r="A43" s="35" t="s">
        <v>2430</v>
      </c>
      <c r="B43" s="35"/>
      <c r="C43" s="35">
        <v>72.0</v>
      </c>
      <c r="D43" s="35" t="s">
        <v>2432</v>
      </c>
      <c r="E43" s="35">
        <v>46027.0</v>
      </c>
      <c r="F43" s="35">
        <v>0.0</v>
      </c>
      <c r="G43" s="35">
        <v>1.0</v>
      </c>
      <c r="H43" s="35">
        <v>0.0</v>
      </c>
      <c r="I43" s="35">
        <v>0.0</v>
      </c>
      <c r="J43" s="35"/>
      <c r="K43" s="35">
        <v>0.0</v>
      </c>
    </row>
    <row r="44" ht="15.75" customHeight="1">
      <c r="A44" s="35" t="s">
        <v>2434</v>
      </c>
      <c r="B44" s="35"/>
      <c r="C44" s="35">
        <v>72.0</v>
      </c>
      <c r="D44" s="35" t="s">
        <v>2437</v>
      </c>
      <c r="E44" s="35">
        <v>46027.0</v>
      </c>
      <c r="F44" s="35">
        <v>0.0</v>
      </c>
      <c r="G44" s="35">
        <v>1.0</v>
      </c>
      <c r="H44" s="35">
        <v>0.0</v>
      </c>
      <c r="I44" s="35">
        <v>0.0</v>
      </c>
      <c r="J44" s="35"/>
      <c r="K44" s="35">
        <v>0.0</v>
      </c>
    </row>
    <row r="45" ht="15.75" customHeight="1">
      <c r="A45" s="35" t="s">
        <v>2439</v>
      </c>
      <c r="B45" s="35"/>
      <c r="C45" s="35">
        <v>72.0</v>
      </c>
      <c r="D45" s="35" t="s">
        <v>2071</v>
      </c>
      <c r="E45" s="35">
        <v>46027.0</v>
      </c>
      <c r="F45" s="35">
        <v>0.0</v>
      </c>
      <c r="G45" s="35">
        <v>14.0</v>
      </c>
      <c r="H45" s="35">
        <v>0.0</v>
      </c>
      <c r="I45" s="35">
        <v>0.0</v>
      </c>
      <c r="J45" s="35"/>
      <c r="K45" s="35">
        <v>0.0</v>
      </c>
    </row>
    <row r="46" ht="15.75" customHeight="1">
      <c r="A46" s="35" t="s">
        <v>2443</v>
      </c>
      <c r="B46" s="35"/>
      <c r="C46" s="35">
        <v>72.0</v>
      </c>
      <c r="D46" s="35" t="s">
        <v>2432</v>
      </c>
      <c r="E46" s="35">
        <v>46027.0</v>
      </c>
      <c r="F46" s="35">
        <v>0.0</v>
      </c>
      <c r="G46" s="35">
        <v>1.0</v>
      </c>
      <c r="H46" s="35">
        <v>0.0</v>
      </c>
      <c r="I46" s="35">
        <v>0.0</v>
      </c>
      <c r="J46" s="35"/>
      <c r="K46" s="35">
        <v>0.0</v>
      </c>
    </row>
    <row r="47" ht="15.75" customHeight="1">
      <c r="A47" s="35" t="s">
        <v>2446</v>
      </c>
      <c r="B47" s="35"/>
      <c r="C47" s="35">
        <v>72.0</v>
      </c>
      <c r="D47" s="35" t="s">
        <v>2448</v>
      </c>
      <c r="E47" s="35">
        <v>46027.0</v>
      </c>
      <c r="F47" s="35">
        <v>0.0</v>
      </c>
      <c r="G47" s="35">
        <v>2.0</v>
      </c>
      <c r="H47" s="35">
        <v>0.0</v>
      </c>
      <c r="I47" s="35">
        <v>0.0</v>
      </c>
      <c r="J47" s="35"/>
      <c r="K47" s="35">
        <v>0.0</v>
      </c>
    </row>
    <row r="48" ht="15.75" customHeight="1">
      <c r="A48" s="35" t="s">
        <v>2450</v>
      </c>
      <c r="B48" s="35"/>
      <c r="C48" s="35">
        <v>72.0</v>
      </c>
      <c r="D48" s="35" t="s">
        <v>2451</v>
      </c>
      <c r="E48" s="35">
        <v>46027.0</v>
      </c>
      <c r="F48" s="35">
        <v>0.0</v>
      </c>
      <c r="G48" s="35">
        <v>2.0</v>
      </c>
      <c r="H48" s="35">
        <v>0.0</v>
      </c>
      <c r="I48" s="35">
        <v>0.0</v>
      </c>
      <c r="J48" s="35"/>
      <c r="K48" s="35">
        <v>0.0</v>
      </c>
    </row>
    <row r="49" ht="15.75" customHeight="1">
      <c r="A49" s="35" t="s">
        <v>2454</v>
      </c>
      <c r="B49" s="35"/>
      <c r="C49" s="35">
        <v>71.0</v>
      </c>
      <c r="D49" s="35" t="s">
        <v>2455</v>
      </c>
      <c r="E49" s="35">
        <v>46027.0</v>
      </c>
      <c r="F49" s="35">
        <v>0.0</v>
      </c>
      <c r="G49" s="35">
        <v>4.0</v>
      </c>
      <c r="H49" s="35">
        <v>0.0</v>
      </c>
      <c r="I49" s="35">
        <v>0.0</v>
      </c>
      <c r="J49" s="35"/>
      <c r="K49" s="35">
        <v>0.0</v>
      </c>
    </row>
    <row r="50" ht="15.75" customHeight="1">
      <c r="A50" s="35" t="s">
        <v>2458</v>
      </c>
      <c r="B50" s="35"/>
      <c r="C50" s="35">
        <v>70.0</v>
      </c>
      <c r="D50" s="35" t="s">
        <v>2460</v>
      </c>
      <c r="E50" s="35">
        <v>46027.0</v>
      </c>
      <c r="F50" s="35">
        <v>0.0</v>
      </c>
      <c r="G50" s="35">
        <v>1.0</v>
      </c>
      <c r="H50" s="35">
        <v>0.0</v>
      </c>
      <c r="I50" s="35">
        <v>0.0</v>
      </c>
      <c r="J50" s="35"/>
      <c r="K50" s="35">
        <v>0.0</v>
      </c>
    </row>
    <row r="51" ht="15.75" customHeight="1">
      <c r="A51" s="35" t="s">
        <v>2461</v>
      </c>
      <c r="B51" s="35"/>
      <c r="C51" s="35">
        <v>70.0</v>
      </c>
      <c r="D51" s="35" t="s">
        <v>2464</v>
      </c>
      <c r="E51" s="35">
        <v>46027.0</v>
      </c>
      <c r="F51" s="35">
        <v>0.0</v>
      </c>
      <c r="G51" s="35">
        <v>1.0</v>
      </c>
      <c r="H51" s="35">
        <v>0.0</v>
      </c>
      <c r="I51" s="35">
        <v>0.0</v>
      </c>
      <c r="J51" s="35"/>
      <c r="K51" s="35">
        <v>0.0</v>
      </c>
    </row>
    <row r="52" ht="15.75" customHeight="1">
      <c r="A52" s="35" t="s">
        <v>2465</v>
      </c>
      <c r="B52" s="35"/>
      <c r="C52" s="35">
        <v>69.0</v>
      </c>
      <c r="D52" s="35" t="s">
        <v>2466</v>
      </c>
      <c r="E52" s="35">
        <v>46027.0</v>
      </c>
      <c r="F52" s="35">
        <v>0.0</v>
      </c>
      <c r="G52" s="35">
        <v>6.0</v>
      </c>
      <c r="H52" s="35">
        <v>0.0</v>
      </c>
      <c r="I52" s="35">
        <v>0.0</v>
      </c>
      <c r="J52" s="35"/>
      <c r="K52" s="35">
        <v>0.0</v>
      </c>
    </row>
    <row r="53" ht="15.75" customHeight="1">
      <c r="A53" s="35" t="s">
        <v>2470</v>
      </c>
      <c r="B53" s="35"/>
      <c r="C53" s="35">
        <v>69.0</v>
      </c>
      <c r="D53" s="35" t="s">
        <v>2471</v>
      </c>
      <c r="E53" s="35">
        <v>46027.0</v>
      </c>
      <c r="F53" s="35">
        <v>0.0</v>
      </c>
      <c r="G53" s="35">
        <v>3.0</v>
      </c>
      <c r="H53" s="35">
        <v>0.0</v>
      </c>
      <c r="I53" s="35">
        <v>0.0</v>
      </c>
      <c r="J53" s="35"/>
      <c r="K53" s="35">
        <v>0.0</v>
      </c>
    </row>
    <row r="54" ht="15.75" customHeight="1">
      <c r="A54" s="35" t="s">
        <v>2474</v>
      </c>
      <c r="B54" s="35"/>
      <c r="C54" s="35">
        <v>69.0</v>
      </c>
      <c r="D54" s="35" t="s">
        <v>2476</v>
      </c>
      <c r="E54" s="35">
        <v>46027.0</v>
      </c>
      <c r="F54" s="35">
        <v>0.0</v>
      </c>
      <c r="G54" s="35">
        <v>1.0</v>
      </c>
      <c r="H54" s="35">
        <v>0.0</v>
      </c>
      <c r="I54" s="35">
        <v>0.0</v>
      </c>
      <c r="J54" s="35"/>
      <c r="K54" s="35">
        <v>0.0</v>
      </c>
    </row>
    <row r="55" ht="15.75" customHeight="1">
      <c r="A55" s="35" t="s">
        <v>972</v>
      </c>
      <c r="B55" s="35"/>
      <c r="C55" s="35">
        <v>68.0</v>
      </c>
      <c r="D55" s="35" t="s">
        <v>2479</v>
      </c>
      <c r="E55" s="35">
        <v>46027.0</v>
      </c>
      <c r="F55" s="35">
        <v>0.0</v>
      </c>
      <c r="G55" s="35">
        <v>1.0</v>
      </c>
      <c r="H55" s="35">
        <v>0.0</v>
      </c>
      <c r="I55" s="35">
        <v>0.0</v>
      </c>
      <c r="J55" s="35"/>
      <c r="K55" s="35">
        <v>0.0</v>
      </c>
    </row>
    <row r="56" ht="15.75" customHeight="1">
      <c r="A56" s="35" t="s">
        <v>2480</v>
      </c>
      <c r="B56" s="35"/>
      <c r="C56" s="35">
        <v>67.0</v>
      </c>
      <c r="D56" s="35" t="s">
        <v>2482</v>
      </c>
      <c r="E56" s="35">
        <v>46027.0</v>
      </c>
      <c r="F56" s="35">
        <v>0.0</v>
      </c>
      <c r="G56" s="35">
        <v>1.0</v>
      </c>
      <c r="H56" s="35">
        <v>0.0</v>
      </c>
      <c r="I56" s="35">
        <v>0.0</v>
      </c>
      <c r="J56" s="35"/>
      <c r="K56" s="35">
        <v>0.0</v>
      </c>
    </row>
    <row r="57" ht="15.75" customHeight="1">
      <c r="A57" s="35" t="s">
        <v>2485</v>
      </c>
      <c r="B57" s="35"/>
      <c r="C57" s="35">
        <v>67.0</v>
      </c>
      <c r="D57" s="35" t="s">
        <v>2486</v>
      </c>
      <c r="E57" s="35">
        <v>46027.0</v>
      </c>
      <c r="F57" s="35">
        <v>0.0</v>
      </c>
      <c r="G57" s="35">
        <v>0.0</v>
      </c>
      <c r="H57" s="35">
        <v>17.0</v>
      </c>
      <c r="I57" s="35">
        <v>0.0</v>
      </c>
      <c r="J57" s="35"/>
      <c r="K57" s="35">
        <v>0.0</v>
      </c>
    </row>
    <row r="58" ht="15.75" customHeight="1">
      <c r="A58" s="35" t="s">
        <v>2489</v>
      </c>
      <c r="B58" s="35"/>
      <c r="C58" s="35">
        <v>67.0</v>
      </c>
      <c r="D58" s="35" t="s">
        <v>2490</v>
      </c>
      <c r="E58" s="35">
        <v>46027.0</v>
      </c>
      <c r="F58" s="35">
        <v>0.0</v>
      </c>
      <c r="G58" s="35">
        <v>1.0</v>
      </c>
      <c r="H58" s="35">
        <v>0.0</v>
      </c>
      <c r="I58" s="35">
        <v>0.0</v>
      </c>
      <c r="J58" s="35"/>
      <c r="K58" s="35">
        <v>0.0</v>
      </c>
    </row>
    <row r="59" ht="15.75" customHeight="1">
      <c r="A59" s="35" t="s">
        <v>2491</v>
      </c>
      <c r="B59" s="35"/>
      <c r="C59" s="35">
        <v>67.0</v>
      </c>
      <c r="D59" s="35" t="s">
        <v>2493</v>
      </c>
      <c r="E59" s="35">
        <v>46027.0</v>
      </c>
      <c r="F59" s="35">
        <v>0.0</v>
      </c>
      <c r="G59" s="35">
        <v>27.0</v>
      </c>
      <c r="H59" s="35">
        <v>0.0</v>
      </c>
      <c r="I59" s="35">
        <v>0.0</v>
      </c>
      <c r="J59" s="35"/>
      <c r="K59" s="35">
        <v>0.0</v>
      </c>
    </row>
    <row r="60" ht="15.75" customHeight="1">
      <c r="A60" s="35" t="s">
        <v>2496</v>
      </c>
      <c r="B60" s="35"/>
      <c r="C60" s="35">
        <v>66.0</v>
      </c>
      <c r="D60" s="35" t="s">
        <v>2497</v>
      </c>
      <c r="E60" s="35">
        <v>46027.0</v>
      </c>
      <c r="F60" s="35">
        <v>0.0</v>
      </c>
      <c r="G60" s="35">
        <v>0.0</v>
      </c>
      <c r="H60" s="35">
        <v>0.0</v>
      </c>
      <c r="I60" s="35">
        <v>1.0</v>
      </c>
      <c r="J60" s="35"/>
      <c r="K60" s="35">
        <v>0.0</v>
      </c>
    </row>
    <row r="61" ht="15.75" customHeight="1">
      <c r="A61" s="35" t="s">
        <v>2499</v>
      </c>
      <c r="B61" s="35"/>
      <c r="C61" s="35">
        <v>66.0</v>
      </c>
      <c r="D61" s="35" t="s">
        <v>2501</v>
      </c>
      <c r="E61" s="35">
        <v>46027.0</v>
      </c>
      <c r="F61" s="35">
        <v>0.0</v>
      </c>
      <c r="G61" s="35">
        <v>2.0</v>
      </c>
      <c r="H61" s="35">
        <v>0.0</v>
      </c>
      <c r="I61" s="35">
        <v>0.0</v>
      </c>
      <c r="J61" s="35"/>
      <c r="K61" s="35">
        <v>0.0</v>
      </c>
    </row>
    <row r="62" ht="15.75" customHeight="1">
      <c r="A62" s="35" t="s">
        <v>2503</v>
      </c>
      <c r="B62" s="35"/>
      <c r="C62" s="35">
        <v>66.0</v>
      </c>
      <c r="D62" s="35" t="s">
        <v>2451</v>
      </c>
      <c r="E62" s="35">
        <v>46027.0</v>
      </c>
      <c r="F62" s="35">
        <v>0.0</v>
      </c>
      <c r="G62" s="35">
        <v>2.0</v>
      </c>
      <c r="H62" s="35">
        <v>0.0</v>
      </c>
      <c r="I62" s="35">
        <v>0.0</v>
      </c>
      <c r="J62" s="35"/>
      <c r="K62" s="35">
        <v>0.0</v>
      </c>
    </row>
    <row r="63" ht="15.75" customHeight="1">
      <c r="A63" s="35" t="s">
        <v>2507</v>
      </c>
      <c r="B63" s="35"/>
      <c r="C63" s="35">
        <v>66.0</v>
      </c>
      <c r="D63" s="35" t="s">
        <v>2508</v>
      </c>
      <c r="E63" s="35">
        <v>46027.0</v>
      </c>
      <c r="F63" s="35">
        <v>0.0</v>
      </c>
      <c r="G63" s="35">
        <v>4.0</v>
      </c>
      <c r="H63" s="35">
        <v>0.0</v>
      </c>
      <c r="I63" s="35">
        <v>0.0</v>
      </c>
      <c r="J63" s="35"/>
      <c r="K63" s="35">
        <v>0.0</v>
      </c>
    </row>
    <row r="64" ht="15.75" customHeight="1">
      <c r="A64" s="35" t="s">
        <v>2510</v>
      </c>
      <c r="B64" s="35"/>
      <c r="C64" s="35">
        <v>66.0</v>
      </c>
      <c r="D64" s="35" t="s">
        <v>2512</v>
      </c>
      <c r="E64" s="35">
        <v>46027.0</v>
      </c>
      <c r="F64" s="35">
        <v>0.0</v>
      </c>
      <c r="G64" s="35">
        <v>5.0</v>
      </c>
      <c r="H64" s="35">
        <v>0.0</v>
      </c>
      <c r="I64" s="35">
        <v>0.0</v>
      </c>
      <c r="J64" s="35"/>
      <c r="K64" s="35">
        <v>0.0</v>
      </c>
    </row>
    <row r="65" ht="15.75" customHeight="1">
      <c r="A65" s="35" t="s">
        <v>2514</v>
      </c>
      <c r="B65" s="35"/>
      <c r="C65" s="35">
        <v>66.0</v>
      </c>
      <c r="D65" s="35" t="s">
        <v>2515</v>
      </c>
      <c r="E65" s="35">
        <v>46027.0</v>
      </c>
      <c r="F65" s="35">
        <v>0.0</v>
      </c>
      <c r="G65" s="35">
        <v>4.0</v>
      </c>
      <c r="H65" s="35">
        <v>0.0</v>
      </c>
      <c r="I65" s="35">
        <v>0.0</v>
      </c>
      <c r="J65" s="35"/>
      <c r="K65" s="35">
        <v>0.0</v>
      </c>
    </row>
    <row r="66" ht="15.75" customHeight="1">
      <c r="A66" s="35" t="s">
        <v>2517</v>
      </c>
      <c r="B66" s="35"/>
      <c r="C66" s="35">
        <v>66.0</v>
      </c>
      <c r="D66" s="35" t="s">
        <v>2416</v>
      </c>
      <c r="E66" s="35">
        <v>46027.0</v>
      </c>
      <c r="F66" s="35">
        <v>0.0</v>
      </c>
      <c r="G66" s="35">
        <v>3.0</v>
      </c>
      <c r="H66" s="35">
        <v>0.0</v>
      </c>
      <c r="I66" s="35">
        <v>0.0</v>
      </c>
      <c r="J66" s="35"/>
      <c r="K66" s="35">
        <v>0.0</v>
      </c>
    </row>
    <row r="67" ht="15.75" customHeight="1">
      <c r="A67" s="35" t="s">
        <v>2520</v>
      </c>
      <c r="B67" s="35"/>
      <c r="C67" s="35">
        <v>65.0</v>
      </c>
      <c r="D67" s="35" t="s">
        <v>2031</v>
      </c>
      <c r="E67" s="35">
        <v>46058.0</v>
      </c>
      <c r="F67" s="35">
        <v>0.0</v>
      </c>
      <c r="G67" s="35">
        <v>4.0</v>
      </c>
      <c r="H67" s="35">
        <v>0.0</v>
      </c>
      <c r="I67" s="35">
        <v>1.0</v>
      </c>
      <c r="J67" s="35"/>
      <c r="K67" s="35">
        <v>0.0</v>
      </c>
    </row>
    <row r="68" ht="15.75" customHeight="1">
      <c r="A68" s="35" t="s">
        <v>2523</v>
      </c>
      <c r="B68" s="35"/>
      <c r="C68" s="35">
        <v>65.0</v>
      </c>
      <c r="D68" s="35" t="s">
        <v>2501</v>
      </c>
      <c r="E68" s="35">
        <v>46027.0</v>
      </c>
      <c r="F68" s="35">
        <v>0.0</v>
      </c>
      <c r="G68" s="35">
        <v>11.0</v>
      </c>
      <c r="H68" s="35">
        <v>0.0</v>
      </c>
      <c r="I68" s="35">
        <v>0.0</v>
      </c>
      <c r="J68" s="35"/>
      <c r="K68" s="35">
        <v>0.0</v>
      </c>
    </row>
    <row r="69" ht="15.75" customHeight="1">
      <c r="A69" s="35" t="s">
        <v>2526</v>
      </c>
      <c r="B69" s="35"/>
      <c r="C69" s="35">
        <v>65.0</v>
      </c>
      <c r="D69" s="35" t="s">
        <v>2528</v>
      </c>
      <c r="E69" s="35">
        <v>46027.0</v>
      </c>
      <c r="F69" s="35">
        <v>0.0</v>
      </c>
      <c r="G69" s="35">
        <v>4.0</v>
      </c>
      <c r="H69" s="35">
        <v>0.0</v>
      </c>
      <c r="I69" s="35">
        <v>0.0</v>
      </c>
      <c r="J69" s="35"/>
      <c r="K69" s="35">
        <v>0.0</v>
      </c>
    </row>
    <row r="70" ht="15.75" customHeight="1">
      <c r="A70" s="35" t="s">
        <v>2530</v>
      </c>
      <c r="B70" s="35"/>
      <c r="C70" s="35">
        <v>65.0</v>
      </c>
      <c r="D70" s="35" t="s">
        <v>2533</v>
      </c>
      <c r="E70" s="35">
        <v>46027.0</v>
      </c>
      <c r="F70" s="35">
        <v>0.0</v>
      </c>
      <c r="G70" s="35">
        <v>2.0</v>
      </c>
      <c r="H70" s="35">
        <v>0.0</v>
      </c>
      <c r="I70" s="35">
        <v>0.0</v>
      </c>
      <c r="J70" s="35"/>
      <c r="K70" s="35">
        <v>0.0</v>
      </c>
    </row>
    <row r="71" ht="15.75" customHeight="1">
      <c r="A71" s="35" t="s">
        <v>2535</v>
      </c>
      <c r="B71" s="35"/>
      <c r="C71" s="35">
        <v>65.0</v>
      </c>
      <c r="D71" s="35" t="s">
        <v>2538</v>
      </c>
      <c r="E71" s="35">
        <v>46027.0</v>
      </c>
      <c r="F71" s="35">
        <v>0.0</v>
      </c>
      <c r="G71" s="35">
        <v>3.0</v>
      </c>
      <c r="H71" s="35">
        <v>0.0</v>
      </c>
      <c r="I71" s="35">
        <v>0.0</v>
      </c>
      <c r="J71" s="35"/>
      <c r="K71" s="35">
        <v>0.0</v>
      </c>
    </row>
    <row r="72" ht="15.75" customHeight="1">
      <c r="A72" s="35" t="s">
        <v>2542</v>
      </c>
      <c r="B72" s="35"/>
      <c r="C72" s="35">
        <v>65.0</v>
      </c>
      <c r="D72" s="35" t="s">
        <v>2544</v>
      </c>
      <c r="E72" s="35">
        <v>46027.0</v>
      </c>
      <c r="F72" s="35">
        <v>0.0</v>
      </c>
      <c r="G72" s="35">
        <v>1.0</v>
      </c>
      <c r="H72" s="35">
        <v>0.0</v>
      </c>
      <c r="I72" s="35">
        <v>0.0</v>
      </c>
      <c r="J72" s="35"/>
      <c r="K72" s="35">
        <v>0.0</v>
      </c>
    </row>
    <row r="73" ht="15.75" customHeight="1">
      <c r="A73" s="35" t="s">
        <v>2547</v>
      </c>
      <c r="B73" s="35"/>
      <c r="C73" s="35">
        <v>65.0</v>
      </c>
      <c r="D73" s="35" t="s">
        <v>2497</v>
      </c>
      <c r="E73" s="35">
        <v>46027.0</v>
      </c>
      <c r="F73" s="35">
        <v>0.0</v>
      </c>
      <c r="G73" s="35">
        <v>3.0</v>
      </c>
      <c r="H73" s="35">
        <v>0.0</v>
      </c>
      <c r="I73" s="35">
        <v>0.0</v>
      </c>
      <c r="J73" s="35"/>
      <c r="K73" s="35">
        <v>0.0</v>
      </c>
    </row>
    <row r="74" ht="15.75" customHeight="1">
      <c r="A74" s="35" t="s">
        <v>2550</v>
      </c>
      <c r="B74" s="35"/>
      <c r="C74" s="35">
        <v>65.0</v>
      </c>
      <c r="D74" s="35" t="s">
        <v>2552</v>
      </c>
      <c r="E74" s="35">
        <v>46027.0</v>
      </c>
      <c r="F74" s="35">
        <v>0.0</v>
      </c>
      <c r="G74" s="35">
        <v>1.0</v>
      </c>
      <c r="H74" s="35">
        <v>0.0</v>
      </c>
      <c r="I74" s="35">
        <v>0.0</v>
      </c>
      <c r="J74" s="35"/>
      <c r="K74" s="35">
        <v>0.0</v>
      </c>
    </row>
    <row r="75" ht="15.75" customHeight="1">
      <c r="A75" s="35" t="s">
        <v>2555</v>
      </c>
      <c r="B75" s="35"/>
      <c r="C75" s="35">
        <v>64.0</v>
      </c>
      <c r="D75" s="35" t="s">
        <v>2471</v>
      </c>
      <c r="E75" s="35">
        <v>46027.0</v>
      </c>
      <c r="F75" s="35">
        <v>0.0</v>
      </c>
      <c r="G75" s="35">
        <v>5.0</v>
      </c>
      <c r="H75" s="35">
        <v>0.0</v>
      </c>
      <c r="I75" s="35">
        <v>0.0</v>
      </c>
      <c r="J75" s="35"/>
      <c r="K75" s="35">
        <v>0.0</v>
      </c>
    </row>
    <row r="76" ht="15.75" customHeight="1">
      <c r="A76" s="35" t="s">
        <v>2560</v>
      </c>
      <c r="B76" s="35"/>
      <c r="C76" s="35">
        <v>64.0</v>
      </c>
      <c r="D76" s="35" t="s">
        <v>2562</v>
      </c>
      <c r="E76" s="35">
        <v>46027.0</v>
      </c>
      <c r="F76" s="35">
        <v>0.0</v>
      </c>
      <c r="G76" s="35">
        <v>5.0</v>
      </c>
      <c r="H76" s="35">
        <v>0.0</v>
      </c>
      <c r="I76" s="35">
        <v>0.0</v>
      </c>
      <c r="J76" s="35"/>
      <c r="K76" s="35">
        <v>0.0</v>
      </c>
    </row>
    <row r="77" ht="15.75" customHeight="1">
      <c r="A77" s="35" t="s">
        <v>2566</v>
      </c>
      <c r="B77" s="35"/>
      <c r="C77" s="35">
        <v>64.0</v>
      </c>
      <c r="D77" s="35" t="s">
        <v>2568</v>
      </c>
      <c r="E77" s="35">
        <v>46027.0</v>
      </c>
      <c r="F77" s="35">
        <v>0.0</v>
      </c>
      <c r="G77" s="35">
        <v>4.0</v>
      </c>
      <c r="H77" s="35">
        <v>0.0</v>
      </c>
      <c r="I77" s="35">
        <v>0.0</v>
      </c>
      <c r="J77" s="35"/>
      <c r="K77" s="35">
        <v>0.0</v>
      </c>
    </row>
    <row r="78" ht="15.75" customHeight="1">
      <c r="A78" s="35" t="s">
        <v>974</v>
      </c>
      <c r="B78" s="35"/>
      <c r="C78" s="35">
        <v>63.0</v>
      </c>
      <c r="D78" s="35" t="s">
        <v>2576</v>
      </c>
      <c r="E78" s="35">
        <v>46027.0</v>
      </c>
      <c r="F78" s="35">
        <v>0.0</v>
      </c>
      <c r="G78" s="35">
        <v>1.0</v>
      </c>
      <c r="H78" s="35">
        <v>0.0</v>
      </c>
      <c r="I78" s="35">
        <v>0.0</v>
      </c>
      <c r="J78" s="35"/>
      <c r="K78" s="35">
        <v>0.0</v>
      </c>
    </row>
    <row r="79" ht="15.75" customHeight="1">
      <c r="A79" s="35" t="s">
        <v>2579</v>
      </c>
      <c r="B79" s="35"/>
      <c r="C79" s="35">
        <v>62.0</v>
      </c>
      <c r="D79" s="35" t="s">
        <v>2582</v>
      </c>
      <c r="E79" s="35">
        <v>46058.0</v>
      </c>
      <c r="F79" s="35">
        <v>0.0</v>
      </c>
      <c r="G79" s="35">
        <v>5.0</v>
      </c>
      <c r="H79" s="35">
        <v>1.0</v>
      </c>
      <c r="I79" s="35">
        <v>0.0</v>
      </c>
      <c r="J79" s="35"/>
      <c r="K79" s="35">
        <v>0.0</v>
      </c>
    </row>
    <row r="80" ht="15.75" customHeight="1">
      <c r="A80" s="35" t="s">
        <v>2587</v>
      </c>
      <c r="B80" s="35"/>
      <c r="C80" s="35">
        <v>62.0</v>
      </c>
      <c r="D80" s="35" t="s">
        <v>2508</v>
      </c>
      <c r="E80" s="35">
        <v>46027.0</v>
      </c>
      <c r="F80" s="35">
        <v>0.0</v>
      </c>
      <c r="G80" s="35">
        <v>4.0</v>
      </c>
      <c r="H80" s="35">
        <v>0.0</v>
      </c>
      <c r="I80" s="35">
        <v>0.0</v>
      </c>
      <c r="J80" s="35"/>
      <c r="K80" s="35">
        <v>0.0</v>
      </c>
    </row>
    <row r="81" ht="15.75" customHeight="1">
      <c r="A81" s="35" t="s">
        <v>976</v>
      </c>
      <c r="B81" s="35"/>
      <c r="C81" s="35">
        <v>62.0</v>
      </c>
      <c r="D81" s="35" t="s">
        <v>2591</v>
      </c>
      <c r="E81" s="35">
        <v>46027.0</v>
      </c>
      <c r="F81" s="35">
        <v>0.0</v>
      </c>
      <c r="G81" s="35">
        <v>1.0</v>
      </c>
      <c r="H81" s="35">
        <v>0.0</v>
      </c>
      <c r="I81" s="35">
        <v>0.0</v>
      </c>
      <c r="J81" s="35"/>
      <c r="K81" s="35">
        <v>0.0</v>
      </c>
    </row>
    <row r="82" ht="15.75" customHeight="1">
      <c r="A82" s="35" t="s">
        <v>2596</v>
      </c>
      <c r="B82" s="35"/>
      <c r="C82" s="35">
        <v>62.0</v>
      </c>
      <c r="D82" s="35" t="s">
        <v>2476</v>
      </c>
      <c r="E82" s="35">
        <v>46027.0</v>
      </c>
      <c r="F82" s="35">
        <v>0.0</v>
      </c>
      <c r="G82" s="35">
        <v>3.0</v>
      </c>
      <c r="H82" s="35">
        <v>0.0</v>
      </c>
      <c r="I82" s="35">
        <v>0.0</v>
      </c>
      <c r="J82" s="35"/>
      <c r="K82" s="35">
        <v>0.0</v>
      </c>
    </row>
    <row r="83" ht="15.75" customHeight="1">
      <c r="A83" s="35" t="s">
        <v>2600</v>
      </c>
      <c r="B83" s="35"/>
      <c r="C83" s="35">
        <v>61.0</v>
      </c>
      <c r="D83" s="35" t="s">
        <v>2451</v>
      </c>
      <c r="E83" s="35">
        <v>46027.0</v>
      </c>
      <c r="F83" s="35">
        <v>0.0</v>
      </c>
      <c r="G83" s="35">
        <v>8.0</v>
      </c>
      <c r="H83" s="35">
        <v>0.0</v>
      </c>
      <c r="I83" s="35">
        <v>0.0</v>
      </c>
      <c r="J83" s="35"/>
      <c r="K83" s="35">
        <v>0.0</v>
      </c>
    </row>
    <row r="84" ht="15.75" customHeight="1">
      <c r="A84" s="35" t="s">
        <v>2604</v>
      </c>
      <c r="B84" s="35"/>
      <c r="C84" s="35">
        <v>59.0</v>
      </c>
      <c r="D84" s="35" t="s">
        <v>2607</v>
      </c>
      <c r="E84" s="35">
        <v>46027.0</v>
      </c>
      <c r="F84" s="35">
        <v>0.0</v>
      </c>
      <c r="G84" s="35">
        <v>5.0</v>
      </c>
      <c r="H84" s="35">
        <v>0.0</v>
      </c>
      <c r="I84" s="35">
        <v>0.0</v>
      </c>
      <c r="J84" s="35"/>
      <c r="K84" s="35">
        <v>0.0</v>
      </c>
    </row>
    <row r="85" ht="15.75" customHeight="1">
      <c r="A85" s="35" t="s">
        <v>2609</v>
      </c>
      <c r="B85" s="35"/>
      <c r="C85" s="35">
        <v>59.0</v>
      </c>
      <c r="D85" s="35" t="s">
        <v>2611</v>
      </c>
      <c r="E85" s="35">
        <v>46027.0</v>
      </c>
      <c r="F85" s="35">
        <v>0.0</v>
      </c>
      <c r="G85" s="35">
        <v>1.0</v>
      </c>
      <c r="H85" s="35">
        <v>0.0</v>
      </c>
      <c r="I85" s="35">
        <v>0.0</v>
      </c>
      <c r="J85" s="35"/>
      <c r="K85" s="35">
        <v>0.0</v>
      </c>
    </row>
    <row r="86" ht="15.75" customHeight="1">
      <c r="A86" s="35" t="s">
        <v>978</v>
      </c>
      <c r="B86" s="35"/>
      <c r="C86" s="35">
        <v>59.0</v>
      </c>
      <c r="D86" s="35" t="s">
        <v>2615</v>
      </c>
      <c r="E86" s="35">
        <v>46027.0</v>
      </c>
      <c r="F86" s="35">
        <v>0.0</v>
      </c>
      <c r="G86" s="35">
        <v>20.0</v>
      </c>
      <c r="H86" s="35">
        <v>0.0</v>
      </c>
      <c r="I86" s="35">
        <v>0.0</v>
      </c>
      <c r="J86" s="35"/>
      <c r="K86" s="35">
        <v>0.0</v>
      </c>
    </row>
    <row r="87" ht="15.75" customHeight="1">
      <c r="A87" s="35" t="s">
        <v>2618</v>
      </c>
      <c r="B87" s="35"/>
      <c r="C87" s="35">
        <v>59.0</v>
      </c>
      <c r="D87" s="35" t="s">
        <v>2620</v>
      </c>
      <c r="E87" s="35">
        <v>46027.0</v>
      </c>
      <c r="F87" s="35">
        <v>0.0</v>
      </c>
      <c r="G87" s="35">
        <v>2.0</v>
      </c>
      <c r="H87" s="35">
        <v>0.0</v>
      </c>
      <c r="I87" s="35">
        <v>0.0</v>
      </c>
      <c r="J87" s="35"/>
      <c r="K87" s="35">
        <v>0.0</v>
      </c>
    </row>
    <row r="88" ht="15.75" customHeight="1">
      <c r="A88" s="35" t="s">
        <v>2622</v>
      </c>
      <c r="B88" s="35"/>
      <c r="C88" s="35">
        <v>59.0</v>
      </c>
      <c r="D88" s="35" t="s">
        <v>2623</v>
      </c>
      <c r="E88" s="35">
        <v>46027.0</v>
      </c>
      <c r="F88" s="35">
        <v>0.0</v>
      </c>
      <c r="G88" s="35">
        <v>1.0</v>
      </c>
      <c r="H88" s="35">
        <v>0.0</v>
      </c>
      <c r="I88" s="35">
        <v>0.0</v>
      </c>
      <c r="J88" s="35"/>
      <c r="K88" s="35">
        <v>0.0</v>
      </c>
    </row>
    <row r="89" ht="15.75" customHeight="1">
      <c r="A89" s="35" t="s">
        <v>2626</v>
      </c>
      <c r="B89" s="35"/>
      <c r="C89" s="35">
        <v>59.0</v>
      </c>
      <c r="D89" s="35" t="s">
        <v>2629</v>
      </c>
      <c r="E89" s="35">
        <v>46027.0</v>
      </c>
      <c r="F89" s="35">
        <v>0.0</v>
      </c>
      <c r="G89" s="35">
        <v>1.0</v>
      </c>
      <c r="H89" s="35">
        <v>0.0</v>
      </c>
      <c r="I89" s="35">
        <v>0.0</v>
      </c>
      <c r="J89" s="35"/>
      <c r="K89" s="35">
        <v>0.0</v>
      </c>
    </row>
    <row r="90" ht="15.75" customHeight="1">
      <c r="A90" s="35" t="s">
        <v>2630</v>
      </c>
      <c r="B90" s="35"/>
      <c r="C90" s="35">
        <v>59.0</v>
      </c>
      <c r="D90" s="35" t="s">
        <v>2085</v>
      </c>
      <c r="E90" s="35">
        <v>46027.0</v>
      </c>
      <c r="F90" s="35">
        <v>0.0</v>
      </c>
      <c r="G90" s="35">
        <v>0.0</v>
      </c>
      <c r="H90" s="35">
        <v>2.0</v>
      </c>
      <c r="I90" s="35">
        <v>0.0</v>
      </c>
      <c r="J90" s="35"/>
      <c r="K90" s="35">
        <v>0.0</v>
      </c>
    </row>
    <row r="91" ht="15.75" customHeight="1">
      <c r="A91" s="35" t="s">
        <v>2640</v>
      </c>
      <c r="B91" s="35"/>
      <c r="C91" s="35">
        <v>59.0</v>
      </c>
      <c r="D91" s="35" t="s">
        <v>2643</v>
      </c>
      <c r="E91" s="35">
        <v>46027.0</v>
      </c>
      <c r="F91" s="35">
        <v>0.0</v>
      </c>
      <c r="G91" s="35">
        <v>1.0</v>
      </c>
      <c r="H91" s="35">
        <v>0.0</v>
      </c>
      <c r="I91" s="35">
        <v>0.0</v>
      </c>
      <c r="J91" s="35"/>
      <c r="K91" s="35">
        <v>0.0</v>
      </c>
    </row>
    <row r="92" ht="15.75" customHeight="1">
      <c r="A92" s="35" t="s">
        <v>980</v>
      </c>
      <c r="B92" s="35"/>
      <c r="C92" s="35">
        <v>58.0</v>
      </c>
      <c r="D92" s="35" t="s">
        <v>2645</v>
      </c>
      <c r="E92" s="35">
        <v>46027.0</v>
      </c>
      <c r="F92" s="35">
        <v>0.0</v>
      </c>
      <c r="G92" s="35">
        <v>1.0</v>
      </c>
      <c r="H92" s="35">
        <v>0.0</v>
      </c>
      <c r="I92" s="35">
        <v>0.0</v>
      </c>
      <c r="J92" s="35"/>
      <c r="K92" s="35">
        <v>0.0</v>
      </c>
    </row>
    <row r="93" ht="15.75" customHeight="1">
      <c r="A93" s="35" t="s">
        <v>2649</v>
      </c>
      <c r="B93" s="35"/>
      <c r="C93" s="35">
        <v>58.0</v>
      </c>
      <c r="D93" s="35" t="s">
        <v>2650</v>
      </c>
      <c r="E93" s="35">
        <v>46027.0</v>
      </c>
      <c r="F93" s="35">
        <v>0.0</v>
      </c>
      <c r="G93" s="35">
        <v>4.0</v>
      </c>
      <c r="H93" s="35">
        <v>0.0</v>
      </c>
      <c r="I93" s="35">
        <v>0.0</v>
      </c>
      <c r="J93" s="35"/>
      <c r="K93" s="35">
        <v>0.0</v>
      </c>
    </row>
    <row r="94" ht="15.75" customHeight="1">
      <c r="A94" s="35" t="s">
        <v>2657</v>
      </c>
      <c r="B94" s="35"/>
      <c r="C94" s="35">
        <v>58.0</v>
      </c>
      <c r="D94" s="35" t="s">
        <v>2659</v>
      </c>
      <c r="E94" s="35">
        <v>46027.0</v>
      </c>
      <c r="F94" s="35">
        <v>0.0</v>
      </c>
      <c r="G94" s="35">
        <v>0.0</v>
      </c>
      <c r="H94" s="35">
        <v>0.0</v>
      </c>
      <c r="I94" s="35">
        <v>0.0</v>
      </c>
      <c r="J94" s="35"/>
      <c r="K94" s="35">
        <v>1.0</v>
      </c>
    </row>
    <row r="95" ht="15.75" customHeight="1">
      <c r="A95" s="35" t="s">
        <v>2664</v>
      </c>
      <c r="B95" s="35"/>
      <c r="C95" s="35">
        <v>58.0</v>
      </c>
      <c r="D95" s="35" t="s">
        <v>2666</v>
      </c>
      <c r="E95" s="35">
        <v>46027.0</v>
      </c>
      <c r="F95" s="35">
        <v>0.0</v>
      </c>
      <c r="G95" s="35">
        <v>27.0</v>
      </c>
      <c r="H95" s="35">
        <v>0.0</v>
      </c>
      <c r="I95" s="35">
        <v>0.0</v>
      </c>
      <c r="J95" s="35"/>
      <c r="K95" s="35">
        <v>0.0</v>
      </c>
    </row>
    <row r="96" ht="15.75" customHeight="1">
      <c r="A96" s="35" t="s">
        <v>2669</v>
      </c>
      <c r="B96" s="35"/>
      <c r="C96" s="35">
        <v>58.0</v>
      </c>
      <c r="D96" s="35" t="s">
        <v>2672</v>
      </c>
      <c r="E96" s="35">
        <v>46027.0</v>
      </c>
      <c r="F96" s="35">
        <v>0.0</v>
      </c>
      <c r="G96" s="35">
        <v>1.0</v>
      </c>
      <c r="H96" s="35">
        <v>0.0</v>
      </c>
      <c r="I96" s="35">
        <v>0.0</v>
      </c>
      <c r="J96" s="35"/>
      <c r="K96" s="35">
        <v>0.0</v>
      </c>
    </row>
    <row r="97" ht="15.75" customHeight="1">
      <c r="A97" s="35" t="s">
        <v>2675</v>
      </c>
      <c r="B97" s="35"/>
      <c r="C97" s="35">
        <v>58.0</v>
      </c>
      <c r="D97" s="35" t="s">
        <v>2679</v>
      </c>
      <c r="E97" s="35">
        <v>46027.0</v>
      </c>
      <c r="F97" s="35">
        <v>0.0</v>
      </c>
      <c r="G97" s="35">
        <v>3.0</v>
      </c>
      <c r="H97" s="35">
        <v>0.0</v>
      </c>
      <c r="I97" s="35">
        <v>0.0</v>
      </c>
      <c r="J97" s="35"/>
      <c r="K97" s="35">
        <v>0.0</v>
      </c>
    </row>
    <row r="98" ht="15.75" customHeight="1">
      <c r="A98" s="35" t="s">
        <v>2682</v>
      </c>
      <c r="B98" s="35"/>
      <c r="C98" s="35">
        <v>57.0</v>
      </c>
      <c r="D98" s="35" t="s">
        <v>2476</v>
      </c>
      <c r="E98" s="35">
        <v>46027.0</v>
      </c>
      <c r="F98" s="35">
        <v>0.0</v>
      </c>
      <c r="G98" s="35">
        <v>5.0</v>
      </c>
      <c r="H98" s="35">
        <v>0.0</v>
      </c>
      <c r="I98" s="35">
        <v>0.0</v>
      </c>
      <c r="J98" s="35"/>
      <c r="K98" s="35">
        <v>0.0</v>
      </c>
    </row>
    <row r="99" ht="15.75" customHeight="1">
      <c r="A99" s="35" t="s">
        <v>982</v>
      </c>
      <c r="B99" s="35"/>
      <c r="C99" s="35">
        <v>57.0</v>
      </c>
      <c r="D99" s="35" t="s">
        <v>2448</v>
      </c>
      <c r="E99" s="35">
        <v>46027.0</v>
      </c>
      <c r="F99" s="35">
        <v>0.0</v>
      </c>
      <c r="G99" s="35">
        <v>6.0</v>
      </c>
      <c r="H99" s="35">
        <v>0.0</v>
      </c>
      <c r="I99" s="35">
        <v>0.0</v>
      </c>
      <c r="J99" s="35"/>
      <c r="K99" s="35">
        <v>0.0</v>
      </c>
    </row>
    <row r="100" ht="15.75" customHeight="1">
      <c r="A100" s="35" t="s">
        <v>2689</v>
      </c>
      <c r="B100" s="35"/>
      <c r="C100" s="35">
        <v>56.0</v>
      </c>
      <c r="D100" s="35" t="s">
        <v>2490</v>
      </c>
      <c r="E100" s="35">
        <v>46058.0</v>
      </c>
      <c r="F100" s="35">
        <v>0.0</v>
      </c>
      <c r="G100" s="35">
        <v>3.0</v>
      </c>
      <c r="H100" s="35">
        <v>0.0</v>
      </c>
      <c r="I100" s="35">
        <v>1.0</v>
      </c>
      <c r="J100" s="35"/>
      <c r="K100" s="35">
        <v>0.0</v>
      </c>
    </row>
    <row r="101" ht="15.75" customHeight="1">
      <c r="A101" s="35" t="s">
        <v>2693</v>
      </c>
      <c r="B101" s="35"/>
      <c r="C101" s="35">
        <v>56.0</v>
      </c>
      <c r="D101" s="35" t="s">
        <v>2696</v>
      </c>
      <c r="E101" s="35">
        <v>46027.0</v>
      </c>
      <c r="F101" s="35">
        <v>0.0</v>
      </c>
      <c r="G101" s="35">
        <v>1.0</v>
      </c>
      <c r="H101" s="35">
        <v>0.0</v>
      </c>
      <c r="I101" s="35">
        <v>0.0</v>
      </c>
      <c r="J101" s="35"/>
      <c r="K101" s="35">
        <v>0.0</v>
      </c>
    </row>
    <row r="102" ht="15.75" customHeight="1">
      <c r="A102" s="35" t="s">
        <v>2697</v>
      </c>
      <c r="B102" s="35"/>
      <c r="C102" s="35">
        <v>56.0</v>
      </c>
      <c r="D102" s="35" t="s">
        <v>2700</v>
      </c>
      <c r="E102" s="35">
        <v>46027.0</v>
      </c>
      <c r="F102" s="35">
        <v>0.0</v>
      </c>
      <c r="G102" s="35">
        <v>2.0</v>
      </c>
      <c r="H102" s="35">
        <v>0.0</v>
      </c>
      <c r="I102" s="35">
        <v>0.0</v>
      </c>
      <c r="J102" s="35"/>
      <c r="K102" s="35">
        <v>0.0</v>
      </c>
    </row>
    <row r="103" ht="15.75" customHeight="1">
      <c r="A103" s="35" t="s">
        <v>2701</v>
      </c>
      <c r="B103" s="35" t="s">
        <v>2703</v>
      </c>
      <c r="C103" s="35">
        <v>56.0</v>
      </c>
      <c r="D103" s="35" t="s">
        <v>2078</v>
      </c>
      <c r="E103" s="35">
        <v>46027.0</v>
      </c>
      <c r="F103" s="35">
        <v>0.0</v>
      </c>
      <c r="G103" s="35">
        <v>0.0</v>
      </c>
      <c r="H103" s="35">
        <v>1.0</v>
      </c>
      <c r="I103" s="35">
        <v>0.0</v>
      </c>
      <c r="J103" s="35"/>
      <c r="K103" s="35">
        <v>0.0</v>
      </c>
    </row>
    <row r="104" ht="15.75" customHeight="1">
      <c r="A104" s="35" t="s">
        <v>2707</v>
      </c>
      <c r="B104" s="35"/>
      <c r="C104" s="35">
        <v>56.0</v>
      </c>
      <c r="D104" s="35" t="s">
        <v>2709</v>
      </c>
      <c r="E104" s="35">
        <v>46027.0</v>
      </c>
      <c r="F104" s="35">
        <v>0.0</v>
      </c>
      <c r="G104" s="35">
        <v>4.0</v>
      </c>
      <c r="H104" s="35">
        <v>0.0</v>
      </c>
      <c r="I104" s="35">
        <v>0.0</v>
      </c>
      <c r="J104" s="35"/>
      <c r="K104" s="35">
        <v>0.0</v>
      </c>
    </row>
    <row r="105" ht="15.75" customHeight="1">
      <c r="A105" s="35" t="s">
        <v>2711</v>
      </c>
      <c r="B105" s="35"/>
      <c r="C105" s="35">
        <v>56.0</v>
      </c>
      <c r="D105" s="35" t="s">
        <v>2712</v>
      </c>
      <c r="E105" s="35">
        <v>46027.0</v>
      </c>
      <c r="F105" s="35">
        <v>0.0</v>
      </c>
      <c r="G105" s="35">
        <v>1.0</v>
      </c>
      <c r="H105" s="35">
        <v>0.0</v>
      </c>
      <c r="I105" s="35">
        <v>0.0</v>
      </c>
      <c r="J105" s="35"/>
      <c r="K105" s="35">
        <v>0.0</v>
      </c>
    </row>
    <row r="106" ht="15.75" customHeight="1">
      <c r="A106" s="35" t="s">
        <v>2715</v>
      </c>
      <c r="B106" s="35"/>
      <c r="C106" s="35">
        <v>56.0</v>
      </c>
      <c r="D106" s="35" t="s">
        <v>2515</v>
      </c>
      <c r="E106" s="35">
        <v>46027.0</v>
      </c>
      <c r="F106" s="35">
        <v>0.0</v>
      </c>
      <c r="G106" s="35">
        <v>1.0</v>
      </c>
      <c r="H106" s="35">
        <v>0.0</v>
      </c>
      <c r="I106" s="35">
        <v>0.0</v>
      </c>
      <c r="J106" s="35"/>
      <c r="K106" s="35">
        <v>0.0</v>
      </c>
    </row>
    <row r="107" ht="15.75" customHeight="1">
      <c r="A107" s="35" t="s">
        <v>2719</v>
      </c>
      <c r="B107" s="35"/>
      <c r="C107" s="35">
        <v>56.0</v>
      </c>
      <c r="D107" s="35" t="s">
        <v>2533</v>
      </c>
      <c r="E107" s="35">
        <v>46027.0</v>
      </c>
      <c r="F107" s="35">
        <v>0.0</v>
      </c>
      <c r="G107" s="35">
        <v>2.0</v>
      </c>
      <c r="H107" s="35">
        <v>0.0</v>
      </c>
      <c r="I107" s="35">
        <v>0.0</v>
      </c>
      <c r="J107" s="35"/>
      <c r="K107" s="35">
        <v>0.0</v>
      </c>
    </row>
    <row r="108" ht="15.75" customHeight="1">
      <c r="A108" s="35" t="s">
        <v>2721</v>
      </c>
      <c r="B108" s="35"/>
      <c r="C108" s="35">
        <v>55.0</v>
      </c>
      <c r="D108" s="35" t="s">
        <v>2722</v>
      </c>
      <c r="E108" s="35">
        <v>46058.0</v>
      </c>
      <c r="F108" s="35">
        <v>0.0</v>
      </c>
      <c r="G108" s="35">
        <v>19.0</v>
      </c>
      <c r="H108" s="35">
        <v>0.0</v>
      </c>
      <c r="I108" s="35">
        <v>12.0</v>
      </c>
      <c r="J108" s="35"/>
      <c r="K108" s="35">
        <v>0.0</v>
      </c>
    </row>
    <row r="109" ht="15.75" customHeight="1">
      <c r="A109" s="35" t="s">
        <v>2726</v>
      </c>
      <c r="B109" s="35"/>
      <c r="C109" s="35">
        <v>55.0</v>
      </c>
      <c r="D109" s="35" t="s">
        <v>2679</v>
      </c>
      <c r="E109" s="35">
        <v>46058.0</v>
      </c>
      <c r="F109" s="35">
        <v>0.0</v>
      </c>
      <c r="G109" s="35">
        <v>6.0</v>
      </c>
      <c r="H109" s="35">
        <v>1.0</v>
      </c>
      <c r="I109" s="35">
        <v>0.0</v>
      </c>
      <c r="J109" s="35"/>
      <c r="K109" s="35">
        <v>0.0</v>
      </c>
    </row>
    <row r="110" ht="15.75" customHeight="1">
      <c r="A110" s="35" t="s">
        <v>2729</v>
      </c>
      <c r="B110" s="35"/>
      <c r="C110" s="35">
        <v>55.0</v>
      </c>
      <c r="D110" s="35" t="s">
        <v>2730</v>
      </c>
      <c r="E110" s="35">
        <v>46027.0</v>
      </c>
      <c r="F110" s="35">
        <v>0.0</v>
      </c>
      <c r="G110" s="35">
        <v>2.0</v>
      </c>
      <c r="H110" s="35">
        <v>0.0</v>
      </c>
      <c r="I110" s="35">
        <v>0.0</v>
      </c>
      <c r="J110" s="35"/>
      <c r="K110" s="35">
        <v>0.0</v>
      </c>
    </row>
    <row r="111" ht="15.75" customHeight="1">
      <c r="A111" s="35" t="s">
        <v>2732</v>
      </c>
      <c r="B111" s="35"/>
      <c r="C111" s="35">
        <v>55.0</v>
      </c>
      <c r="D111" s="35" t="s">
        <v>2611</v>
      </c>
      <c r="E111" s="35">
        <v>46027.0</v>
      </c>
      <c r="F111" s="35">
        <v>0.0</v>
      </c>
      <c r="G111" s="35">
        <v>1.0</v>
      </c>
      <c r="H111" s="35">
        <v>0.0</v>
      </c>
      <c r="I111" s="35">
        <v>0.0</v>
      </c>
      <c r="J111" s="35"/>
      <c r="K111" s="35">
        <v>0.0</v>
      </c>
    </row>
    <row r="112" ht="15.75" customHeight="1">
      <c r="A112" s="35" t="s">
        <v>2736</v>
      </c>
      <c r="B112" s="35"/>
      <c r="C112" s="35">
        <v>55.0</v>
      </c>
      <c r="D112" s="35" t="s">
        <v>2738</v>
      </c>
      <c r="E112" s="35">
        <v>46027.0</v>
      </c>
      <c r="F112" s="35">
        <v>0.0</v>
      </c>
      <c r="G112" s="35">
        <v>1.0</v>
      </c>
      <c r="H112" s="35">
        <v>0.0</v>
      </c>
      <c r="I112" s="35">
        <v>0.0</v>
      </c>
      <c r="J112" s="35"/>
      <c r="K112" s="35">
        <v>0.0</v>
      </c>
    </row>
    <row r="113" ht="15.75" customHeight="1">
      <c r="A113" s="35" t="s">
        <v>2739</v>
      </c>
      <c r="B113" s="35"/>
      <c r="C113" s="35">
        <v>55.0</v>
      </c>
      <c r="D113" s="35" t="s">
        <v>2528</v>
      </c>
      <c r="E113" s="35">
        <v>46027.0</v>
      </c>
      <c r="F113" s="35">
        <v>0.0</v>
      </c>
      <c r="G113" s="35">
        <v>1.0</v>
      </c>
      <c r="H113" s="35">
        <v>0.0</v>
      </c>
      <c r="I113" s="35">
        <v>0.0</v>
      </c>
      <c r="J113" s="35"/>
      <c r="K113" s="35">
        <v>0.0</v>
      </c>
    </row>
    <row r="114" ht="15.75" customHeight="1">
      <c r="A114" s="35" t="s">
        <v>984</v>
      </c>
      <c r="B114" s="35"/>
      <c r="C114" s="35">
        <v>54.0</v>
      </c>
      <c r="D114" s="35" t="s">
        <v>2008</v>
      </c>
      <c r="E114" s="35">
        <v>46086.0</v>
      </c>
      <c r="F114" s="35">
        <v>0.0</v>
      </c>
      <c r="G114" s="35">
        <v>131.0</v>
      </c>
      <c r="H114" s="35">
        <v>2.0</v>
      </c>
      <c r="I114" s="35">
        <v>8.0</v>
      </c>
      <c r="J114" s="35"/>
      <c r="K114" s="35">
        <v>0.0</v>
      </c>
    </row>
    <row r="115" ht="15.75" customHeight="1">
      <c r="A115" s="35" t="s">
        <v>2742</v>
      </c>
      <c r="B115" s="35"/>
      <c r="C115" s="35">
        <v>54.0</v>
      </c>
      <c r="D115" s="35" t="s">
        <v>2479</v>
      </c>
      <c r="E115" s="35">
        <v>46058.0</v>
      </c>
      <c r="F115" s="35">
        <v>0.0</v>
      </c>
      <c r="G115" s="35">
        <v>1.0</v>
      </c>
      <c r="H115" s="35">
        <v>0.0</v>
      </c>
      <c r="I115" s="35">
        <v>2.0</v>
      </c>
      <c r="J115" s="35"/>
      <c r="K115" s="35">
        <v>0.0</v>
      </c>
    </row>
    <row r="116" ht="15.75" customHeight="1">
      <c r="A116" s="35" t="s">
        <v>2745</v>
      </c>
      <c r="B116" s="35"/>
      <c r="C116" s="35">
        <v>54.0</v>
      </c>
      <c r="D116" s="35" t="s">
        <v>2533</v>
      </c>
      <c r="E116" s="35">
        <v>46027.0</v>
      </c>
      <c r="F116" s="35">
        <v>0.0</v>
      </c>
      <c r="G116" s="35">
        <v>1.0</v>
      </c>
      <c r="H116" s="35">
        <v>0.0</v>
      </c>
      <c r="I116" s="35">
        <v>0.0</v>
      </c>
      <c r="J116" s="35"/>
      <c r="K116" s="35">
        <v>0.0</v>
      </c>
    </row>
    <row r="117" ht="15.75" customHeight="1">
      <c r="A117" s="35" t="s">
        <v>2748</v>
      </c>
      <c r="B117" s="35"/>
      <c r="C117" s="35">
        <v>54.0</v>
      </c>
      <c r="D117" s="35" t="s">
        <v>2751</v>
      </c>
      <c r="E117" s="35">
        <v>46027.0</v>
      </c>
      <c r="F117" s="35">
        <v>0.0</v>
      </c>
      <c r="G117" s="35">
        <v>1.0</v>
      </c>
      <c r="H117" s="35">
        <v>0.0</v>
      </c>
      <c r="I117" s="35">
        <v>0.0</v>
      </c>
      <c r="J117" s="35"/>
      <c r="K117" s="35">
        <v>0.0</v>
      </c>
    </row>
    <row r="118" ht="15.75" customHeight="1">
      <c r="A118" s="35" t="s">
        <v>2752</v>
      </c>
      <c r="B118" s="35"/>
      <c r="C118" s="35">
        <v>54.0</v>
      </c>
      <c r="D118" s="35" t="s">
        <v>2028</v>
      </c>
      <c r="E118" s="35">
        <v>46027.0</v>
      </c>
      <c r="F118" s="35">
        <v>0.0</v>
      </c>
      <c r="G118" s="35">
        <v>11.0</v>
      </c>
      <c r="H118" s="35">
        <v>0.0</v>
      </c>
      <c r="I118" s="35">
        <v>0.0</v>
      </c>
      <c r="J118" s="35"/>
      <c r="K118" s="35">
        <v>0.0</v>
      </c>
    </row>
    <row r="119" ht="15.75" customHeight="1">
      <c r="A119" s="35" t="s">
        <v>2756</v>
      </c>
      <c r="B119" s="35"/>
      <c r="C119" s="35">
        <v>54.0</v>
      </c>
      <c r="D119" s="35" t="s">
        <v>2759</v>
      </c>
      <c r="E119" s="35">
        <v>46027.0</v>
      </c>
      <c r="F119" s="35">
        <v>0.0</v>
      </c>
      <c r="G119" s="35">
        <v>30.0</v>
      </c>
      <c r="H119" s="35">
        <v>0.0</v>
      </c>
      <c r="I119" s="35">
        <v>0.0</v>
      </c>
      <c r="J119" s="35"/>
      <c r="K119" s="35">
        <v>0.0</v>
      </c>
    </row>
    <row r="120" ht="15.75" customHeight="1">
      <c r="A120" s="35" t="s">
        <v>2762</v>
      </c>
      <c r="B120" s="35"/>
      <c r="C120" s="35">
        <v>54.0</v>
      </c>
      <c r="D120" s="35" t="s">
        <v>2763</v>
      </c>
      <c r="E120" s="35">
        <v>46027.0</v>
      </c>
      <c r="F120" s="35">
        <v>0.0</v>
      </c>
      <c r="G120" s="35">
        <v>1.0</v>
      </c>
      <c r="H120" s="35">
        <v>0.0</v>
      </c>
      <c r="I120" s="35">
        <v>0.0</v>
      </c>
      <c r="J120" s="35"/>
      <c r="K120" s="35">
        <v>0.0</v>
      </c>
    </row>
    <row r="121" ht="15.75" customHeight="1">
      <c r="A121" s="35" t="s">
        <v>2766</v>
      </c>
      <c r="B121" s="35"/>
      <c r="C121" s="35">
        <v>54.0</v>
      </c>
      <c r="D121" s="35" t="s">
        <v>2767</v>
      </c>
      <c r="E121" s="35">
        <v>46027.0</v>
      </c>
      <c r="F121" s="35">
        <v>0.0</v>
      </c>
      <c r="G121" s="35">
        <v>13.0</v>
      </c>
      <c r="H121" s="35">
        <v>0.0</v>
      </c>
      <c r="I121" s="35">
        <v>0.0</v>
      </c>
      <c r="J121" s="35"/>
      <c r="K121" s="35">
        <v>0.0</v>
      </c>
    </row>
    <row r="122" ht="15.75" customHeight="1">
      <c r="A122" s="35" t="s">
        <v>2768</v>
      </c>
      <c r="B122" s="35"/>
      <c r="C122" s="35">
        <v>54.0</v>
      </c>
      <c r="D122" s="35" t="s">
        <v>2769</v>
      </c>
      <c r="E122" s="35">
        <v>46027.0</v>
      </c>
      <c r="F122" s="35">
        <v>0.0</v>
      </c>
      <c r="G122" s="35">
        <v>2.0</v>
      </c>
      <c r="H122" s="35">
        <v>0.0</v>
      </c>
      <c r="I122" s="35">
        <v>0.0</v>
      </c>
      <c r="J122" s="35"/>
      <c r="K122" s="35">
        <v>0.0</v>
      </c>
    </row>
    <row r="123" ht="15.75" customHeight="1">
      <c r="A123" s="35" t="s">
        <v>2772</v>
      </c>
      <c r="B123" s="35"/>
      <c r="C123" s="35">
        <v>54.0</v>
      </c>
      <c r="D123" s="35" t="s">
        <v>2533</v>
      </c>
      <c r="E123" s="35">
        <v>46027.0</v>
      </c>
      <c r="F123" s="35">
        <v>0.0</v>
      </c>
      <c r="G123" s="35">
        <v>1.0</v>
      </c>
      <c r="H123" s="35">
        <v>0.0</v>
      </c>
      <c r="I123" s="35">
        <v>0.0</v>
      </c>
      <c r="J123" s="35"/>
      <c r="K123" s="35">
        <v>0.0</v>
      </c>
    </row>
    <row r="124" ht="15.75" customHeight="1">
      <c r="A124" s="35" t="s">
        <v>2773</v>
      </c>
      <c r="B124" s="35"/>
      <c r="C124" s="35">
        <v>54.0</v>
      </c>
      <c r="D124" s="35" t="s">
        <v>2775</v>
      </c>
      <c r="E124" s="35">
        <v>46027.0</v>
      </c>
      <c r="F124" s="35">
        <v>0.0</v>
      </c>
      <c r="G124" s="35">
        <v>1.0</v>
      </c>
      <c r="H124" s="35">
        <v>0.0</v>
      </c>
      <c r="I124" s="35">
        <v>0.0</v>
      </c>
      <c r="J124" s="35"/>
      <c r="K124" s="35">
        <v>0.0</v>
      </c>
    </row>
    <row r="125" ht="15.75" customHeight="1">
      <c r="A125" s="35" t="s">
        <v>2776</v>
      </c>
      <c r="B125" s="35"/>
      <c r="C125" s="35">
        <v>53.0</v>
      </c>
      <c r="D125" s="35" t="s">
        <v>2778</v>
      </c>
      <c r="E125" s="35">
        <v>46027.0</v>
      </c>
      <c r="F125" s="35">
        <v>0.0</v>
      </c>
      <c r="G125" s="35">
        <v>1.0</v>
      </c>
      <c r="H125" s="35">
        <v>0.0</v>
      </c>
      <c r="I125" s="35">
        <v>0.0</v>
      </c>
      <c r="J125" s="35"/>
      <c r="K125" s="35">
        <v>0.0</v>
      </c>
    </row>
    <row r="126" ht="15.75" customHeight="1">
      <c r="A126" s="35" t="s">
        <v>2782</v>
      </c>
      <c r="B126" s="35"/>
      <c r="C126" s="35">
        <v>53.0</v>
      </c>
      <c r="D126" s="35" t="s">
        <v>2562</v>
      </c>
      <c r="E126" s="35">
        <v>46027.0</v>
      </c>
      <c r="F126" s="35">
        <v>0.0</v>
      </c>
      <c r="G126" s="35">
        <v>8.0</v>
      </c>
      <c r="H126" s="35">
        <v>0.0</v>
      </c>
      <c r="I126" s="35">
        <v>0.0</v>
      </c>
      <c r="J126" s="35"/>
      <c r="K126" s="35">
        <v>0.0</v>
      </c>
    </row>
    <row r="127" ht="15.75" customHeight="1">
      <c r="A127" s="35" t="s">
        <v>986</v>
      </c>
      <c r="B127" s="35"/>
      <c r="C127" s="35">
        <v>53.0</v>
      </c>
      <c r="D127" s="35" t="s">
        <v>2783</v>
      </c>
      <c r="E127" s="35">
        <v>46027.0</v>
      </c>
      <c r="F127" s="35">
        <v>0.0</v>
      </c>
      <c r="G127" s="35">
        <v>9.0</v>
      </c>
      <c r="H127" s="35">
        <v>0.0</v>
      </c>
      <c r="I127" s="35">
        <v>0.0</v>
      </c>
      <c r="J127" s="35"/>
      <c r="K127" s="35">
        <v>0.0</v>
      </c>
    </row>
    <row r="128" ht="15.75" customHeight="1">
      <c r="A128" s="35" t="s">
        <v>2787</v>
      </c>
      <c r="B128" s="35"/>
      <c r="C128" s="35">
        <v>53.0</v>
      </c>
      <c r="D128" s="35" t="s">
        <v>2709</v>
      </c>
      <c r="E128" s="35">
        <v>46027.0</v>
      </c>
      <c r="F128" s="35">
        <v>0.0</v>
      </c>
      <c r="G128" s="35">
        <v>6.0</v>
      </c>
      <c r="H128" s="35">
        <v>0.0</v>
      </c>
      <c r="I128" s="35">
        <v>0.0</v>
      </c>
      <c r="J128" s="35"/>
      <c r="K128" s="35">
        <v>0.0</v>
      </c>
    </row>
    <row r="129" ht="15.75" customHeight="1">
      <c r="A129" s="35" t="s">
        <v>2791</v>
      </c>
      <c r="B129" s="35"/>
      <c r="C129" s="35">
        <v>53.0</v>
      </c>
      <c r="D129" s="35" t="s">
        <v>2533</v>
      </c>
      <c r="E129" s="35">
        <v>46027.0</v>
      </c>
      <c r="F129" s="35">
        <v>0.0</v>
      </c>
      <c r="G129" s="35">
        <v>2.0</v>
      </c>
      <c r="H129" s="35">
        <v>0.0</v>
      </c>
      <c r="I129" s="35">
        <v>0.0</v>
      </c>
      <c r="J129" s="35"/>
      <c r="K129" s="35">
        <v>0.0</v>
      </c>
    </row>
    <row r="130" ht="15.75" customHeight="1">
      <c r="A130" s="35" t="s">
        <v>2794</v>
      </c>
      <c r="B130" s="35"/>
      <c r="C130" s="35">
        <v>53.0</v>
      </c>
      <c r="D130" s="35" t="s">
        <v>2709</v>
      </c>
      <c r="E130" s="35">
        <v>46027.0</v>
      </c>
      <c r="F130" s="35">
        <v>0.0</v>
      </c>
      <c r="G130" s="35">
        <v>2.0</v>
      </c>
      <c r="H130" s="35">
        <v>0.0</v>
      </c>
      <c r="I130" s="35">
        <v>0.0</v>
      </c>
      <c r="J130" s="35"/>
      <c r="K130" s="35">
        <v>0.0</v>
      </c>
    </row>
    <row r="131" ht="15.75" customHeight="1">
      <c r="A131" s="35" t="s">
        <v>2798</v>
      </c>
      <c r="B131" s="35"/>
      <c r="C131" s="35">
        <v>53.0</v>
      </c>
      <c r="D131" s="35" t="s">
        <v>2800</v>
      </c>
      <c r="E131" s="35">
        <v>46027.0</v>
      </c>
      <c r="F131" s="35">
        <v>0.0</v>
      </c>
      <c r="G131" s="35">
        <v>2.0</v>
      </c>
      <c r="H131" s="35">
        <v>0.0</v>
      </c>
      <c r="I131" s="35">
        <v>0.0</v>
      </c>
      <c r="J131" s="35"/>
      <c r="K131" s="35">
        <v>0.0</v>
      </c>
    </row>
    <row r="132" ht="15.75" customHeight="1">
      <c r="A132" s="35" t="s">
        <v>2801</v>
      </c>
      <c r="B132" s="35"/>
      <c r="C132" s="35">
        <v>53.0</v>
      </c>
      <c r="D132" s="35" t="s">
        <v>2804</v>
      </c>
      <c r="E132" s="35">
        <v>46027.0</v>
      </c>
      <c r="F132" s="35">
        <v>0.0</v>
      </c>
      <c r="G132" s="35">
        <v>1.0</v>
      </c>
      <c r="H132" s="35">
        <v>0.0</v>
      </c>
      <c r="I132" s="35">
        <v>0.0</v>
      </c>
      <c r="J132" s="35"/>
      <c r="K132" s="35">
        <v>0.0</v>
      </c>
    </row>
    <row r="133" ht="15.75" customHeight="1">
      <c r="A133" s="35" t="s">
        <v>2808</v>
      </c>
      <c r="B133" s="35"/>
      <c r="C133" s="35">
        <v>53.0</v>
      </c>
      <c r="D133" s="35" t="s">
        <v>2014</v>
      </c>
      <c r="E133" s="35">
        <v>46027.0</v>
      </c>
      <c r="F133" s="35">
        <v>0.0</v>
      </c>
      <c r="G133" s="35">
        <v>10.0</v>
      </c>
      <c r="H133" s="35">
        <v>0.0</v>
      </c>
      <c r="I133" s="35">
        <v>0.0</v>
      </c>
      <c r="J133" s="35"/>
      <c r="K133" s="35">
        <v>0.0</v>
      </c>
    </row>
    <row r="134" ht="15.75" customHeight="1">
      <c r="A134" s="35" t="s">
        <v>2813</v>
      </c>
      <c r="B134" s="35"/>
      <c r="C134" s="35">
        <v>53.0</v>
      </c>
      <c r="D134" s="35" t="s">
        <v>2700</v>
      </c>
      <c r="E134" s="35">
        <v>46027.0</v>
      </c>
      <c r="F134" s="35">
        <v>0.0</v>
      </c>
      <c r="G134" s="35">
        <v>5.0</v>
      </c>
      <c r="H134" s="35">
        <v>0.0</v>
      </c>
      <c r="I134" s="35">
        <v>0.0</v>
      </c>
      <c r="J134" s="35"/>
      <c r="K134" s="35">
        <v>0.0</v>
      </c>
    </row>
    <row r="135" ht="15.75" customHeight="1">
      <c r="A135" s="35" t="s">
        <v>2817</v>
      </c>
      <c r="B135" s="35"/>
      <c r="C135" s="35">
        <v>53.0</v>
      </c>
      <c r="D135" s="35" t="s">
        <v>2820</v>
      </c>
      <c r="E135" s="35">
        <v>46027.0</v>
      </c>
      <c r="F135" s="35">
        <v>0.0</v>
      </c>
      <c r="G135" s="35">
        <v>0.0</v>
      </c>
      <c r="H135" s="35">
        <v>0.0</v>
      </c>
      <c r="I135" s="35">
        <v>1.0</v>
      </c>
      <c r="J135" s="35"/>
      <c r="K135" s="35">
        <v>0.0</v>
      </c>
    </row>
    <row r="136" ht="15.75" customHeight="1">
      <c r="A136" s="35" t="s">
        <v>2823</v>
      </c>
      <c r="B136" s="35"/>
      <c r="C136" s="35">
        <v>53.0</v>
      </c>
      <c r="D136" s="35" t="s">
        <v>2826</v>
      </c>
      <c r="E136" s="35">
        <v>46027.0</v>
      </c>
      <c r="F136" s="35">
        <v>0.0</v>
      </c>
      <c r="G136" s="35">
        <v>3.0</v>
      </c>
      <c r="H136" s="35">
        <v>0.0</v>
      </c>
      <c r="I136" s="35">
        <v>0.0</v>
      </c>
      <c r="J136" s="35"/>
      <c r="K136" s="35">
        <v>0.0</v>
      </c>
    </row>
    <row r="137" ht="15.75" customHeight="1">
      <c r="A137" s="35" t="s">
        <v>2828</v>
      </c>
      <c r="B137" s="35"/>
      <c r="C137" s="35">
        <v>53.0</v>
      </c>
      <c r="D137" s="35" t="s">
        <v>2700</v>
      </c>
      <c r="E137" s="35">
        <v>46027.0</v>
      </c>
      <c r="F137" s="35">
        <v>0.0</v>
      </c>
      <c r="G137" s="35">
        <v>4.0</v>
      </c>
      <c r="H137" s="35">
        <v>0.0</v>
      </c>
      <c r="I137" s="35">
        <v>0.0</v>
      </c>
      <c r="J137" s="35"/>
      <c r="K137" s="35">
        <v>0.0</v>
      </c>
    </row>
    <row r="138" ht="15.75" customHeight="1">
      <c r="A138" s="35" t="s">
        <v>2833</v>
      </c>
      <c r="B138" s="35"/>
      <c r="C138" s="35">
        <v>53.0</v>
      </c>
      <c r="D138" s="35" t="s">
        <v>2836</v>
      </c>
      <c r="E138" s="35">
        <v>46027.0</v>
      </c>
      <c r="F138" s="35">
        <v>0.0</v>
      </c>
      <c r="G138" s="35">
        <v>0.0</v>
      </c>
      <c r="H138" s="35">
        <v>1.0</v>
      </c>
      <c r="I138" s="35">
        <v>0.0</v>
      </c>
      <c r="J138" s="35"/>
      <c r="K138" s="35">
        <v>0.0</v>
      </c>
    </row>
    <row r="139" ht="15.75" customHeight="1">
      <c r="A139" s="35" t="s">
        <v>2838</v>
      </c>
      <c r="B139" s="35"/>
      <c r="C139" s="35">
        <v>52.0</v>
      </c>
      <c r="D139" s="35" t="s">
        <v>2839</v>
      </c>
      <c r="E139" s="35">
        <v>46027.0</v>
      </c>
      <c r="F139" s="35">
        <v>0.0</v>
      </c>
      <c r="G139" s="35">
        <v>2.0</v>
      </c>
      <c r="H139" s="35">
        <v>0.0</v>
      </c>
      <c r="I139" s="35">
        <v>0.0</v>
      </c>
      <c r="J139" s="35"/>
      <c r="K139" s="35">
        <v>0.0</v>
      </c>
    </row>
    <row r="140" ht="15.75" customHeight="1">
      <c r="A140" s="35" t="s">
        <v>2843</v>
      </c>
      <c r="B140" s="35"/>
      <c r="C140" s="35">
        <v>52.0</v>
      </c>
      <c r="D140" s="35" t="s">
        <v>2845</v>
      </c>
      <c r="E140" s="35">
        <v>46027.0</v>
      </c>
      <c r="F140" s="35">
        <v>0.0</v>
      </c>
      <c r="G140" s="35">
        <v>4.0</v>
      </c>
      <c r="H140" s="35">
        <v>0.0</v>
      </c>
      <c r="I140" s="35">
        <v>0.0</v>
      </c>
      <c r="J140" s="35"/>
      <c r="K140" s="35">
        <v>0.0</v>
      </c>
    </row>
    <row r="141" ht="15.75" customHeight="1">
      <c r="A141" s="35" t="s">
        <v>2848</v>
      </c>
      <c r="B141" s="35"/>
      <c r="C141" s="35">
        <v>52.0</v>
      </c>
      <c r="D141" s="35" t="s">
        <v>2850</v>
      </c>
      <c r="E141" s="35">
        <v>46027.0</v>
      </c>
      <c r="F141" s="35">
        <v>0.0</v>
      </c>
      <c r="G141" s="35">
        <v>1.0</v>
      </c>
      <c r="H141" s="35">
        <v>0.0</v>
      </c>
      <c r="I141" s="35">
        <v>0.0</v>
      </c>
      <c r="J141" s="35"/>
      <c r="K141" s="35">
        <v>0.0</v>
      </c>
    </row>
    <row r="142" ht="15.75" customHeight="1">
      <c r="A142" s="35" t="s">
        <v>2853</v>
      </c>
      <c r="B142" s="35"/>
      <c r="C142" s="35">
        <v>52.0</v>
      </c>
      <c r="D142" s="35" t="s">
        <v>2854</v>
      </c>
      <c r="E142" s="35">
        <v>46027.0</v>
      </c>
      <c r="F142" s="35">
        <v>0.0</v>
      </c>
      <c r="G142" s="35">
        <v>3.0</v>
      </c>
      <c r="H142" s="35">
        <v>0.0</v>
      </c>
      <c r="I142" s="35">
        <v>0.0</v>
      </c>
      <c r="J142" s="35"/>
      <c r="K142" s="35">
        <v>0.0</v>
      </c>
    </row>
    <row r="143" ht="15.75" customHeight="1">
      <c r="A143" s="35" t="s">
        <v>2858</v>
      </c>
      <c r="B143" s="35"/>
      <c r="C143" s="35">
        <v>52.0</v>
      </c>
      <c r="D143" s="35" t="s">
        <v>2859</v>
      </c>
      <c r="E143" s="35">
        <v>46027.0</v>
      </c>
      <c r="F143" s="35">
        <v>0.0</v>
      </c>
      <c r="G143" s="35">
        <v>2.0</v>
      </c>
      <c r="H143" s="35">
        <v>0.0</v>
      </c>
      <c r="I143" s="35">
        <v>0.0</v>
      </c>
      <c r="J143" s="35"/>
      <c r="K143" s="35">
        <v>0.0</v>
      </c>
    </row>
    <row r="144" ht="15.75" customHeight="1">
      <c r="A144" s="35" t="s">
        <v>2861</v>
      </c>
      <c r="B144" s="35"/>
      <c r="C144" s="35">
        <v>52.0</v>
      </c>
      <c r="D144" s="35" t="s">
        <v>2865</v>
      </c>
      <c r="E144" s="35">
        <v>46027.0</v>
      </c>
      <c r="F144" s="35">
        <v>0.0</v>
      </c>
      <c r="G144" s="35">
        <v>1.0</v>
      </c>
      <c r="H144" s="35">
        <v>0.0</v>
      </c>
      <c r="I144" s="35">
        <v>0.0</v>
      </c>
      <c r="J144" s="35"/>
      <c r="K144" s="35">
        <v>0.0</v>
      </c>
    </row>
    <row r="145" ht="15.75" customHeight="1">
      <c r="A145" s="35" t="s">
        <v>2867</v>
      </c>
      <c r="B145" s="35"/>
      <c r="C145" s="35">
        <v>52.0</v>
      </c>
      <c r="D145" s="35" t="s">
        <v>2868</v>
      </c>
      <c r="E145" s="35">
        <v>46027.0</v>
      </c>
      <c r="F145" s="35">
        <v>0.0</v>
      </c>
      <c r="G145" s="35">
        <v>0.0</v>
      </c>
      <c r="H145" s="35">
        <v>0.0</v>
      </c>
      <c r="I145" s="35">
        <v>2.0</v>
      </c>
      <c r="J145" s="35"/>
      <c r="K145" s="35">
        <v>0.0</v>
      </c>
    </row>
    <row r="146" ht="15.75" customHeight="1">
      <c r="A146" s="35" t="s">
        <v>2870</v>
      </c>
      <c r="B146" s="35"/>
      <c r="C146" s="35">
        <v>51.0</v>
      </c>
      <c r="D146" s="35" t="s">
        <v>2872</v>
      </c>
      <c r="E146" s="35">
        <v>46027.0</v>
      </c>
      <c r="F146" s="35">
        <v>0.0</v>
      </c>
      <c r="G146" s="35">
        <v>1.0</v>
      </c>
      <c r="H146" s="35">
        <v>0.0</v>
      </c>
      <c r="I146" s="35">
        <v>0.0</v>
      </c>
      <c r="J146" s="35"/>
      <c r="K146" s="35">
        <v>0.0</v>
      </c>
    </row>
    <row r="147" ht="15.75" customHeight="1">
      <c r="A147" s="35" t="s">
        <v>2876</v>
      </c>
      <c r="B147" s="35"/>
      <c r="C147" s="35">
        <v>51.0</v>
      </c>
      <c r="D147" s="35" t="s">
        <v>2659</v>
      </c>
      <c r="E147" s="35">
        <v>46027.0</v>
      </c>
      <c r="F147" s="35">
        <v>0.0</v>
      </c>
      <c r="G147" s="35">
        <v>1.0</v>
      </c>
      <c r="H147" s="35">
        <v>0.0</v>
      </c>
      <c r="I147" s="35">
        <v>0.0</v>
      </c>
      <c r="J147" s="35"/>
      <c r="K147" s="35">
        <v>0.0</v>
      </c>
    </row>
    <row r="148" ht="15.75" customHeight="1">
      <c r="A148" s="35" t="s">
        <v>2878</v>
      </c>
      <c r="B148" s="35"/>
      <c r="C148" s="35">
        <v>51.0</v>
      </c>
      <c r="D148" s="35" t="s">
        <v>2880</v>
      </c>
      <c r="E148" s="35">
        <v>46027.0</v>
      </c>
      <c r="F148" s="35">
        <v>0.0</v>
      </c>
      <c r="G148" s="35">
        <v>0.0</v>
      </c>
      <c r="H148" s="35">
        <v>0.0</v>
      </c>
      <c r="I148" s="35">
        <v>1.0</v>
      </c>
      <c r="J148" s="35"/>
      <c r="K148" s="35">
        <v>0.0</v>
      </c>
    </row>
    <row r="149" ht="15.75" customHeight="1">
      <c r="A149" s="35" t="s">
        <v>2882</v>
      </c>
      <c r="B149" s="35"/>
      <c r="C149" s="35">
        <v>51.0</v>
      </c>
      <c r="D149" s="35" t="s">
        <v>2884</v>
      </c>
      <c r="E149" s="35">
        <v>46027.0</v>
      </c>
      <c r="F149" s="35">
        <v>0.0</v>
      </c>
      <c r="G149" s="35">
        <v>1.0</v>
      </c>
      <c r="H149" s="35">
        <v>0.0</v>
      </c>
      <c r="I149" s="35">
        <v>0.0</v>
      </c>
      <c r="J149" s="35"/>
      <c r="K149" s="35">
        <v>0.0</v>
      </c>
    </row>
    <row r="150" ht="15.75" customHeight="1">
      <c r="A150" s="35" t="s">
        <v>2887</v>
      </c>
      <c r="B150" s="35"/>
      <c r="C150" s="35">
        <v>51.0</v>
      </c>
      <c r="D150" s="35" t="s">
        <v>2659</v>
      </c>
      <c r="E150" s="35">
        <v>46027.0</v>
      </c>
      <c r="F150" s="35">
        <v>0.0</v>
      </c>
      <c r="G150" s="35">
        <v>1.0</v>
      </c>
      <c r="H150" s="35">
        <v>0.0</v>
      </c>
      <c r="I150" s="35">
        <v>0.0</v>
      </c>
      <c r="J150" s="35"/>
      <c r="K150" s="35">
        <v>0.0</v>
      </c>
    </row>
    <row r="151" ht="15.75" customHeight="1">
      <c r="A151" s="35" t="s">
        <v>2890</v>
      </c>
      <c r="B151" s="35"/>
      <c r="C151" s="35">
        <v>51.0</v>
      </c>
      <c r="D151" s="35" t="s">
        <v>2891</v>
      </c>
      <c r="E151" s="35">
        <v>46027.0</v>
      </c>
      <c r="F151" s="35">
        <v>0.0</v>
      </c>
      <c r="G151" s="35">
        <v>4.0</v>
      </c>
      <c r="H151" s="35">
        <v>0.0</v>
      </c>
      <c r="I151" s="35">
        <v>0.0</v>
      </c>
      <c r="J151" s="35"/>
      <c r="K151" s="35">
        <v>0.0</v>
      </c>
    </row>
    <row r="152" ht="15.75" customHeight="1">
      <c r="A152" s="35" t="s">
        <v>2892</v>
      </c>
      <c r="B152" s="35"/>
      <c r="C152" s="35">
        <v>51.0</v>
      </c>
      <c r="D152" s="35" t="s">
        <v>2730</v>
      </c>
      <c r="E152" s="35">
        <v>46027.0</v>
      </c>
      <c r="F152" s="35">
        <v>0.0</v>
      </c>
      <c r="G152" s="35">
        <v>1.0</v>
      </c>
      <c r="H152" s="35">
        <v>0.0</v>
      </c>
      <c r="I152" s="35">
        <v>0.0</v>
      </c>
      <c r="J152" s="35"/>
      <c r="K152" s="35">
        <v>0.0</v>
      </c>
    </row>
    <row r="153" ht="15.75" customHeight="1">
      <c r="A153" s="35" t="s">
        <v>2896</v>
      </c>
      <c r="B153" s="35"/>
      <c r="C153" s="35">
        <v>51.0</v>
      </c>
      <c r="D153" s="35" t="s">
        <v>2897</v>
      </c>
      <c r="E153" s="35">
        <v>46027.0</v>
      </c>
      <c r="F153" s="35">
        <v>0.0</v>
      </c>
      <c r="G153" s="35">
        <v>2.0</v>
      </c>
      <c r="H153" s="35">
        <v>0.0</v>
      </c>
      <c r="I153" s="35">
        <v>0.0</v>
      </c>
      <c r="J153" s="35"/>
      <c r="K153" s="35">
        <v>0.0</v>
      </c>
    </row>
    <row r="154" ht="15.75" customHeight="1">
      <c r="A154" s="35" t="s">
        <v>2900</v>
      </c>
      <c r="B154" s="35"/>
      <c r="C154" s="35">
        <v>51.0</v>
      </c>
      <c r="D154" s="35" t="s">
        <v>2700</v>
      </c>
      <c r="E154" s="35">
        <v>46027.0</v>
      </c>
      <c r="F154" s="35">
        <v>0.0</v>
      </c>
      <c r="G154" s="35">
        <v>7.0</v>
      </c>
      <c r="H154" s="35">
        <v>0.0</v>
      </c>
      <c r="I154" s="35">
        <v>0.0</v>
      </c>
      <c r="J154" s="35"/>
      <c r="K154" s="35">
        <v>0.0</v>
      </c>
    </row>
    <row r="155" ht="15.75" customHeight="1">
      <c r="A155" s="35" t="s">
        <v>2902</v>
      </c>
      <c r="B155" s="35"/>
      <c r="C155" s="35">
        <v>51.0</v>
      </c>
      <c r="D155" s="35" t="s">
        <v>2903</v>
      </c>
      <c r="E155" s="35">
        <v>46027.0</v>
      </c>
      <c r="F155" s="35">
        <v>0.0</v>
      </c>
      <c r="G155" s="35">
        <v>9.0</v>
      </c>
      <c r="H155" s="35">
        <v>0.0</v>
      </c>
      <c r="I155" s="35">
        <v>0.0</v>
      </c>
      <c r="J155" s="35"/>
      <c r="K155" s="35">
        <v>0.0</v>
      </c>
    </row>
    <row r="156" ht="15.75" customHeight="1">
      <c r="A156" s="35" t="s">
        <v>2907</v>
      </c>
      <c r="B156" s="35"/>
      <c r="C156" s="35">
        <v>51.0</v>
      </c>
      <c r="D156" s="35" t="s">
        <v>2552</v>
      </c>
      <c r="E156" s="35">
        <v>46027.0</v>
      </c>
      <c r="F156" s="35">
        <v>0.0</v>
      </c>
      <c r="G156" s="35">
        <v>2.0</v>
      </c>
      <c r="H156" s="35">
        <v>0.0</v>
      </c>
      <c r="I156" s="35">
        <v>0.0</v>
      </c>
      <c r="J156" s="35"/>
      <c r="K156" s="35">
        <v>0.0</v>
      </c>
    </row>
    <row r="157" ht="15.75" customHeight="1">
      <c r="A157" s="35" t="s">
        <v>2910</v>
      </c>
      <c r="B157" s="35"/>
      <c r="C157" s="35">
        <v>51.0</v>
      </c>
      <c r="D157" s="35" t="s">
        <v>2912</v>
      </c>
      <c r="E157" s="35">
        <v>46027.0</v>
      </c>
      <c r="F157" s="35">
        <v>0.0</v>
      </c>
      <c r="G157" s="35">
        <v>0.0</v>
      </c>
      <c r="H157" s="35">
        <v>2.0</v>
      </c>
      <c r="I157" s="35">
        <v>0.0</v>
      </c>
      <c r="J157" s="35"/>
      <c r="K157" s="35">
        <v>0.0</v>
      </c>
    </row>
    <row r="158" ht="15.75" customHeight="1">
      <c r="A158" s="35" t="s">
        <v>2915</v>
      </c>
      <c r="B158" s="35"/>
      <c r="C158" s="35">
        <v>51.0</v>
      </c>
      <c r="D158" s="35" t="s">
        <v>2916</v>
      </c>
      <c r="E158" s="35">
        <v>46027.0</v>
      </c>
      <c r="F158" s="35">
        <v>0.0</v>
      </c>
      <c r="G158" s="35">
        <v>2.0</v>
      </c>
      <c r="H158" s="35">
        <v>0.0</v>
      </c>
      <c r="I158" s="35">
        <v>0.0</v>
      </c>
      <c r="J158" s="35"/>
      <c r="K158" s="35">
        <v>0.0</v>
      </c>
    </row>
    <row r="159" ht="15.75" customHeight="1">
      <c r="A159" s="35" t="s">
        <v>2919</v>
      </c>
      <c r="B159" s="35"/>
      <c r="C159" s="35">
        <v>51.0</v>
      </c>
      <c r="D159" s="35" t="s">
        <v>2920</v>
      </c>
      <c r="E159" s="35">
        <v>46027.0</v>
      </c>
      <c r="F159" s="35">
        <v>0.0</v>
      </c>
      <c r="G159" s="35">
        <v>2.0</v>
      </c>
      <c r="H159" s="35">
        <v>0.0</v>
      </c>
      <c r="I159" s="35">
        <v>0.0</v>
      </c>
      <c r="J159" s="35"/>
      <c r="K159" s="35">
        <v>0.0</v>
      </c>
    </row>
    <row r="160" ht="15.75" customHeight="1">
      <c r="A160" s="35" t="s">
        <v>2922</v>
      </c>
      <c r="B160" s="35"/>
      <c r="C160" s="35">
        <v>51.0</v>
      </c>
      <c r="D160" s="35" t="s">
        <v>2916</v>
      </c>
      <c r="E160" s="35">
        <v>46027.0</v>
      </c>
      <c r="F160" s="35">
        <v>0.0</v>
      </c>
      <c r="G160" s="35">
        <v>0.0</v>
      </c>
      <c r="H160" s="35">
        <v>0.0</v>
      </c>
      <c r="I160" s="35">
        <v>2.0</v>
      </c>
      <c r="J160" s="35"/>
      <c r="K160" s="35">
        <v>0.0</v>
      </c>
    </row>
    <row r="161" ht="15.75" customHeight="1">
      <c r="A161" s="35" t="s">
        <v>2925</v>
      </c>
      <c r="B161" s="35"/>
      <c r="C161" s="35">
        <v>50.0</v>
      </c>
      <c r="D161" s="35" t="s">
        <v>2044</v>
      </c>
      <c r="E161" s="35">
        <v>46058.0</v>
      </c>
      <c r="F161" s="35">
        <v>0.0</v>
      </c>
      <c r="G161" s="35">
        <v>1.0</v>
      </c>
      <c r="H161" s="35">
        <v>0.0</v>
      </c>
      <c r="I161" s="35">
        <v>1.0</v>
      </c>
      <c r="J161" s="35"/>
      <c r="K161" s="35">
        <v>0.0</v>
      </c>
    </row>
    <row r="162" ht="15.75" customHeight="1">
      <c r="A162" s="35" t="s">
        <v>2927</v>
      </c>
      <c r="B162" s="35"/>
      <c r="C162" s="35">
        <v>50.0</v>
      </c>
      <c r="D162" s="35" t="s">
        <v>2929</v>
      </c>
      <c r="E162" s="35">
        <v>46027.0</v>
      </c>
      <c r="F162" s="35">
        <v>0.0</v>
      </c>
      <c r="G162" s="35">
        <v>1.0</v>
      </c>
      <c r="H162" s="35">
        <v>0.0</v>
      </c>
      <c r="I162" s="35">
        <v>0.0</v>
      </c>
      <c r="J162" s="35"/>
      <c r="K162" s="35">
        <v>0.0</v>
      </c>
    </row>
    <row r="163" ht="15.75" customHeight="1">
      <c r="A163" s="35" t="s">
        <v>2931</v>
      </c>
      <c r="B163" s="35"/>
      <c r="C163" s="35">
        <v>50.0</v>
      </c>
      <c r="D163" s="35" t="s">
        <v>2934</v>
      </c>
      <c r="E163" s="35">
        <v>46027.0</v>
      </c>
      <c r="F163" s="35">
        <v>0.0</v>
      </c>
      <c r="G163" s="35">
        <v>2.0</v>
      </c>
      <c r="H163" s="35">
        <v>0.0</v>
      </c>
      <c r="I163" s="35">
        <v>0.0</v>
      </c>
      <c r="J163" s="35"/>
      <c r="K163" s="35">
        <v>0.0</v>
      </c>
    </row>
    <row r="164" ht="15.75" customHeight="1">
      <c r="A164" s="35" t="s">
        <v>2936</v>
      </c>
      <c r="B164" s="35"/>
      <c r="C164" s="35">
        <v>50.0</v>
      </c>
      <c r="D164" s="35" t="s">
        <v>2937</v>
      </c>
      <c r="E164" s="35">
        <v>46027.0</v>
      </c>
      <c r="F164" s="35">
        <v>0.0</v>
      </c>
      <c r="G164" s="35">
        <v>1.0</v>
      </c>
      <c r="H164" s="35">
        <v>0.0</v>
      </c>
      <c r="I164" s="35">
        <v>0.0</v>
      </c>
      <c r="J164" s="35"/>
      <c r="K164" s="35">
        <v>0.0</v>
      </c>
    </row>
    <row r="165" ht="15.75" customHeight="1">
      <c r="A165" s="35" t="s">
        <v>2940</v>
      </c>
      <c r="B165" s="35"/>
      <c r="C165" s="35">
        <v>50.0</v>
      </c>
      <c r="D165" s="35" t="s">
        <v>2941</v>
      </c>
      <c r="E165" s="35">
        <v>46027.0</v>
      </c>
      <c r="F165" s="35">
        <v>0.0</v>
      </c>
      <c r="G165" s="35">
        <v>2.0</v>
      </c>
      <c r="H165" s="35">
        <v>0.0</v>
      </c>
      <c r="I165" s="35">
        <v>0.0</v>
      </c>
      <c r="J165" s="35"/>
      <c r="K165" s="35">
        <v>0.0</v>
      </c>
    </row>
    <row r="166" ht="15.75" customHeight="1">
      <c r="A166" s="35" t="s">
        <v>2943</v>
      </c>
      <c r="B166" s="35"/>
      <c r="C166" s="35">
        <v>50.0</v>
      </c>
      <c r="D166" s="35" t="s">
        <v>2820</v>
      </c>
      <c r="E166" s="35">
        <v>46027.0</v>
      </c>
      <c r="F166" s="35">
        <v>0.0</v>
      </c>
      <c r="G166" s="35">
        <v>5.0</v>
      </c>
      <c r="H166" s="35">
        <v>0.0</v>
      </c>
      <c r="I166" s="35">
        <v>0.0</v>
      </c>
      <c r="J166" s="35"/>
      <c r="K166" s="35">
        <v>0.0</v>
      </c>
    </row>
    <row r="167" ht="15.75" customHeight="1">
      <c r="A167" s="35" t="s">
        <v>2945</v>
      </c>
      <c r="B167" s="35"/>
      <c r="C167" s="35">
        <v>50.0</v>
      </c>
      <c r="D167" s="35" t="s">
        <v>2479</v>
      </c>
      <c r="E167" s="35">
        <v>46027.0</v>
      </c>
      <c r="F167" s="35">
        <v>0.0</v>
      </c>
      <c r="G167" s="35">
        <v>1.0</v>
      </c>
      <c r="H167" s="35">
        <v>0.0</v>
      </c>
      <c r="I167" s="35">
        <v>0.0</v>
      </c>
      <c r="J167" s="35"/>
      <c r="K167" s="35">
        <v>0.0</v>
      </c>
    </row>
    <row r="168" ht="15.75" customHeight="1">
      <c r="A168" s="35" t="s">
        <v>2949</v>
      </c>
      <c r="B168" s="35"/>
      <c r="C168" s="35">
        <v>50.0</v>
      </c>
      <c r="D168" s="35" t="s">
        <v>2912</v>
      </c>
      <c r="E168" s="35">
        <v>46027.0</v>
      </c>
      <c r="F168" s="35">
        <v>0.0</v>
      </c>
      <c r="G168" s="35">
        <v>7.0</v>
      </c>
      <c r="H168" s="35">
        <v>0.0</v>
      </c>
      <c r="I168" s="35">
        <v>0.0</v>
      </c>
      <c r="J168" s="35"/>
      <c r="K168" s="35">
        <v>0.0</v>
      </c>
    </row>
    <row r="169" ht="15.75" customHeight="1">
      <c r="A169" s="35" t="s">
        <v>2951</v>
      </c>
      <c r="B169" s="35"/>
      <c r="C169" s="35">
        <v>50.0</v>
      </c>
      <c r="D169" s="35" t="s">
        <v>2515</v>
      </c>
      <c r="E169" s="35">
        <v>46027.0</v>
      </c>
      <c r="F169" s="35">
        <v>0.0</v>
      </c>
      <c r="G169" s="35">
        <v>7.0</v>
      </c>
      <c r="H169" s="35">
        <v>0.0</v>
      </c>
      <c r="I169" s="35">
        <v>0.0</v>
      </c>
      <c r="J169" s="35"/>
      <c r="K169" s="35">
        <v>0.0</v>
      </c>
    </row>
    <row r="170" ht="15.75" customHeight="1">
      <c r="A170" s="35" t="s">
        <v>2954</v>
      </c>
      <c r="B170" s="35"/>
      <c r="C170" s="35">
        <v>50.0</v>
      </c>
      <c r="D170" s="35" t="s">
        <v>2607</v>
      </c>
      <c r="E170" s="35">
        <v>46027.0</v>
      </c>
      <c r="F170" s="35">
        <v>0.0</v>
      </c>
      <c r="G170" s="35">
        <v>5.0</v>
      </c>
      <c r="H170" s="35">
        <v>0.0</v>
      </c>
      <c r="I170" s="35">
        <v>0.0</v>
      </c>
      <c r="J170" s="35"/>
      <c r="K170" s="35">
        <v>0.0</v>
      </c>
    </row>
    <row r="171" ht="15.75" customHeight="1">
      <c r="A171" s="35" t="s">
        <v>2956</v>
      </c>
      <c r="B171" s="35"/>
      <c r="C171" s="35">
        <v>50.0</v>
      </c>
      <c r="D171" s="35" t="s">
        <v>2775</v>
      </c>
      <c r="E171" s="35">
        <v>46027.0</v>
      </c>
      <c r="F171" s="35">
        <v>0.0</v>
      </c>
      <c r="G171" s="35">
        <v>1.0</v>
      </c>
      <c r="H171" s="35">
        <v>0.0</v>
      </c>
      <c r="I171" s="35">
        <v>0.0</v>
      </c>
      <c r="J171" s="35"/>
      <c r="K171" s="35">
        <v>0.0</v>
      </c>
    </row>
    <row r="172" ht="15.75" customHeight="1">
      <c r="A172" s="35" t="s">
        <v>2960</v>
      </c>
      <c r="B172" s="35"/>
      <c r="C172" s="35">
        <v>50.0</v>
      </c>
      <c r="D172" s="35" t="s">
        <v>2961</v>
      </c>
      <c r="E172" s="35">
        <v>46027.0</v>
      </c>
      <c r="F172" s="35">
        <v>0.0</v>
      </c>
      <c r="G172" s="35">
        <v>2.0</v>
      </c>
      <c r="H172" s="35">
        <v>0.0</v>
      </c>
      <c r="I172" s="35">
        <v>0.0</v>
      </c>
      <c r="J172" s="35"/>
      <c r="K172" s="35">
        <v>0.0</v>
      </c>
    </row>
    <row r="173" ht="15.75" customHeight="1">
      <c r="A173" s="35" t="s">
        <v>2962</v>
      </c>
      <c r="B173" s="35"/>
      <c r="C173" s="35">
        <v>50.0</v>
      </c>
      <c r="D173" s="35" t="s">
        <v>2963</v>
      </c>
      <c r="E173" s="35">
        <v>46027.0</v>
      </c>
      <c r="F173" s="35">
        <v>0.0</v>
      </c>
      <c r="G173" s="35">
        <v>1.0</v>
      </c>
      <c r="H173" s="35">
        <v>0.0</v>
      </c>
      <c r="I173" s="35">
        <v>0.0</v>
      </c>
      <c r="J173" s="35"/>
      <c r="K173" s="35">
        <v>0.0</v>
      </c>
    </row>
    <row r="174" ht="15.75" customHeight="1">
      <c r="A174" s="35" t="s">
        <v>988</v>
      </c>
      <c r="B174" s="35"/>
      <c r="C174" s="35">
        <v>49.0</v>
      </c>
      <c r="D174" s="35" t="s">
        <v>2966</v>
      </c>
      <c r="E174" s="35">
        <v>46027.0</v>
      </c>
      <c r="F174" s="35">
        <v>0.0</v>
      </c>
      <c r="G174" s="35">
        <v>1.0</v>
      </c>
      <c r="H174" s="35">
        <v>0.0</v>
      </c>
      <c r="I174" s="35">
        <v>0.0</v>
      </c>
      <c r="J174" s="35"/>
      <c r="K174" s="35">
        <v>0.0</v>
      </c>
    </row>
    <row r="175" ht="15.75" customHeight="1">
      <c r="A175" s="35" t="s">
        <v>2967</v>
      </c>
      <c r="B175" s="35"/>
      <c r="C175" s="35">
        <v>49.0</v>
      </c>
      <c r="D175" s="35" t="s">
        <v>2968</v>
      </c>
      <c r="E175" s="35">
        <v>46027.0</v>
      </c>
      <c r="F175" s="35">
        <v>0.0</v>
      </c>
      <c r="G175" s="35">
        <v>1.0</v>
      </c>
      <c r="H175" s="35">
        <v>0.0</v>
      </c>
      <c r="I175" s="35">
        <v>0.0</v>
      </c>
      <c r="J175" s="35"/>
      <c r="K175" s="35">
        <v>0.0</v>
      </c>
    </row>
    <row r="176" ht="15.75" customHeight="1">
      <c r="A176" s="35" t="s">
        <v>2970</v>
      </c>
      <c r="B176" s="35"/>
      <c r="C176" s="35">
        <v>49.0</v>
      </c>
      <c r="D176" s="35" t="s">
        <v>2971</v>
      </c>
      <c r="E176" s="35">
        <v>46027.0</v>
      </c>
      <c r="F176" s="35">
        <v>0.0</v>
      </c>
      <c r="G176" s="35">
        <v>1.0</v>
      </c>
      <c r="H176" s="35">
        <v>0.0</v>
      </c>
      <c r="I176" s="35">
        <v>0.0</v>
      </c>
      <c r="J176" s="35"/>
      <c r="K176" s="35">
        <v>0.0</v>
      </c>
    </row>
    <row r="177" ht="15.75" customHeight="1">
      <c r="A177" s="35" t="s">
        <v>2974</v>
      </c>
      <c r="B177" s="35"/>
      <c r="C177" s="35">
        <v>49.0</v>
      </c>
      <c r="D177" s="35" t="s">
        <v>2975</v>
      </c>
      <c r="E177" s="35">
        <v>46027.0</v>
      </c>
      <c r="F177" s="35">
        <v>0.0</v>
      </c>
      <c r="G177" s="35">
        <v>12.0</v>
      </c>
      <c r="H177" s="35">
        <v>0.0</v>
      </c>
      <c r="I177" s="35">
        <v>0.0</v>
      </c>
      <c r="J177" s="35"/>
      <c r="K177" s="35">
        <v>0.0</v>
      </c>
    </row>
    <row r="178" ht="15.75" customHeight="1">
      <c r="A178" s="35" t="s">
        <v>2978</v>
      </c>
      <c r="B178" s="35"/>
      <c r="C178" s="35">
        <v>49.0</v>
      </c>
      <c r="D178" s="35" t="s">
        <v>2515</v>
      </c>
      <c r="E178" s="35">
        <v>46027.0</v>
      </c>
      <c r="F178" s="35">
        <v>0.0</v>
      </c>
      <c r="G178" s="35">
        <v>6.0</v>
      </c>
      <c r="H178" s="35">
        <v>0.0</v>
      </c>
      <c r="I178" s="35">
        <v>0.0</v>
      </c>
      <c r="J178" s="35"/>
      <c r="K178" s="35">
        <v>0.0</v>
      </c>
    </row>
    <row r="179" ht="15.75" customHeight="1">
      <c r="A179" s="35" t="s">
        <v>2981</v>
      </c>
      <c r="B179" s="35"/>
      <c r="C179" s="35">
        <v>49.0</v>
      </c>
      <c r="D179" s="35" t="s">
        <v>2982</v>
      </c>
      <c r="E179" s="35">
        <v>46027.0</v>
      </c>
      <c r="F179" s="35">
        <v>0.0</v>
      </c>
      <c r="G179" s="35">
        <v>3.0</v>
      </c>
      <c r="H179" s="35">
        <v>0.0</v>
      </c>
      <c r="I179" s="35">
        <v>0.0</v>
      </c>
      <c r="J179" s="35"/>
      <c r="K179" s="35">
        <v>0.0</v>
      </c>
    </row>
    <row r="180" ht="15.75" customHeight="1">
      <c r="A180" s="35" t="s">
        <v>2983</v>
      </c>
      <c r="B180" s="35"/>
      <c r="C180" s="35">
        <v>49.0</v>
      </c>
      <c r="D180" s="35" t="s">
        <v>2984</v>
      </c>
      <c r="E180" s="35">
        <v>46027.0</v>
      </c>
      <c r="F180" s="35">
        <v>0.0</v>
      </c>
      <c r="G180" s="35">
        <v>4.0</v>
      </c>
      <c r="H180" s="35">
        <v>0.0</v>
      </c>
      <c r="I180" s="35">
        <v>0.0</v>
      </c>
      <c r="J180" s="35"/>
      <c r="K180" s="35">
        <v>0.0</v>
      </c>
    </row>
    <row r="181" ht="15.75" customHeight="1">
      <c r="A181" s="35" t="s">
        <v>2986</v>
      </c>
      <c r="B181" s="35"/>
      <c r="C181" s="35">
        <v>49.0</v>
      </c>
      <c r="D181" s="35" t="s">
        <v>2912</v>
      </c>
      <c r="E181" s="35">
        <v>46027.0</v>
      </c>
      <c r="F181" s="35">
        <v>0.0</v>
      </c>
      <c r="G181" s="35">
        <v>7.0</v>
      </c>
      <c r="H181" s="35">
        <v>0.0</v>
      </c>
      <c r="I181" s="35">
        <v>0.0</v>
      </c>
      <c r="J181" s="35"/>
      <c r="K181" s="35">
        <v>0.0</v>
      </c>
    </row>
    <row r="182" ht="15.75" customHeight="1">
      <c r="A182" s="35" t="s">
        <v>2989</v>
      </c>
      <c r="B182" s="35"/>
      <c r="C182" s="35">
        <v>49.0</v>
      </c>
      <c r="D182" s="35" t="s">
        <v>2916</v>
      </c>
      <c r="E182" s="35">
        <v>46027.0</v>
      </c>
      <c r="F182" s="35">
        <v>0.0</v>
      </c>
      <c r="G182" s="35">
        <v>2.0</v>
      </c>
      <c r="H182" s="35">
        <v>0.0</v>
      </c>
      <c r="I182" s="35">
        <v>0.0</v>
      </c>
      <c r="J182" s="35"/>
      <c r="K182" s="35">
        <v>0.0</v>
      </c>
    </row>
    <row r="183" ht="15.75" customHeight="1">
      <c r="A183" s="35" t="s">
        <v>2991</v>
      </c>
      <c r="B183" s="35"/>
      <c r="C183" s="35">
        <v>49.0</v>
      </c>
      <c r="D183" s="35" t="s">
        <v>2992</v>
      </c>
      <c r="E183" s="35">
        <v>46027.0</v>
      </c>
      <c r="F183" s="35">
        <v>0.0</v>
      </c>
      <c r="G183" s="35">
        <v>4.0</v>
      </c>
      <c r="H183" s="35">
        <v>0.0</v>
      </c>
      <c r="I183" s="35">
        <v>0.0</v>
      </c>
      <c r="J183" s="35"/>
      <c r="K183" s="35">
        <v>0.0</v>
      </c>
    </row>
    <row r="184" ht="15.75" customHeight="1">
      <c r="A184" s="35" t="s">
        <v>2995</v>
      </c>
      <c r="B184" s="35"/>
      <c r="C184" s="35">
        <v>49.0</v>
      </c>
      <c r="D184" s="35" t="s">
        <v>2996</v>
      </c>
      <c r="E184" s="35">
        <v>46027.0</v>
      </c>
      <c r="F184" s="35">
        <v>0.0</v>
      </c>
      <c r="G184" s="35">
        <v>1.0</v>
      </c>
      <c r="H184" s="35">
        <v>0.0</v>
      </c>
      <c r="I184" s="35">
        <v>0.0</v>
      </c>
      <c r="J184" s="35"/>
      <c r="K184" s="35">
        <v>0.0</v>
      </c>
    </row>
    <row r="185" ht="15.75" customHeight="1">
      <c r="A185" s="35" t="s">
        <v>2998</v>
      </c>
      <c r="B185" s="35"/>
      <c r="C185" s="35">
        <v>48.0</v>
      </c>
      <c r="D185" s="35" t="s">
        <v>2497</v>
      </c>
      <c r="E185" s="35">
        <v>46027.0</v>
      </c>
      <c r="F185" s="35">
        <v>0.0</v>
      </c>
      <c r="G185" s="35">
        <v>1.0</v>
      </c>
      <c r="H185" s="35">
        <v>0.0</v>
      </c>
      <c r="I185" s="35">
        <v>0.0</v>
      </c>
      <c r="J185" s="35"/>
      <c r="K185" s="35">
        <v>0.0</v>
      </c>
    </row>
    <row r="186" ht="15.75" customHeight="1">
      <c r="A186" s="35" t="s">
        <v>3000</v>
      </c>
      <c r="B186" s="35"/>
      <c r="C186" s="35">
        <v>48.0</v>
      </c>
      <c r="D186" s="35" t="s">
        <v>3002</v>
      </c>
      <c r="E186" s="35">
        <v>46027.0</v>
      </c>
      <c r="F186" s="35">
        <v>0.0</v>
      </c>
      <c r="G186" s="35">
        <v>1.0</v>
      </c>
      <c r="H186" s="35">
        <v>0.0</v>
      </c>
      <c r="I186" s="35">
        <v>0.0</v>
      </c>
      <c r="J186" s="35"/>
      <c r="K186" s="35">
        <v>0.0</v>
      </c>
    </row>
    <row r="187" ht="15.75" customHeight="1">
      <c r="A187" s="35" t="s">
        <v>3003</v>
      </c>
      <c r="B187" s="35"/>
      <c r="C187" s="35">
        <v>48.0</v>
      </c>
      <c r="D187" s="35" t="s">
        <v>3004</v>
      </c>
      <c r="E187" s="35">
        <v>46027.0</v>
      </c>
      <c r="F187" s="35">
        <v>0.0</v>
      </c>
      <c r="G187" s="35">
        <v>1.0</v>
      </c>
      <c r="H187" s="35">
        <v>0.0</v>
      </c>
      <c r="I187" s="35">
        <v>0.0</v>
      </c>
      <c r="J187" s="35"/>
      <c r="K187" s="35">
        <v>0.0</v>
      </c>
    </row>
    <row r="188" ht="15.75" customHeight="1">
      <c r="A188" s="35" t="s">
        <v>3006</v>
      </c>
      <c r="B188" s="35"/>
      <c r="C188" s="35">
        <v>48.0</v>
      </c>
      <c r="D188" s="35" t="s">
        <v>3008</v>
      </c>
      <c r="E188" s="35">
        <v>46027.0</v>
      </c>
      <c r="F188" s="35">
        <v>0.0</v>
      </c>
      <c r="G188" s="35">
        <v>3.0</v>
      </c>
      <c r="H188" s="35">
        <v>0.0</v>
      </c>
      <c r="I188" s="35">
        <v>0.0</v>
      </c>
      <c r="J188" s="35"/>
      <c r="K188" s="35">
        <v>0.0</v>
      </c>
    </row>
    <row r="189" ht="15.75" customHeight="1">
      <c r="A189" s="35" t="s">
        <v>3010</v>
      </c>
      <c r="B189" s="35"/>
      <c r="C189" s="35">
        <v>48.0</v>
      </c>
      <c r="D189" s="35" t="s">
        <v>3012</v>
      </c>
      <c r="E189" s="35">
        <v>46027.0</v>
      </c>
      <c r="F189" s="35">
        <v>0.0</v>
      </c>
      <c r="G189" s="35">
        <v>1.0</v>
      </c>
      <c r="H189" s="35">
        <v>0.0</v>
      </c>
      <c r="I189" s="35">
        <v>0.0</v>
      </c>
      <c r="J189" s="35"/>
      <c r="K189" s="35">
        <v>0.0</v>
      </c>
    </row>
    <row r="190" ht="15.75" customHeight="1">
      <c r="A190" s="35" t="s">
        <v>3013</v>
      </c>
      <c r="B190" s="35"/>
      <c r="C190" s="35">
        <v>48.0</v>
      </c>
      <c r="D190" s="35" t="s">
        <v>3016</v>
      </c>
      <c r="E190" s="35">
        <v>46027.0</v>
      </c>
      <c r="F190" s="35">
        <v>0.0</v>
      </c>
      <c r="G190" s="35">
        <v>1.0</v>
      </c>
      <c r="H190" s="35">
        <v>0.0</v>
      </c>
      <c r="I190" s="35">
        <v>0.0</v>
      </c>
      <c r="J190" s="35"/>
      <c r="K190" s="35">
        <v>0.0</v>
      </c>
    </row>
    <row r="191" ht="15.75" customHeight="1">
      <c r="A191" s="35" t="s">
        <v>3019</v>
      </c>
      <c r="B191" s="35"/>
      <c r="C191" s="35">
        <v>48.0</v>
      </c>
      <c r="D191" s="35" t="s">
        <v>3020</v>
      </c>
      <c r="E191" s="35">
        <v>46027.0</v>
      </c>
      <c r="F191" s="35">
        <v>0.0</v>
      </c>
      <c r="G191" s="35">
        <v>3.0</v>
      </c>
      <c r="H191" s="35">
        <v>0.0</v>
      </c>
      <c r="I191" s="35">
        <v>0.0</v>
      </c>
      <c r="J191" s="35"/>
      <c r="K191" s="35">
        <v>0.0</v>
      </c>
    </row>
    <row r="192" ht="15.75" customHeight="1">
      <c r="A192" s="35" t="s">
        <v>3022</v>
      </c>
      <c r="B192" s="35"/>
      <c r="C192" s="35">
        <v>48.0</v>
      </c>
      <c r="D192" s="35" t="s">
        <v>2916</v>
      </c>
      <c r="E192" s="35">
        <v>46027.0</v>
      </c>
      <c r="F192" s="35">
        <v>0.0</v>
      </c>
      <c r="G192" s="35">
        <v>0.0</v>
      </c>
      <c r="H192" s="35">
        <v>0.0</v>
      </c>
      <c r="I192" s="35">
        <v>0.0</v>
      </c>
      <c r="J192" s="35"/>
      <c r="K192" s="35">
        <v>3.0</v>
      </c>
    </row>
    <row r="193" ht="15.75" customHeight="1">
      <c r="A193" s="35" t="s">
        <v>3025</v>
      </c>
      <c r="B193" s="35"/>
      <c r="C193" s="35">
        <v>48.0</v>
      </c>
      <c r="D193" s="35" t="s">
        <v>3027</v>
      </c>
      <c r="E193" s="35">
        <v>46027.0</v>
      </c>
      <c r="F193" s="35">
        <v>0.0</v>
      </c>
      <c r="G193" s="35">
        <v>8.0</v>
      </c>
      <c r="H193" s="35">
        <v>0.0</v>
      </c>
      <c r="I193" s="35">
        <v>0.0</v>
      </c>
      <c r="J193" s="35"/>
      <c r="K193" s="35">
        <v>0.0</v>
      </c>
    </row>
    <row r="194" ht="15.75" customHeight="1">
      <c r="A194" s="35" t="s">
        <v>3030</v>
      </c>
      <c r="B194" s="35"/>
      <c r="C194" s="35">
        <v>48.0</v>
      </c>
      <c r="D194" s="35" t="s">
        <v>2700</v>
      </c>
      <c r="E194" s="35">
        <v>46027.0</v>
      </c>
      <c r="F194" s="35">
        <v>0.0</v>
      </c>
      <c r="G194" s="35">
        <v>0.0</v>
      </c>
      <c r="H194" s="35">
        <v>2.0</v>
      </c>
      <c r="I194" s="35">
        <v>0.0</v>
      </c>
      <c r="J194" s="35"/>
      <c r="K194" s="35">
        <v>0.0</v>
      </c>
    </row>
    <row r="195" ht="15.75" customHeight="1">
      <c r="A195" s="35" t="s">
        <v>3032</v>
      </c>
      <c r="B195" s="35"/>
      <c r="C195" s="35">
        <v>48.0</v>
      </c>
      <c r="D195" s="35" t="s">
        <v>3033</v>
      </c>
      <c r="E195" s="35">
        <v>46027.0</v>
      </c>
      <c r="F195" s="35">
        <v>0.0</v>
      </c>
      <c r="G195" s="35">
        <v>171.0</v>
      </c>
      <c r="H195" s="35">
        <v>0.0</v>
      </c>
      <c r="I195" s="35">
        <v>0.0</v>
      </c>
      <c r="J195" s="35"/>
      <c r="K195" s="35">
        <v>0.0</v>
      </c>
    </row>
    <row r="196" ht="15.75" customHeight="1">
      <c r="A196" s="35" t="s">
        <v>3035</v>
      </c>
      <c r="B196" s="35"/>
      <c r="C196" s="35">
        <v>48.0</v>
      </c>
      <c r="D196" s="35" t="s">
        <v>3037</v>
      </c>
      <c r="E196" s="35">
        <v>46027.0</v>
      </c>
      <c r="F196" s="35">
        <v>0.0</v>
      </c>
      <c r="G196" s="35">
        <v>1.0</v>
      </c>
      <c r="H196" s="35">
        <v>0.0</v>
      </c>
      <c r="I196" s="35">
        <v>0.0</v>
      </c>
      <c r="J196" s="35"/>
      <c r="K196" s="35">
        <v>0.0</v>
      </c>
    </row>
    <row r="197" ht="15.75" customHeight="1">
      <c r="A197" s="35" t="s">
        <v>990</v>
      </c>
      <c r="B197" s="35"/>
      <c r="C197" s="35">
        <v>47.0</v>
      </c>
      <c r="D197" s="35" t="s">
        <v>2820</v>
      </c>
      <c r="E197" s="35">
        <v>46027.0</v>
      </c>
      <c r="F197" s="35">
        <v>0.0</v>
      </c>
      <c r="G197" s="35">
        <v>2.0</v>
      </c>
      <c r="H197" s="35">
        <v>0.0</v>
      </c>
      <c r="I197" s="35">
        <v>0.0</v>
      </c>
      <c r="J197" s="35"/>
      <c r="K197" s="35">
        <v>0.0</v>
      </c>
    </row>
    <row r="198" ht="15.75" customHeight="1">
      <c r="A198" s="35" t="s">
        <v>3042</v>
      </c>
      <c r="B198" s="35"/>
      <c r="C198" s="35">
        <v>47.0</v>
      </c>
      <c r="D198" s="35" t="s">
        <v>3044</v>
      </c>
      <c r="E198" s="35">
        <v>46027.0</v>
      </c>
      <c r="F198" s="35">
        <v>0.0</v>
      </c>
      <c r="G198" s="35">
        <v>2.0</v>
      </c>
      <c r="H198" s="35">
        <v>0.0</v>
      </c>
      <c r="I198" s="35">
        <v>0.0</v>
      </c>
      <c r="J198" s="35"/>
      <c r="K198" s="35">
        <v>0.0</v>
      </c>
    </row>
    <row r="199" ht="15.75" customHeight="1">
      <c r="A199" s="35" t="s">
        <v>3048</v>
      </c>
      <c r="B199" s="35"/>
      <c r="C199" s="35">
        <v>47.0</v>
      </c>
      <c r="D199" s="35" t="s">
        <v>3050</v>
      </c>
      <c r="E199" s="35">
        <v>46027.0</v>
      </c>
      <c r="F199" s="35">
        <v>0.0</v>
      </c>
      <c r="G199" s="35">
        <v>1.0</v>
      </c>
      <c r="H199" s="35">
        <v>0.0</v>
      </c>
      <c r="I199" s="35">
        <v>0.0</v>
      </c>
      <c r="J199" s="35"/>
      <c r="K199" s="35">
        <v>0.0</v>
      </c>
    </row>
    <row r="200" ht="15.75" customHeight="1">
      <c r="A200" s="35" t="s">
        <v>3054</v>
      </c>
      <c r="B200" s="35"/>
      <c r="C200" s="35">
        <v>47.0</v>
      </c>
      <c r="D200" s="35" t="s">
        <v>3055</v>
      </c>
      <c r="E200" s="35">
        <v>46027.0</v>
      </c>
      <c r="F200" s="35">
        <v>0.0</v>
      </c>
      <c r="G200" s="35">
        <v>6.0</v>
      </c>
      <c r="H200" s="35">
        <v>0.0</v>
      </c>
      <c r="I200" s="35">
        <v>0.0</v>
      </c>
      <c r="J200" s="35"/>
      <c r="K200" s="35">
        <v>0.0</v>
      </c>
    </row>
    <row r="201" ht="15.75" customHeight="1">
      <c r="A201" s="35" t="s">
        <v>3058</v>
      </c>
      <c r="B201" s="35"/>
      <c r="C201" s="35">
        <v>47.0</v>
      </c>
      <c r="D201" s="35" t="s">
        <v>3060</v>
      </c>
      <c r="E201" s="35">
        <v>46027.0</v>
      </c>
      <c r="F201" s="35">
        <v>0.0</v>
      </c>
      <c r="G201" s="35">
        <v>1.0</v>
      </c>
      <c r="H201" s="35">
        <v>0.0</v>
      </c>
      <c r="I201" s="35">
        <v>0.0</v>
      </c>
      <c r="J201" s="35"/>
      <c r="K201" s="35">
        <v>0.0</v>
      </c>
    </row>
    <row r="202" ht="15.75" customHeight="1">
      <c r="A202" s="35" t="s">
        <v>3062</v>
      </c>
      <c r="B202" s="35"/>
      <c r="C202" s="35">
        <v>47.0</v>
      </c>
      <c r="D202" s="35" t="s">
        <v>3064</v>
      </c>
      <c r="E202" s="35">
        <v>46027.0</v>
      </c>
      <c r="F202" s="35">
        <v>0.0</v>
      </c>
      <c r="G202" s="35">
        <v>5.0</v>
      </c>
      <c r="H202" s="35">
        <v>0.0</v>
      </c>
      <c r="I202" s="35">
        <v>0.0</v>
      </c>
      <c r="J202" s="35"/>
      <c r="K202" s="35">
        <v>0.0</v>
      </c>
    </row>
    <row r="203" ht="15.75" customHeight="1">
      <c r="A203" s="35" t="s">
        <v>3067</v>
      </c>
      <c r="B203" s="35"/>
      <c r="C203" s="35">
        <v>47.0</v>
      </c>
      <c r="D203" s="35" t="s">
        <v>3020</v>
      </c>
      <c r="E203" s="35">
        <v>46027.0</v>
      </c>
      <c r="F203" s="35">
        <v>0.0</v>
      </c>
      <c r="G203" s="35">
        <v>5.0</v>
      </c>
      <c r="H203" s="35">
        <v>0.0</v>
      </c>
      <c r="I203" s="35">
        <v>0.0</v>
      </c>
      <c r="J203" s="35"/>
      <c r="K203" s="35">
        <v>0.0</v>
      </c>
    </row>
    <row r="204" ht="15.75" customHeight="1">
      <c r="A204" s="35" t="s">
        <v>3070</v>
      </c>
      <c r="B204" s="35"/>
      <c r="C204" s="35">
        <v>47.0</v>
      </c>
      <c r="D204" s="35" t="s">
        <v>2916</v>
      </c>
      <c r="E204" s="35">
        <v>46027.0</v>
      </c>
      <c r="F204" s="35">
        <v>0.0</v>
      </c>
      <c r="G204" s="35">
        <v>2.0</v>
      </c>
      <c r="H204" s="35">
        <v>0.0</v>
      </c>
      <c r="I204" s="35">
        <v>0.0</v>
      </c>
      <c r="J204" s="35"/>
      <c r="K204" s="35">
        <v>0.0</v>
      </c>
    </row>
    <row r="205" ht="15.75" customHeight="1">
      <c r="A205" s="35" t="s">
        <v>3074</v>
      </c>
      <c r="B205" s="35"/>
      <c r="C205" s="35">
        <v>47.0</v>
      </c>
      <c r="D205" s="35" t="s">
        <v>3078</v>
      </c>
      <c r="E205" s="35">
        <v>46027.0</v>
      </c>
      <c r="F205" s="35">
        <v>0.0</v>
      </c>
      <c r="G205" s="35">
        <v>4.0</v>
      </c>
      <c r="H205" s="35">
        <v>0.0</v>
      </c>
      <c r="I205" s="35">
        <v>0.0</v>
      </c>
      <c r="J205" s="35"/>
      <c r="K205" s="35">
        <v>0.0</v>
      </c>
    </row>
    <row r="206" ht="15.75" customHeight="1">
      <c r="A206" s="35" t="s">
        <v>3080</v>
      </c>
      <c r="B206" s="35"/>
      <c r="C206" s="35">
        <v>47.0</v>
      </c>
      <c r="D206" s="35" t="s">
        <v>3081</v>
      </c>
      <c r="E206" s="35">
        <v>46027.0</v>
      </c>
      <c r="F206" s="35">
        <v>0.0</v>
      </c>
      <c r="G206" s="35">
        <v>1.0</v>
      </c>
      <c r="H206" s="35">
        <v>0.0</v>
      </c>
      <c r="I206" s="35">
        <v>0.0</v>
      </c>
      <c r="J206" s="35"/>
      <c r="K206" s="35">
        <v>0.0</v>
      </c>
    </row>
    <row r="207" ht="15.75" customHeight="1">
      <c r="A207" s="35" t="s">
        <v>3082</v>
      </c>
      <c r="B207" s="35"/>
      <c r="C207" s="35">
        <v>47.0</v>
      </c>
      <c r="D207" s="35" t="s">
        <v>3083</v>
      </c>
      <c r="E207" s="35">
        <v>46027.0</v>
      </c>
      <c r="F207" s="35">
        <v>0.0</v>
      </c>
      <c r="G207" s="35">
        <v>1.0</v>
      </c>
      <c r="H207" s="35">
        <v>0.0</v>
      </c>
      <c r="I207" s="35">
        <v>0.0</v>
      </c>
      <c r="J207" s="35"/>
      <c r="K207" s="35">
        <v>0.0</v>
      </c>
    </row>
    <row r="208" ht="15.75" customHeight="1">
      <c r="A208" s="35" t="s">
        <v>3084</v>
      </c>
      <c r="B208" s="35"/>
      <c r="C208" s="35">
        <v>47.0</v>
      </c>
      <c r="D208" s="35" t="s">
        <v>3086</v>
      </c>
      <c r="E208" s="35">
        <v>46027.0</v>
      </c>
      <c r="F208" s="35">
        <v>0.0</v>
      </c>
      <c r="G208" s="35">
        <v>1.0</v>
      </c>
      <c r="H208" s="35">
        <v>0.0</v>
      </c>
      <c r="I208" s="35">
        <v>0.0</v>
      </c>
      <c r="J208" s="35"/>
      <c r="K208" s="35">
        <v>0.0</v>
      </c>
    </row>
    <row r="209" ht="15.75" customHeight="1">
      <c r="A209" s="35" t="s">
        <v>3088</v>
      </c>
      <c r="B209" s="35"/>
      <c r="C209" s="35">
        <v>47.0</v>
      </c>
      <c r="D209" s="35" t="s">
        <v>2916</v>
      </c>
      <c r="E209" s="35">
        <v>46027.0</v>
      </c>
      <c r="F209" s="35">
        <v>0.0</v>
      </c>
      <c r="G209" s="35">
        <v>1.0</v>
      </c>
      <c r="H209" s="35">
        <v>0.0</v>
      </c>
      <c r="I209" s="35">
        <v>0.0</v>
      </c>
      <c r="J209" s="35"/>
      <c r="K209" s="35">
        <v>0.0</v>
      </c>
    </row>
    <row r="210" ht="15.75" customHeight="1">
      <c r="A210" s="35" t="s">
        <v>3090</v>
      </c>
      <c r="B210" s="35"/>
      <c r="C210" s="35">
        <v>47.0</v>
      </c>
      <c r="D210" s="35" t="s">
        <v>2912</v>
      </c>
      <c r="E210" s="35">
        <v>46027.0</v>
      </c>
      <c r="F210" s="35">
        <v>0.0</v>
      </c>
      <c r="G210" s="35">
        <v>1.0</v>
      </c>
      <c r="H210" s="35">
        <v>0.0</v>
      </c>
      <c r="I210" s="35">
        <v>0.0</v>
      </c>
      <c r="J210" s="35"/>
      <c r="K210" s="35">
        <v>0.0</v>
      </c>
    </row>
    <row r="211" ht="15.75" customHeight="1">
      <c r="A211" s="35" t="s">
        <v>3093</v>
      </c>
      <c r="B211" s="35"/>
      <c r="C211" s="35">
        <v>47.0</v>
      </c>
      <c r="D211" s="35" t="s">
        <v>3094</v>
      </c>
      <c r="E211" s="35">
        <v>46027.0</v>
      </c>
      <c r="F211" s="35">
        <v>0.0</v>
      </c>
      <c r="G211" s="35">
        <v>6.0</v>
      </c>
      <c r="H211" s="35">
        <v>0.0</v>
      </c>
      <c r="I211" s="35">
        <v>0.0</v>
      </c>
      <c r="J211" s="35"/>
      <c r="K211" s="35">
        <v>0.0</v>
      </c>
    </row>
    <row r="212" ht="15.75" customHeight="1">
      <c r="A212" s="35" t="s">
        <v>3096</v>
      </c>
      <c r="B212" s="35"/>
      <c r="C212" s="35">
        <v>47.0</v>
      </c>
      <c r="D212" s="35" t="s">
        <v>3097</v>
      </c>
      <c r="E212" s="35">
        <v>46027.0</v>
      </c>
      <c r="F212" s="35">
        <v>0.0</v>
      </c>
      <c r="G212" s="35">
        <v>0.0</v>
      </c>
      <c r="H212" s="35">
        <v>0.0</v>
      </c>
      <c r="I212" s="35">
        <v>1.0</v>
      </c>
      <c r="J212" s="35"/>
      <c r="K212" s="35">
        <v>0.0</v>
      </c>
    </row>
    <row r="213" ht="15.75" customHeight="1">
      <c r="A213" s="35" t="s">
        <v>3099</v>
      </c>
      <c r="B213" s="35"/>
      <c r="C213" s="35">
        <v>47.0</v>
      </c>
      <c r="D213" s="35" t="s">
        <v>3100</v>
      </c>
      <c r="E213" s="35">
        <v>46027.0</v>
      </c>
      <c r="F213" s="35">
        <v>0.0</v>
      </c>
      <c r="G213" s="35">
        <v>3.0</v>
      </c>
      <c r="H213" s="35">
        <v>0.0</v>
      </c>
      <c r="I213" s="35">
        <v>0.0</v>
      </c>
      <c r="J213" s="35"/>
      <c r="K213" s="35">
        <v>0.0</v>
      </c>
    </row>
    <row r="214" ht="15.75" customHeight="1">
      <c r="A214" s="35" t="s">
        <v>3103</v>
      </c>
      <c r="B214" s="35"/>
      <c r="C214" s="35">
        <v>47.0</v>
      </c>
      <c r="D214" s="35" t="s">
        <v>3104</v>
      </c>
      <c r="E214" s="35">
        <v>46027.0</v>
      </c>
      <c r="F214" s="35">
        <v>0.0</v>
      </c>
      <c r="G214" s="35">
        <v>3.0</v>
      </c>
      <c r="H214" s="35">
        <v>0.0</v>
      </c>
      <c r="I214" s="35">
        <v>0.0</v>
      </c>
      <c r="J214" s="35"/>
      <c r="K214" s="35">
        <v>0.0</v>
      </c>
    </row>
    <row r="215" ht="15.75" customHeight="1">
      <c r="A215" s="35" t="s">
        <v>3106</v>
      </c>
      <c r="B215" s="35"/>
      <c r="C215" s="35">
        <v>47.0</v>
      </c>
      <c r="D215" s="35" t="s">
        <v>2679</v>
      </c>
      <c r="E215" s="35">
        <v>46027.0</v>
      </c>
      <c r="F215" s="35">
        <v>0.0</v>
      </c>
      <c r="G215" s="35">
        <v>2.0</v>
      </c>
      <c r="H215" s="35">
        <v>0.0</v>
      </c>
      <c r="I215" s="35">
        <v>0.0</v>
      </c>
      <c r="J215" s="35"/>
      <c r="K215" s="35">
        <v>0.0</v>
      </c>
    </row>
    <row r="216" ht="15.75" customHeight="1">
      <c r="A216" s="35" t="s">
        <v>3108</v>
      </c>
      <c r="B216" s="35"/>
      <c r="C216" s="35">
        <v>46.0</v>
      </c>
      <c r="D216" s="35" t="s">
        <v>3110</v>
      </c>
      <c r="E216" s="35">
        <v>46058.0</v>
      </c>
      <c r="F216" s="35">
        <v>0.0</v>
      </c>
      <c r="G216" s="35">
        <v>2.0</v>
      </c>
      <c r="H216" s="35">
        <v>0.0</v>
      </c>
      <c r="I216" s="35">
        <v>1.0</v>
      </c>
      <c r="J216" s="35"/>
      <c r="K216" s="35">
        <v>0.0</v>
      </c>
    </row>
    <row r="217" ht="15.75" customHeight="1">
      <c r="A217" s="35" t="s">
        <v>3112</v>
      </c>
      <c r="B217" s="35"/>
      <c r="C217" s="35">
        <v>46.0</v>
      </c>
      <c r="D217" s="35" t="s">
        <v>2451</v>
      </c>
      <c r="E217" s="35">
        <v>46027.0</v>
      </c>
      <c r="F217" s="35">
        <v>0.0</v>
      </c>
      <c r="G217" s="35">
        <v>1.0</v>
      </c>
      <c r="H217" s="35">
        <v>0.0</v>
      </c>
      <c r="I217" s="35">
        <v>0.0</v>
      </c>
      <c r="J217" s="35"/>
      <c r="K217" s="35">
        <v>0.0</v>
      </c>
    </row>
    <row r="218" ht="15.75" customHeight="1">
      <c r="A218" s="35" t="s">
        <v>3115</v>
      </c>
      <c r="B218" s="35"/>
      <c r="C218" s="35">
        <v>46.0</v>
      </c>
      <c r="D218" s="35" t="s">
        <v>3117</v>
      </c>
      <c r="E218" s="35">
        <v>46027.0</v>
      </c>
      <c r="F218" s="35">
        <v>0.0</v>
      </c>
      <c r="G218" s="35">
        <v>2.0</v>
      </c>
      <c r="H218" s="35">
        <v>0.0</v>
      </c>
      <c r="I218" s="35">
        <v>0.0</v>
      </c>
      <c r="J218" s="35"/>
      <c r="K218" s="35">
        <v>0.0</v>
      </c>
    </row>
    <row r="219" ht="15.75" customHeight="1">
      <c r="A219" s="35" t="s">
        <v>3118</v>
      </c>
      <c r="B219" s="35"/>
      <c r="C219" s="35">
        <v>46.0</v>
      </c>
      <c r="D219" s="35" t="s">
        <v>3120</v>
      </c>
      <c r="E219" s="35">
        <v>46027.0</v>
      </c>
      <c r="F219" s="35">
        <v>0.0</v>
      </c>
      <c r="G219" s="35">
        <v>2.0</v>
      </c>
      <c r="H219" s="35">
        <v>0.0</v>
      </c>
      <c r="I219" s="35">
        <v>0.0</v>
      </c>
      <c r="J219" s="35"/>
      <c r="K219" s="35">
        <v>0.0</v>
      </c>
    </row>
    <row r="220" ht="15.75" customHeight="1">
      <c r="A220" s="35" t="s">
        <v>3122</v>
      </c>
      <c r="B220" s="35"/>
      <c r="C220" s="35">
        <v>46.0</v>
      </c>
      <c r="D220" s="35" t="s">
        <v>3124</v>
      </c>
      <c r="E220" s="35">
        <v>46027.0</v>
      </c>
      <c r="F220" s="35">
        <v>0.0</v>
      </c>
      <c r="G220" s="35">
        <v>2.0</v>
      </c>
      <c r="H220" s="35">
        <v>0.0</v>
      </c>
      <c r="I220" s="35">
        <v>0.0</v>
      </c>
      <c r="J220" s="35"/>
      <c r="K220" s="35">
        <v>0.0</v>
      </c>
    </row>
    <row r="221" ht="15.75" customHeight="1">
      <c r="A221" s="35" t="s">
        <v>3126</v>
      </c>
      <c r="B221" s="35"/>
      <c r="C221" s="35">
        <v>46.0</v>
      </c>
      <c r="D221" s="35" t="s">
        <v>3128</v>
      </c>
      <c r="E221" s="35">
        <v>46027.0</v>
      </c>
      <c r="F221" s="35">
        <v>0.0</v>
      </c>
      <c r="G221" s="35">
        <v>4.0</v>
      </c>
      <c r="H221" s="35">
        <v>0.0</v>
      </c>
      <c r="I221" s="35">
        <v>0.0</v>
      </c>
      <c r="J221" s="35"/>
      <c r="K221" s="35">
        <v>0.0</v>
      </c>
    </row>
    <row r="222" ht="15.75" customHeight="1">
      <c r="A222" s="35" t="s">
        <v>3131</v>
      </c>
      <c r="B222" s="35"/>
      <c r="C222" s="35">
        <v>46.0</v>
      </c>
      <c r="D222" s="35" t="s">
        <v>3008</v>
      </c>
      <c r="E222" s="35">
        <v>46027.0</v>
      </c>
      <c r="F222" s="35">
        <v>0.0</v>
      </c>
      <c r="G222" s="35">
        <v>9.0</v>
      </c>
      <c r="H222" s="35">
        <v>0.0</v>
      </c>
      <c r="I222" s="35">
        <v>0.0</v>
      </c>
      <c r="J222" s="35"/>
      <c r="K222" s="35">
        <v>0.0</v>
      </c>
    </row>
    <row r="223" ht="15.75" customHeight="1">
      <c r="A223" s="35" t="s">
        <v>3134</v>
      </c>
      <c r="B223" s="35"/>
      <c r="C223" s="35">
        <v>46.0</v>
      </c>
      <c r="D223" s="35" t="s">
        <v>3135</v>
      </c>
      <c r="E223" s="35">
        <v>46027.0</v>
      </c>
      <c r="F223" s="35">
        <v>0.0</v>
      </c>
      <c r="G223" s="35">
        <v>0.0</v>
      </c>
      <c r="H223" s="35">
        <v>0.0</v>
      </c>
      <c r="I223" s="35">
        <v>1.0</v>
      </c>
      <c r="J223" s="35"/>
      <c r="K223" s="35">
        <v>0.0</v>
      </c>
    </row>
    <row r="224" ht="15.75" customHeight="1">
      <c r="A224" s="35" t="s">
        <v>3138</v>
      </c>
      <c r="B224" s="35"/>
      <c r="C224" s="35">
        <v>46.0</v>
      </c>
      <c r="D224" s="35" t="s">
        <v>3139</v>
      </c>
      <c r="E224" s="35">
        <v>46027.0</v>
      </c>
      <c r="F224" s="35">
        <v>0.0</v>
      </c>
      <c r="G224" s="35">
        <v>1.0</v>
      </c>
      <c r="H224" s="35">
        <v>0.0</v>
      </c>
      <c r="I224" s="35">
        <v>0.0</v>
      </c>
      <c r="J224" s="35"/>
      <c r="K224" s="35">
        <v>0.0</v>
      </c>
    </row>
    <row r="225" ht="15.75" customHeight="1">
      <c r="A225" s="35" t="s">
        <v>3142</v>
      </c>
      <c r="B225" s="35"/>
      <c r="C225" s="35">
        <v>46.0</v>
      </c>
      <c r="D225" s="35" t="s">
        <v>3144</v>
      </c>
      <c r="E225" s="35">
        <v>46027.0</v>
      </c>
      <c r="F225" s="35">
        <v>0.0</v>
      </c>
      <c r="G225" s="35">
        <v>10.0</v>
      </c>
      <c r="H225" s="35">
        <v>0.0</v>
      </c>
      <c r="I225" s="35">
        <v>0.0</v>
      </c>
      <c r="J225" s="35"/>
      <c r="K225" s="35">
        <v>0.0</v>
      </c>
    </row>
    <row r="226" ht="15.75" customHeight="1">
      <c r="A226" s="35" t="s">
        <v>3145</v>
      </c>
      <c r="B226" s="35"/>
      <c r="C226" s="35">
        <v>46.0</v>
      </c>
      <c r="D226" s="35" t="s">
        <v>3146</v>
      </c>
      <c r="E226" s="35">
        <v>46027.0</v>
      </c>
      <c r="F226" s="35">
        <v>0.0</v>
      </c>
      <c r="G226" s="35">
        <v>2.0</v>
      </c>
      <c r="H226" s="35">
        <v>0.0</v>
      </c>
      <c r="I226" s="35">
        <v>0.0</v>
      </c>
      <c r="J226" s="35"/>
      <c r="K226" s="35">
        <v>0.0</v>
      </c>
    </row>
    <row r="227" ht="15.75" customHeight="1">
      <c r="A227" s="35" t="s">
        <v>3148</v>
      </c>
      <c r="B227" s="35"/>
      <c r="C227" s="35">
        <v>46.0</v>
      </c>
      <c r="D227" s="35" t="s">
        <v>3149</v>
      </c>
      <c r="E227" s="35">
        <v>46027.0</v>
      </c>
      <c r="F227" s="35">
        <v>0.0</v>
      </c>
      <c r="G227" s="35">
        <v>3.0</v>
      </c>
      <c r="H227" s="35">
        <v>0.0</v>
      </c>
      <c r="I227" s="35">
        <v>0.0</v>
      </c>
      <c r="J227" s="35"/>
      <c r="K227" s="35">
        <v>0.0</v>
      </c>
    </row>
    <row r="228" ht="15.75" customHeight="1">
      <c r="A228" s="35" t="s">
        <v>3150</v>
      </c>
      <c r="B228" s="35"/>
      <c r="C228" s="35">
        <v>46.0</v>
      </c>
      <c r="D228" s="35" t="s">
        <v>3151</v>
      </c>
      <c r="E228" s="35">
        <v>46027.0</v>
      </c>
      <c r="F228" s="35">
        <v>0.0</v>
      </c>
      <c r="G228" s="35">
        <v>0.0</v>
      </c>
      <c r="H228" s="35">
        <v>0.0</v>
      </c>
      <c r="I228" s="35">
        <v>0.0</v>
      </c>
      <c r="J228" s="35"/>
      <c r="K228" s="35">
        <v>3.0</v>
      </c>
    </row>
    <row r="229" ht="15.75" customHeight="1">
      <c r="A229" s="35" t="s">
        <v>3154</v>
      </c>
      <c r="B229" s="35"/>
      <c r="C229" s="35">
        <v>46.0</v>
      </c>
      <c r="D229" s="35" t="s">
        <v>2515</v>
      </c>
      <c r="E229" s="35">
        <v>46027.0</v>
      </c>
      <c r="F229" s="35">
        <v>0.0</v>
      </c>
      <c r="G229" s="35">
        <v>0.0</v>
      </c>
      <c r="H229" s="35">
        <v>1.0</v>
      </c>
      <c r="I229" s="35">
        <v>0.0</v>
      </c>
      <c r="J229" s="35"/>
      <c r="K229" s="35">
        <v>0.0</v>
      </c>
    </row>
    <row r="230" ht="15.75" customHeight="1">
      <c r="A230" s="35" t="s">
        <v>3156</v>
      </c>
      <c r="B230" s="35"/>
      <c r="C230" s="35">
        <v>46.0</v>
      </c>
      <c r="D230" s="35" t="s">
        <v>3157</v>
      </c>
      <c r="E230" s="35">
        <v>46027.0</v>
      </c>
      <c r="F230" s="35">
        <v>0.0</v>
      </c>
      <c r="G230" s="35">
        <v>2.0</v>
      </c>
      <c r="H230" s="35">
        <v>0.0</v>
      </c>
      <c r="I230" s="35">
        <v>0.0</v>
      </c>
      <c r="J230" s="35"/>
      <c r="K230" s="35">
        <v>0.0</v>
      </c>
    </row>
    <row r="231" ht="15.75" customHeight="1">
      <c r="A231" s="35" t="s">
        <v>3158</v>
      </c>
      <c r="B231" s="35"/>
      <c r="C231" s="35">
        <v>46.0</v>
      </c>
      <c r="D231" s="35" t="s">
        <v>3160</v>
      </c>
      <c r="E231" s="35">
        <v>46027.0</v>
      </c>
      <c r="F231" s="35">
        <v>0.0</v>
      </c>
      <c r="G231" s="35">
        <v>1.0</v>
      </c>
      <c r="H231" s="35">
        <v>0.0</v>
      </c>
      <c r="I231" s="35">
        <v>0.0</v>
      </c>
      <c r="J231" s="35"/>
      <c r="K231" s="35">
        <v>0.0</v>
      </c>
    </row>
    <row r="232" ht="15.75" customHeight="1">
      <c r="A232" s="35" t="s">
        <v>992</v>
      </c>
      <c r="B232" s="35"/>
      <c r="C232" s="35">
        <v>45.0</v>
      </c>
      <c r="D232" s="35" t="s">
        <v>3162</v>
      </c>
      <c r="E232" s="35">
        <v>46058.0</v>
      </c>
      <c r="F232" s="35">
        <v>0.0</v>
      </c>
      <c r="G232" s="35">
        <v>20.0</v>
      </c>
      <c r="H232" s="35">
        <v>4.0</v>
      </c>
      <c r="I232" s="35">
        <v>0.0</v>
      </c>
      <c r="J232" s="35"/>
      <c r="K232" s="35">
        <v>0.0</v>
      </c>
    </row>
    <row r="233" ht="15.75" customHeight="1">
      <c r="A233" s="35" t="s">
        <v>3163</v>
      </c>
      <c r="B233" s="35"/>
      <c r="C233" s="35">
        <v>45.0</v>
      </c>
      <c r="D233" s="35" t="s">
        <v>3164</v>
      </c>
      <c r="E233" s="35">
        <v>46027.0</v>
      </c>
      <c r="F233" s="35">
        <v>0.0</v>
      </c>
      <c r="G233" s="35">
        <v>8.0</v>
      </c>
      <c r="H233" s="35">
        <v>0.0</v>
      </c>
      <c r="I233" s="35">
        <v>0.0</v>
      </c>
      <c r="J233" s="35"/>
      <c r="K233" s="35">
        <v>0.0</v>
      </c>
    </row>
    <row r="234" ht="15.75" customHeight="1">
      <c r="A234" s="35" t="s">
        <v>3165</v>
      </c>
      <c r="B234" s="35"/>
      <c r="C234" s="35">
        <v>45.0</v>
      </c>
      <c r="D234" s="35" t="s">
        <v>3166</v>
      </c>
      <c r="E234" s="35">
        <v>46027.0</v>
      </c>
      <c r="F234" s="35">
        <v>0.0</v>
      </c>
      <c r="G234" s="35">
        <v>4.0</v>
      </c>
      <c r="H234" s="35">
        <v>0.0</v>
      </c>
      <c r="I234" s="35">
        <v>0.0</v>
      </c>
      <c r="J234" s="35"/>
      <c r="K234" s="35">
        <v>0.0</v>
      </c>
    </row>
    <row r="235" ht="15.75" customHeight="1">
      <c r="A235" s="35" t="s">
        <v>994</v>
      </c>
      <c r="B235" s="35"/>
      <c r="C235" s="35">
        <v>45.0</v>
      </c>
      <c r="D235" s="35" t="s">
        <v>2916</v>
      </c>
      <c r="E235" s="35">
        <v>46027.0</v>
      </c>
      <c r="F235" s="35">
        <v>0.0</v>
      </c>
      <c r="G235" s="35">
        <v>3.0</v>
      </c>
      <c r="H235" s="35">
        <v>0.0</v>
      </c>
      <c r="I235" s="35">
        <v>0.0</v>
      </c>
      <c r="J235" s="35"/>
      <c r="K235" s="35">
        <v>0.0</v>
      </c>
    </row>
    <row r="236" ht="15.75" customHeight="1">
      <c r="A236" s="35" t="s">
        <v>3168</v>
      </c>
      <c r="B236" s="35"/>
      <c r="C236" s="35">
        <v>45.0</v>
      </c>
      <c r="D236" s="35" t="s">
        <v>2826</v>
      </c>
      <c r="E236" s="35">
        <v>46027.0</v>
      </c>
      <c r="F236" s="35">
        <v>0.0</v>
      </c>
      <c r="G236" s="35">
        <v>24.0</v>
      </c>
      <c r="H236" s="35">
        <v>0.0</v>
      </c>
      <c r="I236" s="35">
        <v>0.0</v>
      </c>
      <c r="J236" s="35"/>
      <c r="K236" s="35">
        <v>0.0</v>
      </c>
    </row>
    <row r="237" ht="15.75" customHeight="1">
      <c r="A237" s="35" t="s">
        <v>996</v>
      </c>
      <c r="B237" s="35"/>
      <c r="C237" s="35">
        <v>45.0</v>
      </c>
      <c r="D237" s="35" t="s">
        <v>2709</v>
      </c>
      <c r="E237" s="35">
        <v>46027.0</v>
      </c>
      <c r="F237" s="35">
        <v>0.0</v>
      </c>
      <c r="G237" s="35">
        <v>0.0</v>
      </c>
      <c r="H237" s="35">
        <v>0.0</v>
      </c>
      <c r="I237" s="35">
        <v>0.0</v>
      </c>
      <c r="J237" s="35"/>
      <c r="K237" s="35">
        <v>1.0</v>
      </c>
    </row>
    <row r="238" ht="15.75" customHeight="1">
      <c r="A238" s="35" t="s">
        <v>3171</v>
      </c>
      <c r="B238" s="35"/>
      <c r="C238" s="35">
        <v>45.0</v>
      </c>
      <c r="D238" s="35" t="s">
        <v>3172</v>
      </c>
      <c r="E238" s="35">
        <v>46027.0</v>
      </c>
      <c r="F238" s="35">
        <v>0.0</v>
      </c>
      <c r="G238" s="35">
        <v>0.0</v>
      </c>
      <c r="H238" s="35">
        <v>10.0</v>
      </c>
      <c r="I238" s="35">
        <v>0.0</v>
      </c>
      <c r="J238" s="35"/>
      <c r="K238" s="35">
        <v>0.0</v>
      </c>
    </row>
    <row r="239" ht="15.75" customHeight="1">
      <c r="A239" s="35" t="s">
        <v>3173</v>
      </c>
      <c r="B239" s="35"/>
      <c r="C239" s="35">
        <v>45.0</v>
      </c>
      <c r="D239" s="35" t="s">
        <v>3175</v>
      </c>
      <c r="E239" s="35">
        <v>46027.0</v>
      </c>
      <c r="F239" s="35">
        <v>0.0</v>
      </c>
      <c r="G239" s="35">
        <v>5.0</v>
      </c>
      <c r="H239" s="35">
        <v>0.0</v>
      </c>
      <c r="I239" s="35">
        <v>0.0</v>
      </c>
      <c r="J239" s="35"/>
      <c r="K239" s="35">
        <v>0.0</v>
      </c>
    </row>
    <row r="240" ht="15.75" customHeight="1">
      <c r="A240" s="35" t="s">
        <v>3176</v>
      </c>
      <c r="B240" s="35"/>
      <c r="C240" s="35">
        <v>45.0</v>
      </c>
      <c r="D240" s="35" t="s">
        <v>2607</v>
      </c>
      <c r="E240" s="35">
        <v>46027.0</v>
      </c>
      <c r="F240" s="35">
        <v>0.0</v>
      </c>
      <c r="G240" s="35">
        <v>29.0</v>
      </c>
      <c r="H240" s="35">
        <v>0.0</v>
      </c>
      <c r="I240" s="35">
        <v>0.0</v>
      </c>
      <c r="J240" s="35"/>
      <c r="K240" s="35">
        <v>0.0</v>
      </c>
    </row>
    <row r="241" ht="15.75" customHeight="1">
      <c r="A241" s="35" t="s">
        <v>3178</v>
      </c>
      <c r="B241" s="35"/>
      <c r="C241" s="35">
        <v>45.0</v>
      </c>
      <c r="D241" s="35" t="s">
        <v>3179</v>
      </c>
      <c r="E241" s="35">
        <v>46027.0</v>
      </c>
      <c r="F241" s="35">
        <v>0.0</v>
      </c>
      <c r="G241" s="35">
        <v>0.0</v>
      </c>
      <c r="H241" s="35">
        <v>0.0</v>
      </c>
      <c r="I241" s="35">
        <v>1.0</v>
      </c>
      <c r="J241" s="35"/>
      <c r="K241" s="35">
        <v>0.0</v>
      </c>
    </row>
    <row r="242" ht="15.75" customHeight="1">
      <c r="A242" s="35" t="s">
        <v>3181</v>
      </c>
      <c r="B242" s="35"/>
      <c r="C242" s="35">
        <v>45.0</v>
      </c>
      <c r="D242" s="35" t="s">
        <v>3182</v>
      </c>
      <c r="E242" s="35">
        <v>46027.0</v>
      </c>
      <c r="F242" s="35">
        <v>0.0</v>
      </c>
      <c r="G242" s="35">
        <v>1.0</v>
      </c>
      <c r="H242" s="35">
        <v>0.0</v>
      </c>
      <c r="I242" s="35">
        <v>0.0</v>
      </c>
      <c r="J242" s="35"/>
      <c r="K242" s="35">
        <v>0.0</v>
      </c>
    </row>
    <row r="243" ht="15.75" customHeight="1">
      <c r="A243" s="35" t="s">
        <v>998</v>
      </c>
      <c r="B243" s="35"/>
      <c r="C243" s="35">
        <v>45.0</v>
      </c>
      <c r="D243" s="35" t="s">
        <v>3184</v>
      </c>
      <c r="E243" s="35">
        <v>46027.0</v>
      </c>
      <c r="F243" s="35">
        <v>0.0</v>
      </c>
      <c r="G243" s="35">
        <v>1.0</v>
      </c>
      <c r="H243" s="35">
        <v>0.0</v>
      </c>
      <c r="I243" s="35">
        <v>0.0</v>
      </c>
      <c r="J243" s="35"/>
      <c r="K243" s="35">
        <v>0.0</v>
      </c>
    </row>
    <row r="244" ht="15.75" customHeight="1">
      <c r="A244" s="35" t="s">
        <v>3186</v>
      </c>
      <c r="B244" s="35"/>
      <c r="C244" s="35">
        <v>45.0</v>
      </c>
      <c r="D244" s="35" t="s">
        <v>3187</v>
      </c>
      <c r="E244" s="35">
        <v>46027.0</v>
      </c>
      <c r="F244" s="35">
        <v>0.0</v>
      </c>
      <c r="G244" s="35">
        <v>4.0</v>
      </c>
      <c r="H244" s="35">
        <v>0.0</v>
      </c>
      <c r="I244" s="35">
        <v>0.0</v>
      </c>
      <c r="J244" s="35"/>
      <c r="K244" s="35">
        <v>0.0</v>
      </c>
    </row>
    <row r="245" ht="15.75" customHeight="1">
      <c r="A245" s="35" t="s">
        <v>1000</v>
      </c>
      <c r="B245" s="35"/>
      <c r="C245" s="35">
        <v>45.0</v>
      </c>
      <c r="D245" s="35" t="s">
        <v>3189</v>
      </c>
      <c r="E245" s="35">
        <v>46027.0</v>
      </c>
      <c r="F245" s="35">
        <v>0.0</v>
      </c>
      <c r="G245" s="35">
        <v>157.0</v>
      </c>
      <c r="H245" s="35">
        <v>0.0</v>
      </c>
      <c r="I245" s="35">
        <v>0.0</v>
      </c>
      <c r="J245" s="35"/>
      <c r="K245" s="35">
        <v>0.0</v>
      </c>
    </row>
    <row r="246" ht="15.75" customHeight="1">
      <c r="A246" s="35" t="s">
        <v>3190</v>
      </c>
      <c r="B246" s="35"/>
      <c r="C246" s="35">
        <v>45.0</v>
      </c>
      <c r="D246" s="35" t="s">
        <v>3191</v>
      </c>
      <c r="E246" s="35">
        <v>46027.0</v>
      </c>
      <c r="F246" s="35">
        <v>0.0</v>
      </c>
      <c r="G246" s="35">
        <v>2.0</v>
      </c>
      <c r="H246" s="35">
        <v>0.0</v>
      </c>
      <c r="I246" s="35">
        <v>0.0</v>
      </c>
      <c r="J246" s="35"/>
      <c r="K246" s="35">
        <v>0.0</v>
      </c>
    </row>
    <row r="247" ht="15.75" customHeight="1">
      <c r="A247" s="35" t="s">
        <v>3193</v>
      </c>
      <c r="B247" s="35"/>
      <c r="C247" s="35">
        <v>45.0</v>
      </c>
      <c r="D247" s="35" t="s">
        <v>3194</v>
      </c>
      <c r="E247" s="35">
        <v>46027.0</v>
      </c>
      <c r="F247" s="35">
        <v>0.0</v>
      </c>
      <c r="G247" s="35">
        <v>1.0</v>
      </c>
      <c r="H247" s="35">
        <v>0.0</v>
      </c>
      <c r="I247" s="35">
        <v>0.0</v>
      </c>
      <c r="J247" s="35"/>
      <c r="K247" s="35">
        <v>0.0</v>
      </c>
    </row>
    <row r="248" ht="15.75" customHeight="1">
      <c r="A248" s="35" t="s">
        <v>3195</v>
      </c>
      <c r="B248" s="35"/>
      <c r="C248" s="35">
        <v>44.0</v>
      </c>
      <c r="D248" s="35" t="s">
        <v>3196</v>
      </c>
      <c r="E248" s="35">
        <v>46086.0</v>
      </c>
      <c r="F248" s="35">
        <v>0.0</v>
      </c>
      <c r="G248" s="35">
        <v>7.0</v>
      </c>
      <c r="H248" s="35">
        <v>1.0</v>
      </c>
      <c r="I248" s="35">
        <v>1.0</v>
      </c>
      <c r="J248" s="35"/>
      <c r="K248" s="35">
        <v>0.0</v>
      </c>
    </row>
    <row r="249" ht="15.75" customHeight="1">
      <c r="A249" s="35" t="s">
        <v>3198</v>
      </c>
      <c r="B249" s="35"/>
      <c r="C249" s="35">
        <v>44.0</v>
      </c>
      <c r="D249" s="35" t="s">
        <v>3199</v>
      </c>
      <c r="E249" s="35">
        <v>46027.0</v>
      </c>
      <c r="F249" s="35">
        <v>0.0</v>
      </c>
      <c r="G249" s="35">
        <v>8.0</v>
      </c>
      <c r="H249" s="35">
        <v>0.0</v>
      </c>
      <c r="I249" s="35">
        <v>0.0</v>
      </c>
      <c r="J249" s="35"/>
      <c r="K249" s="35">
        <v>0.0</v>
      </c>
    </row>
    <row r="250" ht="15.75" customHeight="1">
      <c r="A250" s="35" t="s">
        <v>3200</v>
      </c>
      <c r="B250" s="35"/>
      <c r="C250" s="35">
        <v>44.0</v>
      </c>
      <c r="D250" s="35" t="s">
        <v>3201</v>
      </c>
      <c r="E250" s="35">
        <v>46027.0</v>
      </c>
      <c r="F250" s="35">
        <v>0.0</v>
      </c>
      <c r="G250" s="35">
        <v>2.0</v>
      </c>
      <c r="H250" s="35">
        <v>0.0</v>
      </c>
      <c r="I250" s="35">
        <v>0.0</v>
      </c>
      <c r="J250" s="35"/>
      <c r="K250" s="35">
        <v>0.0</v>
      </c>
    </row>
    <row r="251" ht="15.75" customHeight="1">
      <c r="A251" s="35" t="s">
        <v>3203</v>
      </c>
      <c r="B251" s="35"/>
      <c r="C251" s="35">
        <v>44.0</v>
      </c>
      <c r="D251" s="35" t="s">
        <v>3204</v>
      </c>
      <c r="E251" s="35">
        <v>46027.0</v>
      </c>
      <c r="F251" s="35">
        <v>0.0</v>
      </c>
      <c r="G251" s="35">
        <v>2.0</v>
      </c>
      <c r="H251" s="35">
        <v>0.0</v>
      </c>
      <c r="I251" s="35">
        <v>0.0</v>
      </c>
      <c r="J251" s="35"/>
      <c r="K251" s="35">
        <v>0.0</v>
      </c>
    </row>
    <row r="252" ht="15.75" customHeight="1">
      <c r="A252" s="35" t="s">
        <v>3205</v>
      </c>
      <c r="B252" s="35"/>
      <c r="C252" s="35">
        <v>44.0</v>
      </c>
      <c r="D252" s="35" t="s">
        <v>3206</v>
      </c>
      <c r="E252" s="35">
        <v>46027.0</v>
      </c>
      <c r="F252" s="35">
        <v>0.0</v>
      </c>
      <c r="G252" s="35">
        <v>0.0</v>
      </c>
      <c r="H252" s="35">
        <v>4.0</v>
      </c>
      <c r="I252" s="35">
        <v>0.0</v>
      </c>
      <c r="J252" s="35"/>
      <c r="K252" s="35">
        <v>0.0</v>
      </c>
    </row>
    <row r="253" ht="15.75" customHeight="1">
      <c r="A253" s="35" t="s">
        <v>3208</v>
      </c>
      <c r="B253" s="35"/>
      <c r="C253" s="35">
        <v>44.0</v>
      </c>
      <c r="D253" s="35" t="s">
        <v>3209</v>
      </c>
      <c r="E253" s="35">
        <v>46027.0</v>
      </c>
      <c r="F253" s="35">
        <v>0.0</v>
      </c>
      <c r="G253" s="35">
        <v>3.0</v>
      </c>
      <c r="H253" s="35">
        <v>0.0</v>
      </c>
      <c r="I253" s="35">
        <v>0.0</v>
      </c>
      <c r="J253" s="35"/>
      <c r="K253" s="35">
        <v>0.0</v>
      </c>
    </row>
    <row r="254" ht="15.75" customHeight="1">
      <c r="A254" s="35" t="s">
        <v>3210</v>
      </c>
      <c r="B254" s="35"/>
      <c r="C254" s="35">
        <v>44.0</v>
      </c>
      <c r="D254" s="35" t="s">
        <v>3211</v>
      </c>
      <c r="E254" s="35">
        <v>46027.0</v>
      </c>
      <c r="F254" s="35">
        <v>0.0</v>
      </c>
      <c r="G254" s="35">
        <v>11.0</v>
      </c>
      <c r="H254" s="35">
        <v>0.0</v>
      </c>
      <c r="I254" s="35">
        <v>0.0</v>
      </c>
      <c r="J254" s="35"/>
      <c r="K254" s="35">
        <v>0.0</v>
      </c>
    </row>
    <row r="255" ht="15.75" customHeight="1">
      <c r="A255" s="35" t="s">
        <v>3213</v>
      </c>
      <c r="B255" s="35"/>
      <c r="C255" s="35">
        <v>44.0</v>
      </c>
      <c r="D255" s="35" t="s">
        <v>3214</v>
      </c>
      <c r="E255" s="35">
        <v>46027.0</v>
      </c>
      <c r="F255" s="35">
        <v>0.0</v>
      </c>
      <c r="G255" s="35">
        <v>0.0</v>
      </c>
      <c r="H255" s="35">
        <v>0.0</v>
      </c>
      <c r="I255" s="35">
        <v>1.0</v>
      </c>
      <c r="J255" s="35"/>
      <c r="K255" s="35">
        <v>0.0</v>
      </c>
    </row>
    <row r="256" ht="15.75" customHeight="1">
      <c r="A256" s="35" t="s">
        <v>3215</v>
      </c>
      <c r="B256" s="35"/>
      <c r="C256" s="35">
        <v>44.0</v>
      </c>
      <c r="D256" s="35" t="s">
        <v>3216</v>
      </c>
      <c r="E256" s="35">
        <v>46027.0</v>
      </c>
      <c r="F256" s="35">
        <v>0.0</v>
      </c>
      <c r="G256" s="35">
        <v>1.0</v>
      </c>
      <c r="H256" s="35">
        <v>0.0</v>
      </c>
      <c r="I256" s="35">
        <v>0.0</v>
      </c>
      <c r="J256" s="35"/>
      <c r="K256" s="35">
        <v>0.0</v>
      </c>
    </row>
    <row r="257" ht="15.75" customHeight="1">
      <c r="A257" s="35" t="s">
        <v>3217</v>
      </c>
      <c r="B257" s="35"/>
      <c r="C257" s="35">
        <v>44.0</v>
      </c>
      <c r="D257" s="35" t="s">
        <v>3218</v>
      </c>
      <c r="E257" s="35">
        <v>46027.0</v>
      </c>
      <c r="F257" s="35">
        <v>0.0</v>
      </c>
      <c r="G257" s="35">
        <v>2.0</v>
      </c>
      <c r="H257" s="35">
        <v>0.0</v>
      </c>
      <c r="I257" s="35">
        <v>0.0</v>
      </c>
      <c r="J257" s="35"/>
      <c r="K257" s="35">
        <v>0.0</v>
      </c>
    </row>
    <row r="258" ht="15.75" customHeight="1">
      <c r="A258" s="35" t="s">
        <v>3220</v>
      </c>
      <c r="B258" s="35"/>
      <c r="C258" s="35">
        <v>44.0</v>
      </c>
      <c r="D258" s="35" t="s">
        <v>3221</v>
      </c>
      <c r="E258" s="35">
        <v>46027.0</v>
      </c>
      <c r="F258" s="35">
        <v>0.0</v>
      </c>
      <c r="G258" s="35">
        <v>0.0</v>
      </c>
      <c r="H258" s="35">
        <v>1.0</v>
      </c>
      <c r="I258" s="35">
        <v>0.0</v>
      </c>
      <c r="J258" s="35"/>
      <c r="K258" s="35">
        <v>0.0</v>
      </c>
    </row>
    <row r="259" ht="15.75" customHeight="1">
      <c r="A259" s="35" t="s">
        <v>3222</v>
      </c>
      <c r="B259" s="35"/>
      <c r="C259" s="35">
        <v>44.0</v>
      </c>
      <c r="D259" s="35" t="s">
        <v>3223</v>
      </c>
      <c r="E259" s="35">
        <v>46027.0</v>
      </c>
      <c r="F259" s="35">
        <v>0.0</v>
      </c>
      <c r="G259" s="35">
        <v>2.0</v>
      </c>
      <c r="H259" s="35">
        <v>0.0</v>
      </c>
      <c r="I259" s="35">
        <v>0.0</v>
      </c>
      <c r="J259" s="35"/>
      <c r="K259" s="35">
        <v>0.0</v>
      </c>
    </row>
    <row r="260" ht="15.75" customHeight="1">
      <c r="A260" s="35" t="s">
        <v>3224</v>
      </c>
      <c r="B260" s="35"/>
      <c r="C260" s="35">
        <v>44.0</v>
      </c>
      <c r="D260" s="35" t="s">
        <v>3225</v>
      </c>
      <c r="E260" s="35">
        <v>46027.0</v>
      </c>
      <c r="F260" s="35">
        <v>0.0</v>
      </c>
      <c r="G260" s="35">
        <v>1.0</v>
      </c>
      <c r="H260" s="35">
        <v>0.0</v>
      </c>
      <c r="I260" s="35">
        <v>0.0</v>
      </c>
      <c r="J260" s="35"/>
      <c r="K260" s="35">
        <v>0.0</v>
      </c>
    </row>
    <row r="261" ht="15.75" customHeight="1">
      <c r="A261" s="35" t="s">
        <v>3227</v>
      </c>
      <c r="B261" s="35"/>
      <c r="C261" s="35">
        <v>44.0</v>
      </c>
      <c r="D261" s="35" t="s">
        <v>3228</v>
      </c>
      <c r="E261" s="35">
        <v>46027.0</v>
      </c>
      <c r="F261" s="35">
        <v>0.0</v>
      </c>
      <c r="G261" s="35">
        <v>3.0</v>
      </c>
      <c r="H261" s="35">
        <v>0.0</v>
      </c>
      <c r="I261" s="35">
        <v>0.0</v>
      </c>
      <c r="J261" s="35"/>
      <c r="K261" s="35">
        <v>0.0</v>
      </c>
    </row>
    <row r="262" ht="15.75" customHeight="1">
      <c r="A262" s="35" t="s">
        <v>3229</v>
      </c>
      <c r="B262" s="35"/>
      <c r="C262" s="35">
        <v>44.0</v>
      </c>
      <c r="D262" s="35" t="s">
        <v>3230</v>
      </c>
      <c r="E262" s="35">
        <v>46027.0</v>
      </c>
      <c r="F262" s="35">
        <v>0.0</v>
      </c>
      <c r="G262" s="35">
        <v>5.0</v>
      </c>
      <c r="H262" s="35">
        <v>0.0</v>
      </c>
      <c r="I262" s="35">
        <v>0.0</v>
      </c>
      <c r="J262" s="35"/>
      <c r="K262" s="35">
        <v>0.0</v>
      </c>
    </row>
    <row r="263" ht="15.75" customHeight="1">
      <c r="A263" s="35" t="s">
        <v>3231</v>
      </c>
      <c r="B263" s="35"/>
      <c r="C263" s="35">
        <v>44.0</v>
      </c>
      <c r="D263" s="35" t="s">
        <v>3233</v>
      </c>
      <c r="E263" s="35">
        <v>46027.0</v>
      </c>
      <c r="F263" s="35">
        <v>0.0</v>
      </c>
      <c r="G263" s="35">
        <v>10.0</v>
      </c>
      <c r="H263" s="35">
        <v>0.0</v>
      </c>
      <c r="I263" s="35">
        <v>0.0</v>
      </c>
      <c r="J263" s="35"/>
      <c r="K263" s="35">
        <v>0.0</v>
      </c>
    </row>
    <row r="264" ht="15.75" customHeight="1">
      <c r="A264" s="35" t="s">
        <v>3234</v>
      </c>
      <c r="B264" s="35"/>
      <c r="C264" s="35">
        <v>44.0</v>
      </c>
      <c r="D264" s="35" t="s">
        <v>3235</v>
      </c>
      <c r="E264" s="35">
        <v>46027.0</v>
      </c>
      <c r="F264" s="35">
        <v>0.0</v>
      </c>
      <c r="G264" s="35">
        <v>1.0</v>
      </c>
      <c r="H264" s="35">
        <v>0.0</v>
      </c>
      <c r="I264" s="35">
        <v>0.0</v>
      </c>
      <c r="J264" s="35"/>
      <c r="K264" s="35">
        <v>0.0</v>
      </c>
    </row>
    <row r="265" ht="15.75" customHeight="1">
      <c r="A265" s="35" t="s">
        <v>3236</v>
      </c>
      <c r="B265" s="35"/>
      <c r="C265" s="35">
        <v>44.0</v>
      </c>
      <c r="D265" s="35" t="s">
        <v>3237</v>
      </c>
      <c r="E265" s="35">
        <v>46027.0</v>
      </c>
      <c r="F265" s="35">
        <v>0.0</v>
      </c>
      <c r="G265" s="35">
        <v>1.0</v>
      </c>
      <c r="H265" s="35">
        <v>0.0</v>
      </c>
      <c r="I265" s="35">
        <v>0.0</v>
      </c>
      <c r="J265" s="35"/>
      <c r="K265" s="35">
        <v>0.0</v>
      </c>
    </row>
    <row r="266" ht="15.75" customHeight="1">
      <c r="A266" s="35" t="s">
        <v>3239</v>
      </c>
      <c r="B266" s="35"/>
      <c r="C266" s="35">
        <v>44.0</v>
      </c>
      <c r="D266" s="35" t="s">
        <v>3240</v>
      </c>
      <c r="E266" s="35">
        <v>46027.0</v>
      </c>
      <c r="F266" s="35">
        <v>0.0</v>
      </c>
      <c r="G266" s="35">
        <v>1.0</v>
      </c>
      <c r="H266" s="35">
        <v>0.0</v>
      </c>
      <c r="I266" s="35">
        <v>0.0</v>
      </c>
      <c r="J266" s="35"/>
      <c r="K266" s="35">
        <v>0.0</v>
      </c>
    </row>
    <row r="267" ht="15.75" customHeight="1">
      <c r="A267" s="35" t="s">
        <v>3241</v>
      </c>
      <c r="B267" s="35"/>
      <c r="C267" s="35">
        <v>44.0</v>
      </c>
      <c r="D267" s="35" t="s">
        <v>2643</v>
      </c>
      <c r="E267" s="35">
        <v>46027.0</v>
      </c>
      <c r="F267" s="35">
        <v>0.0</v>
      </c>
      <c r="G267" s="35">
        <v>43.0</v>
      </c>
      <c r="H267" s="35">
        <v>0.0</v>
      </c>
      <c r="I267" s="35">
        <v>0.0</v>
      </c>
      <c r="J267" s="35"/>
      <c r="K267" s="35">
        <v>0.0</v>
      </c>
    </row>
    <row r="268" ht="15.75" customHeight="1">
      <c r="A268" s="35" t="s">
        <v>3242</v>
      </c>
      <c r="B268" s="35"/>
      <c r="C268" s="35">
        <v>44.0</v>
      </c>
      <c r="D268" s="35" t="s">
        <v>3243</v>
      </c>
      <c r="E268" s="35">
        <v>46027.0</v>
      </c>
      <c r="F268" s="35">
        <v>0.0</v>
      </c>
      <c r="G268" s="35">
        <v>1.0</v>
      </c>
      <c r="H268" s="35">
        <v>0.0</v>
      </c>
      <c r="I268" s="35">
        <v>0.0</v>
      </c>
      <c r="J268" s="35"/>
      <c r="K268" s="35">
        <v>0.0</v>
      </c>
    </row>
    <row r="269" ht="15.75" customHeight="1">
      <c r="A269" s="35" t="s">
        <v>3245</v>
      </c>
      <c r="B269" s="35"/>
      <c r="C269" s="35">
        <v>44.0</v>
      </c>
      <c r="D269" s="35" t="s">
        <v>3246</v>
      </c>
      <c r="E269" s="35">
        <v>46027.0</v>
      </c>
      <c r="F269" s="35">
        <v>0.0</v>
      </c>
      <c r="G269" s="35">
        <v>1.0</v>
      </c>
      <c r="H269" s="35">
        <v>0.0</v>
      </c>
      <c r="I269" s="35">
        <v>0.0</v>
      </c>
      <c r="J269" s="35"/>
      <c r="K269" s="35">
        <v>0.0</v>
      </c>
    </row>
    <row r="270" ht="15.75" customHeight="1">
      <c r="A270" s="35" t="s">
        <v>3247</v>
      </c>
      <c r="B270" s="35"/>
      <c r="C270" s="35">
        <v>43.0</v>
      </c>
      <c r="D270" s="35" t="s">
        <v>3248</v>
      </c>
      <c r="E270" s="35">
        <v>46027.0</v>
      </c>
      <c r="F270" s="35">
        <v>0.0</v>
      </c>
      <c r="G270" s="35">
        <v>4.0</v>
      </c>
      <c r="H270" s="35">
        <v>0.0</v>
      </c>
      <c r="I270" s="35">
        <v>0.0</v>
      </c>
      <c r="J270" s="35"/>
      <c r="K270" s="35">
        <v>0.0</v>
      </c>
    </row>
    <row r="271" ht="15.75" customHeight="1">
      <c r="A271" s="35" t="s">
        <v>1002</v>
      </c>
      <c r="B271" s="35"/>
      <c r="C271" s="35">
        <v>43.0</v>
      </c>
      <c r="D271" s="35" t="s">
        <v>3250</v>
      </c>
      <c r="E271" s="35">
        <v>46027.0</v>
      </c>
      <c r="F271" s="35">
        <v>0.0</v>
      </c>
      <c r="G271" s="35">
        <v>1624.0</v>
      </c>
      <c r="H271" s="35">
        <v>0.0</v>
      </c>
      <c r="I271" s="35">
        <v>0.0</v>
      </c>
      <c r="J271" s="35"/>
      <c r="K271" s="35">
        <v>0.0</v>
      </c>
    </row>
    <row r="272" ht="15.75" customHeight="1">
      <c r="A272" s="35" t="s">
        <v>3251</v>
      </c>
      <c r="B272" s="35"/>
      <c r="C272" s="35">
        <v>43.0</v>
      </c>
      <c r="D272" s="35" t="s">
        <v>3253</v>
      </c>
      <c r="E272" s="35">
        <v>46027.0</v>
      </c>
      <c r="F272" s="35">
        <v>0.0</v>
      </c>
      <c r="G272" s="35">
        <v>0.0</v>
      </c>
      <c r="H272" s="35">
        <v>1.0</v>
      </c>
      <c r="I272" s="35">
        <v>0.0</v>
      </c>
      <c r="J272" s="35"/>
      <c r="K272" s="35">
        <v>0.0</v>
      </c>
    </row>
    <row r="273" ht="15.75" customHeight="1">
      <c r="A273" s="35" t="s">
        <v>3254</v>
      </c>
      <c r="B273" s="35"/>
      <c r="C273" s="35">
        <v>43.0</v>
      </c>
      <c r="D273" s="35" t="s">
        <v>3256</v>
      </c>
      <c r="E273" s="35">
        <v>46027.0</v>
      </c>
      <c r="F273" s="35">
        <v>0.0</v>
      </c>
      <c r="G273" s="35">
        <v>1.0</v>
      </c>
      <c r="H273" s="35">
        <v>0.0</v>
      </c>
      <c r="I273" s="35">
        <v>0.0</v>
      </c>
      <c r="J273" s="35"/>
      <c r="K273" s="35">
        <v>0.0</v>
      </c>
    </row>
    <row r="274" ht="15.75" customHeight="1">
      <c r="A274" s="35" t="s">
        <v>3257</v>
      </c>
      <c r="B274" s="35"/>
      <c r="C274" s="35">
        <v>43.0</v>
      </c>
      <c r="D274" s="35" t="s">
        <v>3260</v>
      </c>
      <c r="E274" s="35">
        <v>46027.0</v>
      </c>
      <c r="F274" s="35">
        <v>0.0</v>
      </c>
      <c r="G274" s="35">
        <v>1.0</v>
      </c>
      <c r="H274" s="35">
        <v>0.0</v>
      </c>
      <c r="I274" s="35">
        <v>0.0</v>
      </c>
      <c r="J274" s="35"/>
      <c r="K274" s="35">
        <v>0.0</v>
      </c>
    </row>
    <row r="275" ht="15.75" customHeight="1">
      <c r="A275" s="35" t="s">
        <v>3262</v>
      </c>
      <c r="B275" s="35"/>
      <c r="C275" s="35">
        <v>43.0</v>
      </c>
      <c r="D275" s="35" t="s">
        <v>3263</v>
      </c>
      <c r="E275" s="35">
        <v>46027.0</v>
      </c>
      <c r="F275" s="35">
        <v>0.0</v>
      </c>
      <c r="G275" s="35">
        <v>1.0</v>
      </c>
      <c r="H275" s="35">
        <v>0.0</v>
      </c>
      <c r="I275" s="35">
        <v>0.0</v>
      </c>
      <c r="J275" s="35"/>
      <c r="K275" s="35">
        <v>0.0</v>
      </c>
    </row>
    <row r="276" ht="15.75" customHeight="1">
      <c r="A276" s="35" t="s">
        <v>3265</v>
      </c>
      <c r="B276" s="35"/>
      <c r="C276" s="35">
        <v>43.0</v>
      </c>
      <c r="D276" s="35" t="s">
        <v>2476</v>
      </c>
      <c r="E276" s="35">
        <v>46027.0</v>
      </c>
      <c r="F276" s="35">
        <v>0.0</v>
      </c>
      <c r="G276" s="35">
        <v>0.0</v>
      </c>
      <c r="H276" s="35">
        <v>1.0</v>
      </c>
      <c r="I276" s="35">
        <v>0.0</v>
      </c>
      <c r="J276" s="35"/>
      <c r="K276" s="35">
        <v>0.0</v>
      </c>
    </row>
    <row r="277" ht="15.75" customHeight="1">
      <c r="A277" s="35" t="s">
        <v>3268</v>
      </c>
      <c r="B277" s="35"/>
      <c r="C277" s="35">
        <v>43.0</v>
      </c>
      <c r="D277" s="35" t="s">
        <v>3270</v>
      </c>
      <c r="E277" s="35">
        <v>46027.0</v>
      </c>
      <c r="F277" s="35">
        <v>0.0</v>
      </c>
      <c r="G277" s="35">
        <v>1.0</v>
      </c>
      <c r="H277" s="35">
        <v>0.0</v>
      </c>
      <c r="I277" s="35">
        <v>0.0</v>
      </c>
      <c r="J277" s="35"/>
      <c r="K277" s="35">
        <v>0.0</v>
      </c>
    </row>
    <row r="278" ht="15.75" customHeight="1">
      <c r="A278" s="35" t="s">
        <v>3274</v>
      </c>
      <c r="B278" s="35"/>
      <c r="C278" s="35">
        <v>43.0</v>
      </c>
      <c r="D278" s="35" t="s">
        <v>3276</v>
      </c>
      <c r="E278" s="35">
        <v>46027.0</v>
      </c>
      <c r="F278" s="35">
        <v>0.0</v>
      </c>
      <c r="G278" s="35">
        <v>1.0</v>
      </c>
      <c r="H278" s="35">
        <v>0.0</v>
      </c>
      <c r="I278" s="35">
        <v>0.0</v>
      </c>
      <c r="J278" s="35"/>
      <c r="K278" s="35">
        <v>0.0</v>
      </c>
    </row>
    <row r="279" ht="15.75" customHeight="1">
      <c r="A279" s="35" t="s">
        <v>3277</v>
      </c>
      <c r="B279" s="35"/>
      <c r="C279" s="35">
        <v>43.0</v>
      </c>
      <c r="D279" s="35" t="s">
        <v>3279</v>
      </c>
      <c r="E279" s="35">
        <v>46027.0</v>
      </c>
      <c r="F279" s="35">
        <v>0.0</v>
      </c>
      <c r="G279" s="35">
        <v>4.0</v>
      </c>
      <c r="H279" s="35">
        <v>0.0</v>
      </c>
      <c r="I279" s="35">
        <v>0.0</v>
      </c>
      <c r="J279" s="35"/>
      <c r="K279" s="35">
        <v>0.0</v>
      </c>
    </row>
    <row r="280" ht="15.75" customHeight="1">
      <c r="A280" s="35" t="s">
        <v>3280</v>
      </c>
      <c r="B280" s="35"/>
      <c r="C280" s="35">
        <v>43.0</v>
      </c>
      <c r="D280" s="35" t="s">
        <v>3282</v>
      </c>
      <c r="E280" s="35">
        <v>46027.0</v>
      </c>
      <c r="F280" s="35">
        <v>0.0</v>
      </c>
      <c r="G280" s="35">
        <v>1.0</v>
      </c>
      <c r="H280" s="35">
        <v>0.0</v>
      </c>
      <c r="I280" s="35">
        <v>0.0</v>
      </c>
      <c r="J280" s="35"/>
      <c r="K280" s="35">
        <v>0.0</v>
      </c>
    </row>
    <row r="281" ht="15.75" customHeight="1">
      <c r="A281" s="35" t="s">
        <v>3284</v>
      </c>
      <c r="B281" s="35"/>
      <c r="C281" s="35">
        <v>43.0</v>
      </c>
      <c r="D281" s="35" t="s">
        <v>3285</v>
      </c>
      <c r="E281" s="35">
        <v>46027.0</v>
      </c>
      <c r="F281" s="35">
        <v>0.0</v>
      </c>
      <c r="G281" s="35">
        <v>0.0</v>
      </c>
      <c r="H281" s="35">
        <v>0.0</v>
      </c>
      <c r="I281" s="35">
        <v>2.0</v>
      </c>
      <c r="J281" s="35"/>
      <c r="K281" s="35">
        <v>0.0</v>
      </c>
    </row>
    <row r="282" ht="15.75" customHeight="1">
      <c r="A282" s="35" t="s">
        <v>3287</v>
      </c>
      <c r="B282" s="35"/>
      <c r="C282" s="35">
        <v>42.0</v>
      </c>
      <c r="D282" s="35" t="s">
        <v>3288</v>
      </c>
      <c r="E282" s="35">
        <v>46058.0</v>
      </c>
      <c r="F282" s="35">
        <v>0.0</v>
      </c>
      <c r="G282" s="35">
        <v>5.0</v>
      </c>
      <c r="H282" s="35">
        <v>1.0</v>
      </c>
      <c r="I282" s="35">
        <v>0.0</v>
      </c>
      <c r="J282" s="35"/>
      <c r="K282" s="35">
        <v>0.0</v>
      </c>
    </row>
    <row r="283" ht="15.75" customHeight="1">
      <c r="A283" s="35" t="s">
        <v>3290</v>
      </c>
      <c r="B283" s="35"/>
      <c r="C283" s="35">
        <v>42.0</v>
      </c>
      <c r="D283" s="35" t="s">
        <v>3293</v>
      </c>
      <c r="E283" s="35">
        <v>46058.0</v>
      </c>
      <c r="F283" s="35">
        <v>0.0</v>
      </c>
      <c r="G283" s="35">
        <v>13.0</v>
      </c>
      <c r="H283" s="35">
        <v>0.0</v>
      </c>
      <c r="I283" s="35">
        <v>45.0</v>
      </c>
      <c r="J283" s="35"/>
      <c r="K283" s="35">
        <v>0.0</v>
      </c>
    </row>
    <row r="284" ht="15.75" customHeight="1">
      <c r="A284" s="35" t="s">
        <v>1004</v>
      </c>
      <c r="B284" s="35"/>
      <c r="C284" s="35">
        <v>42.0</v>
      </c>
      <c r="D284" s="35" t="s">
        <v>3296</v>
      </c>
      <c r="E284" s="35">
        <v>46027.0</v>
      </c>
      <c r="F284" s="35">
        <v>0.0</v>
      </c>
      <c r="G284" s="35">
        <v>0.0</v>
      </c>
      <c r="H284" s="35">
        <v>0.0</v>
      </c>
      <c r="I284" s="35">
        <v>2.0</v>
      </c>
      <c r="J284" s="35"/>
      <c r="K284" s="35">
        <v>0.0</v>
      </c>
    </row>
    <row r="285" ht="15.75" customHeight="1">
      <c r="A285" s="35" t="s">
        <v>3298</v>
      </c>
      <c r="B285" s="35"/>
      <c r="C285" s="35">
        <v>42.0</v>
      </c>
      <c r="D285" s="35" t="s">
        <v>3184</v>
      </c>
      <c r="E285" s="35">
        <v>46027.0</v>
      </c>
      <c r="F285" s="35">
        <v>0.0</v>
      </c>
      <c r="G285" s="35">
        <v>1.0</v>
      </c>
      <c r="H285" s="35">
        <v>0.0</v>
      </c>
      <c r="I285" s="35">
        <v>0.0</v>
      </c>
      <c r="J285" s="35"/>
      <c r="K285" s="35">
        <v>0.0</v>
      </c>
    </row>
    <row r="286" ht="15.75" customHeight="1">
      <c r="A286" s="35" t="s">
        <v>3299</v>
      </c>
      <c r="B286" s="35"/>
      <c r="C286" s="35">
        <v>42.0</v>
      </c>
      <c r="D286" s="35" t="s">
        <v>3301</v>
      </c>
      <c r="E286" s="35">
        <v>46027.0</v>
      </c>
      <c r="F286" s="35">
        <v>0.0</v>
      </c>
      <c r="G286" s="35">
        <v>3.0</v>
      </c>
      <c r="H286" s="35">
        <v>0.0</v>
      </c>
      <c r="I286" s="35">
        <v>0.0</v>
      </c>
      <c r="J286" s="35"/>
      <c r="K286" s="35">
        <v>0.0</v>
      </c>
    </row>
    <row r="287" ht="15.75" customHeight="1">
      <c r="A287" s="35" t="s">
        <v>3303</v>
      </c>
      <c r="B287" s="35"/>
      <c r="C287" s="35">
        <v>42.0</v>
      </c>
      <c r="D287" s="35" t="s">
        <v>2751</v>
      </c>
      <c r="E287" s="35">
        <v>46027.0</v>
      </c>
      <c r="F287" s="35">
        <v>0.0</v>
      </c>
      <c r="G287" s="35">
        <v>1.0</v>
      </c>
      <c r="H287" s="35">
        <v>0.0</v>
      </c>
      <c r="I287" s="35">
        <v>0.0</v>
      </c>
      <c r="J287" s="35"/>
      <c r="K287" s="35">
        <v>0.0</v>
      </c>
    </row>
    <row r="288" ht="15.75" customHeight="1">
      <c r="A288" s="35" t="s">
        <v>3304</v>
      </c>
      <c r="B288" s="35"/>
      <c r="C288" s="35">
        <v>42.0</v>
      </c>
      <c r="D288" s="35" t="s">
        <v>3305</v>
      </c>
      <c r="E288" s="35">
        <v>46027.0</v>
      </c>
      <c r="F288" s="35">
        <v>0.0</v>
      </c>
      <c r="G288" s="35">
        <v>5.0</v>
      </c>
      <c r="H288" s="35">
        <v>0.0</v>
      </c>
      <c r="I288" s="35">
        <v>0.0</v>
      </c>
      <c r="J288" s="35"/>
      <c r="K288" s="35">
        <v>0.0</v>
      </c>
    </row>
    <row r="289" ht="15.75" customHeight="1">
      <c r="A289" s="35" t="s">
        <v>3306</v>
      </c>
      <c r="B289" s="35"/>
      <c r="C289" s="35">
        <v>42.0</v>
      </c>
      <c r="D289" s="35" t="s">
        <v>2769</v>
      </c>
      <c r="E289" s="35">
        <v>46027.0</v>
      </c>
      <c r="F289" s="35">
        <v>0.0</v>
      </c>
      <c r="G289" s="35">
        <v>5.0</v>
      </c>
      <c r="H289" s="35">
        <v>0.0</v>
      </c>
      <c r="I289" s="35">
        <v>0.0</v>
      </c>
      <c r="J289" s="35"/>
      <c r="K289" s="35">
        <v>0.0</v>
      </c>
    </row>
    <row r="290" ht="15.75" customHeight="1">
      <c r="A290" s="35" t="s">
        <v>3308</v>
      </c>
      <c r="B290" s="35"/>
      <c r="C290" s="35">
        <v>42.0</v>
      </c>
      <c r="D290" s="35" t="s">
        <v>3309</v>
      </c>
      <c r="E290" s="35">
        <v>46027.0</v>
      </c>
      <c r="F290" s="35">
        <v>0.0</v>
      </c>
      <c r="G290" s="35">
        <v>2.0</v>
      </c>
      <c r="H290" s="35">
        <v>0.0</v>
      </c>
      <c r="I290" s="35">
        <v>0.0</v>
      </c>
      <c r="J290" s="35"/>
      <c r="K290" s="35">
        <v>0.0</v>
      </c>
    </row>
    <row r="291" ht="15.75" customHeight="1">
      <c r="A291" s="35" t="s">
        <v>3310</v>
      </c>
      <c r="B291" s="35"/>
      <c r="C291" s="35">
        <v>42.0</v>
      </c>
      <c r="D291" s="35" t="s">
        <v>3311</v>
      </c>
      <c r="E291" s="35">
        <v>46027.0</v>
      </c>
      <c r="F291" s="35">
        <v>0.0</v>
      </c>
      <c r="G291" s="35">
        <v>2.0</v>
      </c>
      <c r="H291" s="35">
        <v>0.0</v>
      </c>
      <c r="I291" s="35">
        <v>0.0</v>
      </c>
      <c r="J291" s="35"/>
      <c r="K291" s="35">
        <v>0.0</v>
      </c>
    </row>
    <row r="292" ht="15.75" customHeight="1">
      <c r="A292" s="35" t="s">
        <v>3313</v>
      </c>
      <c r="B292" s="35"/>
      <c r="C292" s="35">
        <v>42.0</v>
      </c>
      <c r="D292" s="35" t="s">
        <v>3314</v>
      </c>
      <c r="E292" s="35">
        <v>46027.0</v>
      </c>
      <c r="F292" s="35">
        <v>0.0</v>
      </c>
      <c r="G292" s="35">
        <v>0.0</v>
      </c>
      <c r="H292" s="35">
        <v>1.0</v>
      </c>
      <c r="I292" s="35">
        <v>0.0</v>
      </c>
      <c r="J292" s="35"/>
      <c r="K292" s="35">
        <v>0.0</v>
      </c>
    </row>
    <row r="293" ht="15.75" customHeight="1">
      <c r="A293" s="35" t="s">
        <v>3316</v>
      </c>
      <c r="B293" s="35"/>
      <c r="C293" s="35">
        <v>42.0</v>
      </c>
      <c r="D293" s="35" t="s">
        <v>3318</v>
      </c>
      <c r="E293" s="35">
        <v>46027.0</v>
      </c>
      <c r="F293" s="35">
        <v>0.0</v>
      </c>
      <c r="G293" s="35">
        <v>58.0</v>
      </c>
      <c r="H293" s="35">
        <v>0.0</v>
      </c>
      <c r="I293" s="35">
        <v>0.0</v>
      </c>
      <c r="J293" s="35"/>
      <c r="K293" s="35">
        <v>0.0</v>
      </c>
    </row>
    <row r="294" ht="15.75" customHeight="1">
      <c r="A294" s="35" t="s">
        <v>3319</v>
      </c>
      <c r="B294" s="35"/>
      <c r="C294" s="35">
        <v>42.0</v>
      </c>
      <c r="D294" s="35" t="s">
        <v>2024</v>
      </c>
      <c r="E294" s="35">
        <v>46027.0</v>
      </c>
      <c r="F294" s="35">
        <v>0.0</v>
      </c>
      <c r="G294" s="35">
        <v>2.0</v>
      </c>
      <c r="H294" s="35">
        <v>0.0</v>
      </c>
      <c r="I294" s="35">
        <v>0.0</v>
      </c>
      <c r="J294" s="35"/>
      <c r="K294" s="35">
        <v>0.0</v>
      </c>
    </row>
    <row r="295" ht="15.75" customHeight="1">
      <c r="A295" s="35" t="s">
        <v>3320</v>
      </c>
      <c r="B295" s="35"/>
      <c r="C295" s="35">
        <v>42.0</v>
      </c>
      <c r="D295" s="35" t="s">
        <v>2643</v>
      </c>
      <c r="E295" s="35">
        <v>46027.0</v>
      </c>
      <c r="F295" s="35">
        <v>0.0</v>
      </c>
      <c r="G295" s="35">
        <v>7.0</v>
      </c>
      <c r="H295" s="35">
        <v>0.0</v>
      </c>
      <c r="I295" s="35">
        <v>0.0</v>
      </c>
      <c r="J295" s="35"/>
      <c r="K295" s="35">
        <v>0.0</v>
      </c>
    </row>
    <row r="296" ht="15.75" customHeight="1">
      <c r="A296" s="35" t="s">
        <v>3321</v>
      </c>
      <c r="B296" s="35"/>
      <c r="C296" s="35">
        <v>42.0</v>
      </c>
      <c r="D296" s="35" t="s">
        <v>3322</v>
      </c>
      <c r="E296" s="35">
        <v>46027.0</v>
      </c>
      <c r="F296" s="35">
        <v>0.0</v>
      </c>
      <c r="G296" s="35">
        <v>1.0</v>
      </c>
      <c r="H296" s="35">
        <v>0.0</v>
      </c>
      <c r="I296" s="35">
        <v>0.0</v>
      </c>
      <c r="J296" s="35"/>
      <c r="K296" s="35">
        <v>0.0</v>
      </c>
    </row>
    <row r="297" ht="15.75" customHeight="1">
      <c r="A297" s="35" t="s">
        <v>3324</v>
      </c>
      <c r="B297" s="35"/>
      <c r="C297" s="35">
        <v>42.0</v>
      </c>
      <c r="D297" s="35" t="s">
        <v>3325</v>
      </c>
      <c r="E297" s="35">
        <v>46027.0</v>
      </c>
      <c r="F297" s="35">
        <v>0.0</v>
      </c>
      <c r="G297" s="35">
        <v>0.0</v>
      </c>
      <c r="H297" s="35">
        <v>0.0</v>
      </c>
      <c r="I297" s="35">
        <v>0.0</v>
      </c>
      <c r="J297" s="35"/>
      <c r="K297" s="35">
        <v>31.0</v>
      </c>
    </row>
    <row r="298" ht="15.75" customHeight="1">
      <c r="A298" s="35" t="s">
        <v>3326</v>
      </c>
      <c r="B298" s="35"/>
      <c r="C298" s="35">
        <v>42.0</v>
      </c>
      <c r="D298" s="35" t="s">
        <v>3327</v>
      </c>
      <c r="E298" s="35">
        <v>46027.0</v>
      </c>
      <c r="F298" s="35">
        <v>0.0</v>
      </c>
      <c r="G298" s="35">
        <v>3.0</v>
      </c>
      <c r="H298" s="35">
        <v>0.0</v>
      </c>
      <c r="I298" s="35">
        <v>0.0</v>
      </c>
      <c r="J298" s="35"/>
      <c r="K298" s="35">
        <v>0.0</v>
      </c>
    </row>
    <row r="299" ht="15.75" customHeight="1">
      <c r="A299" s="35" t="s">
        <v>3328</v>
      </c>
      <c r="B299" s="35"/>
      <c r="C299" s="35">
        <v>42.0</v>
      </c>
      <c r="D299" s="35" t="s">
        <v>3329</v>
      </c>
      <c r="E299" s="35">
        <v>46027.0</v>
      </c>
      <c r="F299" s="35">
        <v>0.0</v>
      </c>
      <c r="G299" s="35">
        <v>1.0</v>
      </c>
      <c r="H299" s="35">
        <v>0.0</v>
      </c>
      <c r="I299" s="35">
        <v>0.0</v>
      </c>
      <c r="J299" s="35"/>
      <c r="K299" s="35">
        <v>0.0</v>
      </c>
    </row>
    <row r="300" ht="15.75" customHeight="1">
      <c r="A300" s="35" t="s">
        <v>3331</v>
      </c>
      <c r="B300" s="35"/>
      <c r="C300" s="35">
        <v>42.0</v>
      </c>
      <c r="D300" s="35" t="s">
        <v>3332</v>
      </c>
      <c r="E300" s="35">
        <v>46027.0</v>
      </c>
      <c r="F300" s="35">
        <v>0.0</v>
      </c>
      <c r="G300" s="35">
        <v>30.0</v>
      </c>
      <c r="H300" s="35">
        <v>0.0</v>
      </c>
      <c r="I300" s="35">
        <v>0.0</v>
      </c>
      <c r="J300" s="35"/>
      <c r="K300" s="35">
        <v>0.0</v>
      </c>
    </row>
    <row r="301" ht="15.75" customHeight="1">
      <c r="A301" s="35" t="s">
        <v>3333</v>
      </c>
      <c r="B301" s="35"/>
      <c r="C301" s="35">
        <v>42.0</v>
      </c>
      <c r="D301" s="35" t="s">
        <v>3334</v>
      </c>
      <c r="E301" s="35">
        <v>46027.0</v>
      </c>
      <c r="F301" s="35">
        <v>0.0</v>
      </c>
      <c r="G301" s="35">
        <v>2.0</v>
      </c>
      <c r="H301" s="35">
        <v>0.0</v>
      </c>
      <c r="I301" s="35">
        <v>0.0</v>
      </c>
      <c r="J301" s="35"/>
      <c r="K301" s="35">
        <v>0.0</v>
      </c>
    </row>
    <row r="302" ht="15.75" customHeight="1">
      <c r="A302" s="35" t="s">
        <v>3335</v>
      </c>
      <c r="B302" s="35"/>
      <c r="C302" s="35">
        <v>42.0</v>
      </c>
      <c r="D302" s="35" t="s">
        <v>3336</v>
      </c>
      <c r="E302" s="35">
        <v>46027.0</v>
      </c>
      <c r="F302" s="35">
        <v>0.0</v>
      </c>
      <c r="G302" s="35">
        <v>2.0</v>
      </c>
      <c r="H302" s="35">
        <v>0.0</v>
      </c>
      <c r="I302" s="35">
        <v>0.0</v>
      </c>
      <c r="J302" s="35"/>
      <c r="K302" s="35">
        <v>0.0</v>
      </c>
    </row>
    <row r="303" ht="15.75" customHeight="1">
      <c r="A303" s="35" t="s">
        <v>3338</v>
      </c>
      <c r="B303" s="35"/>
      <c r="C303" s="35">
        <v>41.0</v>
      </c>
      <c r="D303" s="35" t="s">
        <v>3339</v>
      </c>
      <c r="E303" s="35">
        <v>46058.0</v>
      </c>
      <c r="F303" s="35">
        <v>0.0</v>
      </c>
      <c r="G303" s="35">
        <v>7.0</v>
      </c>
      <c r="H303" s="35">
        <v>1.0</v>
      </c>
      <c r="I303" s="35">
        <v>0.0</v>
      </c>
      <c r="J303" s="35"/>
      <c r="K303" s="35">
        <v>0.0</v>
      </c>
    </row>
    <row r="304" ht="15.75" customHeight="1">
      <c r="A304" s="35" t="s">
        <v>3340</v>
      </c>
      <c r="B304" s="35"/>
      <c r="C304" s="35">
        <v>41.0</v>
      </c>
      <c r="D304" s="35" t="s">
        <v>3341</v>
      </c>
      <c r="E304" s="35">
        <v>46058.0</v>
      </c>
      <c r="F304" s="35">
        <v>0.0</v>
      </c>
      <c r="G304" s="35">
        <v>2.0</v>
      </c>
      <c r="H304" s="35">
        <v>2.0</v>
      </c>
      <c r="I304" s="35">
        <v>0.0</v>
      </c>
      <c r="J304" s="35"/>
      <c r="K304" s="35">
        <v>0.0</v>
      </c>
    </row>
    <row r="305" ht="15.75" customHeight="1">
      <c r="A305" s="35" t="s">
        <v>3342</v>
      </c>
      <c r="B305" s="35"/>
      <c r="C305" s="35">
        <v>41.0</v>
      </c>
      <c r="D305" s="35" t="s">
        <v>3020</v>
      </c>
      <c r="E305" s="35">
        <v>46027.0</v>
      </c>
      <c r="F305" s="35">
        <v>0.0</v>
      </c>
      <c r="G305" s="35">
        <v>1.0</v>
      </c>
      <c r="H305" s="35">
        <v>0.0</v>
      </c>
      <c r="I305" s="35">
        <v>0.0</v>
      </c>
      <c r="J305" s="35"/>
      <c r="K305" s="35">
        <v>0.0</v>
      </c>
    </row>
    <row r="306" ht="15.75" customHeight="1">
      <c r="A306" s="35" t="s">
        <v>3344</v>
      </c>
      <c r="B306" s="35"/>
      <c r="C306" s="35">
        <v>41.0</v>
      </c>
      <c r="D306" s="35" t="s">
        <v>3253</v>
      </c>
      <c r="E306" s="35">
        <v>46027.0</v>
      </c>
      <c r="F306" s="35">
        <v>0.0</v>
      </c>
      <c r="G306" s="35">
        <v>1.0</v>
      </c>
      <c r="H306" s="35">
        <v>0.0</v>
      </c>
      <c r="I306" s="35">
        <v>0.0</v>
      </c>
      <c r="J306" s="35"/>
      <c r="K306" s="35">
        <v>0.0</v>
      </c>
    </row>
    <row r="307" ht="15.75" customHeight="1">
      <c r="A307" s="35" t="s">
        <v>3345</v>
      </c>
      <c r="B307" s="35"/>
      <c r="C307" s="35">
        <v>41.0</v>
      </c>
      <c r="D307" s="35" t="s">
        <v>2916</v>
      </c>
      <c r="E307" s="35">
        <v>46027.0</v>
      </c>
      <c r="F307" s="35">
        <v>0.0</v>
      </c>
      <c r="G307" s="35">
        <v>1.0</v>
      </c>
      <c r="H307" s="35">
        <v>0.0</v>
      </c>
      <c r="I307" s="35">
        <v>0.0</v>
      </c>
      <c r="J307" s="35"/>
      <c r="K307" s="35">
        <v>0.0</v>
      </c>
    </row>
    <row r="308" ht="15.75" customHeight="1">
      <c r="A308" s="35" t="s">
        <v>3347</v>
      </c>
      <c r="B308" s="35"/>
      <c r="C308" s="35">
        <v>41.0</v>
      </c>
      <c r="D308" s="35" t="s">
        <v>3348</v>
      </c>
      <c r="E308" s="35">
        <v>46027.0</v>
      </c>
      <c r="F308" s="35">
        <v>0.0</v>
      </c>
      <c r="G308" s="35">
        <v>6.0</v>
      </c>
      <c r="H308" s="35">
        <v>0.0</v>
      </c>
      <c r="I308" s="35">
        <v>0.0</v>
      </c>
      <c r="J308" s="35"/>
      <c r="K308" s="35">
        <v>0.0</v>
      </c>
    </row>
    <row r="309" ht="15.75" customHeight="1">
      <c r="A309" s="35" t="s">
        <v>3349</v>
      </c>
      <c r="B309" s="35"/>
      <c r="C309" s="35">
        <v>41.0</v>
      </c>
      <c r="D309" s="35" t="s">
        <v>2515</v>
      </c>
      <c r="E309" s="35">
        <v>46027.0</v>
      </c>
      <c r="F309" s="35">
        <v>0.0</v>
      </c>
      <c r="G309" s="35">
        <v>1.0</v>
      </c>
      <c r="H309" s="35">
        <v>0.0</v>
      </c>
      <c r="I309" s="35">
        <v>0.0</v>
      </c>
      <c r="J309" s="35"/>
      <c r="K309" s="35">
        <v>0.0</v>
      </c>
    </row>
    <row r="310" ht="15.75" customHeight="1">
      <c r="A310" s="35" t="s">
        <v>3350</v>
      </c>
      <c r="B310" s="35"/>
      <c r="C310" s="35">
        <v>41.0</v>
      </c>
      <c r="D310" s="35" t="s">
        <v>3352</v>
      </c>
      <c r="E310" s="35">
        <v>46027.0</v>
      </c>
      <c r="F310" s="35">
        <v>0.0</v>
      </c>
      <c r="G310" s="35">
        <v>1.0</v>
      </c>
      <c r="H310" s="35">
        <v>0.0</v>
      </c>
      <c r="I310" s="35">
        <v>0.0</v>
      </c>
      <c r="J310" s="35"/>
      <c r="K310" s="35">
        <v>0.0</v>
      </c>
    </row>
    <row r="311" ht="15.75" customHeight="1">
      <c r="A311" s="35" t="s">
        <v>3353</v>
      </c>
      <c r="B311" s="35"/>
      <c r="C311" s="35">
        <v>41.0</v>
      </c>
      <c r="D311" s="35" t="s">
        <v>3355</v>
      </c>
      <c r="E311" s="35">
        <v>46027.0</v>
      </c>
      <c r="F311" s="35">
        <v>0.0</v>
      </c>
      <c r="G311" s="35">
        <v>1.0</v>
      </c>
      <c r="H311" s="35">
        <v>0.0</v>
      </c>
      <c r="I311" s="35">
        <v>0.0</v>
      </c>
      <c r="J311" s="35"/>
      <c r="K311" s="35">
        <v>0.0</v>
      </c>
    </row>
    <row r="312" ht="15.75" customHeight="1">
      <c r="A312" s="35" t="s">
        <v>3356</v>
      </c>
      <c r="B312" s="35"/>
      <c r="C312" s="35">
        <v>41.0</v>
      </c>
      <c r="D312" s="35" t="s">
        <v>3357</v>
      </c>
      <c r="E312" s="35">
        <v>46027.0</v>
      </c>
      <c r="F312" s="35">
        <v>0.0</v>
      </c>
      <c r="G312" s="35">
        <v>58.0</v>
      </c>
      <c r="H312" s="35">
        <v>0.0</v>
      </c>
      <c r="I312" s="35">
        <v>0.0</v>
      </c>
      <c r="J312" s="35"/>
      <c r="K312" s="35">
        <v>0.0</v>
      </c>
    </row>
    <row r="313" ht="15.75" customHeight="1">
      <c r="A313" s="35" t="s">
        <v>3359</v>
      </c>
      <c r="B313" s="35"/>
      <c r="C313" s="35">
        <v>41.0</v>
      </c>
      <c r="D313" s="35" t="s">
        <v>3360</v>
      </c>
      <c r="E313" s="35">
        <v>46027.0</v>
      </c>
      <c r="F313" s="35">
        <v>0.0</v>
      </c>
      <c r="G313" s="35">
        <v>3.0</v>
      </c>
      <c r="H313" s="35">
        <v>0.0</v>
      </c>
      <c r="I313" s="35">
        <v>0.0</v>
      </c>
      <c r="J313" s="35"/>
      <c r="K313" s="35">
        <v>0.0</v>
      </c>
    </row>
    <row r="314" ht="15.75" customHeight="1">
      <c r="A314" s="35" t="s">
        <v>3361</v>
      </c>
      <c r="B314" s="35"/>
      <c r="C314" s="35">
        <v>41.0</v>
      </c>
      <c r="D314" s="35" t="s">
        <v>3363</v>
      </c>
      <c r="E314" s="35">
        <v>46027.0</v>
      </c>
      <c r="F314" s="35">
        <v>0.0</v>
      </c>
      <c r="G314" s="35">
        <v>2.0</v>
      </c>
      <c r="H314" s="35">
        <v>0.0</v>
      </c>
      <c r="I314" s="35">
        <v>0.0</v>
      </c>
      <c r="J314" s="35"/>
      <c r="K314" s="35">
        <v>0.0</v>
      </c>
    </row>
    <row r="315" ht="15.75" customHeight="1">
      <c r="A315" s="35" t="s">
        <v>3364</v>
      </c>
      <c r="B315" s="35"/>
      <c r="C315" s="35">
        <v>41.0</v>
      </c>
      <c r="D315" s="35" t="s">
        <v>3366</v>
      </c>
      <c r="E315" s="35">
        <v>46027.0</v>
      </c>
      <c r="F315" s="35">
        <v>0.0</v>
      </c>
      <c r="G315" s="35">
        <v>1.0</v>
      </c>
      <c r="H315" s="35">
        <v>0.0</v>
      </c>
      <c r="I315" s="35">
        <v>0.0</v>
      </c>
      <c r="J315" s="35"/>
      <c r="K315" s="35">
        <v>0.0</v>
      </c>
    </row>
    <row r="316" ht="15.75" customHeight="1">
      <c r="A316" s="35" t="s">
        <v>3368</v>
      </c>
      <c r="B316" s="35"/>
      <c r="C316" s="35">
        <v>41.0</v>
      </c>
      <c r="D316" s="35" t="s">
        <v>2512</v>
      </c>
      <c r="E316" s="35">
        <v>46027.0</v>
      </c>
      <c r="F316" s="35">
        <v>0.0</v>
      </c>
      <c r="G316" s="35">
        <v>3.0</v>
      </c>
      <c r="H316" s="35">
        <v>0.0</v>
      </c>
      <c r="I316" s="35">
        <v>0.0</v>
      </c>
      <c r="J316" s="35"/>
      <c r="K316" s="35">
        <v>0.0</v>
      </c>
    </row>
    <row r="317" ht="15.75" customHeight="1">
      <c r="A317" s="35" t="s">
        <v>3370</v>
      </c>
      <c r="B317" s="35"/>
      <c r="C317" s="35">
        <v>41.0</v>
      </c>
      <c r="D317" s="35" t="s">
        <v>3372</v>
      </c>
      <c r="E317" s="35">
        <v>46027.0</v>
      </c>
      <c r="F317" s="35">
        <v>0.0</v>
      </c>
      <c r="G317" s="35">
        <v>0.0</v>
      </c>
      <c r="H317" s="35">
        <v>1.0</v>
      </c>
      <c r="I317" s="35">
        <v>0.0</v>
      </c>
      <c r="J317" s="35"/>
      <c r="K317" s="35">
        <v>0.0</v>
      </c>
    </row>
    <row r="318" ht="15.75" customHeight="1">
      <c r="A318" s="35" t="s">
        <v>3373</v>
      </c>
      <c r="B318" s="35"/>
      <c r="C318" s="35">
        <v>41.0</v>
      </c>
      <c r="D318" s="35" t="s">
        <v>3375</v>
      </c>
      <c r="E318" s="35">
        <v>46027.0</v>
      </c>
      <c r="F318" s="35">
        <v>0.0</v>
      </c>
      <c r="G318" s="35">
        <v>2.0</v>
      </c>
      <c r="H318" s="35">
        <v>0.0</v>
      </c>
      <c r="I318" s="35">
        <v>0.0</v>
      </c>
      <c r="J318" s="35"/>
      <c r="K318" s="35">
        <v>0.0</v>
      </c>
    </row>
    <row r="319" ht="15.75" customHeight="1">
      <c r="A319" s="35" t="s">
        <v>3377</v>
      </c>
      <c r="B319" s="35"/>
      <c r="C319" s="35">
        <v>41.0</v>
      </c>
      <c r="D319" s="35" t="s">
        <v>3233</v>
      </c>
      <c r="E319" s="35">
        <v>46027.0</v>
      </c>
      <c r="F319" s="35">
        <v>0.0</v>
      </c>
      <c r="G319" s="35">
        <v>1.0</v>
      </c>
      <c r="H319" s="35">
        <v>0.0</v>
      </c>
      <c r="I319" s="35">
        <v>0.0</v>
      </c>
      <c r="J319" s="35"/>
      <c r="K319" s="35">
        <v>0.0</v>
      </c>
    </row>
    <row r="320" ht="15.75" customHeight="1">
      <c r="A320" s="35" t="s">
        <v>3379</v>
      </c>
      <c r="B320" s="35"/>
      <c r="C320" s="35">
        <v>41.0</v>
      </c>
      <c r="D320" s="35" t="s">
        <v>3381</v>
      </c>
      <c r="E320" s="35">
        <v>46027.0</v>
      </c>
      <c r="F320" s="35">
        <v>0.0</v>
      </c>
      <c r="G320" s="35">
        <v>0.0</v>
      </c>
      <c r="H320" s="35">
        <v>0.0</v>
      </c>
      <c r="I320" s="35">
        <v>1.0</v>
      </c>
      <c r="J320" s="35"/>
      <c r="K320" s="35">
        <v>0.0</v>
      </c>
    </row>
    <row r="321" ht="15.75" customHeight="1">
      <c r="A321" s="35" t="s">
        <v>3385</v>
      </c>
      <c r="B321" s="35"/>
      <c r="C321" s="35">
        <v>41.0</v>
      </c>
      <c r="D321" s="35" t="s">
        <v>3386</v>
      </c>
      <c r="E321" s="35">
        <v>46027.0</v>
      </c>
      <c r="F321" s="35">
        <v>0.0</v>
      </c>
      <c r="G321" s="35">
        <v>6.0</v>
      </c>
      <c r="H321" s="35">
        <v>0.0</v>
      </c>
      <c r="I321" s="35">
        <v>0.0</v>
      </c>
      <c r="J321" s="35"/>
      <c r="K321" s="35">
        <v>0.0</v>
      </c>
    </row>
    <row r="322" ht="15.75" customHeight="1">
      <c r="A322" s="35" t="s">
        <v>3389</v>
      </c>
      <c r="B322" s="35"/>
      <c r="C322" s="35">
        <v>41.0</v>
      </c>
      <c r="D322" s="35" t="s">
        <v>3390</v>
      </c>
      <c r="E322" s="35">
        <v>46027.0</v>
      </c>
      <c r="F322" s="35">
        <v>0.0</v>
      </c>
      <c r="G322" s="35">
        <v>2.0</v>
      </c>
      <c r="H322" s="35">
        <v>0.0</v>
      </c>
      <c r="I322" s="35">
        <v>0.0</v>
      </c>
      <c r="J322" s="35"/>
      <c r="K322" s="35">
        <v>0.0</v>
      </c>
    </row>
    <row r="323" ht="15.75" customHeight="1">
      <c r="A323" s="35" t="s">
        <v>3393</v>
      </c>
      <c r="B323" s="35"/>
      <c r="C323" s="35">
        <v>41.0</v>
      </c>
      <c r="D323" s="35" t="s">
        <v>3395</v>
      </c>
      <c r="E323" s="35">
        <v>46027.0</v>
      </c>
      <c r="F323" s="35">
        <v>0.0</v>
      </c>
      <c r="G323" s="35">
        <v>50.0</v>
      </c>
      <c r="H323" s="35">
        <v>0.0</v>
      </c>
      <c r="I323" s="35">
        <v>0.0</v>
      </c>
      <c r="J323" s="35"/>
      <c r="K323" s="35">
        <v>0.0</v>
      </c>
    </row>
    <row r="324" ht="15.75" customHeight="1">
      <c r="A324" s="35" t="s">
        <v>3397</v>
      </c>
      <c r="B324" s="35"/>
      <c r="C324" s="35">
        <v>41.0</v>
      </c>
      <c r="D324" s="35" t="s">
        <v>3253</v>
      </c>
      <c r="E324" s="35">
        <v>46027.0</v>
      </c>
      <c r="F324" s="35">
        <v>0.0</v>
      </c>
      <c r="G324" s="35">
        <v>0.0</v>
      </c>
      <c r="H324" s="35">
        <v>1.0</v>
      </c>
      <c r="I324" s="35">
        <v>0.0</v>
      </c>
      <c r="J324" s="35"/>
      <c r="K324" s="35">
        <v>0.0</v>
      </c>
    </row>
    <row r="325" ht="15.75" customHeight="1">
      <c r="A325" s="35" t="s">
        <v>3401</v>
      </c>
      <c r="B325" s="35"/>
      <c r="C325" s="35">
        <v>41.0</v>
      </c>
      <c r="D325" s="35" t="s">
        <v>3403</v>
      </c>
      <c r="E325" s="35">
        <v>46027.0</v>
      </c>
      <c r="F325" s="35">
        <v>0.0</v>
      </c>
      <c r="G325" s="35">
        <v>1.0</v>
      </c>
      <c r="H325" s="35">
        <v>0.0</v>
      </c>
      <c r="I325" s="35">
        <v>0.0</v>
      </c>
      <c r="J325" s="35"/>
      <c r="K325" s="35">
        <v>0.0</v>
      </c>
    </row>
    <row r="326" ht="15.75" customHeight="1">
      <c r="A326" s="35" t="s">
        <v>3406</v>
      </c>
      <c r="B326" s="35"/>
      <c r="C326" s="35">
        <v>41.0</v>
      </c>
      <c r="D326" s="35" t="s">
        <v>3407</v>
      </c>
      <c r="E326" s="35">
        <v>46027.0</v>
      </c>
      <c r="F326" s="35">
        <v>0.0</v>
      </c>
      <c r="G326" s="35">
        <v>1.0</v>
      </c>
      <c r="H326" s="35">
        <v>0.0</v>
      </c>
      <c r="I326" s="35">
        <v>0.0</v>
      </c>
      <c r="J326" s="35"/>
      <c r="K326" s="35">
        <v>0.0</v>
      </c>
    </row>
    <row r="327" ht="15.75" customHeight="1">
      <c r="A327" s="35" t="s">
        <v>3411</v>
      </c>
      <c r="B327" s="35"/>
      <c r="C327" s="35">
        <v>41.0</v>
      </c>
      <c r="D327" s="35" t="s">
        <v>3414</v>
      </c>
      <c r="E327" s="35">
        <v>46027.0</v>
      </c>
      <c r="F327" s="35">
        <v>0.0</v>
      </c>
      <c r="G327" s="35">
        <v>1.0</v>
      </c>
      <c r="H327" s="35">
        <v>0.0</v>
      </c>
      <c r="I327" s="35">
        <v>0.0</v>
      </c>
      <c r="J327" s="35"/>
      <c r="K327" s="35">
        <v>0.0</v>
      </c>
    </row>
    <row r="328" ht="15.75" customHeight="1">
      <c r="A328" s="35" t="s">
        <v>3416</v>
      </c>
      <c r="B328" s="35"/>
      <c r="C328" s="35">
        <v>41.0</v>
      </c>
      <c r="D328" s="35" t="s">
        <v>2903</v>
      </c>
      <c r="E328" s="35">
        <v>46027.0</v>
      </c>
      <c r="F328" s="35">
        <v>0.0</v>
      </c>
      <c r="G328" s="35">
        <v>0.0</v>
      </c>
      <c r="H328" s="35">
        <v>0.0</v>
      </c>
      <c r="I328" s="35">
        <v>3.0</v>
      </c>
      <c r="J328" s="35"/>
      <c r="K328" s="35">
        <v>0.0</v>
      </c>
    </row>
    <row r="329" ht="15.75" customHeight="1">
      <c r="A329" s="35" t="s">
        <v>3420</v>
      </c>
      <c r="B329" s="35"/>
      <c r="C329" s="35">
        <v>40.0</v>
      </c>
      <c r="D329" s="35" t="s">
        <v>3421</v>
      </c>
      <c r="E329" s="35">
        <v>46058.0</v>
      </c>
      <c r="F329" s="35">
        <v>0.0</v>
      </c>
      <c r="G329" s="35">
        <v>1.0</v>
      </c>
      <c r="H329" s="35">
        <v>0.0</v>
      </c>
      <c r="I329" s="35">
        <v>1.0</v>
      </c>
      <c r="J329" s="35"/>
      <c r="K329" s="35">
        <v>0.0</v>
      </c>
    </row>
    <row r="330" ht="15.75" customHeight="1">
      <c r="A330" s="35" t="s">
        <v>3423</v>
      </c>
      <c r="B330" s="35"/>
      <c r="C330" s="35">
        <v>40.0</v>
      </c>
      <c r="D330" s="35" t="s">
        <v>3424</v>
      </c>
      <c r="E330" s="35">
        <v>46027.0</v>
      </c>
      <c r="F330" s="35">
        <v>0.0</v>
      </c>
      <c r="G330" s="35">
        <v>15.0</v>
      </c>
      <c r="H330" s="35">
        <v>0.0</v>
      </c>
      <c r="I330" s="35">
        <v>0.0</v>
      </c>
      <c r="J330" s="35"/>
      <c r="K330" s="35">
        <v>0.0</v>
      </c>
    </row>
    <row r="331" ht="15.75" customHeight="1">
      <c r="A331" s="35" t="s">
        <v>3426</v>
      </c>
      <c r="B331" s="35"/>
      <c r="C331" s="35">
        <v>40.0</v>
      </c>
      <c r="D331" s="35" t="s">
        <v>3429</v>
      </c>
      <c r="E331" s="35">
        <v>46027.0</v>
      </c>
      <c r="F331" s="35">
        <v>0.0</v>
      </c>
      <c r="G331" s="35">
        <v>10.0</v>
      </c>
      <c r="H331" s="35">
        <v>0.0</v>
      </c>
      <c r="I331" s="35">
        <v>0.0</v>
      </c>
      <c r="J331" s="35"/>
      <c r="K331" s="35">
        <v>0.0</v>
      </c>
    </row>
    <row r="332" ht="15.75" customHeight="1">
      <c r="A332" s="35" t="s">
        <v>3430</v>
      </c>
      <c r="B332" s="35"/>
      <c r="C332" s="35">
        <v>40.0</v>
      </c>
      <c r="D332" s="35" t="s">
        <v>3432</v>
      </c>
      <c r="E332" s="35">
        <v>46027.0</v>
      </c>
      <c r="F332" s="35">
        <v>0.0</v>
      </c>
      <c r="G332" s="35">
        <v>6.0</v>
      </c>
      <c r="H332" s="35">
        <v>0.0</v>
      </c>
      <c r="I332" s="35">
        <v>0.0</v>
      </c>
      <c r="J332" s="35"/>
      <c r="K332" s="35">
        <v>0.0</v>
      </c>
    </row>
    <row r="333" ht="15.75" customHeight="1">
      <c r="A333" s="35" t="s">
        <v>3434</v>
      </c>
      <c r="B333" s="35"/>
      <c r="C333" s="35">
        <v>40.0</v>
      </c>
      <c r="D333" s="35" t="s">
        <v>3437</v>
      </c>
      <c r="E333" s="35">
        <v>46027.0</v>
      </c>
      <c r="F333" s="35">
        <v>0.0</v>
      </c>
      <c r="G333" s="35">
        <v>1.0</v>
      </c>
      <c r="H333" s="35">
        <v>0.0</v>
      </c>
      <c r="I333" s="35">
        <v>0.0</v>
      </c>
      <c r="J333" s="35"/>
      <c r="K333" s="35">
        <v>0.0</v>
      </c>
    </row>
    <row r="334" ht="15.75" customHeight="1">
      <c r="A334" s="35" t="s">
        <v>3439</v>
      </c>
      <c r="B334" s="35"/>
      <c r="C334" s="35">
        <v>40.0</v>
      </c>
      <c r="D334" s="35" t="s">
        <v>3440</v>
      </c>
      <c r="E334" s="35">
        <v>46027.0</v>
      </c>
      <c r="F334" s="35">
        <v>0.0</v>
      </c>
      <c r="G334" s="35">
        <v>0.0</v>
      </c>
      <c r="H334" s="35">
        <v>0.0</v>
      </c>
      <c r="I334" s="35">
        <v>2.0</v>
      </c>
      <c r="J334" s="35"/>
      <c r="K334" s="35">
        <v>0.0</v>
      </c>
    </row>
    <row r="335" ht="15.75" customHeight="1">
      <c r="A335" s="35" t="s">
        <v>1006</v>
      </c>
      <c r="B335" s="35"/>
      <c r="C335" s="35">
        <v>40.0</v>
      </c>
      <c r="D335" s="35" t="s">
        <v>3149</v>
      </c>
      <c r="E335" s="35">
        <v>46027.0</v>
      </c>
      <c r="F335" s="35">
        <v>0.0</v>
      </c>
      <c r="G335" s="35">
        <v>6.0</v>
      </c>
      <c r="H335" s="35">
        <v>0.0</v>
      </c>
      <c r="I335" s="35">
        <v>0.0</v>
      </c>
      <c r="J335" s="35"/>
      <c r="K335" s="35">
        <v>0.0</v>
      </c>
    </row>
    <row r="336" ht="15.75" customHeight="1">
      <c r="A336" s="35" t="s">
        <v>1008</v>
      </c>
      <c r="B336" s="35"/>
      <c r="C336" s="35">
        <v>40.0</v>
      </c>
      <c r="D336" s="35" t="s">
        <v>2160</v>
      </c>
      <c r="E336" s="35">
        <v>46027.0</v>
      </c>
      <c r="F336" s="35">
        <v>0.0</v>
      </c>
      <c r="G336" s="35">
        <v>1.0</v>
      </c>
      <c r="H336" s="35">
        <v>0.0</v>
      </c>
      <c r="I336" s="35">
        <v>0.0</v>
      </c>
      <c r="J336" s="35"/>
      <c r="K336" s="35">
        <v>0.0</v>
      </c>
    </row>
    <row r="337" ht="15.75" customHeight="1">
      <c r="A337" s="35" t="s">
        <v>3446</v>
      </c>
      <c r="B337" s="35"/>
      <c r="C337" s="35">
        <v>40.0</v>
      </c>
      <c r="D337" s="35" t="s">
        <v>3206</v>
      </c>
      <c r="E337" s="35">
        <v>46027.0</v>
      </c>
      <c r="F337" s="35">
        <v>0.0</v>
      </c>
      <c r="G337" s="35">
        <v>1.0</v>
      </c>
      <c r="H337" s="35">
        <v>0.0</v>
      </c>
      <c r="I337" s="35">
        <v>0.0</v>
      </c>
      <c r="J337" s="35"/>
      <c r="K337" s="35">
        <v>0.0</v>
      </c>
    </row>
    <row r="338" ht="15.75" customHeight="1">
      <c r="A338" s="35" t="s">
        <v>1010</v>
      </c>
      <c r="B338" s="35"/>
      <c r="C338" s="35">
        <v>40.0</v>
      </c>
      <c r="D338" s="35" t="s">
        <v>3230</v>
      </c>
      <c r="E338" s="35">
        <v>46027.0</v>
      </c>
      <c r="F338" s="35">
        <v>0.0</v>
      </c>
      <c r="G338" s="35">
        <v>1.0</v>
      </c>
      <c r="H338" s="35">
        <v>0.0</v>
      </c>
      <c r="I338" s="35">
        <v>0.0</v>
      </c>
      <c r="J338" s="35"/>
      <c r="K338" s="35">
        <v>0.0</v>
      </c>
    </row>
    <row r="339" ht="15.75" customHeight="1">
      <c r="A339" s="35" t="s">
        <v>3452</v>
      </c>
      <c r="B339" s="35"/>
      <c r="C339" s="35">
        <v>40.0</v>
      </c>
      <c r="D339" s="35" t="s">
        <v>3454</v>
      </c>
      <c r="E339" s="35">
        <v>46027.0</v>
      </c>
      <c r="F339" s="35">
        <v>0.0</v>
      </c>
      <c r="G339" s="35">
        <v>5.0</v>
      </c>
      <c r="H339" s="35">
        <v>0.0</v>
      </c>
      <c r="I339" s="35">
        <v>0.0</v>
      </c>
      <c r="J339" s="35"/>
      <c r="K339" s="35">
        <v>0.0</v>
      </c>
    </row>
    <row r="340" ht="15.75" customHeight="1">
      <c r="A340" s="35" t="s">
        <v>3460</v>
      </c>
      <c r="B340" s="35"/>
      <c r="C340" s="35">
        <v>40.0</v>
      </c>
      <c r="D340" s="35" t="s">
        <v>3461</v>
      </c>
      <c r="E340" s="35">
        <v>46027.0</v>
      </c>
      <c r="F340" s="35">
        <v>0.0</v>
      </c>
      <c r="G340" s="35">
        <v>2.0</v>
      </c>
      <c r="H340" s="35">
        <v>0.0</v>
      </c>
      <c r="I340" s="35">
        <v>0.0</v>
      </c>
      <c r="J340" s="35"/>
      <c r="K340" s="35">
        <v>0.0</v>
      </c>
    </row>
    <row r="341" ht="15.75" customHeight="1">
      <c r="A341" s="35" t="s">
        <v>3466</v>
      </c>
      <c r="B341" s="35"/>
      <c r="C341" s="35">
        <v>40.0</v>
      </c>
      <c r="D341" s="35" t="s">
        <v>3037</v>
      </c>
      <c r="E341" s="35">
        <v>46027.0</v>
      </c>
      <c r="F341" s="35">
        <v>0.0</v>
      </c>
      <c r="G341" s="35">
        <v>1.0</v>
      </c>
      <c r="H341" s="35">
        <v>0.0</v>
      </c>
      <c r="I341" s="35">
        <v>0.0</v>
      </c>
      <c r="J341" s="35"/>
      <c r="K341" s="35">
        <v>0.0</v>
      </c>
    </row>
    <row r="342" ht="15.75" customHeight="1">
      <c r="A342" s="35" t="s">
        <v>1012</v>
      </c>
      <c r="B342" s="35"/>
      <c r="C342" s="35">
        <v>40.0</v>
      </c>
      <c r="D342" s="35" t="s">
        <v>3473</v>
      </c>
      <c r="E342" s="35">
        <v>46027.0</v>
      </c>
      <c r="F342" s="35">
        <v>0.0</v>
      </c>
      <c r="G342" s="35">
        <v>1.0</v>
      </c>
      <c r="H342" s="35">
        <v>0.0</v>
      </c>
      <c r="I342" s="35">
        <v>0.0</v>
      </c>
      <c r="J342" s="35"/>
      <c r="K342" s="35">
        <v>0.0</v>
      </c>
    </row>
    <row r="343" ht="15.75" customHeight="1">
      <c r="A343" s="35" t="s">
        <v>1014</v>
      </c>
      <c r="B343" s="35"/>
      <c r="C343" s="35">
        <v>40.0</v>
      </c>
      <c r="D343" s="35" t="s">
        <v>3478</v>
      </c>
      <c r="E343" s="35">
        <v>46027.0</v>
      </c>
      <c r="F343" s="35">
        <v>0.0</v>
      </c>
      <c r="G343" s="35">
        <v>5.0</v>
      </c>
      <c r="H343" s="35">
        <v>0.0</v>
      </c>
      <c r="I343" s="35">
        <v>0.0</v>
      </c>
      <c r="J343" s="35"/>
      <c r="K343" s="35">
        <v>0.0</v>
      </c>
    </row>
    <row r="344" ht="15.75" customHeight="1">
      <c r="A344" s="35" t="s">
        <v>3483</v>
      </c>
      <c r="B344" s="35"/>
      <c r="C344" s="35">
        <v>40.0</v>
      </c>
      <c r="D344" s="35" t="s">
        <v>3486</v>
      </c>
      <c r="E344" s="35">
        <v>46027.0</v>
      </c>
      <c r="F344" s="35">
        <v>0.0</v>
      </c>
      <c r="G344" s="35">
        <v>4.0</v>
      </c>
      <c r="H344" s="35">
        <v>0.0</v>
      </c>
      <c r="I344" s="35">
        <v>0.0</v>
      </c>
      <c r="J344" s="35"/>
      <c r="K344" s="35">
        <v>0.0</v>
      </c>
    </row>
    <row r="345" ht="15.75" customHeight="1">
      <c r="A345" s="35" t="s">
        <v>3492</v>
      </c>
      <c r="B345" s="35"/>
      <c r="C345" s="35">
        <v>40.0</v>
      </c>
      <c r="D345" s="35" t="s">
        <v>3494</v>
      </c>
      <c r="E345" s="35">
        <v>46027.0</v>
      </c>
      <c r="F345" s="35">
        <v>0.0</v>
      </c>
      <c r="G345" s="35">
        <v>2.0</v>
      </c>
      <c r="H345" s="35">
        <v>0.0</v>
      </c>
      <c r="I345" s="35">
        <v>0.0</v>
      </c>
      <c r="J345" s="35"/>
      <c r="K345" s="35">
        <v>0.0</v>
      </c>
    </row>
    <row r="346" ht="15.75" customHeight="1">
      <c r="A346" s="35" t="s">
        <v>1016</v>
      </c>
      <c r="B346" s="35"/>
      <c r="C346" s="35">
        <v>40.0</v>
      </c>
      <c r="D346" s="35" t="s">
        <v>3498</v>
      </c>
      <c r="E346" s="35">
        <v>46027.0</v>
      </c>
      <c r="F346" s="35">
        <v>0.0</v>
      </c>
      <c r="G346" s="35">
        <v>1.0</v>
      </c>
      <c r="H346" s="35">
        <v>0.0</v>
      </c>
      <c r="I346" s="35">
        <v>0.0</v>
      </c>
      <c r="J346" s="35"/>
      <c r="K346" s="35">
        <v>0.0</v>
      </c>
    </row>
    <row r="347" ht="15.75" customHeight="1">
      <c r="A347" s="35" t="s">
        <v>1018</v>
      </c>
      <c r="B347" s="35"/>
      <c r="C347" s="35">
        <v>40.0</v>
      </c>
      <c r="D347" s="35" t="s">
        <v>3501</v>
      </c>
      <c r="E347" s="35">
        <v>46027.0</v>
      </c>
      <c r="F347" s="35">
        <v>0.0</v>
      </c>
      <c r="G347" s="35">
        <v>35.0</v>
      </c>
      <c r="H347" s="35">
        <v>0.0</v>
      </c>
      <c r="I347" s="35">
        <v>0.0</v>
      </c>
      <c r="J347" s="35"/>
      <c r="K347" s="35">
        <v>0.0</v>
      </c>
    </row>
    <row r="348" ht="15.75" customHeight="1">
      <c r="A348" s="35" t="s">
        <v>3504</v>
      </c>
      <c r="B348" s="35"/>
      <c r="C348" s="35">
        <v>40.0</v>
      </c>
      <c r="D348" s="35" t="s">
        <v>3270</v>
      </c>
      <c r="E348" s="35">
        <v>46027.0</v>
      </c>
      <c r="F348" s="35">
        <v>0.0</v>
      </c>
      <c r="G348" s="35">
        <v>1.0</v>
      </c>
      <c r="H348" s="35">
        <v>0.0</v>
      </c>
      <c r="I348" s="35">
        <v>0.0</v>
      </c>
      <c r="J348" s="35"/>
      <c r="K348" s="35">
        <v>0.0</v>
      </c>
    </row>
    <row r="349" ht="15.75" customHeight="1">
      <c r="A349" s="35" t="s">
        <v>3506</v>
      </c>
      <c r="B349" s="35"/>
      <c r="C349" s="35">
        <v>40.0</v>
      </c>
      <c r="D349" s="35" t="s">
        <v>2929</v>
      </c>
      <c r="E349" s="35">
        <v>46027.0</v>
      </c>
      <c r="F349" s="35">
        <v>0.0</v>
      </c>
      <c r="G349" s="35">
        <v>0.0</v>
      </c>
      <c r="H349" s="35">
        <v>2.0</v>
      </c>
      <c r="I349" s="35">
        <v>0.0</v>
      </c>
      <c r="J349" s="35"/>
      <c r="K349" s="35">
        <v>0.0</v>
      </c>
    </row>
    <row r="350" ht="15.75" customHeight="1">
      <c r="A350" s="35" t="s">
        <v>3511</v>
      </c>
      <c r="B350" s="35"/>
      <c r="C350" s="35">
        <v>40.0</v>
      </c>
      <c r="D350" s="35" t="s">
        <v>3512</v>
      </c>
      <c r="E350" s="35">
        <v>46027.0</v>
      </c>
      <c r="F350" s="35">
        <v>0.0</v>
      </c>
      <c r="G350" s="35">
        <v>1.0</v>
      </c>
      <c r="H350" s="35">
        <v>0.0</v>
      </c>
      <c r="I350" s="35">
        <v>0.0</v>
      </c>
      <c r="J350" s="35"/>
      <c r="K350" s="35">
        <v>0.0</v>
      </c>
    </row>
    <row r="351" ht="15.75" customHeight="1">
      <c r="A351" s="35" t="s">
        <v>3515</v>
      </c>
      <c r="B351" s="35"/>
      <c r="C351" s="35">
        <v>40.0</v>
      </c>
      <c r="D351" s="35" t="s">
        <v>3516</v>
      </c>
      <c r="E351" s="35">
        <v>46027.0</v>
      </c>
      <c r="F351" s="35">
        <v>0.0</v>
      </c>
      <c r="G351" s="35">
        <v>1.0</v>
      </c>
      <c r="H351" s="35">
        <v>0.0</v>
      </c>
      <c r="I351" s="35">
        <v>0.0</v>
      </c>
      <c r="J351" s="35"/>
      <c r="K351" s="35">
        <v>0.0</v>
      </c>
    </row>
    <row r="352" ht="15.75" customHeight="1">
      <c r="A352" s="35" t="s">
        <v>3520</v>
      </c>
      <c r="B352" s="35"/>
      <c r="C352" s="35">
        <v>40.0</v>
      </c>
      <c r="D352" s="35" t="s">
        <v>3004</v>
      </c>
      <c r="E352" s="35">
        <v>46027.0</v>
      </c>
      <c r="F352" s="35">
        <v>0.0</v>
      </c>
      <c r="G352" s="35">
        <v>1.0</v>
      </c>
      <c r="H352" s="35">
        <v>0.0</v>
      </c>
      <c r="I352" s="35">
        <v>0.0</v>
      </c>
      <c r="J352" s="35"/>
      <c r="K352" s="35">
        <v>0.0</v>
      </c>
    </row>
    <row r="353" ht="15.75" customHeight="1">
      <c r="A353" s="35" t="s">
        <v>3527</v>
      </c>
      <c r="B353" s="35"/>
      <c r="C353" s="35">
        <v>40.0</v>
      </c>
      <c r="D353" s="35" t="s">
        <v>3253</v>
      </c>
      <c r="E353" s="35">
        <v>46027.0</v>
      </c>
      <c r="F353" s="35">
        <v>0.0</v>
      </c>
      <c r="G353" s="35">
        <v>1.0</v>
      </c>
      <c r="H353" s="35">
        <v>0.0</v>
      </c>
      <c r="I353" s="35">
        <v>0.0</v>
      </c>
      <c r="J353" s="35"/>
      <c r="K353" s="35">
        <v>0.0</v>
      </c>
    </row>
    <row r="354" ht="15.75" customHeight="1">
      <c r="A354" s="35" t="s">
        <v>3533</v>
      </c>
      <c r="B354" s="35"/>
      <c r="C354" s="35">
        <v>40.0</v>
      </c>
      <c r="D354" s="35" t="s">
        <v>3535</v>
      </c>
      <c r="E354" s="35">
        <v>46027.0</v>
      </c>
      <c r="F354" s="35">
        <v>0.0</v>
      </c>
      <c r="G354" s="35">
        <v>1.0</v>
      </c>
      <c r="H354" s="35">
        <v>0.0</v>
      </c>
      <c r="I354" s="35">
        <v>0.0</v>
      </c>
      <c r="J354" s="35"/>
      <c r="K354" s="35">
        <v>0.0</v>
      </c>
    </row>
    <row r="355" ht="15.75" customHeight="1">
      <c r="A355" s="35" t="s">
        <v>3539</v>
      </c>
      <c r="B355" s="35"/>
      <c r="C355" s="35">
        <v>40.0</v>
      </c>
      <c r="D355" s="35" t="s">
        <v>3541</v>
      </c>
      <c r="E355" s="35">
        <v>46027.0</v>
      </c>
      <c r="F355" s="35">
        <v>0.0</v>
      </c>
      <c r="G355" s="35">
        <v>4.0</v>
      </c>
      <c r="H355" s="35">
        <v>0.0</v>
      </c>
      <c r="I355" s="35">
        <v>0.0</v>
      </c>
      <c r="J355" s="35"/>
      <c r="K355" s="35">
        <v>0.0</v>
      </c>
    </row>
    <row r="356" ht="15.75" customHeight="1">
      <c r="A356" s="35" t="s">
        <v>3545</v>
      </c>
      <c r="B356" s="35"/>
      <c r="C356" s="35">
        <v>40.0</v>
      </c>
      <c r="D356" s="35" t="s">
        <v>3548</v>
      </c>
      <c r="E356" s="35">
        <v>46027.0</v>
      </c>
      <c r="F356" s="35">
        <v>0.0</v>
      </c>
      <c r="G356" s="35">
        <v>1.0</v>
      </c>
      <c r="H356" s="35">
        <v>0.0</v>
      </c>
      <c r="I356" s="35">
        <v>0.0</v>
      </c>
      <c r="J356" s="35"/>
      <c r="K356" s="35">
        <v>0.0</v>
      </c>
    </row>
    <row r="357" ht="15.75" customHeight="1">
      <c r="A357" s="35" t="s">
        <v>3553</v>
      </c>
      <c r="B357" s="35"/>
      <c r="C357" s="35">
        <v>40.0</v>
      </c>
      <c r="D357" s="35" t="s">
        <v>3557</v>
      </c>
      <c r="E357" s="35">
        <v>46027.0</v>
      </c>
      <c r="F357" s="35">
        <v>0.0</v>
      </c>
      <c r="G357" s="35">
        <v>1.0</v>
      </c>
      <c r="H357" s="35">
        <v>0.0</v>
      </c>
      <c r="I357" s="35">
        <v>0.0</v>
      </c>
      <c r="J357" s="35"/>
      <c r="K357" s="35">
        <v>0.0</v>
      </c>
    </row>
    <row r="358" ht="15.75" customHeight="1">
      <c r="A358" s="35" t="s">
        <v>3558</v>
      </c>
      <c r="B358" s="35"/>
      <c r="C358" s="35">
        <v>40.0</v>
      </c>
      <c r="D358" s="35" t="s">
        <v>3561</v>
      </c>
      <c r="E358" s="35">
        <v>46027.0</v>
      </c>
      <c r="F358" s="35">
        <v>0.0</v>
      </c>
      <c r="G358" s="35">
        <v>22.0</v>
      </c>
      <c r="H358" s="35">
        <v>0.0</v>
      </c>
      <c r="I358" s="35">
        <v>0.0</v>
      </c>
      <c r="J358" s="35"/>
      <c r="K358" s="35">
        <v>0.0</v>
      </c>
    </row>
    <row r="359" ht="15.75" customHeight="1">
      <c r="A359" s="35" t="s">
        <v>3563</v>
      </c>
      <c r="B359" s="35"/>
      <c r="C359" s="35">
        <v>39.0</v>
      </c>
      <c r="D359" s="35" t="s">
        <v>3182</v>
      </c>
      <c r="E359" s="35">
        <v>46058.0</v>
      </c>
      <c r="F359" s="35">
        <v>0.0</v>
      </c>
      <c r="G359" s="35">
        <v>1.0</v>
      </c>
      <c r="H359" s="35">
        <v>0.0</v>
      </c>
      <c r="I359" s="35">
        <v>1.0</v>
      </c>
      <c r="J359" s="35"/>
      <c r="K359" s="35">
        <v>0.0</v>
      </c>
    </row>
    <row r="360" ht="15.75" customHeight="1">
      <c r="A360" s="35" t="s">
        <v>3567</v>
      </c>
      <c r="B360" s="35"/>
      <c r="C360" s="35">
        <v>39.0</v>
      </c>
      <c r="D360" s="35" t="s">
        <v>3571</v>
      </c>
      <c r="E360" s="35">
        <v>46027.0</v>
      </c>
      <c r="F360" s="35">
        <v>0.0</v>
      </c>
      <c r="G360" s="35">
        <v>2.0</v>
      </c>
      <c r="H360" s="35">
        <v>0.0</v>
      </c>
      <c r="I360" s="35">
        <v>0.0</v>
      </c>
      <c r="J360" s="35"/>
      <c r="K360" s="35">
        <v>0.0</v>
      </c>
    </row>
    <row r="361" ht="15.75" customHeight="1">
      <c r="A361" s="35" t="s">
        <v>3574</v>
      </c>
      <c r="B361" s="35"/>
      <c r="C361" s="35">
        <v>39.0</v>
      </c>
      <c r="D361" s="35" t="s">
        <v>3577</v>
      </c>
      <c r="E361" s="35">
        <v>46027.0</v>
      </c>
      <c r="F361" s="35">
        <v>0.0</v>
      </c>
      <c r="G361" s="35">
        <v>1.0</v>
      </c>
      <c r="H361" s="35">
        <v>0.0</v>
      </c>
      <c r="I361" s="35">
        <v>0.0</v>
      </c>
      <c r="J361" s="35"/>
      <c r="K361" s="35">
        <v>0.0</v>
      </c>
    </row>
    <row r="362" ht="15.75" customHeight="1">
      <c r="A362" s="35" t="s">
        <v>3578</v>
      </c>
      <c r="B362" s="35"/>
      <c r="C362" s="35">
        <v>39.0</v>
      </c>
      <c r="D362" s="35" t="s">
        <v>3579</v>
      </c>
      <c r="E362" s="35">
        <v>46027.0</v>
      </c>
      <c r="F362" s="35">
        <v>0.0</v>
      </c>
      <c r="G362" s="35">
        <v>6.0</v>
      </c>
      <c r="H362" s="35">
        <v>0.0</v>
      </c>
      <c r="I362" s="35">
        <v>0.0</v>
      </c>
      <c r="J362" s="35"/>
      <c r="K362" s="35">
        <v>0.0</v>
      </c>
    </row>
    <row r="363" ht="15.75" customHeight="1">
      <c r="A363" s="35" t="s">
        <v>3581</v>
      </c>
      <c r="B363" s="35"/>
      <c r="C363" s="35">
        <v>39.0</v>
      </c>
      <c r="D363" s="35" t="s">
        <v>3584</v>
      </c>
      <c r="E363" s="35">
        <v>46027.0</v>
      </c>
      <c r="F363" s="35">
        <v>0.0</v>
      </c>
      <c r="G363" s="35">
        <v>1.0</v>
      </c>
      <c r="H363" s="35">
        <v>0.0</v>
      </c>
      <c r="I363" s="35">
        <v>0.0</v>
      </c>
      <c r="J363" s="35"/>
      <c r="K363" s="35">
        <v>0.0</v>
      </c>
    </row>
    <row r="364" ht="15.75" customHeight="1">
      <c r="A364" s="35" t="s">
        <v>3588</v>
      </c>
      <c r="B364" s="35"/>
      <c r="C364" s="35">
        <v>39.0</v>
      </c>
      <c r="D364" s="35" t="s">
        <v>3194</v>
      </c>
      <c r="E364" s="35">
        <v>46027.0</v>
      </c>
      <c r="F364" s="35">
        <v>0.0</v>
      </c>
      <c r="G364" s="35">
        <v>0.0</v>
      </c>
      <c r="H364" s="35">
        <v>2.0</v>
      </c>
      <c r="I364" s="35">
        <v>0.0</v>
      </c>
      <c r="J364" s="35"/>
      <c r="K364" s="35">
        <v>0.0</v>
      </c>
    </row>
    <row r="365" ht="15.75" customHeight="1">
      <c r="A365" s="35" t="s">
        <v>3592</v>
      </c>
      <c r="B365" s="35"/>
      <c r="C365" s="35">
        <v>39.0</v>
      </c>
      <c r="D365" s="35" t="s">
        <v>3233</v>
      </c>
      <c r="E365" s="35">
        <v>46027.0</v>
      </c>
      <c r="F365" s="35">
        <v>0.0</v>
      </c>
      <c r="G365" s="35">
        <v>2.0</v>
      </c>
      <c r="H365" s="35">
        <v>0.0</v>
      </c>
      <c r="I365" s="35">
        <v>0.0</v>
      </c>
      <c r="J365" s="35"/>
      <c r="K365" s="35">
        <v>0.0</v>
      </c>
    </row>
    <row r="366" ht="15.75" customHeight="1">
      <c r="A366" s="35" t="s">
        <v>1020</v>
      </c>
      <c r="B366" s="35"/>
      <c r="C366" s="35">
        <v>39.0</v>
      </c>
      <c r="D366" s="35" t="s">
        <v>3600</v>
      </c>
      <c r="E366" s="35">
        <v>46027.0</v>
      </c>
      <c r="F366" s="35">
        <v>0.0</v>
      </c>
      <c r="G366" s="35">
        <v>18.0</v>
      </c>
      <c r="H366" s="35">
        <v>0.0</v>
      </c>
      <c r="I366" s="35">
        <v>0.0</v>
      </c>
      <c r="J366" s="35"/>
      <c r="K366" s="35">
        <v>0.0</v>
      </c>
    </row>
    <row r="367" ht="15.75" customHeight="1">
      <c r="A367" s="35" t="s">
        <v>3604</v>
      </c>
      <c r="B367" s="35"/>
      <c r="C367" s="35">
        <v>39.0</v>
      </c>
      <c r="D367" s="35" t="s">
        <v>3605</v>
      </c>
      <c r="E367" s="35">
        <v>46027.0</v>
      </c>
      <c r="F367" s="35">
        <v>0.0</v>
      </c>
      <c r="G367" s="35">
        <v>2.0</v>
      </c>
      <c r="H367" s="35">
        <v>0.0</v>
      </c>
      <c r="I367" s="35">
        <v>0.0</v>
      </c>
      <c r="J367" s="35"/>
      <c r="K367" s="35">
        <v>0.0</v>
      </c>
    </row>
    <row r="368" ht="15.75" customHeight="1">
      <c r="A368" s="35" t="s">
        <v>3609</v>
      </c>
      <c r="B368" s="35"/>
      <c r="C368" s="35">
        <v>39.0</v>
      </c>
      <c r="D368" s="35" t="s">
        <v>3613</v>
      </c>
      <c r="E368" s="35">
        <v>46027.0</v>
      </c>
      <c r="F368" s="35">
        <v>0.0</v>
      </c>
      <c r="G368" s="35">
        <v>0.0</v>
      </c>
      <c r="H368" s="35">
        <v>4.0</v>
      </c>
      <c r="I368" s="35">
        <v>0.0</v>
      </c>
      <c r="J368" s="35"/>
      <c r="K368" s="35">
        <v>0.0</v>
      </c>
    </row>
    <row r="369" ht="15.75" customHeight="1">
      <c r="A369" s="35" t="s">
        <v>3616</v>
      </c>
      <c r="B369" s="35"/>
      <c r="C369" s="35">
        <v>39.0</v>
      </c>
      <c r="D369" s="35" t="s">
        <v>2775</v>
      </c>
      <c r="E369" s="35">
        <v>46027.0</v>
      </c>
      <c r="F369" s="35">
        <v>0.0</v>
      </c>
      <c r="G369" s="35">
        <v>2.0</v>
      </c>
      <c r="H369" s="35">
        <v>0.0</v>
      </c>
      <c r="I369" s="35">
        <v>0.0</v>
      </c>
      <c r="J369" s="35"/>
      <c r="K369" s="35">
        <v>0.0</v>
      </c>
    </row>
    <row r="370" ht="15.75" customHeight="1">
      <c r="A370" s="35" t="s">
        <v>3621</v>
      </c>
      <c r="B370" s="35"/>
      <c r="C370" s="35">
        <v>39.0</v>
      </c>
      <c r="D370" s="35" t="s">
        <v>3623</v>
      </c>
      <c r="E370" s="35">
        <v>46027.0</v>
      </c>
      <c r="F370" s="35">
        <v>0.0</v>
      </c>
      <c r="G370" s="35">
        <v>42.0</v>
      </c>
      <c r="H370" s="35">
        <v>0.0</v>
      </c>
      <c r="I370" s="35">
        <v>0.0</v>
      </c>
      <c r="J370" s="35"/>
      <c r="K370" s="35">
        <v>0.0</v>
      </c>
    </row>
    <row r="371" ht="15.75" customHeight="1">
      <c r="A371" s="35" t="s">
        <v>1022</v>
      </c>
      <c r="B371" s="35"/>
      <c r="C371" s="35">
        <v>39.0</v>
      </c>
      <c r="D371" s="35" t="s">
        <v>3256</v>
      </c>
      <c r="E371" s="35">
        <v>46027.0</v>
      </c>
      <c r="F371" s="35">
        <v>0.0</v>
      </c>
      <c r="G371" s="35">
        <v>0.0</v>
      </c>
      <c r="H371" s="35">
        <v>1.0</v>
      </c>
      <c r="I371" s="35">
        <v>0.0</v>
      </c>
      <c r="J371" s="35"/>
      <c r="K371" s="35">
        <v>0.0</v>
      </c>
    </row>
    <row r="372" ht="15.75" customHeight="1">
      <c r="A372" s="35" t="s">
        <v>3629</v>
      </c>
      <c r="B372" s="35"/>
      <c r="C372" s="35">
        <v>39.0</v>
      </c>
      <c r="D372" s="35" t="s">
        <v>3632</v>
      </c>
      <c r="E372" s="35">
        <v>46027.0</v>
      </c>
      <c r="F372" s="35">
        <v>0.0</v>
      </c>
      <c r="G372" s="35">
        <v>1.0</v>
      </c>
      <c r="H372" s="35">
        <v>0.0</v>
      </c>
      <c r="I372" s="35">
        <v>0.0</v>
      </c>
      <c r="J372" s="35"/>
      <c r="K372" s="35">
        <v>0.0</v>
      </c>
    </row>
    <row r="373" ht="15.75" customHeight="1">
      <c r="A373" s="35" t="s">
        <v>3635</v>
      </c>
      <c r="B373" s="35"/>
      <c r="C373" s="35">
        <v>39.0</v>
      </c>
      <c r="D373" s="35" t="s">
        <v>3637</v>
      </c>
      <c r="E373" s="35">
        <v>46027.0</v>
      </c>
      <c r="F373" s="35">
        <v>0.0</v>
      </c>
      <c r="G373" s="35">
        <v>1.0</v>
      </c>
      <c r="H373" s="35">
        <v>0.0</v>
      </c>
      <c r="I373" s="35">
        <v>0.0</v>
      </c>
      <c r="J373" s="35"/>
      <c r="K373" s="35">
        <v>0.0</v>
      </c>
    </row>
    <row r="374" ht="15.75" customHeight="1">
      <c r="A374" s="35" t="s">
        <v>3641</v>
      </c>
      <c r="B374" s="35"/>
      <c r="C374" s="35">
        <v>39.0</v>
      </c>
      <c r="D374" s="35" t="s">
        <v>3644</v>
      </c>
      <c r="E374" s="35">
        <v>46027.0</v>
      </c>
      <c r="F374" s="35">
        <v>0.0</v>
      </c>
      <c r="G374" s="35">
        <v>3.0</v>
      </c>
      <c r="H374" s="35">
        <v>0.0</v>
      </c>
      <c r="I374" s="35">
        <v>0.0</v>
      </c>
      <c r="J374" s="35"/>
      <c r="K374" s="35">
        <v>0.0</v>
      </c>
    </row>
    <row r="375" ht="15.75" customHeight="1">
      <c r="A375" s="35" t="s">
        <v>3646</v>
      </c>
      <c r="B375" s="35"/>
      <c r="C375" s="35">
        <v>39.0</v>
      </c>
      <c r="D375" s="35" t="s">
        <v>3648</v>
      </c>
      <c r="E375" s="35">
        <v>46027.0</v>
      </c>
      <c r="F375" s="35">
        <v>0.0</v>
      </c>
      <c r="G375" s="35">
        <v>1.0</v>
      </c>
      <c r="H375" s="35">
        <v>0.0</v>
      </c>
      <c r="I375" s="35">
        <v>0.0</v>
      </c>
      <c r="J375" s="35"/>
      <c r="K375" s="35">
        <v>0.0</v>
      </c>
    </row>
    <row r="376" ht="15.75" customHeight="1">
      <c r="A376" s="35" t="s">
        <v>3653</v>
      </c>
      <c r="B376" s="35"/>
      <c r="C376" s="35">
        <v>39.0</v>
      </c>
      <c r="D376" s="35" t="s">
        <v>3655</v>
      </c>
      <c r="E376" s="35">
        <v>46027.0</v>
      </c>
      <c r="F376" s="35">
        <v>0.0</v>
      </c>
      <c r="G376" s="35">
        <v>9.0</v>
      </c>
      <c r="H376" s="35">
        <v>0.0</v>
      </c>
      <c r="I376" s="35">
        <v>0.0</v>
      </c>
      <c r="J376" s="35"/>
      <c r="K376" s="35">
        <v>0.0</v>
      </c>
    </row>
    <row r="377" ht="15.75" customHeight="1">
      <c r="A377" s="35" t="s">
        <v>3659</v>
      </c>
      <c r="B377" s="35"/>
      <c r="C377" s="35">
        <v>39.0</v>
      </c>
      <c r="D377" s="35" t="s">
        <v>3201</v>
      </c>
      <c r="E377" s="35">
        <v>46027.0</v>
      </c>
      <c r="F377" s="35">
        <v>0.0</v>
      </c>
      <c r="G377" s="35">
        <v>6.0</v>
      </c>
      <c r="H377" s="35">
        <v>0.0</v>
      </c>
      <c r="I377" s="35">
        <v>0.0</v>
      </c>
      <c r="J377" s="35"/>
      <c r="K377" s="35">
        <v>0.0</v>
      </c>
    </row>
    <row r="378" ht="15.75" customHeight="1">
      <c r="A378" s="35" t="s">
        <v>1024</v>
      </c>
      <c r="B378" s="35"/>
      <c r="C378" s="35">
        <v>39.0</v>
      </c>
      <c r="D378" s="35" t="s">
        <v>3665</v>
      </c>
      <c r="E378" s="35">
        <v>46027.0</v>
      </c>
      <c r="F378" s="35">
        <v>0.0</v>
      </c>
      <c r="G378" s="35">
        <v>1.0</v>
      </c>
      <c r="H378" s="35">
        <v>0.0</v>
      </c>
      <c r="I378" s="35">
        <v>0.0</v>
      </c>
      <c r="J378" s="35"/>
      <c r="K378" s="35">
        <v>0.0</v>
      </c>
    </row>
    <row r="379" ht="15.75" customHeight="1">
      <c r="A379" s="35" t="s">
        <v>3669</v>
      </c>
      <c r="B379" s="35"/>
      <c r="C379" s="35">
        <v>39.0</v>
      </c>
      <c r="D379" s="35" t="s">
        <v>2912</v>
      </c>
      <c r="E379" s="35">
        <v>46027.0</v>
      </c>
      <c r="F379" s="35">
        <v>0.0</v>
      </c>
      <c r="G379" s="35">
        <v>45.0</v>
      </c>
      <c r="H379" s="35">
        <v>0.0</v>
      </c>
      <c r="I379" s="35">
        <v>0.0</v>
      </c>
      <c r="J379" s="35"/>
      <c r="K379" s="35">
        <v>0.0</v>
      </c>
    </row>
    <row r="380" ht="15.75" customHeight="1">
      <c r="A380" s="35" t="s">
        <v>1026</v>
      </c>
      <c r="B380" s="35"/>
      <c r="C380" s="35">
        <v>39.0</v>
      </c>
      <c r="D380" s="35" t="s">
        <v>3688</v>
      </c>
      <c r="E380" s="35">
        <v>46027.0</v>
      </c>
      <c r="F380" s="35">
        <v>0.0</v>
      </c>
      <c r="G380" s="35">
        <v>0.0</v>
      </c>
      <c r="H380" s="35">
        <v>1.0</v>
      </c>
      <c r="I380" s="35">
        <v>0.0</v>
      </c>
      <c r="J380" s="35"/>
      <c r="K380" s="35">
        <v>0.0</v>
      </c>
    </row>
    <row r="381" ht="15.75" customHeight="1">
      <c r="A381" s="35" t="s">
        <v>3696</v>
      </c>
      <c r="B381" s="35"/>
      <c r="C381" s="35">
        <v>39.0</v>
      </c>
      <c r="D381" s="35" t="s">
        <v>3698</v>
      </c>
      <c r="E381" s="35">
        <v>46027.0</v>
      </c>
      <c r="F381" s="35">
        <v>0.0</v>
      </c>
      <c r="G381" s="35">
        <v>1.0</v>
      </c>
      <c r="H381" s="35">
        <v>0.0</v>
      </c>
      <c r="I381" s="35">
        <v>0.0</v>
      </c>
      <c r="J381" s="35"/>
      <c r="K381" s="35">
        <v>0.0</v>
      </c>
    </row>
    <row r="382" ht="15.75" customHeight="1">
      <c r="A382" s="35" t="s">
        <v>3702</v>
      </c>
      <c r="B382" s="35"/>
      <c r="C382" s="35">
        <v>39.0</v>
      </c>
      <c r="D382" s="35" t="s">
        <v>2982</v>
      </c>
      <c r="E382" s="35">
        <v>46027.0</v>
      </c>
      <c r="F382" s="35">
        <v>0.0</v>
      </c>
      <c r="G382" s="35">
        <v>3.0</v>
      </c>
      <c r="H382" s="35">
        <v>0.0</v>
      </c>
      <c r="I382" s="35">
        <v>0.0</v>
      </c>
      <c r="J382" s="35"/>
      <c r="K382" s="35">
        <v>0.0</v>
      </c>
    </row>
    <row r="383" ht="15.75" customHeight="1">
      <c r="A383" s="35" t="s">
        <v>3709</v>
      </c>
      <c r="B383" s="35"/>
      <c r="C383" s="35">
        <v>39.0</v>
      </c>
      <c r="D383" s="35" t="s">
        <v>3710</v>
      </c>
      <c r="E383" s="35">
        <v>46027.0</v>
      </c>
      <c r="F383" s="35">
        <v>0.0</v>
      </c>
      <c r="G383" s="35">
        <v>2.0</v>
      </c>
      <c r="H383" s="35">
        <v>0.0</v>
      </c>
      <c r="I383" s="35">
        <v>0.0</v>
      </c>
      <c r="J383" s="35"/>
      <c r="K383" s="35">
        <v>0.0</v>
      </c>
    </row>
    <row r="384" ht="15.75" customHeight="1">
      <c r="A384" s="35" t="s">
        <v>3716</v>
      </c>
      <c r="B384" s="35"/>
      <c r="C384" s="35">
        <v>39.0</v>
      </c>
      <c r="D384" s="35" t="s">
        <v>3719</v>
      </c>
      <c r="E384" s="35">
        <v>46027.0</v>
      </c>
      <c r="F384" s="35">
        <v>0.0</v>
      </c>
      <c r="G384" s="35">
        <v>2.0</v>
      </c>
      <c r="H384" s="35">
        <v>0.0</v>
      </c>
      <c r="I384" s="35">
        <v>0.0</v>
      </c>
      <c r="J384" s="35"/>
      <c r="K384" s="35">
        <v>0.0</v>
      </c>
    </row>
    <row r="385" ht="15.75" customHeight="1">
      <c r="A385" s="35" t="s">
        <v>3723</v>
      </c>
      <c r="B385" s="35"/>
      <c r="C385" s="35">
        <v>39.0</v>
      </c>
      <c r="D385" s="35" t="s">
        <v>3725</v>
      </c>
      <c r="E385" s="35">
        <v>46027.0</v>
      </c>
      <c r="F385" s="35">
        <v>0.0</v>
      </c>
      <c r="G385" s="35">
        <v>1.0</v>
      </c>
      <c r="H385" s="35">
        <v>0.0</v>
      </c>
      <c r="I385" s="35">
        <v>0.0</v>
      </c>
      <c r="J385" s="35"/>
      <c r="K385" s="35">
        <v>0.0</v>
      </c>
    </row>
    <row r="386" ht="15.75" customHeight="1">
      <c r="A386" s="35" t="s">
        <v>3730</v>
      </c>
      <c r="B386" s="35"/>
      <c r="C386" s="35">
        <v>39.0</v>
      </c>
      <c r="D386" s="35" t="s">
        <v>3732</v>
      </c>
      <c r="E386" s="35">
        <v>46027.0</v>
      </c>
      <c r="F386" s="35">
        <v>0.0</v>
      </c>
      <c r="G386" s="35">
        <v>1.0</v>
      </c>
      <c r="H386" s="35">
        <v>0.0</v>
      </c>
      <c r="I386" s="35">
        <v>0.0</v>
      </c>
      <c r="J386" s="35"/>
      <c r="K386" s="35">
        <v>0.0</v>
      </c>
    </row>
    <row r="387" ht="15.75" customHeight="1">
      <c r="A387" s="35" t="s">
        <v>3735</v>
      </c>
      <c r="B387" s="35"/>
      <c r="C387" s="35">
        <v>39.0</v>
      </c>
      <c r="D387" s="35" t="s">
        <v>3736</v>
      </c>
      <c r="E387" s="35">
        <v>46027.0</v>
      </c>
      <c r="F387" s="35">
        <v>0.0</v>
      </c>
      <c r="G387" s="35">
        <v>5.0</v>
      </c>
      <c r="H387" s="35">
        <v>0.0</v>
      </c>
      <c r="I387" s="35">
        <v>0.0</v>
      </c>
      <c r="J387" s="35"/>
      <c r="K387" s="35">
        <v>0.0</v>
      </c>
    </row>
    <row r="388" ht="15.75" customHeight="1">
      <c r="A388" s="35" t="s">
        <v>3740</v>
      </c>
      <c r="B388" s="35"/>
      <c r="C388" s="35">
        <v>39.0</v>
      </c>
      <c r="D388" s="35" t="s">
        <v>2036</v>
      </c>
      <c r="E388" s="35">
        <v>46027.0</v>
      </c>
      <c r="F388" s="35">
        <v>0.0</v>
      </c>
      <c r="G388" s="35">
        <v>6.0</v>
      </c>
      <c r="H388" s="35">
        <v>0.0</v>
      </c>
      <c r="I388" s="35">
        <v>0.0</v>
      </c>
      <c r="J388" s="35"/>
      <c r="K388" s="35">
        <v>0.0</v>
      </c>
    </row>
    <row r="389" ht="15.75" customHeight="1">
      <c r="A389" s="35" t="s">
        <v>3745</v>
      </c>
      <c r="B389" s="35"/>
      <c r="C389" s="35">
        <v>39.0</v>
      </c>
      <c r="D389" s="35" t="s">
        <v>3748</v>
      </c>
      <c r="E389" s="35">
        <v>46027.0</v>
      </c>
      <c r="F389" s="35">
        <v>0.0</v>
      </c>
      <c r="G389" s="35">
        <v>2.0</v>
      </c>
      <c r="H389" s="35">
        <v>0.0</v>
      </c>
      <c r="I389" s="35">
        <v>0.0</v>
      </c>
      <c r="J389" s="35"/>
      <c r="K389" s="35">
        <v>0.0</v>
      </c>
    </row>
    <row r="390" ht="15.75" customHeight="1">
      <c r="A390" s="35" t="s">
        <v>3751</v>
      </c>
      <c r="B390" s="35"/>
      <c r="C390" s="35">
        <v>39.0</v>
      </c>
      <c r="D390" s="35" t="s">
        <v>3754</v>
      </c>
      <c r="E390" s="35">
        <v>46027.0</v>
      </c>
      <c r="F390" s="35">
        <v>0.0</v>
      </c>
      <c r="G390" s="35">
        <v>1.0</v>
      </c>
      <c r="H390" s="35">
        <v>0.0</v>
      </c>
      <c r="I390" s="35">
        <v>0.0</v>
      </c>
      <c r="J390" s="35"/>
      <c r="K390" s="35">
        <v>0.0</v>
      </c>
    </row>
    <row r="391" ht="15.75" customHeight="1">
      <c r="A391" s="35" t="s">
        <v>3757</v>
      </c>
      <c r="B391" s="35"/>
      <c r="C391" s="35">
        <v>39.0</v>
      </c>
      <c r="D391" s="35" t="s">
        <v>3760</v>
      </c>
      <c r="E391" s="35">
        <v>46027.0</v>
      </c>
      <c r="F391" s="35">
        <v>0.0</v>
      </c>
      <c r="G391" s="35">
        <v>0.0</v>
      </c>
      <c r="H391" s="35">
        <v>1.0</v>
      </c>
      <c r="I391" s="35">
        <v>0.0</v>
      </c>
      <c r="J391" s="35"/>
      <c r="K391" s="35">
        <v>0.0</v>
      </c>
    </row>
    <row r="392" ht="15.75" customHeight="1">
      <c r="A392" s="35" t="s">
        <v>3765</v>
      </c>
      <c r="B392" s="35"/>
      <c r="C392" s="35">
        <v>38.0</v>
      </c>
      <c r="D392" s="35" t="s">
        <v>3767</v>
      </c>
      <c r="E392" s="35">
        <v>46058.0</v>
      </c>
      <c r="F392" s="35">
        <v>0.0</v>
      </c>
      <c r="G392" s="35">
        <v>127.0</v>
      </c>
      <c r="H392" s="35">
        <v>0.0</v>
      </c>
      <c r="I392" s="35">
        <v>49.0</v>
      </c>
      <c r="J392" s="35"/>
      <c r="K392" s="35">
        <v>0.0</v>
      </c>
    </row>
    <row r="393" ht="15.75" customHeight="1">
      <c r="A393" s="35" t="s">
        <v>3769</v>
      </c>
      <c r="B393" s="35"/>
      <c r="C393" s="35">
        <v>38.0</v>
      </c>
      <c r="D393" s="35" t="s">
        <v>3771</v>
      </c>
      <c r="E393" s="35">
        <v>46027.0</v>
      </c>
      <c r="F393" s="35">
        <v>0.0</v>
      </c>
      <c r="G393" s="35">
        <v>2.0</v>
      </c>
      <c r="H393" s="35">
        <v>0.0</v>
      </c>
      <c r="I393" s="35">
        <v>0.0</v>
      </c>
      <c r="J393" s="35"/>
      <c r="K393" s="35">
        <v>0.0</v>
      </c>
    </row>
    <row r="394" ht="15.75" customHeight="1">
      <c r="A394" s="35" t="s">
        <v>3775</v>
      </c>
      <c r="B394" s="35"/>
      <c r="C394" s="35">
        <v>38.0</v>
      </c>
      <c r="D394" s="35" t="s">
        <v>3776</v>
      </c>
      <c r="E394" s="35">
        <v>46027.0</v>
      </c>
      <c r="F394" s="35">
        <v>0.0</v>
      </c>
      <c r="G394" s="35">
        <v>1.0</v>
      </c>
      <c r="H394" s="35">
        <v>0.0</v>
      </c>
      <c r="I394" s="35">
        <v>0.0</v>
      </c>
      <c r="J394" s="35"/>
      <c r="K394" s="35">
        <v>0.0</v>
      </c>
    </row>
    <row r="395" ht="15.75" customHeight="1">
      <c r="A395" s="35" t="s">
        <v>3785</v>
      </c>
      <c r="B395" s="35"/>
      <c r="C395" s="35">
        <v>38.0</v>
      </c>
      <c r="D395" s="35" t="s">
        <v>3787</v>
      </c>
      <c r="E395" s="35">
        <v>46027.0</v>
      </c>
      <c r="F395" s="35">
        <v>0.0</v>
      </c>
      <c r="G395" s="35">
        <v>2.0</v>
      </c>
      <c r="H395" s="35">
        <v>0.0</v>
      </c>
      <c r="I395" s="35">
        <v>0.0</v>
      </c>
      <c r="J395" s="35"/>
      <c r="K395" s="35">
        <v>0.0</v>
      </c>
    </row>
    <row r="396" ht="15.75" customHeight="1">
      <c r="A396" s="35" t="s">
        <v>3790</v>
      </c>
      <c r="B396" s="35"/>
      <c r="C396" s="35">
        <v>38.0</v>
      </c>
      <c r="D396" s="35" t="s">
        <v>3791</v>
      </c>
      <c r="E396" s="35">
        <v>46027.0</v>
      </c>
      <c r="F396" s="35">
        <v>0.0</v>
      </c>
      <c r="G396" s="35">
        <v>16.0</v>
      </c>
      <c r="H396" s="35">
        <v>0.0</v>
      </c>
      <c r="I396" s="35">
        <v>0.0</v>
      </c>
      <c r="J396" s="35"/>
      <c r="K396" s="35">
        <v>0.0</v>
      </c>
    </row>
    <row r="397" ht="15.75" customHeight="1">
      <c r="A397" s="35" t="s">
        <v>3795</v>
      </c>
      <c r="B397" s="35"/>
      <c r="C397" s="35">
        <v>38.0</v>
      </c>
      <c r="D397" s="35" t="s">
        <v>2533</v>
      </c>
      <c r="E397" s="35">
        <v>46027.0</v>
      </c>
      <c r="F397" s="35">
        <v>0.0</v>
      </c>
      <c r="G397" s="35">
        <v>1.0</v>
      </c>
      <c r="H397" s="35">
        <v>0.0</v>
      </c>
      <c r="I397" s="35">
        <v>0.0</v>
      </c>
      <c r="J397" s="35"/>
      <c r="K397" s="35">
        <v>0.0</v>
      </c>
    </row>
    <row r="398" ht="15.75" customHeight="1">
      <c r="A398" s="35" t="s">
        <v>3799</v>
      </c>
      <c r="B398" s="35"/>
      <c r="C398" s="35">
        <v>38.0</v>
      </c>
      <c r="D398" s="35" t="s">
        <v>3802</v>
      </c>
      <c r="E398" s="35">
        <v>46027.0</v>
      </c>
      <c r="F398" s="35">
        <v>0.0</v>
      </c>
      <c r="G398" s="35">
        <v>4.0</v>
      </c>
      <c r="H398" s="35">
        <v>0.0</v>
      </c>
      <c r="I398" s="35">
        <v>0.0</v>
      </c>
      <c r="J398" s="35"/>
      <c r="K398" s="35">
        <v>0.0</v>
      </c>
    </row>
    <row r="399" ht="15.75" customHeight="1">
      <c r="A399" s="35" t="s">
        <v>3806</v>
      </c>
      <c r="B399" s="35"/>
      <c r="C399" s="35">
        <v>38.0</v>
      </c>
      <c r="D399" s="35" t="s">
        <v>3808</v>
      </c>
      <c r="E399" s="35">
        <v>46027.0</v>
      </c>
      <c r="F399" s="35">
        <v>0.0</v>
      </c>
      <c r="G399" s="35">
        <v>0.0</v>
      </c>
      <c r="H399" s="35">
        <v>2.0</v>
      </c>
      <c r="I399" s="35">
        <v>0.0</v>
      </c>
      <c r="J399" s="35"/>
      <c r="K399" s="35">
        <v>0.0</v>
      </c>
    </row>
    <row r="400" ht="15.75" customHeight="1">
      <c r="A400" s="35" t="s">
        <v>3810</v>
      </c>
      <c r="B400" s="35"/>
      <c r="C400" s="35">
        <v>38.0</v>
      </c>
      <c r="D400" s="35" t="s">
        <v>3812</v>
      </c>
      <c r="E400" s="35">
        <v>46027.0</v>
      </c>
      <c r="F400" s="35">
        <v>0.0</v>
      </c>
      <c r="G400" s="35">
        <v>4.0</v>
      </c>
      <c r="H400" s="35">
        <v>0.0</v>
      </c>
      <c r="I400" s="35">
        <v>0.0</v>
      </c>
      <c r="J400" s="35"/>
      <c r="K400" s="35">
        <v>0.0</v>
      </c>
    </row>
    <row r="401" ht="15.75" customHeight="1">
      <c r="A401" s="35" t="s">
        <v>3816</v>
      </c>
      <c r="B401" s="35"/>
      <c r="C401" s="35">
        <v>38.0</v>
      </c>
      <c r="D401" s="35" t="s">
        <v>3819</v>
      </c>
      <c r="E401" s="35">
        <v>46027.0</v>
      </c>
      <c r="F401" s="35">
        <v>0.0</v>
      </c>
      <c r="G401" s="35">
        <v>6.0</v>
      </c>
      <c r="H401" s="35">
        <v>0.0</v>
      </c>
      <c r="I401" s="35">
        <v>0.0</v>
      </c>
      <c r="J401" s="35"/>
      <c r="K401" s="35">
        <v>0.0</v>
      </c>
    </row>
    <row r="402" ht="15.75" customHeight="1">
      <c r="A402" s="35" t="s">
        <v>3821</v>
      </c>
      <c r="B402" s="35"/>
      <c r="C402" s="35">
        <v>38.0</v>
      </c>
      <c r="D402" s="35" t="s">
        <v>3823</v>
      </c>
      <c r="E402" s="35">
        <v>46027.0</v>
      </c>
      <c r="F402" s="35">
        <v>0.0</v>
      </c>
      <c r="G402" s="35">
        <v>2.0</v>
      </c>
      <c r="H402" s="35">
        <v>0.0</v>
      </c>
      <c r="I402" s="35">
        <v>0.0</v>
      </c>
      <c r="J402" s="35"/>
      <c r="K402" s="35">
        <v>0.0</v>
      </c>
    </row>
    <row r="403" ht="15.75" customHeight="1">
      <c r="A403" s="35" t="s">
        <v>3827</v>
      </c>
      <c r="B403" s="35"/>
      <c r="C403" s="35">
        <v>38.0</v>
      </c>
      <c r="D403" s="35" t="s">
        <v>3829</v>
      </c>
      <c r="E403" s="35">
        <v>46027.0</v>
      </c>
      <c r="F403" s="35">
        <v>0.0</v>
      </c>
      <c r="G403" s="35">
        <v>17.0</v>
      </c>
      <c r="H403" s="35">
        <v>0.0</v>
      </c>
      <c r="I403" s="35">
        <v>0.0</v>
      </c>
      <c r="J403" s="35"/>
      <c r="K403" s="35">
        <v>0.0</v>
      </c>
    </row>
    <row r="404" ht="15.75" customHeight="1">
      <c r="A404" s="35" t="s">
        <v>3834</v>
      </c>
      <c r="B404" s="35"/>
      <c r="C404" s="35">
        <v>38.0</v>
      </c>
      <c r="D404" s="35" t="s">
        <v>3837</v>
      </c>
      <c r="E404" s="35">
        <v>46027.0</v>
      </c>
      <c r="F404" s="35">
        <v>0.0</v>
      </c>
      <c r="G404" s="35">
        <v>2.0</v>
      </c>
      <c r="H404" s="35">
        <v>0.0</v>
      </c>
      <c r="I404" s="35">
        <v>0.0</v>
      </c>
      <c r="J404" s="35"/>
      <c r="K404" s="35">
        <v>0.0</v>
      </c>
    </row>
    <row r="405" ht="15.75" customHeight="1">
      <c r="A405" s="35" t="s">
        <v>3842</v>
      </c>
      <c r="B405" s="35"/>
      <c r="C405" s="35">
        <v>38.0</v>
      </c>
      <c r="D405" s="35" t="s">
        <v>3845</v>
      </c>
      <c r="E405" s="35">
        <v>46027.0</v>
      </c>
      <c r="F405" s="35">
        <v>0.0</v>
      </c>
      <c r="G405" s="35">
        <v>0.0</v>
      </c>
      <c r="H405" s="35">
        <v>3.0</v>
      </c>
      <c r="I405" s="35">
        <v>0.0</v>
      </c>
      <c r="J405" s="35"/>
      <c r="K405" s="35">
        <v>0.0</v>
      </c>
    </row>
    <row r="406" ht="15.75" customHeight="1">
      <c r="A406" s="35" t="s">
        <v>1028</v>
      </c>
      <c r="B406" s="35"/>
      <c r="C406" s="35">
        <v>38.0</v>
      </c>
      <c r="D406" s="35">
        <v>777.0</v>
      </c>
      <c r="E406" s="35">
        <v>46027.0</v>
      </c>
      <c r="F406" s="35">
        <v>0.0</v>
      </c>
      <c r="G406" s="35">
        <v>1.0</v>
      </c>
      <c r="H406" s="35">
        <v>0.0</v>
      </c>
      <c r="I406" s="35">
        <v>0.0</v>
      </c>
      <c r="J406" s="35"/>
      <c r="K406" s="35">
        <v>0.0</v>
      </c>
    </row>
    <row r="407" ht="15.75" customHeight="1">
      <c r="A407" s="35" t="s">
        <v>3854</v>
      </c>
      <c r="B407" s="35"/>
      <c r="C407" s="35">
        <v>38.0</v>
      </c>
      <c r="D407" s="35" t="s">
        <v>3858</v>
      </c>
      <c r="E407" s="35">
        <v>46027.0</v>
      </c>
      <c r="F407" s="35">
        <v>0.0</v>
      </c>
      <c r="G407" s="35">
        <v>3.0</v>
      </c>
      <c r="H407" s="35">
        <v>0.0</v>
      </c>
      <c r="I407" s="35">
        <v>0.0</v>
      </c>
      <c r="J407" s="35"/>
      <c r="K407" s="35">
        <v>0.0</v>
      </c>
    </row>
    <row r="408" ht="15.75" customHeight="1">
      <c r="A408" s="35" t="s">
        <v>3863</v>
      </c>
      <c r="B408" s="35"/>
      <c r="C408" s="35">
        <v>38.0</v>
      </c>
      <c r="D408" s="35" t="s">
        <v>3865</v>
      </c>
      <c r="E408" s="35">
        <v>46027.0</v>
      </c>
      <c r="F408" s="35">
        <v>0.0</v>
      </c>
      <c r="G408" s="35">
        <v>5.0</v>
      </c>
      <c r="H408" s="35">
        <v>0.0</v>
      </c>
      <c r="I408" s="35">
        <v>0.0</v>
      </c>
      <c r="J408" s="35"/>
      <c r="K408" s="35">
        <v>0.0</v>
      </c>
    </row>
    <row r="409" ht="15.75" customHeight="1">
      <c r="A409" s="35" t="s">
        <v>3870</v>
      </c>
      <c r="B409" s="35"/>
      <c r="C409" s="35">
        <v>38.0</v>
      </c>
      <c r="D409" s="35" t="s">
        <v>3872</v>
      </c>
      <c r="E409" s="35">
        <v>46027.0</v>
      </c>
      <c r="F409" s="35">
        <v>0.0</v>
      </c>
      <c r="G409" s="35">
        <v>10.0</v>
      </c>
      <c r="H409" s="35">
        <v>0.0</v>
      </c>
      <c r="I409" s="35">
        <v>0.0</v>
      </c>
      <c r="J409" s="35"/>
      <c r="K409" s="35">
        <v>0.0</v>
      </c>
    </row>
    <row r="410" ht="15.75" customHeight="1">
      <c r="A410" s="35" t="s">
        <v>3878</v>
      </c>
      <c r="B410" s="35"/>
      <c r="C410" s="35">
        <v>38.0</v>
      </c>
      <c r="D410" s="35" t="s">
        <v>3094</v>
      </c>
      <c r="E410" s="35">
        <v>46027.0</v>
      </c>
      <c r="F410" s="35">
        <v>0.0</v>
      </c>
      <c r="G410" s="35">
        <v>20.0</v>
      </c>
      <c r="H410" s="35">
        <v>0.0</v>
      </c>
      <c r="I410" s="35">
        <v>0.0</v>
      </c>
      <c r="J410" s="35"/>
      <c r="K410" s="35">
        <v>0.0</v>
      </c>
    </row>
    <row r="411" ht="15.75" customHeight="1">
      <c r="A411" s="35" t="s">
        <v>3883</v>
      </c>
      <c r="B411" s="35"/>
      <c r="C411" s="35">
        <v>38.0</v>
      </c>
      <c r="D411" s="35" t="s">
        <v>2515</v>
      </c>
      <c r="E411" s="35">
        <v>46027.0</v>
      </c>
      <c r="F411" s="35">
        <v>0.0</v>
      </c>
      <c r="G411" s="35">
        <v>21.0</v>
      </c>
      <c r="H411" s="35">
        <v>0.0</v>
      </c>
      <c r="I411" s="35">
        <v>0.0</v>
      </c>
      <c r="J411" s="35"/>
      <c r="K411" s="35">
        <v>0.0</v>
      </c>
    </row>
    <row r="412" ht="15.75" customHeight="1">
      <c r="A412" s="35" t="s">
        <v>3890</v>
      </c>
      <c r="B412" s="35"/>
      <c r="C412" s="35">
        <v>38.0</v>
      </c>
      <c r="D412" s="35" t="s">
        <v>3891</v>
      </c>
      <c r="E412" s="35">
        <v>46027.0</v>
      </c>
      <c r="F412" s="35">
        <v>0.0</v>
      </c>
      <c r="G412" s="35">
        <v>0.0</v>
      </c>
      <c r="H412" s="35">
        <v>0.0</v>
      </c>
      <c r="I412" s="35">
        <v>7.0</v>
      </c>
      <c r="J412" s="35"/>
      <c r="K412" s="35">
        <v>0.0</v>
      </c>
    </row>
    <row r="413" ht="15.75" customHeight="1">
      <c r="A413" s="35" t="s">
        <v>1030</v>
      </c>
      <c r="B413" s="35"/>
      <c r="C413" s="35">
        <v>38.0</v>
      </c>
      <c r="D413" s="35" t="s">
        <v>3894</v>
      </c>
      <c r="E413" s="35">
        <v>46027.0</v>
      </c>
      <c r="F413" s="35">
        <v>0.0</v>
      </c>
      <c r="G413" s="35">
        <v>14.0</v>
      </c>
      <c r="H413" s="35">
        <v>0.0</v>
      </c>
      <c r="I413" s="35">
        <v>0.0</v>
      </c>
      <c r="J413" s="35"/>
      <c r="K413" s="35">
        <v>0.0</v>
      </c>
    </row>
    <row r="414" ht="15.75" customHeight="1">
      <c r="A414" s="35" t="s">
        <v>3898</v>
      </c>
      <c r="B414" s="35"/>
      <c r="C414" s="35">
        <v>38.0</v>
      </c>
      <c r="D414" s="35" t="s">
        <v>3900</v>
      </c>
      <c r="E414" s="35">
        <v>46027.0</v>
      </c>
      <c r="F414" s="35">
        <v>0.0</v>
      </c>
      <c r="G414" s="35">
        <v>1.0</v>
      </c>
      <c r="H414" s="35">
        <v>0.0</v>
      </c>
      <c r="I414" s="35">
        <v>0.0</v>
      </c>
      <c r="J414" s="35"/>
      <c r="K414" s="35">
        <v>0.0</v>
      </c>
    </row>
    <row r="415" ht="15.75" customHeight="1">
      <c r="A415" s="35" t="s">
        <v>3903</v>
      </c>
      <c r="B415" s="35"/>
      <c r="C415" s="35">
        <v>38.0</v>
      </c>
      <c r="D415" s="35" t="s">
        <v>3905</v>
      </c>
      <c r="E415" s="35">
        <v>46027.0</v>
      </c>
      <c r="F415" s="35">
        <v>0.0</v>
      </c>
      <c r="G415" s="35">
        <v>0.0</v>
      </c>
      <c r="H415" s="35">
        <v>8.0</v>
      </c>
      <c r="I415" s="35">
        <v>0.0</v>
      </c>
      <c r="J415" s="35"/>
      <c r="K415" s="35">
        <v>0.0</v>
      </c>
    </row>
    <row r="416" ht="15.75" customHeight="1">
      <c r="A416" s="35" t="s">
        <v>3911</v>
      </c>
      <c r="B416" s="35"/>
      <c r="C416" s="35">
        <v>38.0</v>
      </c>
      <c r="D416" s="35" t="s">
        <v>3754</v>
      </c>
      <c r="E416" s="35">
        <v>46027.0</v>
      </c>
      <c r="F416" s="35">
        <v>0.0</v>
      </c>
      <c r="G416" s="35">
        <v>8.0</v>
      </c>
      <c r="H416" s="35">
        <v>0.0</v>
      </c>
      <c r="I416" s="35">
        <v>0.0</v>
      </c>
      <c r="J416" s="35"/>
      <c r="K416" s="35">
        <v>0.0</v>
      </c>
    </row>
    <row r="417" ht="15.75" customHeight="1">
      <c r="A417" s="35" t="s">
        <v>3915</v>
      </c>
      <c r="B417" s="35"/>
      <c r="C417" s="35">
        <v>37.0</v>
      </c>
      <c r="D417" s="35" t="s">
        <v>3204</v>
      </c>
      <c r="E417" s="35">
        <v>46027.0</v>
      </c>
      <c r="F417" s="35">
        <v>0.0</v>
      </c>
      <c r="G417" s="35">
        <v>3.0</v>
      </c>
      <c r="H417" s="35">
        <v>0.0</v>
      </c>
      <c r="I417" s="35">
        <v>0.0</v>
      </c>
      <c r="J417" s="35"/>
      <c r="K417" s="35">
        <v>0.0</v>
      </c>
    </row>
    <row r="418" ht="15.75" customHeight="1">
      <c r="A418" s="35" t="s">
        <v>3920</v>
      </c>
      <c r="B418" s="35"/>
      <c r="C418" s="35">
        <v>37.0</v>
      </c>
      <c r="D418" s="35" t="s">
        <v>3923</v>
      </c>
      <c r="E418" s="35">
        <v>46027.0</v>
      </c>
      <c r="F418" s="35">
        <v>0.0</v>
      </c>
      <c r="G418" s="35">
        <v>3.0</v>
      </c>
      <c r="H418" s="35">
        <v>0.0</v>
      </c>
      <c r="I418" s="35">
        <v>0.0</v>
      </c>
      <c r="J418" s="35"/>
      <c r="K418" s="35">
        <v>0.0</v>
      </c>
    </row>
    <row r="419" ht="15.75" customHeight="1">
      <c r="A419" s="35" t="s">
        <v>3926</v>
      </c>
      <c r="B419" s="35"/>
      <c r="C419" s="35">
        <v>37.0</v>
      </c>
      <c r="D419" s="35" t="s">
        <v>3928</v>
      </c>
      <c r="E419" s="35">
        <v>46027.0</v>
      </c>
      <c r="F419" s="35">
        <v>0.0</v>
      </c>
      <c r="G419" s="35">
        <v>4.0</v>
      </c>
      <c r="H419" s="35">
        <v>0.0</v>
      </c>
      <c r="I419" s="35">
        <v>0.0</v>
      </c>
      <c r="J419" s="35"/>
      <c r="K419" s="35">
        <v>0.0</v>
      </c>
    </row>
    <row r="420" ht="15.75" customHeight="1">
      <c r="A420" s="35" t="s">
        <v>3930</v>
      </c>
      <c r="B420" s="35"/>
      <c r="C420" s="35">
        <v>37.0</v>
      </c>
      <c r="D420" s="35" t="s">
        <v>3931</v>
      </c>
      <c r="E420" s="35">
        <v>46027.0</v>
      </c>
      <c r="F420" s="35">
        <v>0.0</v>
      </c>
      <c r="G420" s="35">
        <v>1.0</v>
      </c>
      <c r="H420" s="35">
        <v>0.0</v>
      </c>
      <c r="I420" s="35">
        <v>0.0</v>
      </c>
      <c r="J420" s="35"/>
      <c r="K420" s="35">
        <v>0.0</v>
      </c>
    </row>
    <row r="421" ht="15.75" customHeight="1">
      <c r="A421" s="35" t="s">
        <v>3934</v>
      </c>
      <c r="B421" s="35"/>
      <c r="C421" s="35">
        <v>37.0</v>
      </c>
      <c r="D421" s="35" t="s">
        <v>3935</v>
      </c>
      <c r="E421" s="35">
        <v>46027.0</v>
      </c>
      <c r="F421" s="35">
        <v>0.0</v>
      </c>
      <c r="G421" s="35">
        <v>0.0</v>
      </c>
      <c r="H421" s="35">
        <v>1.0</v>
      </c>
      <c r="I421" s="35">
        <v>0.0</v>
      </c>
      <c r="J421" s="35"/>
      <c r="K421" s="35">
        <v>0.0</v>
      </c>
    </row>
    <row r="422" ht="15.75" customHeight="1">
      <c r="A422" s="35" t="s">
        <v>3936</v>
      </c>
      <c r="B422" s="35"/>
      <c r="C422" s="35">
        <v>37.0</v>
      </c>
      <c r="D422" s="35" t="s">
        <v>3221</v>
      </c>
      <c r="E422" s="35">
        <v>46027.0</v>
      </c>
      <c r="F422" s="35">
        <v>0.0</v>
      </c>
      <c r="G422" s="35">
        <v>0.0</v>
      </c>
      <c r="H422" s="35">
        <v>0.0</v>
      </c>
      <c r="I422" s="35">
        <v>1.0</v>
      </c>
      <c r="J422" s="35"/>
      <c r="K422" s="35">
        <v>0.0</v>
      </c>
    </row>
    <row r="423" ht="15.75" customHeight="1">
      <c r="A423" s="35" t="s">
        <v>3938</v>
      </c>
      <c r="B423" s="35"/>
      <c r="C423" s="35">
        <v>37.0</v>
      </c>
      <c r="D423" s="35" t="s">
        <v>3939</v>
      </c>
      <c r="E423" s="35">
        <v>46027.0</v>
      </c>
      <c r="F423" s="35">
        <v>0.0</v>
      </c>
      <c r="G423" s="35">
        <v>1.0</v>
      </c>
      <c r="H423" s="35">
        <v>0.0</v>
      </c>
      <c r="I423" s="35">
        <v>0.0</v>
      </c>
      <c r="J423" s="35"/>
      <c r="K423" s="35">
        <v>0.0</v>
      </c>
    </row>
    <row r="424" ht="15.75" customHeight="1">
      <c r="A424" s="35" t="s">
        <v>3941</v>
      </c>
      <c r="B424" s="35"/>
      <c r="C424" s="35">
        <v>37.0</v>
      </c>
      <c r="D424" s="35" t="s">
        <v>3942</v>
      </c>
      <c r="E424" s="35">
        <v>46027.0</v>
      </c>
      <c r="F424" s="35">
        <v>0.0</v>
      </c>
      <c r="G424" s="35">
        <v>2.0</v>
      </c>
      <c r="H424" s="35">
        <v>0.0</v>
      </c>
      <c r="I424" s="35">
        <v>0.0</v>
      </c>
      <c r="J424" s="35"/>
      <c r="K424" s="35">
        <v>0.0</v>
      </c>
    </row>
    <row r="425" ht="15.75" customHeight="1">
      <c r="A425" s="35" t="s">
        <v>3943</v>
      </c>
      <c r="B425" s="35"/>
      <c r="C425" s="35">
        <v>37.0</v>
      </c>
      <c r="D425" s="35">
        <v>60.0</v>
      </c>
      <c r="E425" s="35">
        <v>46027.0</v>
      </c>
      <c r="F425" s="35">
        <v>0.0</v>
      </c>
      <c r="G425" s="35">
        <v>0.0</v>
      </c>
      <c r="H425" s="35">
        <v>1.0</v>
      </c>
      <c r="I425" s="35">
        <v>0.0</v>
      </c>
      <c r="J425" s="35"/>
      <c r="K425" s="35">
        <v>0.0</v>
      </c>
    </row>
    <row r="426" ht="15.75" customHeight="1">
      <c r="A426" s="35" t="s">
        <v>3945</v>
      </c>
      <c r="B426" s="35"/>
      <c r="C426" s="35">
        <v>37.0</v>
      </c>
      <c r="D426" s="35" t="s">
        <v>3946</v>
      </c>
      <c r="E426" s="35">
        <v>46027.0</v>
      </c>
      <c r="F426" s="35">
        <v>0.0</v>
      </c>
      <c r="G426" s="35">
        <v>38.0</v>
      </c>
      <c r="H426" s="35">
        <v>0.0</v>
      </c>
      <c r="I426" s="35">
        <v>0.0</v>
      </c>
      <c r="J426" s="35"/>
      <c r="K426" s="35">
        <v>0.0</v>
      </c>
    </row>
    <row r="427" ht="15.75" customHeight="1">
      <c r="A427" s="35" t="s">
        <v>3947</v>
      </c>
      <c r="B427" s="35"/>
      <c r="C427" s="35">
        <v>37.0</v>
      </c>
      <c r="D427" s="35" t="s">
        <v>3948</v>
      </c>
      <c r="E427" s="35">
        <v>46027.0</v>
      </c>
      <c r="F427" s="35">
        <v>0.0</v>
      </c>
      <c r="G427" s="35">
        <v>1.0</v>
      </c>
      <c r="H427" s="35">
        <v>0.0</v>
      </c>
      <c r="I427" s="35">
        <v>0.0</v>
      </c>
      <c r="J427" s="35"/>
      <c r="K427" s="35">
        <v>0.0</v>
      </c>
    </row>
    <row r="428" ht="15.75" customHeight="1">
      <c r="A428" s="35" t="s">
        <v>3951</v>
      </c>
      <c r="B428" s="35"/>
      <c r="C428" s="35">
        <v>37.0</v>
      </c>
      <c r="D428" s="35" t="s">
        <v>3952</v>
      </c>
      <c r="E428" s="35">
        <v>46027.0</v>
      </c>
      <c r="F428" s="35">
        <v>0.0</v>
      </c>
      <c r="G428" s="35">
        <v>1.0</v>
      </c>
      <c r="H428" s="35">
        <v>0.0</v>
      </c>
      <c r="I428" s="35">
        <v>0.0</v>
      </c>
      <c r="J428" s="35"/>
      <c r="K428" s="35">
        <v>0.0</v>
      </c>
    </row>
    <row r="429" ht="15.75" customHeight="1">
      <c r="A429" s="35" t="s">
        <v>1032</v>
      </c>
      <c r="B429" s="35"/>
      <c r="C429" s="35">
        <v>37.0</v>
      </c>
      <c r="D429" s="35" t="s">
        <v>3946</v>
      </c>
      <c r="E429" s="35">
        <v>46027.0</v>
      </c>
      <c r="F429" s="35">
        <v>0.0</v>
      </c>
      <c r="G429" s="35">
        <v>6.0</v>
      </c>
      <c r="H429" s="35">
        <v>0.0</v>
      </c>
      <c r="I429" s="35">
        <v>0.0</v>
      </c>
      <c r="J429" s="35"/>
      <c r="K429" s="35">
        <v>0.0</v>
      </c>
    </row>
    <row r="430" ht="15.75" customHeight="1">
      <c r="A430" s="35" t="s">
        <v>3956</v>
      </c>
      <c r="B430" s="35"/>
      <c r="C430" s="35">
        <v>37.0</v>
      </c>
      <c r="D430" s="35" t="s">
        <v>3958</v>
      </c>
      <c r="E430" s="35">
        <v>46027.0</v>
      </c>
      <c r="F430" s="35">
        <v>0.0</v>
      </c>
      <c r="G430" s="35">
        <v>1.0</v>
      </c>
      <c r="H430" s="35">
        <v>0.0</v>
      </c>
      <c r="I430" s="35">
        <v>0.0</v>
      </c>
      <c r="J430" s="35"/>
      <c r="K430" s="35">
        <v>0.0</v>
      </c>
    </row>
    <row r="431" ht="15.75" customHeight="1">
      <c r="A431" s="35" t="s">
        <v>3960</v>
      </c>
      <c r="B431" s="35"/>
      <c r="C431" s="35">
        <v>37.0</v>
      </c>
      <c r="D431" s="35" t="s">
        <v>3961</v>
      </c>
      <c r="E431" s="35">
        <v>46027.0</v>
      </c>
      <c r="F431" s="35">
        <v>0.0</v>
      </c>
      <c r="G431" s="35">
        <v>0.0</v>
      </c>
      <c r="H431" s="35">
        <v>1.0</v>
      </c>
      <c r="I431" s="35">
        <v>0.0</v>
      </c>
      <c r="J431" s="35"/>
      <c r="K431" s="35">
        <v>0.0</v>
      </c>
    </row>
    <row r="432" ht="15.75" customHeight="1">
      <c r="A432" s="35" t="s">
        <v>3964</v>
      </c>
      <c r="B432" s="35"/>
      <c r="C432" s="35">
        <v>37.0</v>
      </c>
      <c r="D432" s="35" t="s">
        <v>3965</v>
      </c>
      <c r="E432" s="35">
        <v>46027.0</v>
      </c>
      <c r="F432" s="35">
        <v>0.0</v>
      </c>
      <c r="G432" s="35">
        <v>1.0</v>
      </c>
      <c r="H432" s="35">
        <v>0.0</v>
      </c>
      <c r="I432" s="35">
        <v>0.0</v>
      </c>
      <c r="J432" s="35"/>
      <c r="K432" s="35">
        <v>0.0</v>
      </c>
    </row>
    <row r="433" ht="15.75" customHeight="1">
      <c r="A433" s="35" t="s">
        <v>1034</v>
      </c>
      <c r="B433" s="35"/>
      <c r="C433" s="35">
        <v>37.0</v>
      </c>
      <c r="D433" s="35" t="s">
        <v>3967</v>
      </c>
      <c r="E433" s="35">
        <v>46027.0</v>
      </c>
      <c r="F433" s="35">
        <v>0.0</v>
      </c>
      <c r="G433" s="35">
        <v>31.0</v>
      </c>
      <c r="H433" s="35">
        <v>0.0</v>
      </c>
      <c r="I433" s="35">
        <v>0.0</v>
      </c>
      <c r="J433" s="35"/>
      <c r="K433" s="35">
        <v>0.0</v>
      </c>
    </row>
    <row r="434" ht="15.75" customHeight="1">
      <c r="A434" s="35" t="s">
        <v>3971</v>
      </c>
      <c r="B434" s="35"/>
      <c r="C434" s="35">
        <v>37.0</v>
      </c>
      <c r="D434" s="35" t="s">
        <v>3972</v>
      </c>
      <c r="E434" s="35">
        <v>46027.0</v>
      </c>
      <c r="F434" s="35">
        <v>0.0</v>
      </c>
      <c r="G434" s="35">
        <v>1.0</v>
      </c>
      <c r="H434" s="35">
        <v>0.0</v>
      </c>
      <c r="I434" s="35">
        <v>0.0</v>
      </c>
      <c r="J434" s="35"/>
      <c r="K434" s="35">
        <v>0.0</v>
      </c>
    </row>
    <row r="435" ht="15.75" customHeight="1">
      <c r="A435" s="35" t="s">
        <v>3974</v>
      </c>
      <c r="B435" s="35"/>
      <c r="C435" s="35">
        <v>37.0</v>
      </c>
      <c r="D435" s="35" t="s">
        <v>3975</v>
      </c>
      <c r="E435" s="35">
        <v>46027.0</v>
      </c>
      <c r="F435" s="35">
        <v>0.0</v>
      </c>
      <c r="G435" s="35">
        <v>1.0</v>
      </c>
      <c r="H435" s="35">
        <v>0.0</v>
      </c>
      <c r="I435" s="35">
        <v>0.0</v>
      </c>
      <c r="J435" s="35"/>
      <c r="K435" s="35">
        <v>0.0</v>
      </c>
    </row>
    <row r="436" ht="15.75" customHeight="1">
      <c r="A436" s="35" t="s">
        <v>3977</v>
      </c>
      <c r="B436" s="35"/>
      <c r="C436" s="35">
        <v>37.0</v>
      </c>
      <c r="D436" s="35" t="s">
        <v>3980</v>
      </c>
      <c r="E436" s="35">
        <v>46027.0</v>
      </c>
      <c r="F436" s="35">
        <v>0.0</v>
      </c>
      <c r="G436" s="35">
        <v>0.0</v>
      </c>
      <c r="H436" s="35">
        <v>1.0</v>
      </c>
      <c r="I436" s="35">
        <v>0.0</v>
      </c>
      <c r="J436" s="35"/>
      <c r="K436" s="35">
        <v>0.0</v>
      </c>
    </row>
    <row r="437" ht="15.75" customHeight="1">
      <c r="A437" s="35" t="s">
        <v>3983</v>
      </c>
      <c r="B437" s="35"/>
      <c r="C437" s="35">
        <v>37.0</v>
      </c>
      <c r="D437" s="35" t="s">
        <v>2034</v>
      </c>
      <c r="E437" s="35">
        <v>46027.0</v>
      </c>
      <c r="F437" s="35">
        <v>0.0</v>
      </c>
      <c r="G437" s="35">
        <v>8.0</v>
      </c>
      <c r="H437" s="35">
        <v>0.0</v>
      </c>
      <c r="I437" s="35">
        <v>0.0</v>
      </c>
      <c r="J437" s="35"/>
      <c r="K437" s="35">
        <v>0.0</v>
      </c>
    </row>
    <row r="438" ht="15.75" customHeight="1">
      <c r="A438" s="35" t="s">
        <v>3986</v>
      </c>
      <c r="B438" s="35"/>
      <c r="C438" s="35">
        <v>37.0</v>
      </c>
      <c r="D438" s="35" t="s">
        <v>3988</v>
      </c>
      <c r="E438" s="35">
        <v>46027.0</v>
      </c>
      <c r="F438" s="35">
        <v>0.0</v>
      </c>
      <c r="G438" s="35">
        <v>0.0</v>
      </c>
      <c r="H438" s="35">
        <v>0.0</v>
      </c>
      <c r="I438" s="35">
        <v>4.0</v>
      </c>
      <c r="J438" s="35"/>
      <c r="K438" s="35">
        <v>0.0</v>
      </c>
    </row>
    <row r="439" ht="15.75" customHeight="1">
      <c r="A439" s="35" t="s">
        <v>3991</v>
      </c>
      <c r="B439" s="35"/>
      <c r="C439" s="35">
        <v>37.0</v>
      </c>
      <c r="D439" s="35" t="s">
        <v>3992</v>
      </c>
      <c r="E439" s="35">
        <v>46027.0</v>
      </c>
      <c r="F439" s="35">
        <v>0.0</v>
      </c>
      <c r="G439" s="35">
        <v>1.0</v>
      </c>
      <c r="H439" s="35">
        <v>0.0</v>
      </c>
      <c r="I439" s="35">
        <v>0.0</v>
      </c>
      <c r="J439" s="35"/>
      <c r="K439" s="35">
        <v>0.0</v>
      </c>
    </row>
    <row r="440" ht="15.75" customHeight="1">
      <c r="A440" s="35" t="s">
        <v>3994</v>
      </c>
      <c r="B440" s="35"/>
      <c r="C440" s="35">
        <v>36.0</v>
      </c>
      <c r="D440" s="35" t="s">
        <v>2056</v>
      </c>
      <c r="E440" s="35">
        <v>46027.0</v>
      </c>
      <c r="F440" s="35">
        <v>0.0</v>
      </c>
      <c r="G440" s="35">
        <v>10.0</v>
      </c>
      <c r="H440" s="35">
        <v>0.0</v>
      </c>
      <c r="I440" s="35">
        <v>0.0</v>
      </c>
      <c r="J440" s="35"/>
      <c r="K440" s="35">
        <v>0.0</v>
      </c>
    </row>
    <row r="441" ht="15.75" customHeight="1">
      <c r="A441" s="35" t="s">
        <v>3997</v>
      </c>
      <c r="B441" s="35"/>
      <c r="C441" s="35">
        <v>36.0</v>
      </c>
      <c r="D441" s="35" t="s">
        <v>3999</v>
      </c>
      <c r="E441" s="35">
        <v>46027.0</v>
      </c>
      <c r="F441" s="35">
        <v>0.0</v>
      </c>
      <c r="G441" s="35">
        <v>0.0</v>
      </c>
      <c r="H441" s="35">
        <v>2.0</v>
      </c>
      <c r="I441" s="35">
        <v>0.0</v>
      </c>
      <c r="J441" s="35"/>
      <c r="K441" s="35">
        <v>0.0</v>
      </c>
    </row>
    <row r="442" ht="15.75" customHeight="1">
      <c r="A442" s="35" t="s">
        <v>4001</v>
      </c>
      <c r="B442" s="35"/>
      <c r="C442" s="35">
        <v>36.0</v>
      </c>
      <c r="D442" s="35" t="s">
        <v>4002</v>
      </c>
      <c r="E442" s="35">
        <v>46027.0</v>
      </c>
      <c r="F442" s="35">
        <v>0.0</v>
      </c>
      <c r="G442" s="35">
        <v>3.0</v>
      </c>
      <c r="H442" s="35">
        <v>0.0</v>
      </c>
      <c r="I442" s="35">
        <v>0.0</v>
      </c>
      <c r="J442" s="35"/>
      <c r="K442" s="35">
        <v>0.0</v>
      </c>
    </row>
    <row r="443" ht="15.75" customHeight="1">
      <c r="A443" s="35" t="s">
        <v>4004</v>
      </c>
      <c r="B443" s="35"/>
      <c r="C443" s="35">
        <v>36.0</v>
      </c>
      <c r="D443" s="35" t="s">
        <v>4006</v>
      </c>
      <c r="E443" s="35">
        <v>46027.0</v>
      </c>
      <c r="F443" s="35">
        <v>0.0</v>
      </c>
      <c r="G443" s="35">
        <v>1.0</v>
      </c>
      <c r="H443" s="35">
        <v>0.0</v>
      </c>
      <c r="I443" s="35">
        <v>0.0</v>
      </c>
      <c r="J443" s="35"/>
      <c r="K443" s="35">
        <v>0.0</v>
      </c>
    </row>
    <row r="444" ht="15.75" customHeight="1">
      <c r="A444" s="35" t="s">
        <v>4008</v>
      </c>
      <c r="B444" s="35"/>
      <c r="C444" s="35">
        <v>36.0</v>
      </c>
      <c r="D444" s="35" t="s">
        <v>4010</v>
      </c>
      <c r="E444" s="35">
        <v>46027.0</v>
      </c>
      <c r="F444" s="35">
        <v>0.0</v>
      </c>
      <c r="G444" s="35">
        <v>1.0</v>
      </c>
      <c r="H444" s="35">
        <v>0.0</v>
      </c>
      <c r="I444" s="35">
        <v>0.0</v>
      </c>
      <c r="J444" s="35"/>
      <c r="K444" s="35">
        <v>0.0</v>
      </c>
    </row>
    <row r="445" ht="15.75" customHeight="1">
      <c r="A445" s="35" t="s">
        <v>4012</v>
      </c>
      <c r="B445" s="35"/>
      <c r="C445" s="35">
        <v>36.0</v>
      </c>
      <c r="D445" s="35" t="s">
        <v>4014</v>
      </c>
      <c r="E445" s="35">
        <v>46027.0</v>
      </c>
      <c r="F445" s="35">
        <v>0.0</v>
      </c>
      <c r="G445" s="35">
        <v>9.0</v>
      </c>
      <c r="H445" s="35">
        <v>0.0</v>
      </c>
      <c r="I445" s="35">
        <v>0.0</v>
      </c>
      <c r="J445" s="35"/>
      <c r="K445" s="35">
        <v>0.0</v>
      </c>
    </row>
    <row r="446" ht="15.75" customHeight="1">
      <c r="A446" s="35" t="s">
        <v>4016</v>
      </c>
      <c r="B446" s="35"/>
      <c r="C446" s="35">
        <v>36.0</v>
      </c>
      <c r="D446" s="35" t="s">
        <v>4018</v>
      </c>
      <c r="E446" s="35">
        <v>46027.0</v>
      </c>
      <c r="F446" s="35">
        <v>0.0</v>
      </c>
      <c r="G446" s="35">
        <v>6.0</v>
      </c>
      <c r="H446" s="35">
        <v>0.0</v>
      </c>
      <c r="I446" s="35">
        <v>0.0</v>
      </c>
      <c r="J446" s="35"/>
      <c r="K446" s="35">
        <v>0.0</v>
      </c>
    </row>
    <row r="447" ht="15.75" customHeight="1">
      <c r="A447" s="35" t="s">
        <v>4020</v>
      </c>
      <c r="B447" s="35"/>
      <c r="C447" s="35">
        <v>36.0</v>
      </c>
      <c r="D447" s="35" t="s">
        <v>4021</v>
      </c>
      <c r="E447" s="35">
        <v>46027.0</v>
      </c>
      <c r="F447" s="35">
        <v>0.0</v>
      </c>
      <c r="G447" s="35">
        <v>1.0</v>
      </c>
      <c r="H447" s="35">
        <v>0.0</v>
      </c>
      <c r="I447" s="35">
        <v>0.0</v>
      </c>
      <c r="J447" s="35"/>
      <c r="K447" s="35">
        <v>0.0</v>
      </c>
    </row>
    <row r="448" ht="15.75" customHeight="1">
      <c r="A448" s="35" t="s">
        <v>4024</v>
      </c>
      <c r="B448" s="35"/>
      <c r="C448" s="35">
        <v>36.0</v>
      </c>
      <c r="D448" s="35" t="s">
        <v>3719</v>
      </c>
      <c r="E448" s="35">
        <v>46027.0</v>
      </c>
      <c r="F448" s="35">
        <v>0.0</v>
      </c>
      <c r="G448" s="35">
        <v>9.0</v>
      </c>
      <c r="H448" s="35">
        <v>0.0</v>
      </c>
      <c r="I448" s="35">
        <v>0.0</v>
      </c>
      <c r="J448" s="35"/>
      <c r="K448" s="35">
        <v>0.0</v>
      </c>
    </row>
    <row r="449" ht="15.75" customHeight="1">
      <c r="A449" s="35" t="s">
        <v>4026</v>
      </c>
      <c r="B449" s="35"/>
      <c r="C449" s="35">
        <v>36.0</v>
      </c>
      <c r="D449" s="35" t="s">
        <v>4027</v>
      </c>
      <c r="E449" s="35">
        <v>46027.0</v>
      </c>
      <c r="F449" s="35">
        <v>0.0</v>
      </c>
      <c r="G449" s="35">
        <v>1.0</v>
      </c>
      <c r="H449" s="35">
        <v>0.0</v>
      </c>
      <c r="I449" s="35">
        <v>0.0</v>
      </c>
      <c r="J449" s="35"/>
      <c r="K449" s="35">
        <v>0.0</v>
      </c>
    </row>
    <row r="450" ht="15.75" customHeight="1">
      <c r="A450" s="35" t="s">
        <v>4031</v>
      </c>
      <c r="B450" s="35"/>
      <c r="C450" s="35">
        <v>36.0</v>
      </c>
      <c r="D450" s="35" t="s">
        <v>2916</v>
      </c>
      <c r="E450" s="35">
        <v>46027.0</v>
      </c>
      <c r="F450" s="35">
        <v>0.0</v>
      </c>
      <c r="G450" s="35">
        <v>0.0</v>
      </c>
      <c r="H450" s="35">
        <v>2.0</v>
      </c>
      <c r="I450" s="35">
        <v>0.0</v>
      </c>
      <c r="J450" s="35"/>
      <c r="K450" s="35">
        <v>0.0</v>
      </c>
    </row>
    <row r="451" ht="15.75" customHeight="1">
      <c r="A451" s="35" t="s">
        <v>4035</v>
      </c>
      <c r="B451" s="35"/>
      <c r="C451" s="35">
        <v>36.0</v>
      </c>
      <c r="D451" s="35" t="s">
        <v>4036</v>
      </c>
      <c r="E451" s="35">
        <v>46027.0</v>
      </c>
      <c r="F451" s="35">
        <v>0.0</v>
      </c>
      <c r="G451" s="35">
        <v>1.0</v>
      </c>
      <c r="H451" s="35">
        <v>0.0</v>
      </c>
      <c r="I451" s="35">
        <v>0.0</v>
      </c>
      <c r="J451" s="35"/>
      <c r="K451" s="35">
        <v>0.0</v>
      </c>
    </row>
    <row r="452" ht="15.75" customHeight="1">
      <c r="A452" s="35" t="s">
        <v>1036</v>
      </c>
      <c r="B452" s="35"/>
      <c r="C452" s="35">
        <v>36.0</v>
      </c>
      <c r="D452" s="35" t="s">
        <v>4039</v>
      </c>
      <c r="E452" s="35">
        <v>46027.0</v>
      </c>
      <c r="F452" s="35">
        <v>0.0</v>
      </c>
      <c r="G452" s="35">
        <v>4.0</v>
      </c>
      <c r="H452" s="35">
        <v>0.0</v>
      </c>
      <c r="I452" s="35">
        <v>0.0</v>
      </c>
      <c r="J452" s="35"/>
      <c r="K452" s="35">
        <v>0.0</v>
      </c>
    </row>
    <row r="453" ht="15.75" customHeight="1">
      <c r="A453" s="35" t="s">
        <v>4041</v>
      </c>
      <c r="B453" s="35"/>
      <c r="C453" s="35">
        <v>36.0</v>
      </c>
      <c r="D453" s="35" t="s">
        <v>4042</v>
      </c>
      <c r="E453" s="35">
        <v>46027.0</v>
      </c>
      <c r="F453" s="35">
        <v>0.0</v>
      </c>
      <c r="G453" s="35">
        <v>3.0</v>
      </c>
      <c r="H453" s="35">
        <v>0.0</v>
      </c>
      <c r="I453" s="35">
        <v>0.0</v>
      </c>
      <c r="J453" s="35"/>
      <c r="K453" s="35">
        <v>0.0</v>
      </c>
    </row>
    <row r="454" ht="15.75" customHeight="1">
      <c r="A454" s="35" t="s">
        <v>1038</v>
      </c>
      <c r="B454" s="35"/>
      <c r="C454" s="35">
        <v>36.0</v>
      </c>
      <c r="D454" s="35" t="s">
        <v>4044</v>
      </c>
      <c r="E454" s="35">
        <v>46027.0</v>
      </c>
      <c r="F454" s="35">
        <v>0.0</v>
      </c>
      <c r="G454" s="35">
        <v>41.0</v>
      </c>
      <c r="H454" s="35">
        <v>0.0</v>
      </c>
      <c r="I454" s="35">
        <v>0.0</v>
      </c>
      <c r="J454" s="35"/>
      <c r="K454" s="35">
        <v>0.0</v>
      </c>
    </row>
    <row r="455" ht="15.75" customHeight="1">
      <c r="A455" s="35" t="s">
        <v>4047</v>
      </c>
      <c r="B455" s="35"/>
      <c r="C455" s="35">
        <v>36.0</v>
      </c>
      <c r="D455" s="35" t="s">
        <v>4049</v>
      </c>
      <c r="E455" s="35">
        <v>46027.0</v>
      </c>
      <c r="F455" s="35">
        <v>0.0</v>
      </c>
      <c r="G455" s="35">
        <v>3.0</v>
      </c>
      <c r="H455" s="35">
        <v>0.0</v>
      </c>
      <c r="I455" s="35">
        <v>0.0</v>
      </c>
      <c r="J455" s="35"/>
      <c r="K455" s="35">
        <v>0.0</v>
      </c>
    </row>
    <row r="456" ht="15.75" customHeight="1">
      <c r="A456" s="35" t="s">
        <v>4051</v>
      </c>
      <c r="B456" s="35"/>
      <c r="C456" s="35">
        <v>36.0</v>
      </c>
      <c r="D456" s="35" t="s">
        <v>4053</v>
      </c>
      <c r="E456" s="35">
        <v>46027.0</v>
      </c>
      <c r="F456" s="35">
        <v>0.0</v>
      </c>
      <c r="G456" s="35">
        <v>2.0</v>
      </c>
      <c r="H456" s="35">
        <v>0.0</v>
      </c>
      <c r="I456" s="35">
        <v>0.0</v>
      </c>
      <c r="J456" s="35"/>
      <c r="K456" s="35">
        <v>0.0</v>
      </c>
    </row>
    <row r="457" ht="15.75" customHeight="1">
      <c r="A457" s="35" t="s">
        <v>4055</v>
      </c>
      <c r="B457" s="35"/>
      <c r="C457" s="35">
        <v>36.0</v>
      </c>
      <c r="D457" s="35" t="s">
        <v>4056</v>
      </c>
      <c r="E457" s="35">
        <v>46027.0</v>
      </c>
      <c r="F457" s="35">
        <v>0.0</v>
      </c>
      <c r="G457" s="35">
        <v>3.0</v>
      </c>
      <c r="H457" s="35">
        <v>0.0</v>
      </c>
      <c r="I457" s="35">
        <v>0.0</v>
      </c>
      <c r="J457" s="35"/>
      <c r="K457" s="35">
        <v>0.0</v>
      </c>
    </row>
    <row r="458" ht="15.75" customHeight="1">
      <c r="A458" s="35" t="s">
        <v>4058</v>
      </c>
      <c r="B458" s="35"/>
      <c r="C458" s="35">
        <v>36.0</v>
      </c>
      <c r="D458" s="35" t="s">
        <v>4059</v>
      </c>
      <c r="E458" s="35">
        <v>46027.0</v>
      </c>
      <c r="F458" s="35">
        <v>0.0</v>
      </c>
      <c r="G458" s="35">
        <v>1.0</v>
      </c>
      <c r="H458" s="35">
        <v>0.0</v>
      </c>
      <c r="I458" s="35">
        <v>0.0</v>
      </c>
      <c r="J458" s="35"/>
      <c r="K458" s="35">
        <v>0.0</v>
      </c>
    </row>
    <row r="459" ht="15.75" customHeight="1">
      <c r="A459" s="35" t="s">
        <v>4060</v>
      </c>
      <c r="B459" s="35"/>
      <c r="C459" s="35">
        <v>36.0</v>
      </c>
      <c r="D459" s="35" t="s">
        <v>4061</v>
      </c>
      <c r="E459" s="35">
        <v>46027.0</v>
      </c>
      <c r="F459" s="35">
        <v>0.0</v>
      </c>
      <c r="G459" s="35">
        <v>2.0</v>
      </c>
      <c r="H459" s="35">
        <v>0.0</v>
      </c>
      <c r="I459" s="35">
        <v>0.0</v>
      </c>
      <c r="J459" s="35"/>
      <c r="K459" s="35">
        <v>0.0</v>
      </c>
    </row>
    <row r="460" ht="15.75" customHeight="1">
      <c r="A460" s="35" t="s">
        <v>4064</v>
      </c>
      <c r="B460" s="35"/>
      <c r="C460" s="35">
        <v>36.0</v>
      </c>
      <c r="D460" s="35" t="s">
        <v>4066</v>
      </c>
      <c r="E460" s="35">
        <v>46027.0</v>
      </c>
      <c r="F460" s="35">
        <v>0.0</v>
      </c>
      <c r="G460" s="35">
        <v>2.0</v>
      </c>
      <c r="H460" s="35">
        <v>0.0</v>
      </c>
      <c r="I460" s="35">
        <v>0.0</v>
      </c>
      <c r="J460" s="35"/>
      <c r="K460" s="35">
        <v>0.0</v>
      </c>
    </row>
    <row r="461" ht="15.75" customHeight="1">
      <c r="A461" s="35" t="s">
        <v>4069</v>
      </c>
      <c r="B461" s="35"/>
      <c r="C461" s="35">
        <v>36.0</v>
      </c>
      <c r="D461" s="35" t="s">
        <v>3372</v>
      </c>
      <c r="E461" s="35">
        <v>46027.0</v>
      </c>
      <c r="F461" s="35">
        <v>0.0</v>
      </c>
      <c r="G461" s="35">
        <v>1.0</v>
      </c>
      <c r="H461" s="35">
        <v>0.0</v>
      </c>
      <c r="I461" s="35">
        <v>0.0</v>
      </c>
      <c r="J461" s="35"/>
      <c r="K461" s="35">
        <v>0.0</v>
      </c>
    </row>
    <row r="462" ht="15.75" customHeight="1">
      <c r="A462" s="35" t="s">
        <v>4072</v>
      </c>
      <c r="B462" s="35"/>
      <c r="C462" s="35">
        <v>36.0</v>
      </c>
      <c r="D462" s="35" t="s">
        <v>4074</v>
      </c>
      <c r="E462" s="35">
        <v>46027.0</v>
      </c>
      <c r="F462" s="35">
        <v>0.0</v>
      </c>
      <c r="G462" s="35">
        <v>2.0</v>
      </c>
      <c r="H462" s="35">
        <v>0.0</v>
      </c>
      <c r="I462" s="35">
        <v>0.0</v>
      </c>
      <c r="J462" s="35"/>
      <c r="K462" s="35">
        <v>0.0</v>
      </c>
    </row>
    <row r="463" ht="15.75" customHeight="1">
      <c r="A463" s="35" t="s">
        <v>4077</v>
      </c>
      <c r="B463" s="35"/>
      <c r="C463" s="35">
        <v>36.0</v>
      </c>
      <c r="D463" s="35" t="s">
        <v>4078</v>
      </c>
      <c r="E463" s="35">
        <v>46027.0</v>
      </c>
      <c r="F463" s="35">
        <v>0.0</v>
      </c>
      <c r="G463" s="35">
        <v>3.0</v>
      </c>
      <c r="H463" s="35">
        <v>0.0</v>
      </c>
      <c r="I463" s="35">
        <v>0.0</v>
      </c>
      <c r="J463" s="35"/>
      <c r="K463" s="35">
        <v>0.0</v>
      </c>
    </row>
    <row r="464" ht="15.75" customHeight="1">
      <c r="A464" s="35" t="s">
        <v>4080</v>
      </c>
      <c r="B464" s="35"/>
      <c r="C464" s="35">
        <v>36.0</v>
      </c>
      <c r="D464" s="35" t="s">
        <v>4082</v>
      </c>
      <c r="E464" s="35">
        <v>46027.0</v>
      </c>
      <c r="F464" s="35">
        <v>0.0</v>
      </c>
      <c r="G464" s="35">
        <v>2.0</v>
      </c>
      <c r="H464" s="35">
        <v>0.0</v>
      </c>
      <c r="I464" s="35">
        <v>0.0</v>
      </c>
      <c r="J464" s="35"/>
      <c r="K464" s="35">
        <v>0.0</v>
      </c>
    </row>
    <row r="465" ht="15.75" customHeight="1">
      <c r="A465" s="35" t="s">
        <v>4084</v>
      </c>
      <c r="B465" s="35"/>
      <c r="C465" s="35">
        <v>36.0</v>
      </c>
      <c r="D465" s="35" t="s">
        <v>3352</v>
      </c>
      <c r="E465" s="35">
        <v>46027.0</v>
      </c>
      <c r="F465" s="35">
        <v>0.0</v>
      </c>
      <c r="G465" s="35">
        <v>0.0</v>
      </c>
      <c r="H465" s="35">
        <v>1.0</v>
      </c>
      <c r="I465" s="35">
        <v>0.0</v>
      </c>
      <c r="J465" s="35"/>
      <c r="K465" s="35">
        <v>0.0</v>
      </c>
    </row>
    <row r="466" ht="15.75" customHeight="1">
      <c r="A466" s="35" t="s">
        <v>4087</v>
      </c>
      <c r="B466" s="35"/>
      <c r="C466" s="35">
        <v>35.0</v>
      </c>
      <c r="D466" s="35" t="s">
        <v>3980</v>
      </c>
      <c r="E466" s="35">
        <v>46027.0</v>
      </c>
      <c r="F466" s="35">
        <v>0.0</v>
      </c>
      <c r="G466" s="35">
        <v>2.0</v>
      </c>
      <c r="H466" s="35">
        <v>0.0</v>
      </c>
      <c r="I466" s="35">
        <v>0.0</v>
      </c>
      <c r="J466" s="35"/>
      <c r="K466" s="35">
        <v>0.0</v>
      </c>
    </row>
    <row r="467" ht="15.75" customHeight="1">
      <c r="A467" s="35" t="s">
        <v>4089</v>
      </c>
      <c r="B467" s="35"/>
      <c r="C467" s="35">
        <v>35.0</v>
      </c>
      <c r="D467" s="35" t="s">
        <v>4091</v>
      </c>
      <c r="E467" s="35">
        <v>46027.0</v>
      </c>
      <c r="F467" s="35">
        <v>0.0</v>
      </c>
      <c r="G467" s="35">
        <v>2.0</v>
      </c>
      <c r="H467" s="35">
        <v>0.0</v>
      </c>
      <c r="I467" s="35">
        <v>0.0</v>
      </c>
      <c r="J467" s="35"/>
      <c r="K467" s="35">
        <v>0.0</v>
      </c>
    </row>
    <row r="468" ht="15.75" customHeight="1">
      <c r="A468" s="35" t="s">
        <v>4093</v>
      </c>
      <c r="B468" s="35"/>
      <c r="C468" s="35">
        <v>35.0</v>
      </c>
      <c r="D468" s="35" t="s">
        <v>4095</v>
      </c>
      <c r="E468" s="35">
        <v>46027.0</v>
      </c>
      <c r="F468" s="35">
        <v>0.0</v>
      </c>
      <c r="G468" s="35">
        <v>4.0</v>
      </c>
      <c r="H468" s="35">
        <v>0.0</v>
      </c>
      <c r="I468" s="35">
        <v>0.0</v>
      </c>
      <c r="J468" s="35"/>
      <c r="K468" s="35">
        <v>0.0</v>
      </c>
    </row>
    <row r="469" ht="15.75" customHeight="1">
      <c r="A469" s="35" t="s">
        <v>1040</v>
      </c>
      <c r="B469" s="35"/>
      <c r="C469" s="35">
        <v>35.0</v>
      </c>
      <c r="D469" s="35" t="s">
        <v>4097</v>
      </c>
      <c r="E469" s="35">
        <v>46027.0</v>
      </c>
      <c r="F469" s="35">
        <v>0.0</v>
      </c>
      <c r="G469" s="35">
        <v>1.0</v>
      </c>
      <c r="H469" s="35">
        <v>0.0</v>
      </c>
      <c r="I469" s="35">
        <v>0.0</v>
      </c>
      <c r="J469" s="35"/>
      <c r="K469" s="35">
        <v>0.0</v>
      </c>
    </row>
    <row r="470" ht="15.75" customHeight="1">
      <c r="A470" s="35" t="s">
        <v>4098</v>
      </c>
      <c r="B470" s="35"/>
      <c r="C470" s="35">
        <v>35.0</v>
      </c>
      <c r="D470" s="35" t="s">
        <v>4100</v>
      </c>
      <c r="E470" s="35">
        <v>46027.0</v>
      </c>
      <c r="F470" s="35">
        <v>0.0</v>
      </c>
      <c r="G470" s="35">
        <v>18.0</v>
      </c>
      <c r="H470" s="35">
        <v>0.0</v>
      </c>
      <c r="I470" s="35">
        <v>0.0</v>
      </c>
      <c r="J470" s="35"/>
      <c r="K470" s="35">
        <v>0.0</v>
      </c>
    </row>
    <row r="471" ht="15.75" customHeight="1">
      <c r="A471" s="35" t="s">
        <v>4102</v>
      </c>
      <c r="B471" s="35"/>
      <c r="C471" s="35">
        <v>35.0</v>
      </c>
      <c r="D471" s="35" t="s">
        <v>4103</v>
      </c>
      <c r="E471" s="35">
        <v>46027.0</v>
      </c>
      <c r="F471" s="35">
        <v>0.0</v>
      </c>
      <c r="G471" s="35">
        <v>2.0</v>
      </c>
      <c r="H471" s="35">
        <v>0.0</v>
      </c>
      <c r="I471" s="35">
        <v>0.0</v>
      </c>
      <c r="J471" s="35"/>
      <c r="K471" s="35">
        <v>0.0</v>
      </c>
    </row>
    <row r="472" ht="15.75" customHeight="1">
      <c r="A472" s="35" t="s">
        <v>1042</v>
      </c>
      <c r="B472" s="35"/>
      <c r="C472" s="35">
        <v>35.0</v>
      </c>
      <c r="D472" s="35" t="s">
        <v>4104</v>
      </c>
      <c r="E472" s="35">
        <v>46027.0</v>
      </c>
      <c r="F472" s="35">
        <v>0.0</v>
      </c>
      <c r="G472" s="35">
        <v>0.0</v>
      </c>
      <c r="H472" s="35">
        <v>21.0</v>
      </c>
      <c r="I472" s="35">
        <v>0.0</v>
      </c>
      <c r="J472" s="35"/>
      <c r="K472" s="35">
        <v>0.0</v>
      </c>
    </row>
    <row r="473" ht="15.75" customHeight="1">
      <c r="A473" s="35" t="s">
        <v>4106</v>
      </c>
      <c r="B473" s="35"/>
      <c r="C473" s="35">
        <v>35.0</v>
      </c>
      <c r="D473" s="35" t="s">
        <v>4107</v>
      </c>
      <c r="E473" s="35">
        <v>46027.0</v>
      </c>
      <c r="F473" s="35">
        <v>0.0</v>
      </c>
      <c r="G473" s="35">
        <v>0.0</v>
      </c>
      <c r="H473" s="35">
        <v>1.0</v>
      </c>
      <c r="I473" s="35">
        <v>0.0</v>
      </c>
      <c r="J473" s="35"/>
      <c r="K473" s="35">
        <v>0.0</v>
      </c>
    </row>
    <row r="474" ht="15.75" customHeight="1">
      <c r="A474" s="35" t="s">
        <v>1044</v>
      </c>
      <c r="B474" s="35"/>
      <c r="C474" s="35">
        <v>35.0</v>
      </c>
      <c r="D474" s="35" t="s">
        <v>4109</v>
      </c>
      <c r="E474" s="35">
        <v>46027.0</v>
      </c>
      <c r="F474" s="35">
        <v>0.0</v>
      </c>
      <c r="G474" s="35">
        <v>1.0</v>
      </c>
      <c r="H474" s="35">
        <v>0.0</v>
      </c>
      <c r="I474" s="35">
        <v>0.0</v>
      </c>
      <c r="J474" s="35"/>
      <c r="K474" s="35">
        <v>0.0</v>
      </c>
    </row>
    <row r="475" ht="15.75" customHeight="1">
      <c r="A475" s="35" t="s">
        <v>4110</v>
      </c>
      <c r="B475" s="35"/>
      <c r="C475" s="35">
        <v>35.0</v>
      </c>
      <c r="D475" s="35" t="s">
        <v>4112</v>
      </c>
      <c r="E475" s="35">
        <v>46027.0</v>
      </c>
      <c r="F475" s="35">
        <v>0.0</v>
      </c>
      <c r="G475" s="35">
        <v>0.0</v>
      </c>
      <c r="H475" s="35">
        <v>0.0</v>
      </c>
      <c r="I475" s="35">
        <v>1.0</v>
      </c>
      <c r="J475" s="35"/>
      <c r="K475" s="35">
        <v>0.0</v>
      </c>
    </row>
    <row r="476" ht="15.75" customHeight="1">
      <c r="A476" s="35" t="s">
        <v>4114</v>
      </c>
      <c r="B476" s="35"/>
      <c r="C476" s="35">
        <v>35.0</v>
      </c>
      <c r="D476" s="35" t="s">
        <v>4115</v>
      </c>
      <c r="E476" s="35">
        <v>46027.0</v>
      </c>
      <c r="F476" s="35">
        <v>0.0</v>
      </c>
      <c r="G476" s="35">
        <v>0.0</v>
      </c>
      <c r="H476" s="35">
        <v>1.0</v>
      </c>
      <c r="I476" s="35">
        <v>0.0</v>
      </c>
      <c r="J476" s="35"/>
      <c r="K476" s="35">
        <v>0.0</v>
      </c>
    </row>
    <row r="477" ht="15.75" customHeight="1">
      <c r="A477" s="35" t="s">
        <v>4116</v>
      </c>
      <c r="B477" s="35"/>
      <c r="C477" s="35">
        <v>35.0</v>
      </c>
      <c r="D477" s="35" t="s">
        <v>3632</v>
      </c>
      <c r="E477" s="35">
        <v>46027.0</v>
      </c>
      <c r="F477" s="35">
        <v>0.0</v>
      </c>
      <c r="G477" s="35">
        <v>7.0</v>
      </c>
      <c r="H477" s="35">
        <v>0.0</v>
      </c>
      <c r="I477" s="35">
        <v>0.0</v>
      </c>
      <c r="J477" s="35"/>
      <c r="K477" s="35">
        <v>0.0</v>
      </c>
    </row>
    <row r="478" ht="15.75" customHeight="1">
      <c r="A478" s="35" t="s">
        <v>1046</v>
      </c>
      <c r="B478" s="35"/>
      <c r="C478" s="35">
        <v>35.0</v>
      </c>
      <c r="D478" s="35" t="s">
        <v>4119</v>
      </c>
      <c r="E478" s="35">
        <v>46027.0</v>
      </c>
      <c r="F478" s="35">
        <v>0.0</v>
      </c>
      <c r="G478" s="35">
        <v>1.0</v>
      </c>
      <c r="H478" s="35">
        <v>0.0</v>
      </c>
      <c r="I478" s="35">
        <v>0.0</v>
      </c>
      <c r="J478" s="35"/>
      <c r="K478" s="35">
        <v>0.0</v>
      </c>
    </row>
    <row r="479" ht="15.75" customHeight="1">
      <c r="A479" s="35" t="s">
        <v>1048</v>
      </c>
      <c r="B479" s="35"/>
      <c r="C479" s="35">
        <v>35.0</v>
      </c>
      <c r="D479" s="35" t="s">
        <v>4120</v>
      </c>
      <c r="E479" s="35">
        <v>46027.0</v>
      </c>
      <c r="F479" s="35">
        <v>0.0</v>
      </c>
      <c r="G479" s="35">
        <v>2.0</v>
      </c>
      <c r="H479" s="35">
        <v>0.0</v>
      </c>
      <c r="I479" s="35">
        <v>0.0</v>
      </c>
      <c r="J479" s="35"/>
      <c r="K479" s="35">
        <v>0.0</v>
      </c>
    </row>
    <row r="480" ht="15.75" customHeight="1">
      <c r="A480" s="35" t="s">
        <v>4122</v>
      </c>
      <c r="B480" s="35"/>
      <c r="C480" s="35">
        <v>35.0</v>
      </c>
      <c r="D480" s="35" t="s">
        <v>4123</v>
      </c>
      <c r="E480" s="35">
        <v>46027.0</v>
      </c>
      <c r="F480" s="35">
        <v>0.0</v>
      </c>
      <c r="G480" s="35">
        <v>18.0</v>
      </c>
      <c r="H480" s="35">
        <v>0.0</v>
      </c>
      <c r="I480" s="35">
        <v>0.0</v>
      </c>
      <c r="J480" s="35"/>
      <c r="K480" s="35">
        <v>0.0</v>
      </c>
    </row>
    <row r="481" ht="15.75" customHeight="1">
      <c r="A481" s="35" t="s">
        <v>4125</v>
      </c>
      <c r="B481" s="35"/>
      <c r="C481" s="35">
        <v>35.0</v>
      </c>
      <c r="D481" s="35" t="s">
        <v>4126</v>
      </c>
      <c r="E481" s="35">
        <v>46027.0</v>
      </c>
      <c r="F481" s="35">
        <v>0.0</v>
      </c>
      <c r="G481" s="35">
        <v>2.0</v>
      </c>
      <c r="H481" s="35">
        <v>0.0</v>
      </c>
      <c r="I481" s="35">
        <v>0.0</v>
      </c>
      <c r="J481" s="35"/>
      <c r="K481" s="35">
        <v>0.0</v>
      </c>
    </row>
    <row r="482" ht="15.75" customHeight="1">
      <c r="A482" s="35" t="s">
        <v>4127</v>
      </c>
      <c r="B482" s="35"/>
      <c r="C482" s="35">
        <v>35.0</v>
      </c>
      <c r="D482" s="35" t="s">
        <v>4128</v>
      </c>
      <c r="E482" s="35">
        <v>46027.0</v>
      </c>
      <c r="F482" s="35">
        <v>0.0</v>
      </c>
      <c r="G482" s="35">
        <v>2.0</v>
      </c>
      <c r="H482" s="35">
        <v>0.0</v>
      </c>
      <c r="I482" s="35">
        <v>0.0</v>
      </c>
      <c r="J482" s="35"/>
      <c r="K482" s="35">
        <v>0.0</v>
      </c>
    </row>
    <row r="483" ht="15.75" customHeight="1">
      <c r="A483" s="35" t="s">
        <v>4130</v>
      </c>
      <c r="B483" s="35"/>
      <c r="C483" s="35">
        <v>35.0</v>
      </c>
      <c r="D483" s="35" t="s">
        <v>4132</v>
      </c>
      <c r="E483" s="35">
        <v>46027.0</v>
      </c>
      <c r="F483" s="35">
        <v>0.0</v>
      </c>
      <c r="G483" s="35">
        <v>2.0</v>
      </c>
      <c r="H483" s="35">
        <v>0.0</v>
      </c>
      <c r="I483" s="35">
        <v>0.0</v>
      </c>
      <c r="J483" s="35"/>
      <c r="K483" s="35">
        <v>0.0</v>
      </c>
    </row>
    <row r="484" ht="15.75" customHeight="1">
      <c r="A484" s="35" t="s">
        <v>4133</v>
      </c>
      <c r="B484" s="35"/>
      <c r="C484" s="35">
        <v>35.0</v>
      </c>
      <c r="D484" s="35" t="s">
        <v>3209</v>
      </c>
      <c r="E484" s="35">
        <v>46027.0</v>
      </c>
      <c r="F484" s="35">
        <v>0.0</v>
      </c>
      <c r="G484" s="35">
        <v>2.0</v>
      </c>
      <c r="H484" s="35">
        <v>0.0</v>
      </c>
      <c r="I484" s="35">
        <v>0.0</v>
      </c>
      <c r="J484" s="35"/>
      <c r="K484" s="35">
        <v>0.0</v>
      </c>
    </row>
    <row r="485" ht="15.75" customHeight="1">
      <c r="A485" s="35" t="s">
        <v>1050</v>
      </c>
      <c r="B485" s="35"/>
      <c r="C485" s="35">
        <v>35.0</v>
      </c>
      <c r="D485" s="35" t="s">
        <v>3486</v>
      </c>
      <c r="E485" s="35">
        <v>46027.0</v>
      </c>
      <c r="F485" s="35">
        <v>0.0</v>
      </c>
      <c r="G485" s="35">
        <v>10.0</v>
      </c>
      <c r="H485" s="35">
        <v>0.0</v>
      </c>
      <c r="I485" s="35">
        <v>0.0</v>
      </c>
      <c r="J485" s="35"/>
      <c r="K485" s="35">
        <v>0.0</v>
      </c>
    </row>
    <row r="486" ht="15.75" customHeight="1">
      <c r="A486" s="35" t="s">
        <v>4136</v>
      </c>
      <c r="B486" s="35"/>
      <c r="C486" s="35">
        <v>35.0</v>
      </c>
      <c r="D486" s="35" t="s">
        <v>4137</v>
      </c>
      <c r="E486" s="35">
        <v>46027.0</v>
      </c>
      <c r="F486" s="35">
        <v>0.0</v>
      </c>
      <c r="G486" s="35">
        <v>11.0</v>
      </c>
      <c r="H486" s="35">
        <v>0.0</v>
      </c>
      <c r="I486" s="35">
        <v>0.0</v>
      </c>
      <c r="J486" s="35"/>
      <c r="K486" s="35">
        <v>0.0</v>
      </c>
    </row>
    <row r="487" ht="15.75" customHeight="1">
      <c r="A487" s="35" t="s">
        <v>4138</v>
      </c>
      <c r="B487" s="35"/>
      <c r="C487" s="35">
        <v>35.0</v>
      </c>
      <c r="D487" s="35" t="s">
        <v>4139</v>
      </c>
      <c r="E487" s="35">
        <v>46027.0</v>
      </c>
      <c r="F487" s="35">
        <v>0.0</v>
      </c>
      <c r="G487" s="35">
        <v>3.0</v>
      </c>
      <c r="H487" s="35">
        <v>0.0</v>
      </c>
      <c r="I487" s="35">
        <v>0.0</v>
      </c>
      <c r="J487" s="35"/>
      <c r="K487" s="35">
        <v>0.0</v>
      </c>
    </row>
    <row r="488" ht="15.75" customHeight="1">
      <c r="A488" s="35" t="s">
        <v>4141</v>
      </c>
      <c r="B488" s="35"/>
      <c r="C488" s="35">
        <v>35.0</v>
      </c>
      <c r="D488" s="35" t="s">
        <v>4143</v>
      </c>
      <c r="E488" s="35">
        <v>46027.0</v>
      </c>
      <c r="F488" s="35">
        <v>0.0</v>
      </c>
      <c r="G488" s="35">
        <v>1.0</v>
      </c>
      <c r="H488" s="35">
        <v>0.0</v>
      </c>
      <c r="I488" s="35">
        <v>0.0</v>
      </c>
      <c r="J488" s="35"/>
      <c r="K488" s="35">
        <v>0.0</v>
      </c>
    </row>
    <row r="489" ht="15.75" customHeight="1">
      <c r="A489" s="35" t="s">
        <v>4144</v>
      </c>
      <c r="B489" s="35"/>
      <c r="C489" s="35">
        <v>35.0</v>
      </c>
      <c r="D489" s="35" t="s">
        <v>4145</v>
      </c>
      <c r="E489" s="35">
        <v>46027.0</v>
      </c>
      <c r="F489" s="35">
        <v>0.0</v>
      </c>
      <c r="G489" s="35">
        <v>1.0</v>
      </c>
      <c r="H489" s="35">
        <v>0.0</v>
      </c>
      <c r="I489" s="35">
        <v>0.0</v>
      </c>
      <c r="J489" s="35"/>
      <c r="K489" s="35">
        <v>0.0</v>
      </c>
    </row>
    <row r="490" ht="15.75" customHeight="1">
      <c r="A490" s="35" t="s">
        <v>4146</v>
      </c>
      <c r="B490" s="35"/>
      <c r="C490" s="35">
        <v>35.0</v>
      </c>
      <c r="D490" s="35" t="s">
        <v>3632</v>
      </c>
      <c r="E490" s="35">
        <v>46027.0</v>
      </c>
      <c r="F490" s="35">
        <v>0.0</v>
      </c>
      <c r="G490" s="35">
        <v>8.0</v>
      </c>
      <c r="H490" s="35">
        <v>0.0</v>
      </c>
      <c r="I490" s="35">
        <v>0.0</v>
      </c>
      <c r="J490" s="35"/>
      <c r="K490" s="35">
        <v>0.0</v>
      </c>
    </row>
    <row r="491" ht="15.75" customHeight="1">
      <c r="A491" s="35" t="s">
        <v>4149</v>
      </c>
      <c r="B491" s="35"/>
      <c r="C491" s="35">
        <v>35.0</v>
      </c>
      <c r="D491" s="35" t="s">
        <v>4150</v>
      </c>
      <c r="E491" s="35">
        <v>46027.0</v>
      </c>
      <c r="F491" s="35">
        <v>0.0</v>
      </c>
      <c r="G491" s="35">
        <v>8.0</v>
      </c>
      <c r="H491" s="35">
        <v>0.0</v>
      </c>
      <c r="I491" s="35">
        <v>0.0</v>
      </c>
      <c r="J491" s="35"/>
      <c r="K491" s="35">
        <v>0.0</v>
      </c>
    </row>
    <row r="492" ht="15.75" customHeight="1">
      <c r="A492" s="35" t="s">
        <v>4151</v>
      </c>
      <c r="B492" s="35"/>
      <c r="C492" s="35">
        <v>35.0</v>
      </c>
      <c r="D492" s="35" t="s">
        <v>4152</v>
      </c>
      <c r="E492" s="35">
        <v>46027.0</v>
      </c>
      <c r="F492" s="35">
        <v>0.0</v>
      </c>
      <c r="G492" s="35">
        <v>1.0</v>
      </c>
      <c r="H492" s="35">
        <v>0.0</v>
      </c>
      <c r="I492" s="35">
        <v>0.0</v>
      </c>
      <c r="J492" s="35"/>
      <c r="K492" s="35">
        <v>0.0</v>
      </c>
    </row>
    <row r="493" ht="15.75" customHeight="1">
      <c r="A493" s="35" t="s">
        <v>1052</v>
      </c>
      <c r="B493" s="35"/>
      <c r="C493" s="35">
        <v>35.0</v>
      </c>
      <c r="D493" s="35" t="s">
        <v>4154</v>
      </c>
      <c r="E493" s="35">
        <v>46027.0</v>
      </c>
      <c r="F493" s="35">
        <v>0.0</v>
      </c>
      <c r="G493" s="35">
        <v>0.0</v>
      </c>
      <c r="H493" s="35">
        <v>10.0</v>
      </c>
      <c r="I493" s="35">
        <v>0.0</v>
      </c>
      <c r="J493" s="35"/>
      <c r="K493" s="35">
        <v>0.0</v>
      </c>
    </row>
    <row r="494" ht="15.75" customHeight="1">
      <c r="A494" s="35" t="s">
        <v>4155</v>
      </c>
      <c r="B494" s="35"/>
      <c r="C494" s="35">
        <v>35.0</v>
      </c>
      <c r="D494" s="35" t="s">
        <v>4156</v>
      </c>
      <c r="E494" s="35">
        <v>46027.0</v>
      </c>
      <c r="F494" s="35">
        <v>0.0</v>
      </c>
      <c r="G494" s="35">
        <v>1.0</v>
      </c>
      <c r="H494" s="35">
        <v>0.0</v>
      </c>
      <c r="I494" s="35">
        <v>0.0</v>
      </c>
      <c r="J494" s="35"/>
      <c r="K494" s="35">
        <v>0.0</v>
      </c>
    </row>
    <row r="495" ht="15.75" customHeight="1">
      <c r="A495" s="35" t="s">
        <v>4158</v>
      </c>
      <c r="B495" s="35"/>
      <c r="C495" s="35">
        <v>34.0</v>
      </c>
      <c r="D495" s="35" t="s">
        <v>4159</v>
      </c>
      <c r="E495" s="35">
        <v>46027.0</v>
      </c>
      <c r="F495" s="35">
        <v>0.0</v>
      </c>
      <c r="G495" s="35">
        <v>2.0</v>
      </c>
      <c r="H495" s="35">
        <v>0.0</v>
      </c>
      <c r="I495" s="35">
        <v>0.0</v>
      </c>
      <c r="J495" s="35"/>
      <c r="K495" s="35">
        <v>0.0</v>
      </c>
    </row>
    <row r="496" ht="15.75" customHeight="1">
      <c r="A496" s="35" t="s">
        <v>4160</v>
      </c>
      <c r="B496" s="35"/>
      <c r="C496" s="35">
        <v>34.0</v>
      </c>
      <c r="D496" s="35" t="s">
        <v>4161</v>
      </c>
      <c r="E496" s="35">
        <v>46027.0</v>
      </c>
      <c r="F496" s="35">
        <v>0.0</v>
      </c>
      <c r="G496" s="35">
        <v>2.0</v>
      </c>
      <c r="H496" s="35">
        <v>0.0</v>
      </c>
      <c r="I496" s="35">
        <v>0.0</v>
      </c>
      <c r="J496" s="35"/>
      <c r="K496" s="35">
        <v>0.0</v>
      </c>
    </row>
    <row r="497" ht="15.75" customHeight="1">
      <c r="A497" s="35" t="s">
        <v>4162</v>
      </c>
      <c r="B497" s="35"/>
      <c r="C497" s="35">
        <v>34.0</v>
      </c>
      <c r="D497" s="35" t="s">
        <v>3931</v>
      </c>
      <c r="E497" s="35">
        <v>46027.0</v>
      </c>
      <c r="F497" s="35">
        <v>0.0</v>
      </c>
      <c r="G497" s="35">
        <v>0.0</v>
      </c>
      <c r="H497" s="35">
        <v>1.0</v>
      </c>
      <c r="I497" s="35">
        <v>0.0</v>
      </c>
      <c r="J497" s="35"/>
      <c r="K497" s="35">
        <v>0.0</v>
      </c>
    </row>
    <row r="498" ht="15.75" customHeight="1">
      <c r="A498" s="35" t="s">
        <v>4164</v>
      </c>
      <c r="B498" s="35"/>
      <c r="C498" s="35">
        <v>34.0</v>
      </c>
      <c r="D498" s="35" t="s">
        <v>4165</v>
      </c>
      <c r="E498" s="35">
        <v>46027.0</v>
      </c>
      <c r="F498" s="35">
        <v>0.0</v>
      </c>
      <c r="G498" s="35">
        <v>2.0</v>
      </c>
      <c r="H498" s="35">
        <v>0.0</v>
      </c>
      <c r="I498" s="35">
        <v>0.0</v>
      </c>
      <c r="J498" s="35"/>
      <c r="K498" s="35">
        <v>0.0</v>
      </c>
    </row>
    <row r="499" ht="15.75" customHeight="1">
      <c r="A499" s="35" t="s">
        <v>4166</v>
      </c>
      <c r="B499" s="35"/>
      <c r="C499" s="35">
        <v>34.0</v>
      </c>
      <c r="D499" s="35" t="s">
        <v>4167</v>
      </c>
      <c r="E499" s="35">
        <v>46027.0</v>
      </c>
      <c r="F499" s="35">
        <v>0.0</v>
      </c>
      <c r="G499" s="35">
        <v>1.0</v>
      </c>
      <c r="H499" s="35">
        <v>0.0</v>
      </c>
      <c r="I499" s="35">
        <v>0.0</v>
      </c>
      <c r="J499" s="35"/>
      <c r="K499" s="35">
        <v>0.0</v>
      </c>
    </row>
    <row r="500" ht="15.75" customHeight="1">
      <c r="A500" s="35" t="s">
        <v>4169</v>
      </c>
      <c r="B500" s="35"/>
      <c r="C500" s="35">
        <v>34.0</v>
      </c>
      <c r="D500" s="35" t="s">
        <v>4170</v>
      </c>
      <c r="E500" s="35">
        <v>46027.0</v>
      </c>
      <c r="F500" s="35">
        <v>0.0</v>
      </c>
      <c r="G500" s="35">
        <v>3.0</v>
      </c>
      <c r="H500" s="35">
        <v>0.0</v>
      </c>
      <c r="I500" s="35">
        <v>0.0</v>
      </c>
      <c r="J500" s="35"/>
      <c r="K500" s="35">
        <v>0.0</v>
      </c>
    </row>
    <row r="501" ht="15.75" customHeight="1">
      <c r="A501" s="35" t="s">
        <v>4172</v>
      </c>
      <c r="B501" s="35"/>
      <c r="C501" s="35">
        <v>34.0</v>
      </c>
      <c r="D501" s="35" t="s">
        <v>3999</v>
      </c>
      <c r="E501" s="35">
        <v>46027.0</v>
      </c>
      <c r="F501" s="35">
        <v>0.0</v>
      </c>
      <c r="G501" s="35">
        <v>1.0</v>
      </c>
      <c r="H501" s="35">
        <v>0.0</v>
      </c>
      <c r="I501" s="35">
        <v>0.0</v>
      </c>
      <c r="J501" s="35"/>
      <c r="K501" s="35">
        <v>0.0</v>
      </c>
    </row>
    <row r="502" ht="15.75" customHeight="1">
      <c r="A502" s="35" t="s">
        <v>4173</v>
      </c>
      <c r="B502" s="35"/>
      <c r="C502" s="35">
        <v>34.0</v>
      </c>
      <c r="D502" s="35" t="s">
        <v>4175</v>
      </c>
      <c r="E502" s="35">
        <v>46027.0</v>
      </c>
      <c r="F502" s="35">
        <v>0.0</v>
      </c>
      <c r="G502" s="35">
        <v>1.0</v>
      </c>
      <c r="H502" s="35">
        <v>0.0</v>
      </c>
      <c r="I502" s="35">
        <v>0.0</v>
      </c>
      <c r="J502" s="35"/>
      <c r="K502" s="35">
        <v>0.0</v>
      </c>
    </row>
    <row r="503" ht="15.75" customHeight="1">
      <c r="A503" s="35" t="s">
        <v>4176</v>
      </c>
      <c r="B503" s="35"/>
      <c r="C503" s="35">
        <v>34.0</v>
      </c>
      <c r="D503" s="35" t="s">
        <v>3311</v>
      </c>
      <c r="E503" s="35">
        <v>46027.0</v>
      </c>
      <c r="F503" s="35">
        <v>0.0</v>
      </c>
      <c r="G503" s="35">
        <v>7.0</v>
      </c>
      <c r="H503" s="35">
        <v>0.0</v>
      </c>
      <c r="I503" s="35">
        <v>0.0</v>
      </c>
      <c r="J503" s="35"/>
      <c r="K503" s="35">
        <v>0.0</v>
      </c>
    </row>
    <row r="504" ht="15.75" customHeight="1">
      <c r="A504" s="35" t="s">
        <v>4177</v>
      </c>
      <c r="B504" s="35"/>
      <c r="C504" s="35">
        <v>34.0</v>
      </c>
      <c r="D504" s="35" t="s">
        <v>4061</v>
      </c>
      <c r="E504" s="35">
        <v>46027.0</v>
      </c>
      <c r="F504" s="35">
        <v>0.0</v>
      </c>
      <c r="G504" s="35">
        <v>3.0</v>
      </c>
      <c r="H504" s="35">
        <v>0.0</v>
      </c>
      <c r="I504" s="35">
        <v>0.0</v>
      </c>
      <c r="J504" s="35"/>
      <c r="K504" s="35">
        <v>0.0</v>
      </c>
    </row>
    <row r="505" ht="15.75" customHeight="1">
      <c r="A505" s="35" t="s">
        <v>4179</v>
      </c>
      <c r="B505" s="35"/>
      <c r="C505" s="35">
        <v>34.0</v>
      </c>
      <c r="D505" s="35" t="s">
        <v>4181</v>
      </c>
      <c r="E505" s="35">
        <v>46027.0</v>
      </c>
      <c r="F505" s="35">
        <v>0.0</v>
      </c>
      <c r="G505" s="35">
        <v>6.0</v>
      </c>
      <c r="H505" s="35">
        <v>0.0</v>
      </c>
      <c r="I505" s="35">
        <v>0.0</v>
      </c>
      <c r="J505" s="35"/>
      <c r="K505" s="35">
        <v>0.0</v>
      </c>
    </row>
    <row r="506" ht="15.75" customHeight="1">
      <c r="A506" s="35" t="s">
        <v>4182</v>
      </c>
      <c r="B506" s="35"/>
      <c r="C506" s="35">
        <v>34.0</v>
      </c>
      <c r="D506" s="35" t="s">
        <v>4183</v>
      </c>
      <c r="E506" s="35">
        <v>46027.0</v>
      </c>
      <c r="F506" s="35">
        <v>0.0</v>
      </c>
      <c r="G506" s="35">
        <v>1.0</v>
      </c>
      <c r="H506" s="35">
        <v>0.0</v>
      </c>
      <c r="I506" s="35">
        <v>0.0</v>
      </c>
      <c r="J506" s="35"/>
      <c r="K506" s="35">
        <v>0.0</v>
      </c>
    </row>
    <row r="507" ht="15.75" customHeight="1">
      <c r="A507" s="35" t="s">
        <v>4185</v>
      </c>
      <c r="B507" s="35"/>
      <c r="C507" s="35">
        <v>34.0</v>
      </c>
      <c r="D507" s="35" t="s">
        <v>4186</v>
      </c>
      <c r="E507" s="35">
        <v>46027.0</v>
      </c>
      <c r="F507" s="35">
        <v>0.0</v>
      </c>
      <c r="G507" s="35">
        <v>2.0</v>
      </c>
      <c r="H507" s="35">
        <v>0.0</v>
      </c>
      <c r="I507" s="35">
        <v>0.0</v>
      </c>
      <c r="J507" s="35"/>
      <c r="K507" s="35">
        <v>0.0</v>
      </c>
    </row>
    <row r="508" ht="15.75" customHeight="1">
      <c r="A508" s="35" t="s">
        <v>1054</v>
      </c>
      <c r="B508" s="35"/>
      <c r="C508" s="35">
        <v>34.0</v>
      </c>
      <c r="D508" s="35" t="s">
        <v>4187</v>
      </c>
      <c r="E508" s="35">
        <v>46027.0</v>
      </c>
      <c r="F508" s="35">
        <v>0.0</v>
      </c>
      <c r="G508" s="35">
        <v>5.0</v>
      </c>
      <c r="H508" s="35">
        <v>0.0</v>
      </c>
      <c r="I508" s="35">
        <v>0.0</v>
      </c>
      <c r="J508" s="35"/>
      <c r="K508" s="35">
        <v>0.0</v>
      </c>
    </row>
    <row r="509" ht="15.75" customHeight="1">
      <c r="A509" s="35" t="s">
        <v>4188</v>
      </c>
      <c r="B509" s="35"/>
      <c r="C509" s="35">
        <v>34.0</v>
      </c>
      <c r="D509" s="35" t="s">
        <v>4189</v>
      </c>
      <c r="E509" s="35">
        <v>46027.0</v>
      </c>
      <c r="F509" s="35">
        <v>0.0</v>
      </c>
      <c r="G509" s="35">
        <v>2.0</v>
      </c>
      <c r="H509" s="35">
        <v>0.0</v>
      </c>
      <c r="I509" s="35">
        <v>0.0</v>
      </c>
      <c r="J509" s="35"/>
      <c r="K509" s="35">
        <v>0.0</v>
      </c>
    </row>
    <row r="510" ht="15.75" customHeight="1">
      <c r="A510" s="35" t="s">
        <v>4191</v>
      </c>
      <c r="B510" s="35"/>
      <c r="C510" s="35">
        <v>34.0</v>
      </c>
      <c r="D510" s="35" t="s">
        <v>4193</v>
      </c>
      <c r="E510" s="35">
        <v>46027.0</v>
      </c>
      <c r="F510" s="35">
        <v>0.0</v>
      </c>
      <c r="G510" s="35">
        <v>1.0</v>
      </c>
      <c r="H510" s="35">
        <v>0.0</v>
      </c>
      <c r="I510" s="35">
        <v>0.0</v>
      </c>
      <c r="J510" s="35"/>
      <c r="K510" s="35">
        <v>0.0</v>
      </c>
    </row>
    <row r="511" ht="15.75" customHeight="1">
      <c r="A511" s="35" t="s">
        <v>1056</v>
      </c>
      <c r="B511" s="35"/>
      <c r="C511" s="35">
        <v>34.0</v>
      </c>
      <c r="D511" s="35" t="s">
        <v>4194</v>
      </c>
      <c r="E511" s="35">
        <v>46027.0</v>
      </c>
      <c r="F511" s="35">
        <v>0.0</v>
      </c>
      <c r="G511" s="35">
        <v>2169.0</v>
      </c>
      <c r="H511" s="35">
        <v>0.0</v>
      </c>
      <c r="I511" s="35">
        <v>0.0</v>
      </c>
      <c r="J511" s="35"/>
      <c r="K511" s="35">
        <v>0.0</v>
      </c>
    </row>
    <row r="512" ht="15.75" customHeight="1">
      <c r="A512" s="35" t="s">
        <v>1058</v>
      </c>
      <c r="B512" s="35"/>
      <c r="C512" s="35">
        <v>34.0</v>
      </c>
      <c r="D512" s="35" t="s">
        <v>3665</v>
      </c>
      <c r="E512" s="35">
        <v>46027.0</v>
      </c>
      <c r="F512" s="35">
        <v>0.0</v>
      </c>
      <c r="G512" s="35">
        <v>1.0</v>
      </c>
      <c r="H512" s="35">
        <v>0.0</v>
      </c>
      <c r="I512" s="35">
        <v>0.0</v>
      </c>
      <c r="J512" s="35"/>
      <c r="K512" s="35">
        <v>0.0</v>
      </c>
    </row>
    <row r="513" ht="15.75" customHeight="1">
      <c r="A513" s="35" t="s">
        <v>4196</v>
      </c>
      <c r="B513" s="35"/>
      <c r="C513" s="35">
        <v>34.0</v>
      </c>
      <c r="D513" s="35" t="s">
        <v>4197</v>
      </c>
      <c r="E513" s="35">
        <v>46027.0</v>
      </c>
      <c r="F513" s="35">
        <v>0.0</v>
      </c>
      <c r="G513" s="35">
        <v>84.0</v>
      </c>
      <c r="H513" s="35">
        <v>0.0</v>
      </c>
      <c r="I513" s="35">
        <v>0.0</v>
      </c>
      <c r="J513" s="35"/>
      <c r="K513" s="35">
        <v>0.0</v>
      </c>
    </row>
    <row r="514" ht="15.75" customHeight="1">
      <c r="A514" s="35" t="s">
        <v>4198</v>
      </c>
      <c r="B514" s="35"/>
      <c r="C514" s="35">
        <v>34.0</v>
      </c>
      <c r="D514" s="35" t="s">
        <v>4200</v>
      </c>
      <c r="E514" s="35">
        <v>46027.0</v>
      </c>
      <c r="F514" s="35">
        <v>0.0</v>
      </c>
      <c r="G514" s="35">
        <v>1.0</v>
      </c>
      <c r="H514" s="35">
        <v>0.0</v>
      </c>
      <c r="I514" s="35">
        <v>0.0</v>
      </c>
      <c r="J514" s="35"/>
      <c r="K514" s="35">
        <v>0.0</v>
      </c>
    </row>
    <row r="515" ht="15.75" customHeight="1">
      <c r="A515" s="35" t="s">
        <v>4202</v>
      </c>
      <c r="B515" s="35"/>
      <c r="C515" s="35">
        <v>34.0</v>
      </c>
      <c r="D515" s="35" t="s">
        <v>4203</v>
      </c>
      <c r="E515" s="35">
        <v>46027.0</v>
      </c>
      <c r="F515" s="35">
        <v>0.0</v>
      </c>
      <c r="G515" s="35">
        <v>1.0</v>
      </c>
      <c r="H515" s="35">
        <v>0.0</v>
      </c>
      <c r="I515" s="35">
        <v>0.0</v>
      </c>
      <c r="J515" s="35"/>
      <c r="K515" s="35">
        <v>0.0</v>
      </c>
    </row>
    <row r="516" ht="15.75" customHeight="1">
      <c r="A516" s="35" t="s">
        <v>4204</v>
      </c>
      <c r="B516" s="35"/>
      <c r="C516" s="35">
        <v>34.0</v>
      </c>
      <c r="D516" s="35" t="s">
        <v>3980</v>
      </c>
      <c r="E516" s="35">
        <v>46027.0</v>
      </c>
      <c r="F516" s="35">
        <v>0.0</v>
      </c>
      <c r="G516" s="35">
        <v>1.0</v>
      </c>
      <c r="H516" s="35">
        <v>0.0</v>
      </c>
      <c r="I516" s="35">
        <v>0.0</v>
      </c>
      <c r="J516" s="35"/>
      <c r="K516" s="35">
        <v>0.0</v>
      </c>
    </row>
    <row r="517" ht="15.75" customHeight="1">
      <c r="A517" s="35" t="s">
        <v>4206</v>
      </c>
      <c r="B517" s="35"/>
      <c r="C517" s="35">
        <v>34.0</v>
      </c>
      <c r="D517" s="35" t="s">
        <v>4207</v>
      </c>
      <c r="E517" s="35">
        <v>46027.0</v>
      </c>
      <c r="F517" s="35">
        <v>0.0</v>
      </c>
      <c r="G517" s="35">
        <v>0.0</v>
      </c>
      <c r="H517" s="35">
        <v>0.0</v>
      </c>
      <c r="I517" s="35">
        <v>1.0</v>
      </c>
      <c r="J517" s="35"/>
      <c r="K517" s="35">
        <v>0.0</v>
      </c>
    </row>
    <row r="518" ht="15.75" customHeight="1">
      <c r="A518" s="35" t="s">
        <v>4208</v>
      </c>
      <c r="B518" s="35"/>
      <c r="C518" s="35">
        <v>34.0</v>
      </c>
      <c r="D518" s="35" t="s">
        <v>4209</v>
      </c>
      <c r="E518" s="35">
        <v>46027.0</v>
      </c>
      <c r="F518" s="35">
        <v>0.0</v>
      </c>
      <c r="G518" s="35">
        <v>1.0</v>
      </c>
      <c r="H518" s="35">
        <v>0.0</v>
      </c>
      <c r="I518" s="35">
        <v>0.0</v>
      </c>
      <c r="J518" s="35"/>
      <c r="K518" s="35">
        <v>0.0</v>
      </c>
    </row>
    <row r="519" ht="15.75" customHeight="1">
      <c r="A519" s="35" t="s">
        <v>4211</v>
      </c>
      <c r="B519" s="35"/>
      <c r="C519" s="35">
        <v>34.0</v>
      </c>
      <c r="D519" s="35" t="s">
        <v>4212</v>
      </c>
      <c r="E519" s="35">
        <v>46027.0</v>
      </c>
      <c r="F519" s="35">
        <v>0.0</v>
      </c>
      <c r="G519" s="35">
        <v>1.0</v>
      </c>
      <c r="H519" s="35">
        <v>0.0</v>
      </c>
      <c r="I519" s="35">
        <v>0.0</v>
      </c>
      <c r="J519" s="35"/>
      <c r="K519" s="35">
        <v>0.0</v>
      </c>
    </row>
    <row r="520" ht="15.75" customHeight="1">
      <c r="A520" s="35" t="s">
        <v>4214</v>
      </c>
      <c r="B520" s="35"/>
      <c r="C520" s="35">
        <v>34.0</v>
      </c>
      <c r="D520" s="35" t="s">
        <v>3605</v>
      </c>
      <c r="E520" s="35">
        <v>46027.0</v>
      </c>
      <c r="F520" s="35">
        <v>0.0</v>
      </c>
      <c r="G520" s="35">
        <v>5.0</v>
      </c>
      <c r="H520" s="35">
        <v>0.0</v>
      </c>
      <c r="I520" s="35">
        <v>0.0</v>
      </c>
      <c r="J520" s="35"/>
      <c r="K520" s="35">
        <v>0.0</v>
      </c>
    </row>
    <row r="521" ht="15.75" customHeight="1">
      <c r="A521" s="35" t="s">
        <v>4215</v>
      </c>
      <c r="B521" s="35"/>
      <c r="C521" s="35">
        <v>34.0</v>
      </c>
      <c r="D521" s="35" t="s">
        <v>3494</v>
      </c>
      <c r="E521" s="35">
        <v>46027.0</v>
      </c>
      <c r="F521" s="35">
        <v>0.0</v>
      </c>
      <c r="G521" s="35">
        <v>2.0</v>
      </c>
      <c r="H521" s="35">
        <v>0.0</v>
      </c>
      <c r="I521" s="35">
        <v>0.0</v>
      </c>
      <c r="J521" s="35"/>
      <c r="K521" s="35">
        <v>0.0</v>
      </c>
    </row>
    <row r="522" ht="15.75" customHeight="1">
      <c r="A522" s="35" t="s">
        <v>4217</v>
      </c>
      <c r="B522" s="35"/>
      <c r="C522" s="35">
        <v>34.0</v>
      </c>
      <c r="D522" s="35" t="s">
        <v>4218</v>
      </c>
      <c r="E522" s="35">
        <v>46027.0</v>
      </c>
      <c r="F522" s="35">
        <v>0.0</v>
      </c>
      <c r="G522" s="35">
        <v>1.0</v>
      </c>
      <c r="H522" s="35">
        <v>0.0</v>
      </c>
      <c r="I522" s="35">
        <v>0.0</v>
      </c>
      <c r="J522" s="35"/>
      <c r="K522" s="35">
        <v>0.0</v>
      </c>
    </row>
    <row r="523" ht="15.75" customHeight="1">
      <c r="A523" s="35" t="s">
        <v>4219</v>
      </c>
      <c r="B523" s="35"/>
      <c r="C523" s="35">
        <v>34.0</v>
      </c>
      <c r="D523" s="35" t="s">
        <v>4220</v>
      </c>
      <c r="E523" s="35">
        <v>46027.0</v>
      </c>
      <c r="F523" s="35">
        <v>0.0</v>
      </c>
      <c r="G523" s="35">
        <v>0.0</v>
      </c>
      <c r="H523" s="35">
        <v>0.0</v>
      </c>
      <c r="I523" s="35">
        <v>2.0</v>
      </c>
      <c r="J523" s="35"/>
      <c r="K523" s="35">
        <v>0.0</v>
      </c>
    </row>
    <row r="524" ht="15.75" customHeight="1">
      <c r="A524" s="35" t="s">
        <v>4222</v>
      </c>
      <c r="B524" s="35"/>
      <c r="C524" s="35">
        <v>34.0</v>
      </c>
      <c r="D524" s="35" t="s">
        <v>3791</v>
      </c>
      <c r="E524" s="35">
        <v>46027.0</v>
      </c>
      <c r="F524" s="35">
        <v>0.0</v>
      </c>
      <c r="G524" s="35">
        <v>2.0</v>
      </c>
      <c r="H524" s="35">
        <v>0.0</v>
      </c>
      <c r="I524" s="35">
        <v>0.0</v>
      </c>
      <c r="J524" s="35"/>
      <c r="K524" s="35">
        <v>0.0</v>
      </c>
    </row>
    <row r="525" ht="15.75" customHeight="1">
      <c r="A525" s="35" t="s">
        <v>4224</v>
      </c>
      <c r="B525" s="35"/>
      <c r="C525" s="35">
        <v>34.0</v>
      </c>
      <c r="D525" s="35" t="s">
        <v>4225</v>
      </c>
      <c r="E525" s="35">
        <v>46027.0</v>
      </c>
      <c r="F525" s="35">
        <v>0.0</v>
      </c>
      <c r="G525" s="35">
        <v>14.0</v>
      </c>
      <c r="H525" s="35">
        <v>0.0</v>
      </c>
      <c r="I525" s="35">
        <v>0.0</v>
      </c>
      <c r="J525" s="35"/>
      <c r="K525" s="35">
        <v>0.0</v>
      </c>
    </row>
    <row r="526" ht="15.75" customHeight="1">
      <c r="A526" s="35" t="s">
        <v>4227</v>
      </c>
      <c r="B526" s="35"/>
      <c r="C526" s="35">
        <v>34.0</v>
      </c>
      <c r="D526" s="35" t="s">
        <v>4228</v>
      </c>
      <c r="E526" s="35">
        <v>46027.0</v>
      </c>
      <c r="F526" s="35">
        <v>0.0</v>
      </c>
      <c r="G526" s="35">
        <v>1.0</v>
      </c>
      <c r="H526" s="35">
        <v>0.0</v>
      </c>
      <c r="I526" s="35">
        <v>0.0</v>
      </c>
      <c r="J526" s="35"/>
      <c r="K526" s="35">
        <v>0.0</v>
      </c>
    </row>
    <row r="527" ht="15.75" customHeight="1">
      <c r="A527" s="35" t="s">
        <v>4229</v>
      </c>
      <c r="B527" s="35"/>
      <c r="C527" s="35">
        <v>34.0</v>
      </c>
      <c r="D527" s="35" t="s">
        <v>4231</v>
      </c>
      <c r="E527" s="35">
        <v>46027.0</v>
      </c>
      <c r="F527" s="35">
        <v>0.0</v>
      </c>
      <c r="G527" s="35">
        <v>1.0</v>
      </c>
      <c r="H527" s="35">
        <v>0.0</v>
      </c>
      <c r="I527" s="35">
        <v>0.0</v>
      </c>
      <c r="J527" s="35"/>
      <c r="K527" s="35">
        <v>0.0</v>
      </c>
    </row>
    <row r="528" ht="15.75" customHeight="1">
      <c r="A528" s="35" t="s">
        <v>4233</v>
      </c>
      <c r="B528" s="35"/>
      <c r="C528" s="35">
        <v>34.0</v>
      </c>
      <c r="D528" s="35" t="s">
        <v>3256</v>
      </c>
      <c r="E528" s="35">
        <v>46027.0</v>
      </c>
      <c r="F528" s="35">
        <v>0.0</v>
      </c>
      <c r="G528" s="35">
        <v>2.0</v>
      </c>
      <c r="H528" s="35">
        <v>0.0</v>
      </c>
      <c r="I528" s="35">
        <v>0.0</v>
      </c>
      <c r="J528" s="35"/>
      <c r="K528" s="35">
        <v>0.0</v>
      </c>
    </row>
    <row r="529" ht="15.75" customHeight="1">
      <c r="A529" s="35" t="s">
        <v>4234</v>
      </c>
      <c r="B529" s="35"/>
      <c r="C529" s="35">
        <v>34.0</v>
      </c>
      <c r="D529" s="35" t="s">
        <v>4235</v>
      </c>
      <c r="E529" s="35">
        <v>46027.0</v>
      </c>
      <c r="F529" s="35">
        <v>0.0</v>
      </c>
      <c r="G529" s="35">
        <v>1.0</v>
      </c>
      <c r="H529" s="35">
        <v>0.0</v>
      </c>
      <c r="I529" s="35">
        <v>0.0</v>
      </c>
      <c r="J529" s="35"/>
      <c r="K529" s="35">
        <v>0.0</v>
      </c>
    </row>
    <row r="530" ht="15.75" customHeight="1">
      <c r="A530" s="35" t="s">
        <v>4237</v>
      </c>
      <c r="B530" s="35"/>
      <c r="C530" s="35">
        <v>34.0</v>
      </c>
      <c r="D530" s="35" t="s">
        <v>4238</v>
      </c>
      <c r="E530" s="35">
        <v>46027.0</v>
      </c>
      <c r="F530" s="35">
        <v>0.0</v>
      </c>
      <c r="G530" s="35">
        <v>1.0</v>
      </c>
      <c r="H530" s="35">
        <v>0.0</v>
      </c>
      <c r="I530" s="35">
        <v>0.0</v>
      </c>
      <c r="J530" s="35"/>
      <c r="K530" s="35">
        <v>0.0</v>
      </c>
    </row>
    <row r="531" ht="15.75" customHeight="1">
      <c r="A531" s="35" t="s">
        <v>4240</v>
      </c>
      <c r="B531" s="35"/>
      <c r="C531" s="35">
        <v>34.0</v>
      </c>
      <c r="D531" s="35" t="s">
        <v>4241</v>
      </c>
      <c r="E531" s="35">
        <v>46027.0</v>
      </c>
      <c r="F531" s="35">
        <v>0.0</v>
      </c>
      <c r="G531" s="35">
        <v>2.0</v>
      </c>
      <c r="H531" s="35">
        <v>0.0</v>
      </c>
      <c r="I531" s="35">
        <v>0.0</v>
      </c>
      <c r="J531" s="35"/>
      <c r="K531" s="35">
        <v>0.0</v>
      </c>
    </row>
    <row r="532" ht="15.75" customHeight="1">
      <c r="A532" s="35" t="s">
        <v>4243</v>
      </c>
      <c r="B532" s="35"/>
      <c r="C532" s="35">
        <v>33.0</v>
      </c>
      <c r="D532" s="35" t="s">
        <v>4244</v>
      </c>
      <c r="E532" s="35">
        <v>46058.0</v>
      </c>
      <c r="F532" s="35">
        <v>0.0</v>
      </c>
      <c r="G532" s="35">
        <v>11.0</v>
      </c>
      <c r="H532" s="35">
        <v>0.0</v>
      </c>
      <c r="I532" s="35">
        <v>7.0</v>
      </c>
      <c r="J532" s="35"/>
      <c r="K532" s="35">
        <v>0.0</v>
      </c>
    </row>
    <row r="533" ht="15.75" customHeight="1">
      <c r="A533" s="35" t="s">
        <v>1060</v>
      </c>
      <c r="B533" s="35"/>
      <c r="C533" s="35">
        <v>33.0</v>
      </c>
      <c r="D533" s="35" t="s">
        <v>2043</v>
      </c>
      <c r="E533" s="35">
        <v>46058.0</v>
      </c>
      <c r="F533" s="35">
        <v>0.0</v>
      </c>
      <c r="G533" s="35">
        <v>15.0</v>
      </c>
      <c r="H533" s="35">
        <v>0.0</v>
      </c>
      <c r="I533" s="35">
        <v>1.0</v>
      </c>
      <c r="J533" s="35"/>
      <c r="K533" s="35">
        <v>0.0</v>
      </c>
    </row>
    <row r="534" ht="15.75" customHeight="1">
      <c r="A534" s="35" t="s">
        <v>4245</v>
      </c>
      <c r="B534" s="35"/>
      <c r="C534" s="35">
        <v>33.0</v>
      </c>
      <c r="D534" s="35" t="s">
        <v>4247</v>
      </c>
      <c r="E534" s="35">
        <v>46027.0</v>
      </c>
      <c r="F534" s="35">
        <v>0.0</v>
      </c>
      <c r="G534" s="35">
        <v>5.0</v>
      </c>
      <c r="H534" s="35">
        <v>0.0</v>
      </c>
      <c r="I534" s="35">
        <v>0.0</v>
      </c>
      <c r="J534" s="35"/>
      <c r="K534" s="35">
        <v>0.0</v>
      </c>
    </row>
    <row r="535" ht="15.75" customHeight="1">
      <c r="A535" s="35" t="s">
        <v>4249</v>
      </c>
      <c r="B535" s="35"/>
      <c r="C535" s="35">
        <v>33.0</v>
      </c>
      <c r="D535" s="35" t="s">
        <v>4250</v>
      </c>
      <c r="E535" s="35">
        <v>46027.0</v>
      </c>
      <c r="F535" s="35">
        <v>0.0</v>
      </c>
      <c r="G535" s="35">
        <v>21.0</v>
      </c>
      <c r="H535" s="35">
        <v>0.0</v>
      </c>
      <c r="I535" s="35">
        <v>0.0</v>
      </c>
      <c r="J535" s="35"/>
      <c r="K535" s="35">
        <v>0.0</v>
      </c>
    </row>
    <row r="536" ht="15.75" customHeight="1">
      <c r="A536" s="35" t="s">
        <v>1062</v>
      </c>
      <c r="B536" s="35"/>
      <c r="C536" s="35">
        <v>33.0</v>
      </c>
      <c r="D536" s="35" t="s">
        <v>4251</v>
      </c>
      <c r="E536" s="35">
        <v>46027.0</v>
      </c>
      <c r="F536" s="35">
        <v>0.0</v>
      </c>
      <c r="G536" s="35">
        <v>2.0</v>
      </c>
      <c r="H536" s="35">
        <v>0.0</v>
      </c>
      <c r="I536" s="35">
        <v>0.0</v>
      </c>
      <c r="J536" s="35"/>
      <c r="K536" s="35">
        <v>0.0</v>
      </c>
    </row>
    <row r="537" ht="15.75" customHeight="1">
      <c r="A537" s="35" t="s">
        <v>4253</v>
      </c>
      <c r="B537" s="35"/>
      <c r="C537" s="35">
        <v>33.0</v>
      </c>
      <c r="D537" s="35" t="s">
        <v>4254</v>
      </c>
      <c r="E537" s="35">
        <v>46027.0</v>
      </c>
      <c r="F537" s="35">
        <v>0.0</v>
      </c>
      <c r="G537" s="35">
        <v>2.0</v>
      </c>
      <c r="H537" s="35">
        <v>0.0</v>
      </c>
      <c r="I537" s="35">
        <v>0.0</v>
      </c>
      <c r="J537" s="35"/>
      <c r="K537" s="35">
        <v>0.0</v>
      </c>
    </row>
    <row r="538" ht="15.75" customHeight="1">
      <c r="A538" s="35" t="s">
        <v>4255</v>
      </c>
      <c r="B538" s="35"/>
      <c r="C538" s="35">
        <v>33.0</v>
      </c>
      <c r="D538" s="35" t="s">
        <v>4256</v>
      </c>
      <c r="E538" s="35">
        <v>46027.0</v>
      </c>
      <c r="F538" s="35">
        <v>0.0</v>
      </c>
      <c r="G538" s="35">
        <v>1.0</v>
      </c>
      <c r="H538" s="35">
        <v>0.0</v>
      </c>
      <c r="I538" s="35">
        <v>0.0</v>
      </c>
      <c r="J538" s="35"/>
      <c r="K538" s="35">
        <v>0.0</v>
      </c>
    </row>
    <row r="539" ht="15.75" customHeight="1">
      <c r="A539" s="35" t="s">
        <v>4258</v>
      </c>
      <c r="B539" s="35"/>
      <c r="C539" s="35">
        <v>33.0</v>
      </c>
      <c r="D539" s="35" t="s">
        <v>3162</v>
      </c>
      <c r="E539" s="35">
        <v>46027.0</v>
      </c>
      <c r="F539" s="35">
        <v>0.0</v>
      </c>
      <c r="G539" s="35">
        <v>8.0</v>
      </c>
      <c r="H539" s="35">
        <v>0.0</v>
      </c>
      <c r="I539" s="35">
        <v>0.0</v>
      </c>
      <c r="J539" s="35"/>
      <c r="K539" s="35">
        <v>0.0</v>
      </c>
    </row>
    <row r="540" ht="15.75" customHeight="1">
      <c r="A540" s="35" t="s">
        <v>4259</v>
      </c>
      <c r="B540" s="35"/>
      <c r="C540" s="35">
        <v>33.0</v>
      </c>
      <c r="D540" s="35" t="s">
        <v>2164</v>
      </c>
      <c r="E540" s="35">
        <v>46027.0</v>
      </c>
      <c r="F540" s="35">
        <v>0.0</v>
      </c>
      <c r="G540" s="35">
        <v>0.0</v>
      </c>
      <c r="H540" s="35">
        <v>0.0</v>
      </c>
      <c r="I540" s="35">
        <v>1.0</v>
      </c>
      <c r="J540" s="35"/>
      <c r="K540" s="35">
        <v>0.0</v>
      </c>
    </row>
    <row r="541" ht="15.75" customHeight="1">
      <c r="A541" s="35" t="s">
        <v>1064</v>
      </c>
      <c r="B541" s="35"/>
      <c r="C541" s="35">
        <v>33.0</v>
      </c>
      <c r="D541" s="35" t="s">
        <v>4261</v>
      </c>
      <c r="E541" s="35">
        <v>46027.0</v>
      </c>
      <c r="F541" s="35">
        <v>0.0</v>
      </c>
      <c r="G541" s="35">
        <v>1.0</v>
      </c>
      <c r="H541" s="35">
        <v>0.0</v>
      </c>
      <c r="I541" s="35">
        <v>0.0</v>
      </c>
      <c r="J541" s="35"/>
      <c r="K541" s="35">
        <v>0.0</v>
      </c>
    </row>
    <row r="542" ht="15.75" customHeight="1">
      <c r="A542" s="35" t="s">
        <v>4262</v>
      </c>
      <c r="B542" s="35"/>
      <c r="C542" s="35">
        <v>33.0</v>
      </c>
      <c r="D542" s="35" t="s">
        <v>4263</v>
      </c>
      <c r="E542" s="35">
        <v>46027.0</v>
      </c>
      <c r="F542" s="35">
        <v>0.0</v>
      </c>
      <c r="G542" s="35">
        <v>1.0</v>
      </c>
      <c r="H542" s="35">
        <v>0.0</v>
      </c>
      <c r="I542" s="35">
        <v>0.0</v>
      </c>
      <c r="J542" s="35"/>
      <c r="K542" s="35">
        <v>0.0</v>
      </c>
    </row>
    <row r="543" ht="15.75" customHeight="1">
      <c r="A543" s="35" t="s">
        <v>4265</v>
      </c>
      <c r="B543" s="35"/>
      <c r="C543" s="35">
        <v>33.0</v>
      </c>
      <c r="D543" s="35" t="s">
        <v>3732</v>
      </c>
      <c r="E543" s="35">
        <v>46027.0</v>
      </c>
      <c r="F543" s="35">
        <v>0.0</v>
      </c>
      <c r="G543" s="35">
        <v>1.0</v>
      </c>
      <c r="H543" s="35">
        <v>0.0</v>
      </c>
      <c r="I543" s="35">
        <v>0.0</v>
      </c>
      <c r="J543" s="35"/>
      <c r="K543" s="35">
        <v>0.0</v>
      </c>
    </row>
    <row r="544" ht="15.75" customHeight="1">
      <c r="A544" s="35" t="s">
        <v>4267</v>
      </c>
      <c r="B544" s="35"/>
      <c r="C544" s="35">
        <v>33.0</v>
      </c>
      <c r="D544" s="35" t="s">
        <v>4268</v>
      </c>
      <c r="E544" s="35">
        <v>46027.0</v>
      </c>
      <c r="F544" s="35">
        <v>0.0</v>
      </c>
      <c r="G544" s="35">
        <v>1.0</v>
      </c>
      <c r="H544" s="35">
        <v>0.0</v>
      </c>
      <c r="I544" s="35">
        <v>0.0</v>
      </c>
      <c r="J544" s="35"/>
      <c r="K544" s="35">
        <v>0.0</v>
      </c>
    </row>
    <row r="545" ht="15.75" customHeight="1">
      <c r="A545" s="35" t="s">
        <v>1066</v>
      </c>
      <c r="B545" s="35"/>
      <c r="C545" s="35">
        <v>33.0</v>
      </c>
      <c r="D545" s="35" t="s">
        <v>4270</v>
      </c>
      <c r="E545" s="35">
        <v>46027.0</v>
      </c>
      <c r="F545" s="35">
        <v>0.0</v>
      </c>
      <c r="G545" s="35">
        <v>1.0</v>
      </c>
      <c r="H545" s="35">
        <v>0.0</v>
      </c>
      <c r="I545" s="35">
        <v>0.0</v>
      </c>
      <c r="J545" s="35"/>
      <c r="K545" s="35">
        <v>0.0</v>
      </c>
    </row>
    <row r="546" ht="15.75" customHeight="1">
      <c r="A546" s="35" t="s">
        <v>4271</v>
      </c>
      <c r="B546" s="35"/>
      <c r="C546" s="35">
        <v>33.0</v>
      </c>
      <c r="D546" s="35" t="s">
        <v>4272</v>
      </c>
      <c r="E546" s="35">
        <v>46027.0</v>
      </c>
      <c r="F546" s="35">
        <v>0.0</v>
      </c>
      <c r="G546" s="35">
        <v>0.0</v>
      </c>
      <c r="H546" s="35">
        <v>2.0</v>
      </c>
      <c r="I546" s="35">
        <v>0.0</v>
      </c>
      <c r="J546" s="35"/>
      <c r="K546" s="35">
        <v>0.0</v>
      </c>
    </row>
    <row r="547" ht="15.75" customHeight="1">
      <c r="A547" s="35" t="s">
        <v>1068</v>
      </c>
      <c r="B547" s="35"/>
      <c r="C547" s="35">
        <v>33.0</v>
      </c>
      <c r="D547" s="35" t="s">
        <v>4274</v>
      </c>
      <c r="E547" s="35">
        <v>46027.0</v>
      </c>
      <c r="F547" s="35">
        <v>0.0</v>
      </c>
      <c r="G547" s="35">
        <v>2.0</v>
      </c>
      <c r="H547" s="35">
        <v>0.0</v>
      </c>
      <c r="I547" s="35">
        <v>0.0</v>
      </c>
      <c r="J547" s="35"/>
      <c r="K547" s="35">
        <v>0.0</v>
      </c>
    </row>
    <row r="548" ht="15.75" customHeight="1">
      <c r="A548" s="35" t="s">
        <v>4276</v>
      </c>
      <c r="B548" s="35"/>
      <c r="C548" s="35">
        <v>33.0</v>
      </c>
      <c r="D548" s="35" t="s">
        <v>4277</v>
      </c>
      <c r="E548" s="35">
        <v>46027.0</v>
      </c>
      <c r="F548" s="35">
        <v>0.0</v>
      </c>
      <c r="G548" s="35">
        <v>7.0</v>
      </c>
      <c r="H548" s="35">
        <v>0.0</v>
      </c>
      <c r="I548" s="35">
        <v>0.0</v>
      </c>
      <c r="J548" s="35"/>
      <c r="K548" s="35">
        <v>0.0</v>
      </c>
    </row>
    <row r="549" ht="15.75" customHeight="1">
      <c r="A549" s="35" t="s">
        <v>4278</v>
      </c>
      <c r="B549" s="35"/>
      <c r="C549" s="35">
        <v>33.0</v>
      </c>
      <c r="D549" s="35" t="s">
        <v>4279</v>
      </c>
      <c r="E549" s="35">
        <v>46027.0</v>
      </c>
      <c r="F549" s="35">
        <v>0.0</v>
      </c>
      <c r="G549" s="35">
        <v>4.0</v>
      </c>
      <c r="H549" s="35">
        <v>0.0</v>
      </c>
      <c r="I549" s="35">
        <v>0.0</v>
      </c>
      <c r="J549" s="35"/>
      <c r="K549" s="35">
        <v>0.0</v>
      </c>
    </row>
    <row r="550" ht="15.75" customHeight="1">
      <c r="A550" s="35" t="s">
        <v>4281</v>
      </c>
      <c r="B550" s="35"/>
      <c r="C550" s="35">
        <v>33.0</v>
      </c>
      <c r="D550" s="35" t="s">
        <v>4282</v>
      </c>
      <c r="E550" s="35">
        <v>46027.0</v>
      </c>
      <c r="F550" s="35">
        <v>0.0</v>
      </c>
      <c r="G550" s="35">
        <v>1.0</v>
      </c>
      <c r="H550" s="35">
        <v>0.0</v>
      </c>
      <c r="I550" s="35">
        <v>0.0</v>
      </c>
      <c r="J550" s="35"/>
      <c r="K550" s="35">
        <v>0.0</v>
      </c>
    </row>
    <row r="551" ht="15.75" customHeight="1">
      <c r="A551" s="35" t="s">
        <v>4283</v>
      </c>
      <c r="B551" s="35"/>
      <c r="C551" s="35">
        <v>33.0</v>
      </c>
      <c r="D551" s="35" t="s">
        <v>4284</v>
      </c>
      <c r="E551" s="35">
        <v>46027.0</v>
      </c>
      <c r="F551" s="35">
        <v>0.0</v>
      </c>
      <c r="G551" s="35">
        <v>0.0</v>
      </c>
      <c r="H551" s="35">
        <v>5.0</v>
      </c>
      <c r="I551" s="35">
        <v>0.0</v>
      </c>
      <c r="J551" s="35"/>
      <c r="K551" s="35">
        <v>0.0</v>
      </c>
    </row>
    <row r="552" ht="15.75" customHeight="1">
      <c r="A552" s="35" t="s">
        <v>1070</v>
      </c>
      <c r="B552" s="35"/>
      <c r="C552" s="35">
        <v>33.0</v>
      </c>
      <c r="D552" s="35" t="s">
        <v>4263</v>
      </c>
      <c r="E552" s="35">
        <v>46027.0</v>
      </c>
      <c r="F552" s="35">
        <v>0.0</v>
      </c>
      <c r="G552" s="35">
        <v>3.0</v>
      </c>
      <c r="H552" s="35">
        <v>0.0</v>
      </c>
      <c r="I552" s="35">
        <v>0.0</v>
      </c>
      <c r="J552" s="35"/>
      <c r="K552" s="35">
        <v>0.0</v>
      </c>
    </row>
    <row r="553" ht="15.75" customHeight="1">
      <c r="A553" s="35" t="s">
        <v>4287</v>
      </c>
      <c r="B553" s="35"/>
      <c r="C553" s="35">
        <v>33.0</v>
      </c>
      <c r="D553" s="35" t="s">
        <v>4288</v>
      </c>
      <c r="E553" s="35">
        <v>46027.0</v>
      </c>
      <c r="F553" s="35">
        <v>0.0</v>
      </c>
      <c r="G553" s="35">
        <v>0.0</v>
      </c>
      <c r="H553" s="35">
        <v>1.0</v>
      </c>
      <c r="I553" s="35">
        <v>0.0</v>
      </c>
      <c r="J553" s="35"/>
      <c r="K553" s="35">
        <v>0.0</v>
      </c>
    </row>
    <row r="554" ht="15.75" customHeight="1">
      <c r="A554" s="35" t="s">
        <v>4290</v>
      </c>
      <c r="B554" s="35"/>
      <c r="C554" s="35">
        <v>33.0</v>
      </c>
      <c r="D554" s="35" t="s">
        <v>4291</v>
      </c>
      <c r="E554" s="35">
        <v>46027.0</v>
      </c>
      <c r="F554" s="35">
        <v>0.0</v>
      </c>
      <c r="G554" s="35">
        <v>1.0</v>
      </c>
      <c r="H554" s="35">
        <v>0.0</v>
      </c>
      <c r="I554" s="35">
        <v>0.0</v>
      </c>
      <c r="J554" s="35"/>
      <c r="K554" s="35">
        <v>0.0</v>
      </c>
    </row>
    <row r="555" ht="15.75" customHeight="1">
      <c r="A555" s="35" t="s">
        <v>4292</v>
      </c>
      <c r="B555" s="35"/>
      <c r="C555" s="35">
        <v>33.0</v>
      </c>
      <c r="D555" s="35" t="s">
        <v>4293</v>
      </c>
      <c r="E555" s="35">
        <v>46027.0</v>
      </c>
      <c r="F555" s="35">
        <v>0.0</v>
      </c>
      <c r="G555" s="35">
        <v>24.0</v>
      </c>
      <c r="H555" s="35">
        <v>0.0</v>
      </c>
      <c r="I555" s="35">
        <v>0.0</v>
      </c>
      <c r="J555" s="35"/>
      <c r="K555" s="35">
        <v>0.0</v>
      </c>
    </row>
    <row r="556" ht="15.75" customHeight="1">
      <c r="A556" s="35" t="s">
        <v>4294</v>
      </c>
      <c r="B556" s="35"/>
      <c r="C556" s="35">
        <v>33.0</v>
      </c>
      <c r="D556" s="35" t="s">
        <v>4100</v>
      </c>
      <c r="E556" s="35">
        <v>46027.0</v>
      </c>
      <c r="F556" s="35">
        <v>0.0</v>
      </c>
      <c r="G556" s="35">
        <v>1.0</v>
      </c>
      <c r="H556" s="35">
        <v>0.0</v>
      </c>
      <c r="I556" s="35">
        <v>0.0</v>
      </c>
      <c r="J556" s="35"/>
      <c r="K556" s="35">
        <v>0.0</v>
      </c>
    </row>
    <row r="557" ht="15.75" customHeight="1">
      <c r="A557" s="35" t="s">
        <v>4296</v>
      </c>
      <c r="B557" s="35"/>
      <c r="C557" s="35">
        <v>33.0</v>
      </c>
      <c r="D557" s="35" t="s">
        <v>4298</v>
      </c>
      <c r="E557" s="35">
        <v>46027.0</v>
      </c>
      <c r="F557" s="35">
        <v>0.0</v>
      </c>
      <c r="G557" s="35">
        <v>27.0</v>
      </c>
      <c r="H557" s="35">
        <v>0.0</v>
      </c>
      <c r="I557" s="35">
        <v>0.0</v>
      </c>
      <c r="J557" s="35"/>
      <c r="K557" s="35">
        <v>0.0</v>
      </c>
    </row>
    <row r="558" ht="15.75" customHeight="1">
      <c r="A558" s="35" t="s">
        <v>4299</v>
      </c>
      <c r="B558" s="35"/>
      <c r="C558" s="35">
        <v>33.0</v>
      </c>
      <c r="D558" s="35" t="s">
        <v>4300</v>
      </c>
      <c r="E558" s="35">
        <v>46027.0</v>
      </c>
      <c r="F558" s="35">
        <v>0.0</v>
      </c>
      <c r="G558" s="35">
        <v>0.0</v>
      </c>
      <c r="H558" s="35">
        <v>2.0</v>
      </c>
      <c r="I558" s="35">
        <v>0.0</v>
      </c>
      <c r="J558" s="35"/>
      <c r="K558" s="35">
        <v>0.0</v>
      </c>
    </row>
    <row r="559" ht="15.75" customHeight="1">
      <c r="A559" s="35" t="s">
        <v>4302</v>
      </c>
      <c r="B559" s="35"/>
      <c r="C559" s="35">
        <v>33.0</v>
      </c>
      <c r="D559" s="35" t="s">
        <v>2034</v>
      </c>
      <c r="E559" s="35">
        <v>46027.0</v>
      </c>
      <c r="F559" s="35">
        <v>0.0</v>
      </c>
      <c r="G559" s="35">
        <v>2.0</v>
      </c>
      <c r="H559" s="35">
        <v>0.0</v>
      </c>
      <c r="I559" s="35">
        <v>0.0</v>
      </c>
      <c r="J559" s="35"/>
      <c r="K559" s="35">
        <v>0.0</v>
      </c>
    </row>
    <row r="560" ht="15.75" customHeight="1">
      <c r="A560" s="35" t="s">
        <v>1073</v>
      </c>
      <c r="B560" s="35"/>
      <c r="C560" s="35">
        <v>33.0</v>
      </c>
      <c r="D560" s="35" t="s">
        <v>4303</v>
      </c>
      <c r="E560" s="35">
        <v>46027.0</v>
      </c>
      <c r="F560" s="35">
        <v>0.0</v>
      </c>
      <c r="G560" s="35">
        <v>2.0</v>
      </c>
      <c r="H560" s="35">
        <v>0.0</v>
      </c>
      <c r="I560" s="35">
        <v>0.0</v>
      </c>
      <c r="J560" s="35"/>
      <c r="K560" s="35">
        <v>0.0</v>
      </c>
    </row>
    <row r="561" ht="15.75" customHeight="1">
      <c r="A561" s="35" t="s">
        <v>4305</v>
      </c>
      <c r="B561" s="35"/>
      <c r="C561" s="35">
        <v>33.0</v>
      </c>
      <c r="D561" s="35" t="s">
        <v>4061</v>
      </c>
      <c r="E561" s="35">
        <v>46027.0</v>
      </c>
      <c r="F561" s="35">
        <v>0.0</v>
      </c>
      <c r="G561" s="35">
        <v>1.0</v>
      </c>
      <c r="H561" s="35">
        <v>0.0</v>
      </c>
      <c r="I561" s="35">
        <v>0.0</v>
      </c>
      <c r="J561" s="35"/>
      <c r="K561" s="35">
        <v>0.0</v>
      </c>
    </row>
    <row r="562" ht="15.75" customHeight="1">
      <c r="A562" s="35" t="s">
        <v>4307</v>
      </c>
      <c r="B562" s="35"/>
      <c r="C562" s="35">
        <v>33.0</v>
      </c>
      <c r="D562" s="35" t="s">
        <v>4308</v>
      </c>
      <c r="E562" s="35">
        <v>46027.0</v>
      </c>
      <c r="F562" s="35">
        <v>0.0</v>
      </c>
      <c r="G562" s="35">
        <v>2.0</v>
      </c>
      <c r="H562" s="35">
        <v>0.0</v>
      </c>
      <c r="I562" s="35">
        <v>0.0</v>
      </c>
      <c r="J562" s="35"/>
      <c r="K562" s="35">
        <v>0.0</v>
      </c>
    </row>
    <row r="563" ht="15.75" customHeight="1">
      <c r="A563" s="35" t="s">
        <v>4309</v>
      </c>
      <c r="B563" s="35"/>
      <c r="C563" s="35">
        <v>33.0</v>
      </c>
      <c r="D563" s="35" t="s">
        <v>4311</v>
      </c>
      <c r="E563" s="35">
        <v>46027.0</v>
      </c>
      <c r="F563" s="35">
        <v>0.0</v>
      </c>
      <c r="G563" s="35">
        <v>3.0</v>
      </c>
      <c r="H563" s="35">
        <v>0.0</v>
      </c>
      <c r="I563" s="35">
        <v>0.0</v>
      </c>
      <c r="J563" s="35"/>
      <c r="K563" s="35">
        <v>0.0</v>
      </c>
    </row>
    <row r="564" ht="15.75" customHeight="1">
      <c r="A564" s="35" t="s">
        <v>1076</v>
      </c>
      <c r="B564" s="35"/>
      <c r="C564" s="35">
        <v>33.0</v>
      </c>
      <c r="D564" s="35" t="s">
        <v>4312</v>
      </c>
      <c r="E564" s="35">
        <v>46027.0</v>
      </c>
      <c r="F564" s="35">
        <v>0.0</v>
      </c>
      <c r="G564" s="35">
        <v>2.0</v>
      </c>
      <c r="H564" s="35">
        <v>0.0</v>
      </c>
      <c r="I564" s="35">
        <v>0.0</v>
      </c>
      <c r="J564" s="35"/>
      <c r="K564" s="35">
        <v>0.0</v>
      </c>
    </row>
    <row r="565" ht="15.75" customHeight="1">
      <c r="A565" s="35" t="s">
        <v>4313</v>
      </c>
      <c r="B565" s="35"/>
      <c r="C565" s="35">
        <v>33.0</v>
      </c>
      <c r="D565" s="35" t="s">
        <v>2845</v>
      </c>
      <c r="E565" s="35">
        <v>46027.0</v>
      </c>
      <c r="F565" s="35">
        <v>0.0</v>
      </c>
      <c r="G565" s="35">
        <v>0.0</v>
      </c>
      <c r="H565" s="35">
        <v>1.0</v>
      </c>
      <c r="I565" s="35">
        <v>0.0</v>
      </c>
      <c r="J565" s="35"/>
      <c r="K565" s="35">
        <v>0.0</v>
      </c>
    </row>
    <row r="566" ht="15.75" customHeight="1">
      <c r="A566" s="35" t="s">
        <v>4316</v>
      </c>
      <c r="B566" s="35"/>
      <c r="C566" s="35">
        <v>33.0</v>
      </c>
      <c r="D566" s="35" t="s">
        <v>4317</v>
      </c>
      <c r="E566" s="35">
        <v>46027.0</v>
      </c>
      <c r="F566" s="35">
        <v>0.0</v>
      </c>
      <c r="G566" s="35">
        <v>1.0</v>
      </c>
      <c r="H566" s="35">
        <v>0.0</v>
      </c>
      <c r="I566" s="35">
        <v>0.0</v>
      </c>
      <c r="J566" s="35"/>
      <c r="K566" s="35">
        <v>0.0</v>
      </c>
    </row>
    <row r="567" ht="15.75" customHeight="1">
      <c r="A567" s="35" t="s">
        <v>4318</v>
      </c>
      <c r="B567" s="35"/>
      <c r="C567" s="35">
        <v>33.0</v>
      </c>
      <c r="D567" s="35" t="s">
        <v>4319</v>
      </c>
      <c r="E567" s="35">
        <v>46027.0</v>
      </c>
      <c r="F567" s="35">
        <v>0.0</v>
      </c>
      <c r="G567" s="35">
        <v>1.0</v>
      </c>
      <c r="H567" s="35">
        <v>0.0</v>
      </c>
      <c r="I567" s="35">
        <v>0.0</v>
      </c>
      <c r="J567" s="35"/>
      <c r="K567" s="35">
        <v>0.0</v>
      </c>
    </row>
    <row r="568" ht="15.75" customHeight="1">
      <c r="A568" s="35" t="s">
        <v>4321</v>
      </c>
      <c r="B568" s="35"/>
      <c r="C568" s="35">
        <v>33.0</v>
      </c>
      <c r="D568" s="35" t="s">
        <v>4082</v>
      </c>
      <c r="E568" s="35">
        <v>46027.0</v>
      </c>
      <c r="F568" s="35">
        <v>0.0</v>
      </c>
      <c r="G568" s="35">
        <v>2.0</v>
      </c>
      <c r="H568" s="35">
        <v>0.0</v>
      </c>
      <c r="I568" s="35">
        <v>0.0</v>
      </c>
      <c r="J568" s="35"/>
      <c r="K568" s="35">
        <v>0.0</v>
      </c>
    </row>
    <row r="569" ht="15.75" customHeight="1">
      <c r="A569" s="35" t="s">
        <v>4322</v>
      </c>
      <c r="B569" s="35"/>
      <c r="C569" s="35">
        <v>33.0</v>
      </c>
      <c r="D569" s="35" t="s">
        <v>4323</v>
      </c>
      <c r="E569" s="35">
        <v>46027.0</v>
      </c>
      <c r="F569" s="35">
        <v>0.0</v>
      </c>
      <c r="G569" s="35">
        <v>3.0</v>
      </c>
      <c r="H569" s="35">
        <v>0.0</v>
      </c>
      <c r="I569" s="35">
        <v>0.0</v>
      </c>
      <c r="J569" s="35"/>
      <c r="K569" s="35">
        <v>0.0</v>
      </c>
    </row>
    <row r="570" ht="15.75" customHeight="1">
      <c r="A570" s="35" t="s">
        <v>4325</v>
      </c>
      <c r="B570" s="35"/>
      <c r="C570" s="35">
        <v>33.0</v>
      </c>
      <c r="D570" s="35" t="s">
        <v>4326</v>
      </c>
      <c r="E570" s="35">
        <v>46027.0</v>
      </c>
      <c r="F570" s="35">
        <v>0.0</v>
      </c>
      <c r="G570" s="35">
        <v>1.0</v>
      </c>
      <c r="H570" s="35">
        <v>0.0</v>
      </c>
      <c r="I570" s="35">
        <v>0.0</v>
      </c>
      <c r="J570" s="35"/>
      <c r="K570" s="35">
        <v>0.0</v>
      </c>
    </row>
    <row r="571" ht="15.75" customHeight="1">
      <c r="A571" s="35" t="s">
        <v>4328</v>
      </c>
      <c r="B571" s="35"/>
      <c r="C571" s="35">
        <v>33.0</v>
      </c>
      <c r="D571" s="35" t="s">
        <v>4329</v>
      </c>
      <c r="E571" s="35">
        <v>46027.0</v>
      </c>
      <c r="F571" s="35">
        <v>0.0</v>
      </c>
      <c r="G571" s="35">
        <v>2.0</v>
      </c>
      <c r="H571" s="35">
        <v>0.0</v>
      </c>
      <c r="I571" s="35">
        <v>0.0</v>
      </c>
      <c r="J571" s="35"/>
      <c r="K571" s="35">
        <v>0.0</v>
      </c>
    </row>
    <row r="572" ht="15.75" customHeight="1">
      <c r="A572" s="35" t="s">
        <v>4330</v>
      </c>
      <c r="B572" s="35"/>
      <c r="C572" s="35">
        <v>32.0</v>
      </c>
      <c r="D572" s="35" t="s">
        <v>4332</v>
      </c>
      <c r="E572" s="35">
        <v>46027.0</v>
      </c>
      <c r="F572" s="35">
        <v>0.0</v>
      </c>
      <c r="G572" s="35">
        <v>1.0</v>
      </c>
      <c r="H572" s="35">
        <v>0.0</v>
      </c>
      <c r="I572" s="35">
        <v>0.0</v>
      </c>
      <c r="J572" s="35"/>
      <c r="K572" s="35">
        <v>0.0</v>
      </c>
    </row>
    <row r="573" ht="15.75" customHeight="1">
      <c r="A573" s="35" t="s">
        <v>4333</v>
      </c>
      <c r="B573" s="35"/>
      <c r="C573" s="35">
        <v>32.0</v>
      </c>
      <c r="D573" s="35" t="s">
        <v>4154</v>
      </c>
      <c r="E573" s="35">
        <v>46027.0</v>
      </c>
      <c r="F573" s="35">
        <v>0.0</v>
      </c>
      <c r="G573" s="35">
        <v>27.0</v>
      </c>
      <c r="H573" s="35">
        <v>0.0</v>
      </c>
      <c r="I573" s="35">
        <v>0.0</v>
      </c>
      <c r="J573" s="35"/>
      <c r="K573" s="35">
        <v>0.0</v>
      </c>
    </row>
    <row r="574" ht="15.75" customHeight="1">
      <c r="A574" s="35" t="s">
        <v>4334</v>
      </c>
      <c r="B574" s="35"/>
      <c r="C574" s="35">
        <v>32.0</v>
      </c>
      <c r="D574" s="35" t="s">
        <v>2144</v>
      </c>
      <c r="E574" s="35">
        <v>46027.0</v>
      </c>
      <c r="F574" s="35">
        <v>0.0</v>
      </c>
      <c r="G574" s="35">
        <v>6.0</v>
      </c>
      <c r="H574" s="35">
        <v>0.0</v>
      </c>
      <c r="I574" s="35">
        <v>0.0</v>
      </c>
      <c r="J574" s="35"/>
      <c r="K574" s="35">
        <v>0.0</v>
      </c>
    </row>
    <row r="575" ht="15.75" customHeight="1">
      <c r="A575" s="35" t="s">
        <v>4337</v>
      </c>
      <c r="B575" s="35"/>
      <c r="C575" s="35">
        <v>32.0</v>
      </c>
      <c r="D575" s="35" t="s">
        <v>4338</v>
      </c>
      <c r="E575" s="35">
        <v>46027.0</v>
      </c>
      <c r="F575" s="35">
        <v>0.0</v>
      </c>
      <c r="G575" s="35">
        <v>0.0</v>
      </c>
      <c r="H575" s="35">
        <v>0.0</v>
      </c>
      <c r="I575" s="35">
        <v>2.0</v>
      </c>
      <c r="J575" s="35"/>
      <c r="K575" s="35">
        <v>0.0</v>
      </c>
    </row>
    <row r="576" ht="15.75" customHeight="1">
      <c r="A576" s="35" t="s">
        <v>4339</v>
      </c>
      <c r="B576" s="35"/>
      <c r="C576" s="35">
        <v>32.0</v>
      </c>
      <c r="D576" s="35" t="s">
        <v>3787</v>
      </c>
      <c r="E576" s="35">
        <v>46027.0</v>
      </c>
      <c r="F576" s="35">
        <v>0.0</v>
      </c>
      <c r="G576" s="35">
        <v>6.0</v>
      </c>
      <c r="H576" s="35">
        <v>0.0</v>
      </c>
      <c r="I576" s="35">
        <v>0.0</v>
      </c>
      <c r="J576" s="35"/>
      <c r="K576" s="35">
        <v>0.0</v>
      </c>
    </row>
    <row r="577" ht="15.75" customHeight="1">
      <c r="A577" s="35" t="s">
        <v>4341</v>
      </c>
      <c r="B577" s="35"/>
      <c r="C577" s="35">
        <v>32.0</v>
      </c>
      <c r="D577" s="35" t="s">
        <v>4238</v>
      </c>
      <c r="E577" s="35">
        <v>46027.0</v>
      </c>
      <c r="F577" s="35">
        <v>0.0</v>
      </c>
      <c r="G577" s="35">
        <v>6.0</v>
      </c>
      <c r="H577" s="35">
        <v>0.0</v>
      </c>
      <c r="I577" s="35">
        <v>0.0</v>
      </c>
      <c r="J577" s="35"/>
      <c r="K577" s="35">
        <v>0.0</v>
      </c>
    </row>
    <row r="578" ht="15.75" customHeight="1">
      <c r="A578" s="35" t="s">
        <v>4342</v>
      </c>
      <c r="B578" s="35"/>
      <c r="C578" s="35">
        <v>32.0</v>
      </c>
      <c r="D578" s="35" t="s">
        <v>4343</v>
      </c>
      <c r="E578" s="35">
        <v>46027.0</v>
      </c>
      <c r="F578" s="35">
        <v>0.0</v>
      </c>
      <c r="G578" s="35">
        <v>1.0</v>
      </c>
      <c r="H578" s="35">
        <v>0.0</v>
      </c>
      <c r="I578" s="35">
        <v>0.0</v>
      </c>
      <c r="J578" s="35"/>
      <c r="K578" s="35">
        <v>0.0</v>
      </c>
    </row>
    <row r="579" ht="15.75" customHeight="1">
      <c r="A579" s="35" t="s">
        <v>4345</v>
      </c>
      <c r="B579" s="35"/>
      <c r="C579" s="35">
        <v>32.0</v>
      </c>
      <c r="D579" s="35">
        <v>259.0</v>
      </c>
      <c r="E579" s="35">
        <v>46027.0</v>
      </c>
      <c r="F579" s="35">
        <v>0.0</v>
      </c>
      <c r="G579" s="35">
        <v>9.0</v>
      </c>
      <c r="H579" s="35">
        <v>0.0</v>
      </c>
      <c r="I579" s="35">
        <v>0.0</v>
      </c>
      <c r="J579" s="35"/>
      <c r="K579" s="35">
        <v>0.0</v>
      </c>
    </row>
    <row r="580" ht="15.75" customHeight="1">
      <c r="A580" s="35" t="s">
        <v>4347</v>
      </c>
      <c r="B580" s="35"/>
      <c r="C580" s="35">
        <v>32.0</v>
      </c>
      <c r="D580" s="35" t="s">
        <v>4348</v>
      </c>
      <c r="E580" s="35">
        <v>46027.0</v>
      </c>
      <c r="F580" s="35">
        <v>0.0</v>
      </c>
      <c r="G580" s="35">
        <v>1.0</v>
      </c>
      <c r="H580" s="35">
        <v>0.0</v>
      </c>
      <c r="I580" s="35">
        <v>0.0</v>
      </c>
      <c r="J580" s="35"/>
      <c r="K580" s="35">
        <v>0.0</v>
      </c>
    </row>
    <row r="581" ht="15.75" customHeight="1">
      <c r="A581" s="35" t="s">
        <v>4350</v>
      </c>
      <c r="B581" s="35"/>
      <c r="C581" s="35">
        <v>32.0</v>
      </c>
      <c r="D581" s="35" t="s">
        <v>2040</v>
      </c>
      <c r="E581" s="35">
        <v>46027.0</v>
      </c>
      <c r="F581" s="35">
        <v>0.0</v>
      </c>
      <c r="G581" s="35">
        <v>2.0</v>
      </c>
      <c r="H581" s="35">
        <v>0.0</v>
      </c>
      <c r="I581" s="35">
        <v>0.0</v>
      </c>
      <c r="J581" s="35"/>
      <c r="K581" s="35">
        <v>0.0</v>
      </c>
    </row>
    <row r="582" ht="15.75" customHeight="1">
      <c r="A582" s="35" t="s">
        <v>4351</v>
      </c>
      <c r="B582" s="35"/>
      <c r="C582" s="35">
        <v>32.0</v>
      </c>
      <c r="D582" s="35" t="s">
        <v>4352</v>
      </c>
      <c r="E582" s="35">
        <v>46027.0</v>
      </c>
      <c r="F582" s="35">
        <v>0.0</v>
      </c>
      <c r="G582" s="35">
        <v>1.0</v>
      </c>
      <c r="H582" s="35">
        <v>0.0</v>
      </c>
      <c r="I582" s="35">
        <v>0.0</v>
      </c>
      <c r="J582" s="35"/>
      <c r="K582" s="35">
        <v>0.0</v>
      </c>
    </row>
    <row r="583" ht="15.75" customHeight="1">
      <c r="A583" s="35" t="s">
        <v>4354</v>
      </c>
      <c r="B583" s="35"/>
      <c r="C583" s="35">
        <v>32.0</v>
      </c>
      <c r="D583" s="35" t="s">
        <v>4356</v>
      </c>
      <c r="E583" s="35">
        <v>46027.0</v>
      </c>
      <c r="F583" s="35">
        <v>0.0</v>
      </c>
      <c r="G583" s="35">
        <v>0.0</v>
      </c>
      <c r="H583" s="35">
        <v>1.0</v>
      </c>
      <c r="I583" s="35">
        <v>0.0</v>
      </c>
      <c r="J583" s="35"/>
      <c r="K583" s="35">
        <v>0.0</v>
      </c>
    </row>
    <row r="584" ht="15.75" customHeight="1">
      <c r="A584" s="35" t="s">
        <v>4357</v>
      </c>
      <c r="B584" s="35"/>
      <c r="C584" s="35">
        <v>32.0</v>
      </c>
      <c r="D584" s="35" t="s">
        <v>4300</v>
      </c>
      <c r="E584" s="35">
        <v>46027.0</v>
      </c>
      <c r="F584" s="35">
        <v>0.0</v>
      </c>
      <c r="G584" s="35">
        <v>1.0</v>
      </c>
      <c r="H584" s="35">
        <v>0.0</v>
      </c>
      <c r="I584" s="35">
        <v>0.0</v>
      </c>
      <c r="J584" s="35"/>
      <c r="K584" s="35">
        <v>0.0</v>
      </c>
    </row>
    <row r="585" ht="15.75" customHeight="1">
      <c r="A585" s="35" t="s">
        <v>4359</v>
      </c>
      <c r="B585" s="35"/>
      <c r="C585" s="35">
        <v>32.0</v>
      </c>
      <c r="D585" s="35" t="s">
        <v>4360</v>
      </c>
      <c r="E585" s="35">
        <v>46027.0</v>
      </c>
      <c r="F585" s="35">
        <v>0.0</v>
      </c>
      <c r="G585" s="35">
        <v>1.0</v>
      </c>
      <c r="H585" s="35">
        <v>0.0</v>
      </c>
      <c r="I585" s="35">
        <v>0.0</v>
      </c>
      <c r="J585" s="35"/>
      <c r="K585" s="35">
        <v>0.0</v>
      </c>
    </row>
    <row r="586" ht="15.75" customHeight="1">
      <c r="A586" s="35" t="s">
        <v>4361</v>
      </c>
      <c r="B586" s="35"/>
      <c r="C586" s="35">
        <v>32.0</v>
      </c>
      <c r="D586" s="35" t="s">
        <v>4308</v>
      </c>
      <c r="E586" s="35">
        <v>46027.0</v>
      </c>
      <c r="F586" s="35">
        <v>0.0</v>
      </c>
      <c r="G586" s="35">
        <v>5.0</v>
      </c>
      <c r="H586" s="35">
        <v>0.0</v>
      </c>
      <c r="I586" s="35">
        <v>0.0</v>
      </c>
      <c r="J586" s="35"/>
      <c r="K586" s="35">
        <v>0.0</v>
      </c>
    </row>
    <row r="587" ht="15.75" customHeight="1">
      <c r="A587" s="35" t="s">
        <v>4363</v>
      </c>
      <c r="B587" s="35"/>
      <c r="C587" s="35">
        <v>32.0</v>
      </c>
      <c r="D587" s="35" t="s">
        <v>4364</v>
      </c>
      <c r="E587" s="35">
        <v>46027.0</v>
      </c>
      <c r="F587" s="35">
        <v>0.0</v>
      </c>
      <c r="G587" s="35">
        <v>18.0</v>
      </c>
      <c r="H587" s="35">
        <v>0.0</v>
      </c>
      <c r="I587" s="35">
        <v>0.0</v>
      </c>
      <c r="J587" s="35"/>
      <c r="K587" s="35">
        <v>0.0</v>
      </c>
    </row>
    <row r="588" ht="15.75" customHeight="1">
      <c r="A588" s="35" t="s">
        <v>4366</v>
      </c>
      <c r="B588" s="35"/>
      <c r="C588" s="35">
        <v>32.0</v>
      </c>
      <c r="D588" s="35" t="s">
        <v>4367</v>
      </c>
      <c r="E588" s="35">
        <v>46027.0</v>
      </c>
      <c r="F588" s="35">
        <v>0.0</v>
      </c>
      <c r="G588" s="35">
        <v>0.0</v>
      </c>
      <c r="H588" s="35">
        <v>0.0</v>
      </c>
      <c r="I588" s="35">
        <v>2.0</v>
      </c>
      <c r="J588" s="35"/>
      <c r="K588" s="35">
        <v>0.0</v>
      </c>
    </row>
    <row r="589" ht="15.75" customHeight="1">
      <c r="A589" s="35" t="s">
        <v>4368</v>
      </c>
      <c r="B589" s="35"/>
      <c r="C589" s="35">
        <v>32.0</v>
      </c>
      <c r="D589" s="35" t="s">
        <v>4370</v>
      </c>
      <c r="E589" s="35">
        <v>46027.0</v>
      </c>
      <c r="F589" s="35">
        <v>0.0</v>
      </c>
      <c r="G589" s="35">
        <v>2.0</v>
      </c>
      <c r="H589" s="35">
        <v>0.0</v>
      </c>
      <c r="I589" s="35">
        <v>0.0</v>
      </c>
      <c r="J589" s="35"/>
      <c r="K589" s="35">
        <v>0.0</v>
      </c>
    </row>
    <row r="590" ht="15.75" customHeight="1">
      <c r="A590" s="35" t="s">
        <v>4371</v>
      </c>
      <c r="B590" s="35"/>
      <c r="C590" s="35">
        <v>32.0</v>
      </c>
      <c r="D590" s="35" t="s">
        <v>4372</v>
      </c>
      <c r="E590" s="35">
        <v>46027.0</v>
      </c>
      <c r="F590" s="35">
        <v>0.0</v>
      </c>
      <c r="G590" s="35">
        <v>2.0</v>
      </c>
      <c r="H590" s="35">
        <v>0.0</v>
      </c>
      <c r="I590" s="35">
        <v>0.0</v>
      </c>
      <c r="J590" s="35"/>
      <c r="K590" s="35">
        <v>0.0</v>
      </c>
    </row>
    <row r="591" ht="15.75" customHeight="1">
      <c r="A591" s="35" t="s">
        <v>4374</v>
      </c>
      <c r="B591" s="35"/>
      <c r="C591" s="35">
        <v>32.0</v>
      </c>
      <c r="D591" s="35">
        <v>588.0</v>
      </c>
      <c r="E591" s="35">
        <v>46027.0</v>
      </c>
      <c r="F591" s="35">
        <v>0.0</v>
      </c>
      <c r="G591" s="35">
        <v>1.0</v>
      </c>
      <c r="H591" s="35">
        <v>0.0</v>
      </c>
      <c r="I591" s="35">
        <v>0.0</v>
      </c>
      <c r="J591" s="35"/>
      <c r="K591" s="35">
        <v>0.0</v>
      </c>
    </row>
    <row r="592" ht="15.75" customHeight="1">
      <c r="A592" s="35" t="s">
        <v>4376</v>
      </c>
      <c r="B592" s="35"/>
      <c r="C592" s="35">
        <v>32.0</v>
      </c>
      <c r="D592" s="35" t="s">
        <v>4377</v>
      </c>
      <c r="E592" s="35">
        <v>46027.0</v>
      </c>
      <c r="F592" s="35">
        <v>0.0</v>
      </c>
      <c r="G592" s="35">
        <v>2.0</v>
      </c>
      <c r="H592" s="35">
        <v>0.0</v>
      </c>
      <c r="I592" s="35">
        <v>0.0</v>
      </c>
      <c r="J592" s="35"/>
      <c r="K592" s="35">
        <v>0.0</v>
      </c>
    </row>
    <row r="593" ht="15.75" customHeight="1">
      <c r="A593" s="35" t="s">
        <v>4378</v>
      </c>
      <c r="B593" s="35"/>
      <c r="C593" s="35">
        <v>32.0</v>
      </c>
      <c r="D593" s="35" t="s">
        <v>4380</v>
      </c>
      <c r="E593" s="35">
        <v>46027.0</v>
      </c>
      <c r="F593" s="35">
        <v>0.0</v>
      </c>
      <c r="G593" s="35">
        <v>2.0</v>
      </c>
      <c r="H593" s="35">
        <v>0.0</v>
      </c>
      <c r="I593" s="35">
        <v>0.0</v>
      </c>
      <c r="J593" s="35"/>
      <c r="K593" s="35">
        <v>0.0</v>
      </c>
    </row>
    <row r="594" ht="15.75" customHeight="1">
      <c r="A594" s="35" t="s">
        <v>4381</v>
      </c>
      <c r="B594" s="35"/>
      <c r="C594" s="35">
        <v>32.0</v>
      </c>
      <c r="D594" s="35" t="s">
        <v>4382</v>
      </c>
      <c r="E594" s="35">
        <v>46027.0</v>
      </c>
      <c r="F594" s="35">
        <v>0.0</v>
      </c>
      <c r="G594" s="35">
        <v>42.0</v>
      </c>
      <c r="H594" s="35">
        <v>0.0</v>
      </c>
      <c r="I594" s="35">
        <v>0.0</v>
      </c>
      <c r="J594" s="35"/>
      <c r="K594" s="35">
        <v>0.0</v>
      </c>
    </row>
    <row r="595" ht="15.75" customHeight="1">
      <c r="A595" s="35" t="s">
        <v>4383</v>
      </c>
      <c r="B595" s="35"/>
      <c r="C595" s="35">
        <v>32.0</v>
      </c>
      <c r="D595" s="35" t="s">
        <v>4385</v>
      </c>
      <c r="E595" s="35">
        <v>46027.0</v>
      </c>
      <c r="F595" s="35">
        <v>0.0</v>
      </c>
      <c r="G595" s="35">
        <v>1.0</v>
      </c>
      <c r="H595" s="35">
        <v>0.0</v>
      </c>
      <c r="I595" s="35">
        <v>0.0</v>
      </c>
      <c r="J595" s="35"/>
      <c r="K595" s="35">
        <v>0.0</v>
      </c>
    </row>
    <row r="596" ht="15.75" customHeight="1">
      <c r="A596" s="35" t="s">
        <v>1085</v>
      </c>
      <c r="B596" s="35"/>
      <c r="C596" s="35">
        <v>32.0</v>
      </c>
      <c r="D596" s="35" t="s">
        <v>4386</v>
      </c>
      <c r="E596" s="35">
        <v>46027.0</v>
      </c>
      <c r="F596" s="35">
        <v>0.0</v>
      </c>
      <c r="G596" s="35">
        <v>0.0</v>
      </c>
      <c r="H596" s="35">
        <v>1.0</v>
      </c>
      <c r="I596" s="35">
        <v>0.0</v>
      </c>
      <c r="J596" s="35"/>
      <c r="K596" s="35">
        <v>0.0</v>
      </c>
    </row>
    <row r="597" ht="15.75" customHeight="1">
      <c r="A597" s="35" t="s">
        <v>4387</v>
      </c>
      <c r="B597" s="35"/>
      <c r="C597" s="35">
        <v>32.0</v>
      </c>
      <c r="D597" s="35" t="s">
        <v>2022</v>
      </c>
      <c r="E597" s="35">
        <v>46027.0</v>
      </c>
      <c r="F597" s="35">
        <v>0.0</v>
      </c>
      <c r="G597" s="35">
        <v>2.0</v>
      </c>
      <c r="H597" s="35">
        <v>0.0</v>
      </c>
      <c r="I597" s="35">
        <v>0.0</v>
      </c>
      <c r="J597" s="35"/>
      <c r="K597" s="35">
        <v>0.0</v>
      </c>
    </row>
    <row r="598" ht="15.75" customHeight="1">
      <c r="A598" s="35" t="s">
        <v>4389</v>
      </c>
      <c r="B598" s="35"/>
      <c r="C598" s="35">
        <v>32.0</v>
      </c>
      <c r="D598" s="35" t="s">
        <v>4390</v>
      </c>
      <c r="E598" s="35">
        <v>46027.0</v>
      </c>
      <c r="F598" s="35">
        <v>0.0</v>
      </c>
      <c r="G598" s="35">
        <v>0.0</v>
      </c>
      <c r="H598" s="35">
        <v>1.0</v>
      </c>
      <c r="I598" s="35">
        <v>0.0</v>
      </c>
      <c r="J598" s="35"/>
      <c r="K598" s="35">
        <v>0.0</v>
      </c>
    </row>
    <row r="599" ht="15.75" customHeight="1">
      <c r="A599" s="35" t="s">
        <v>4391</v>
      </c>
      <c r="B599" s="35"/>
      <c r="C599" s="35">
        <v>32.0</v>
      </c>
      <c r="D599" s="35" t="s">
        <v>3086</v>
      </c>
      <c r="E599" s="35">
        <v>46027.0</v>
      </c>
      <c r="F599" s="35">
        <v>0.0</v>
      </c>
      <c r="G599" s="35">
        <v>7.0</v>
      </c>
      <c r="H599" s="35">
        <v>0.0</v>
      </c>
      <c r="I599" s="35">
        <v>0.0</v>
      </c>
      <c r="J599" s="35"/>
      <c r="K599" s="35">
        <v>0.0</v>
      </c>
    </row>
    <row r="600" ht="15.75" customHeight="1">
      <c r="A600" s="35" t="s">
        <v>4393</v>
      </c>
      <c r="B600" s="35"/>
      <c r="C600" s="35">
        <v>32.0</v>
      </c>
      <c r="D600" s="35" t="s">
        <v>4394</v>
      </c>
      <c r="E600" s="35">
        <v>46027.0</v>
      </c>
      <c r="F600" s="35">
        <v>0.0</v>
      </c>
      <c r="G600" s="35">
        <v>1.0</v>
      </c>
      <c r="H600" s="35">
        <v>0.0</v>
      </c>
      <c r="I600" s="35">
        <v>0.0</v>
      </c>
      <c r="J600" s="35"/>
      <c r="K600" s="35">
        <v>0.0</v>
      </c>
    </row>
    <row r="601" ht="15.75" customHeight="1">
      <c r="A601" s="35" t="s">
        <v>4396</v>
      </c>
      <c r="B601" s="35"/>
      <c r="C601" s="35">
        <v>32.0</v>
      </c>
      <c r="D601" s="35" t="s">
        <v>2018</v>
      </c>
      <c r="E601" s="35">
        <v>46027.0</v>
      </c>
      <c r="F601" s="35">
        <v>0.0</v>
      </c>
      <c r="G601" s="35">
        <v>1.0</v>
      </c>
      <c r="H601" s="35">
        <v>0.0</v>
      </c>
      <c r="I601" s="35">
        <v>0.0</v>
      </c>
      <c r="J601" s="35"/>
      <c r="K601" s="35">
        <v>0.0</v>
      </c>
    </row>
    <row r="602" ht="15.75" customHeight="1">
      <c r="A602" s="35" t="s">
        <v>4398</v>
      </c>
      <c r="B602" s="35"/>
      <c r="C602" s="35">
        <v>32.0</v>
      </c>
      <c r="D602" s="35" t="s">
        <v>4399</v>
      </c>
      <c r="E602" s="35">
        <v>46027.0</v>
      </c>
      <c r="F602" s="35">
        <v>0.0</v>
      </c>
      <c r="G602" s="35">
        <v>0.0</v>
      </c>
      <c r="H602" s="35">
        <v>2.0</v>
      </c>
      <c r="I602" s="35">
        <v>0.0</v>
      </c>
      <c r="J602" s="35"/>
      <c r="K602" s="35">
        <v>0.0</v>
      </c>
    </row>
    <row r="603" ht="15.75" customHeight="1">
      <c r="A603" s="35" t="s">
        <v>4401</v>
      </c>
      <c r="B603" s="35"/>
      <c r="C603" s="35">
        <v>32.0</v>
      </c>
      <c r="D603" s="35" t="s">
        <v>4356</v>
      </c>
      <c r="E603" s="35">
        <v>46027.0</v>
      </c>
      <c r="F603" s="35">
        <v>0.0</v>
      </c>
      <c r="G603" s="35">
        <v>1.0</v>
      </c>
      <c r="H603" s="35">
        <v>0.0</v>
      </c>
      <c r="I603" s="35">
        <v>0.0</v>
      </c>
      <c r="J603" s="35"/>
      <c r="K603" s="35">
        <v>0.0</v>
      </c>
    </row>
    <row r="604" ht="15.75" customHeight="1">
      <c r="A604" s="35" t="s">
        <v>4402</v>
      </c>
      <c r="B604" s="35"/>
      <c r="C604" s="35">
        <v>32.0</v>
      </c>
      <c r="D604" s="35" t="s">
        <v>4186</v>
      </c>
      <c r="E604" s="35">
        <v>46027.0</v>
      </c>
      <c r="F604" s="35">
        <v>0.0</v>
      </c>
      <c r="G604" s="35">
        <v>2.0</v>
      </c>
      <c r="H604" s="35">
        <v>0.0</v>
      </c>
      <c r="I604" s="35">
        <v>0.0</v>
      </c>
      <c r="J604" s="35"/>
      <c r="K604" s="35">
        <v>0.0</v>
      </c>
    </row>
    <row r="605" ht="15.75" customHeight="1">
      <c r="A605" s="35" t="s">
        <v>4404</v>
      </c>
      <c r="B605" s="35"/>
      <c r="C605" s="35">
        <v>32.0</v>
      </c>
      <c r="D605" s="35" t="s">
        <v>4372</v>
      </c>
      <c r="E605" s="35">
        <v>46027.0</v>
      </c>
      <c r="F605" s="35">
        <v>0.0</v>
      </c>
      <c r="G605" s="35">
        <v>0.0</v>
      </c>
      <c r="H605" s="35">
        <v>0.0</v>
      </c>
      <c r="I605" s="35">
        <v>2.0</v>
      </c>
      <c r="J605" s="35"/>
      <c r="K605" s="35">
        <v>0.0</v>
      </c>
    </row>
    <row r="606" ht="15.75" customHeight="1">
      <c r="A606" s="35" t="s">
        <v>4406</v>
      </c>
      <c r="B606" s="35"/>
      <c r="C606" s="35">
        <v>32.0</v>
      </c>
      <c r="D606" s="35" t="s">
        <v>4407</v>
      </c>
      <c r="E606" s="35">
        <v>46027.0</v>
      </c>
      <c r="F606" s="35">
        <v>0.0</v>
      </c>
      <c r="G606" s="35">
        <v>3.0</v>
      </c>
      <c r="H606" s="35">
        <v>0.0</v>
      </c>
      <c r="I606" s="35">
        <v>0.0</v>
      </c>
      <c r="J606" s="35"/>
      <c r="K606" s="35">
        <v>0.0</v>
      </c>
    </row>
    <row r="607" ht="15.75" customHeight="1">
      <c r="A607" s="35" t="s">
        <v>4408</v>
      </c>
      <c r="B607" s="35"/>
      <c r="C607" s="35">
        <v>31.0</v>
      </c>
      <c r="D607" s="35" t="s">
        <v>4410</v>
      </c>
      <c r="E607" s="35">
        <v>46058.0</v>
      </c>
      <c r="F607" s="35">
        <v>0.0</v>
      </c>
      <c r="G607" s="35">
        <v>7.0</v>
      </c>
      <c r="H607" s="35">
        <v>0.0</v>
      </c>
      <c r="I607" s="35">
        <v>1.0</v>
      </c>
      <c r="J607" s="35"/>
      <c r="K607" s="35">
        <v>0.0</v>
      </c>
    </row>
    <row r="608" ht="15.75" customHeight="1">
      <c r="A608" s="35" t="s">
        <v>4411</v>
      </c>
      <c r="B608" s="35"/>
      <c r="C608" s="35">
        <v>31.0</v>
      </c>
      <c r="D608" s="35" t="s">
        <v>4412</v>
      </c>
      <c r="E608" s="35">
        <v>46058.0</v>
      </c>
      <c r="F608" s="35">
        <v>0.0</v>
      </c>
      <c r="G608" s="35">
        <v>0.0</v>
      </c>
      <c r="H608" s="35">
        <v>2.0</v>
      </c>
      <c r="I608" s="35">
        <v>4.0</v>
      </c>
      <c r="J608" s="35"/>
      <c r="K608" s="35">
        <v>0.0</v>
      </c>
    </row>
    <row r="609" ht="15.75" customHeight="1">
      <c r="A609" s="35" t="s">
        <v>4413</v>
      </c>
      <c r="B609" s="35"/>
      <c r="C609" s="35">
        <v>31.0</v>
      </c>
      <c r="D609" s="35" t="s">
        <v>4308</v>
      </c>
      <c r="E609" s="35">
        <v>46058.0</v>
      </c>
      <c r="F609" s="35">
        <v>0.0</v>
      </c>
      <c r="G609" s="35">
        <v>1.0</v>
      </c>
      <c r="H609" s="35">
        <v>0.0</v>
      </c>
      <c r="I609" s="35">
        <v>1.0</v>
      </c>
      <c r="J609" s="35"/>
      <c r="K609" s="35">
        <v>0.0</v>
      </c>
    </row>
    <row r="610" ht="15.75" customHeight="1">
      <c r="A610" s="35" t="s">
        <v>4415</v>
      </c>
      <c r="B610" s="35"/>
      <c r="C610" s="35">
        <v>31.0</v>
      </c>
      <c r="D610" s="35" t="s">
        <v>4416</v>
      </c>
      <c r="E610" s="35">
        <v>46058.0</v>
      </c>
      <c r="F610" s="35">
        <v>0.0</v>
      </c>
      <c r="G610" s="35">
        <v>2.0</v>
      </c>
      <c r="H610" s="35">
        <v>0.0</v>
      </c>
      <c r="I610" s="35">
        <v>1.0</v>
      </c>
      <c r="J610" s="35"/>
      <c r="K610" s="35">
        <v>0.0</v>
      </c>
    </row>
    <row r="611" ht="15.75" customHeight="1">
      <c r="A611" s="35" t="s">
        <v>4417</v>
      </c>
      <c r="B611" s="35"/>
      <c r="C611" s="35">
        <v>31.0</v>
      </c>
      <c r="D611" s="35" t="s">
        <v>4418</v>
      </c>
      <c r="E611" s="35">
        <v>46027.0</v>
      </c>
      <c r="F611" s="35">
        <v>0.0</v>
      </c>
      <c r="G611" s="35">
        <v>3.0</v>
      </c>
      <c r="H611" s="35">
        <v>0.0</v>
      </c>
      <c r="I611" s="35">
        <v>0.0</v>
      </c>
      <c r="J611" s="35"/>
      <c r="K611" s="35">
        <v>0.0</v>
      </c>
    </row>
    <row r="612" ht="15.75" customHeight="1">
      <c r="A612" s="35" t="s">
        <v>4420</v>
      </c>
      <c r="B612" s="35"/>
      <c r="C612" s="35">
        <v>31.0</v>
      </c>
      <c r="D612" s="35" t="s">
        <v>2022</v>
      </c>
      <c r="E612" s="35">
        <v>46027.0</v>
      </c>
      <c r="F612" s="35">
        <v>0.0</v>
      </c>
      <c r="G612" s="35">
        <v>6.0</v>
      </c>
      <c r="H612" s="35">
        <v>0.0</v>
      </c>
      <c r="I612" s="35">
        <v>0.0</v>
      </c>
      <c r="J612" s="35"/>
      <c r="K612" s="35">
        <v>0.0</v>
      </c>
    </row>
    <row r="613" ht="15.75" customHeight="1">
      <c r="A613" s="35" t="s">
        <v>4421</v>
      </c>
      <c r="B613" s="35"/>
      <c r="C613" s="35">
        <v>31.0</v>
      </c>
      <c r="D613" s="35" t="s">
        <v>2021</v>
      </c>
      <c r="E613" s="35">
        <v>46027.0</v>
      </c>
      <c r="F613" s="35">
        <v>0.0</v>
      </c>
      <c r="G613" s="35">
        <v>58.0</v>
      </c>
      <c r="H613" s="35">
        <v>0.0</v>
      </c>
      <c r="I613" s="35">
        <v>0.0</v>
      </c>
      <c r="J613" s="35"/>
      <c r="K613" s="35">
        <v>0.0</v>
      </c>
    </row>
    <row r="614" ht="15.75" customHeight="1">
      <c r="A614" s="35" t="s">
        <v>4423</v>
      </c>
      <c r="B614" s="35"/>
      <c r="C614" s="35">
        <v>31.0</v>
      </c>
      <c r="D614" s="35" t="s">
        <v>4424</v>
      </c>
      <c r="E614" s="35">
        <v>46027.0</v>
      </c>
      <c r="F614" s="35">
        <v>0.0</v>
      </c>
      <c r="G614" s="35">
        <v>3.0</v>
      </c>
      <c r="H614" s="35">
        <v>0.0</v>
      </c>
      <c r="I614" s="35">
        <v>0.0</v>
      </c>
      <c r="J614" s="35"/>
      <c r="K614" s="35">
        <v>0.0</v>
      </c>
    </row>
    <row r="615" ht="15.75" customHeight="1">
      <c r="A615" s="35" t="s">
        <v>4425</v>
      </c>
      <c r="B615" s="35"/>
      <c r="C615" s="35">
        <v>31.0</v>
      </c>
      <c r="D615" s="35" t="s">
        <v>4061</v>
      </c>
      <c r="E615" s="35">
        <v>46027.0</v>
      </c>
      <c r="F615" s="35">
        <v>0.0</v>
      </c>
      <c r="G615" s="35">
        <v>1.0</v>
      </c>
      <c r="H615" s="35">
        <v>0.0</v>
      </c>
      <c r="I615" s="35">
        <v>0.0</v>
      </c>
      <c r="J615" s="35"/>
      <c r="K615" s="35">
        <v>0.0</v>
      </c>
    </row>
    <row r="616" ht="15.75" customHeight="1">
      <c r="A616" s="35" t="s">
        <v>4426</v>
      </c>
      <c r="B616" s="35"/>
      <c r="C616" s="35">
        <v>31.0</v>
      </c>
      <c r="D616" s="35" t="s">
        <v>4428</v>
      </c>
      <c r="E616" s="35">
        <v>46027.0</v>
      </c>
      <c r="F616" s="35">
        <v>0.0</v>
      </c>
      <c r="G616" s="35">
        <v>8.0</v>
      </c>
      <c r="H616" s="35">
        <v>0.0</v>
      </c>
      <c r="I616" s="35">
        <v>0.0</v>
      </c>
      <c r="J616" s="35"/>
      <c r="K616" s="35">
        <v>0.0</v>
      </c>
    </row>
    <row r="617" ht="15.75" customHeight="1">
      <c r="A617" s="35" t="s">
        <v>4429</v>
      </c>
      <c r="B617" s="35"/>
      <c r="C617" s="35">
        <v>31.0</v>
      </c>
      <c r="D617" s="35" t="s">
        <v>4430</v>
      </c>
      <c r="E617" s="35">
        <v>46027.0</v>
      </c>
      <c r="F617" s="35">
        <v>0.0</v>
      </c>
      <c r="G617" s="35">
        <v>7.0</v>
      </c>
      <c r="H617" s="35">
        <v>0.0</v>
      </c>
      <c r="I617" s="35">
        <v>0.0</v>
      </c>
      <c r="J617" s="35"/>
      <c r="K617" s="35">
        <v>0.0</v>
      </c>
    </row>
    <row r="618" ht="15.75" customHeight="1">
      <c r="A618" s="35" t="s">
        <v>4431</v>
      </c>
      <c r="B618" s="35"/>
      <c r="C618" s="35">
        <v>31.0</v>
      </c>
      <c r="D618" s="35" t="s">
        <v>4433</v>
      </c>
      <c r="E618" s="35">
        <v>46027.0</v>
      </c>
      <c r="F618" s="35">
        <v>0.0</v>
      </c>
      <c r="G618" s="35">
        <v>1.0</v>
      </c>
      <c r="H618" s="35">
        <v>0.0</v>
      </c>
      <c r="I618" s="35">
        <v>0.0</v>
      </c>
      <c r="J618" s="35"/>
      <c r="K618" s="35">
        <v>0.0</v>
      </c>
    </row>
    <row r="619" ht="15.75" customHeight="1">
      <c r="A619" s="35" t="s">
        <v>4434</v>
      </c>
      <c r="B619" s="35"/>
      <c r="C619" s="35">
        <v>31.0</v>
      </c>
      <c r="D619" s="35" t="s">
        <v>4435</v>
      </c>
      <c r="E619" s="35">
        <v>46027.0</v>
      </c>
      <c r="F619" s="35">
        <v>0.0</v>
      </c>
      <c r="G619" s="35">
        <v>1.0</v>
      </c>
      <c r="H619" s="35">
        <v>0.0</v>
      </c>
      <c r="I619" s="35">
        <v>0.0</v>
      </c>
      <c r="J619" s="35"/>
      <c r="K619" s="35">
        <v>0.0</v>
      </c>
    </row>
    <row r="620" ht="15.75" customHeight="1">
      <c r="A620" s="35" t="s">
        <v>4436</v>
      </c>
      <c r="B620" s="35"/>
      <c r="C620" s="35">
        <v>31.0</v>
      </c>
      <c r="D620" s="35" t="s">
        <v>2039</v>
      </c>
      <c r="E620" s="35">
        <v>46027.0</v>
      </c>
      <c r="F620" s="35">
        <v>0.0</v>
      </c>
      <c r="G620" s="35">
        <v>3.0</v>
      </c>
      <c r="H620" s="35">
        <v>0.0</v>
      </c>
      <c r="I620" s="35">
        <v>0.0</v>
      </c>
      <c r="J620" s="35"/>
      <c r="K620" s="35">
        <v>0.0</v>
      </c>
    </row>
    <row r="621" ht="15.75" customHeight="1">
      <c r="A621" s="35" t="s">
        <v>1094</v>
      </c>
      <c r="B621" s="35"/>
      <c r="C621" s="35">
        <v>31.0</v>
      </c>
      <c r="D621" s="35" t="s">
        <v>4372</v>
      </c>
      <c r="E621" s="35">
        <v>46027.0</v>
      </c>
      <c r="F621" s="35">
        <v>0.0</v>
      </c>
      <c r="G621" s="35">
        <v>6.0</v>
      </c>
      <c r="H621" s="35">
        <v>0.0</v>
      </c>
      <c r="I621" s="35">
        <v>0.0</v>
      </c>
      <c r="J621" s="35"/>
      <c r="K621" s="35">
        <v>0.0</v>
      </c>
    </row>
    <row r="622" ht="15.75" customHeight="1">
      <c r="A622" s="35" t="s">
        <v>4438</v>
      </c>
      <c r="B622" s="35"/>
      <c r="C622" s="35">
        <v>31.0</v>
      </c>
      <c r="D622" s="35" t="s">
        <v>4382</v>
      </c>
      <c r="E622" s="35">
        <v>46027.0</v>
      </c>
      <c r="F622" s="35">
        <v>0.0</v>
      </c>
      <c r="G622" s="35">
        <v>1.0</v>
      </c>
      <c r="H622" s="35">
        <v>0.0</v>
      </c>
      <c r="I622" s="35">
        <v>0.0</v>
      </c>
      <c r="J622" s="35"/>
      <c r="K622" s="35">
        <v>0.0</v>
      </c>
    </row>
    <row r="623" ht="15.75" customHeight="1">
      <c r="A623" s="35" t="s">
        <v>4440</v>
      </c>
      <c r="B623" s="35"/>
      <c r="C623" s="35">
        <v>31.0</v>
      </c>
      <c r="D623" s="35" t="s">
        <v>4104</v>
      </c>
      <c r="E623" s="35">
        <v>46027.0</v>
      </c>
      <c r="F623" s="35">
        <v>0.0</v>
      </c>
      <c r="G623" s="35">
        <v>0.0</v>
      </c>
      <c r="H623" s="35">
        <v>1.0</v>
      </c>
      <c r="I623" s="35">
        <v>0.0</v>
      </c>
      <c r="J623" s="35"/>
      <c r="K623" s="35">
        <v>0.0</v>
      </c>
    </row>
    <row r="624" ht="15.75" customHeight="1">
      <c r="A624" s="35" t="s">
        <v>4441</v>
      </c>
      <c r="B624" s="35"/>
      <c r="C624" s="35">
        <v>31.0</v>
      </c>
      <c r="D624" s="35" t="s">
        <v>4442</v>
      </c>
      <c r="E624" s="35">
        <v>46027.0</v>
      </c>
      <c r="F624" s="35">
        <v>0.0</v>
      </c>
      <c r="G624" s="35">
        <v>0.0</v>
      </c>
      <c r="H624" s="35">
        <v>5.0</v>
      </c>
      <c r="I624" s="35">
        <v>0.0</v>
      </c>
      <c r="J624" s="35"/>
      <c r="K624" s="35">
        <v>0.0</v>
      </c>
    </row>
    <row r="625" ht="15.75" customHeight="1">
      <c r="A625" s="35" t="s">
        <v>4444</v>
      </c>
      <c r="B625" s="35"/>
      <c r="C625" s="35">
        <v>31.0</v>
      </c>
      <c r="D625" s="35" t="s">
        <v>3360</v>
      </c>
      <c r="E625" s="35">
        <v>46027.0</v>
      </c>
      <c r="F625" s="35">
        <v>0.0</v>
      </c>
      <c r="G625" s="35">
        <v>1.0</v>
      </c>
      <c r="H625" s="35">
        <v>0.0</v>
      </c>
      <c r="I625" s="35">
        <v>0.0</v>
      </c>
      <c r="J625" s="35"/>
      <c r="K625" s="35">
        <v>0.0</v>
      </c>
    </row>
    <row r="626" ht="15.75" customHeight="1">
      <c r="A626" s="35" t="s">
        <v>4445</v>
      </c>
      <c r="B626" s="35"/>
      <c r="C626" s="35">
        <v>31.0</v>
      </c>
      <c r="D626" s="35" t="s">
        <v>4446</v>
      </c>
      <c r="E626" s="35">
        <v>46027.0</v>
      </c>
      <c r="F626" s="35">
        <v>0.0</v>
      </c>
      <c r="G626" s="35">
        <v>2.0</v>
      </c>
      <c r="H626" s="35">
        <v>0.0</v>
      </c>
      <c r="I626" s="35">
        <v>0.0</v>
      </c>
      <c r="J626" s="35"/>
      <c r="K626" s="35">
        <v>0.0</v>
      </c>
    </row>
    <row r="627" ht="15.75" customHeight="1">
      <c r="A627" s="35" t="s">
        <v>4447</v>
      </c>
      <c r="B627" s="35"/>
      <c r="C627" s="35">
        <v>31.0</v>
      </c>
      <c r="D627" s="35" t="s">
        <v>4449</v>
      </c>
      <c r="E627" s="35">
        <v>46027.0</v>
      </c>
      <c r="F627" s="35">
        <v>0.0</v>
      </c>
      <c r="G627" s="35">
        <v>1.0</v>
      </c>
      <c r="H627" s="35">
        <v>0.0</v>
      </c>
      <c r="I627" s="35">
        <v>0.0</v>
      </c>
      <c r="J627" s="35"/>
      <c r="K627" s="35">
        <v>0.0</v>
      </c>
    </row>
    <row r="628" ht="15.75" customHeight="1">
      <c r="A628" s="35" t="s">
        <v>4450</v>
      </c>
      <c r="B628" s="35"/>
      <c r="C628" s="35">
        <v>31.0</v>
      </c>
      <c r="D628" s="35" t="s">
        <v>4451</v>
      </c>
      <c r="E628" s="35">
        <v>46027.0</v>
      </c>
      <c r="F628" s="35">
        <v>0.0</v>
      </c>
      <c r="G628" s="35">
        <v>1.0</v>
      </c>
      <c r="H628" s="35">
        <v>0.0</v>
      </c>
      <c r="I628" s="35">
        <v>0.0</v>
      </c>
      <c r="J628" s="35"/>
      <c r="K628" s="35">
        <v>0.0</v>
      </c>
    </row>
    <row r="629" ht="15.75" customHeight="1">
      <c r="A629" s="35" t="s">
        <v>1100</v>
      </c>
      <c r="B629" s="35"/>
      <c r="C629" s="35">
        <v>31.0</v>
      </c>
      <c r="D629" s="35" t="s">
        <v>2004</v>
      </c>
      <c r="E629" s="35">
        <v>46027.0</v>
      </c>
      <c r="F629" s="35">
        <v>0.0</v>
      </c>
      <c r="G629" s="35">
        <v>2896.0</v>
      </c>
      <c r="H629" s="35">
        <v>0.0</v>
      </c>
      <c r="I629" s="35">
        <v>0.0</v>
      </c>
      <c r="J629" s="35"/>
      <c r="K629" s="35">
        <v>0.0</v>
      </c>
    </row>
    <row r="630" ht="15.75" customHeight="1">
      <c r="A630" s="35" t="s">
        <v>4453</v>
      </c>
      <c r="B630" s="35"/>
      <c r="C630" s="35">
        <v>31.0</v>
      </c>
      <c r="D630" s="35" t="s">
        <v>4454</v>
      </c>
      <c r="E630" s="35">
        <v>46027.0</v>
      </c>
      <c r="F630" s="35">
        <v>0.0</v>
      </c>
      <c r="G630" s="35">
        <v>1.0</v>
      </c>
      <c r="H630" s="35">
        <v>0.0</v>
      </c>
      <c r="I630" s="35">
        <v>0.0</v>
      </c>
      <c r="J630" s="35"/>
      <c r="K630" s="35">
        <v>0.0</v>
      </c>
    </row>
    <row r="631" ht="15.75" customHeight="1">
      <c r="A631" s="35" t="s">
        <v>4455</v>
      </c>
      <c r="B631" s="35"/>
      <c r="C631" s="35">
        <v>31.0</v>
      </c>
      <c r="D631" s="35" t="s">
        <v>4456</v>
      </c>
      <c r="E631" s="35">
        <v>46027.0</v>
      </c>
      <c r="F631" s="35">
        <v>0.0</v>
      </c>
      <c r="G631" s="35">
        <v>1.0</v>
      </c>
      <c r="H631" s="35">
        <v>0.0</v>
      </c>
      <c r="I631" s="35">
        <v>0.0</v>
      </c>
      <c r="J631" s="35"/>
      <c r="K631" s="35">
        <v>0.0</v>
      </c>
    </row>
    <row r="632" ht="15.75" customHeight="1">
      <c r="A632" s="35" t="s">
        <v>4458</v>
      </c>
      <c r="B632" s="35"/>
      <c r="C632" s="35">
        <v>31.0</v>
      </c>
      <c r="D632" s="35">
        <v>447.0</v>
      </c>
      <c r="E632" s="35">
        <v>46027.0</v>
      </c>
      <c r="F632" s="35">
        <v>0.0</v>
      </c>
      <c r="G632" s="35">
        <v>6.0</v>
      </c>
      <c r="H632" s="35">
        <v>0.0</v>
      </c>
      <c r="I632" s="35">
        <v>0.0</v>
      </c>
      <c r="J632" s="35"/>
      <c r="K632" s="35">
        <v>0.0</v>
      </c>
    </row>
    <row r="633" ht="15.75" customHeight="1">
      <c r="A633" s="35" t="s">
        <v>1103</v>
      </c>
      <c r="B633" s="35"/>
      <c r="C633" s="35">
        <v>31.0</v>
      </c>
      <c r="D633" s="35" t="s">
        <v>4433</v>
      </c>
      <c r="E633" s="35">
        <v>46027.0</v>
      </c>
      <c r="F633" s="35">
        <v>0.0</v>
      </c>
      <c r="G633" s="35">
        <v>1.0</v>
      </c>
      <c r="H633" s="35">
        <v>0.0</v>
      </c>
      <c r="I633" s="35">
        <v>0.0</v>
      </c>
      <c r="J633" s="35"/>
      <c r="K633" s="35">
        <v>0.0</v>
      </c>
    </row>
    <row r="634" ht="15.75" customHeight="1">
      <c r="A634" s="35" t="s">
        <v>4460</v>
      </c>
      <c r="B634" s="35"/>
      <c r="C634" s="35">
        <v>31.0</v>
      </c>
      <c r="D634" s="35" t="s">
        <v>4461</v>
      </c>
      <c r="E634" s="35">
        <v>46027.0</v>
      </c>
      <c r="F634" s="35">
        <v>0.0</v>
      </c>
      <c r="G634" s="35">
        <v>2.0</v>
      </c>
      <c r="H634" s="35">
        <v>0.0</v>
      </c>
      <c r="I634" s="35">
        <v>0.0</v>
      </c>
      <c r="J634" s="35"/>
      <c r="K634" s="35">
        <v>0.0</v>
      </c>
    </row>
    <row r="635" ht="15.75" customHeight="1">
      <c r="A635" s="35" t="s">
        <v>4462</v>
      </c>
      <c r="B635" s="35"/>
      <c r="C635" s="35">
        <v>31.0</v>
      </c>
      <c r="D635" s="35" t="s">
        <v>4463</v>
      </c>
      <c r="E635" s="35">
        <v>46027.0</v>
      </c>
      <c r="F635" s="35">
        <v>0.0</v>
      </c>
      <c r="G635" s="35">
        <v>2.0</v>
      </c>
      <c r="H635" s="35">
        <v>0.0</v>
      </c>
      <c r="I635" s="35">
        <v>0.0</v>
      </c>
      <c r="J635" s="35"/>
      <c r="K635" s="35">
        <v>0.0</v>
      </c>
    </row>
    <row r="636" ht="15.75" customHeight="1">
      <c r="A636" s="35" t="s">
        <v>4465</v>
      </c>
      <c r="B636" s="35"/>
      <c r="C636" s="35">
        <v>31.0</v>
      </c>
      <c r="D636" s="35" t="s">
        <v>4466</v>
      </c>
      <c r="E636" s="35">
        <v>46027.0</v>
      </c>
      <c r="F636" s="35">
        <v>0.0</v>
      </c>
      <c r="G636" s="35">
        <v>3.0</v>
      </c>
      <c r="H636" s="35">
        <v>0.0</v>
      </c>
      <c r="I636" s="35">
        <v>0.0</v>
      </c>
      <c r="J636" s="35"/>
      <c r="K636" s="35">
        <v>0.0</v>
      </c>
    </row>
    <row r="637" ht="15.75" customHeight="1">
      <c r="A637" s="35" t="s">
        <v>4467</v>
      </c>
      <c r="B637" s="35"/>
      <c r="C637" s="35">
        <v>31.0</v>
      </c>
      <c r="D637" s="35" t="s">
        <v>4468</v>
      </c>
      <c r="E637" s="35">
        <v>46027.0</v>
      </c>
      <c r="F637" s="35">
        <v>0.0</v>
      </c>
      <c r="G637" s="35">
        <v>1.0</v>
      </c>
      <c r="H637" s="35">
        <v>0.0</v>
      </c>
      <c r="I637" s="35">
        <v>0.0</v>
      </c>
      <c r="J637" s="35"/>
      <c r="K637" s="35">
        <v>0.0</v>
      </c>
    </row>
    <row r="638" ht="15.75" customHeight="1">
      <c r="A638" s="35" t="s">
        <v>4469</v>
      </c>
      <c r="B638" s="35"/>
      <c r="C638" s="35">
        <v>31.0</v>
      </c>
      <c r="D638" s="35" t="s">
        <v>2022</v>
      </c>
      <c r="E638" s="35">
        <v>46027.0</v>
      </c>
      <c r="F638" s="35">
        <v>0.0</v>
      </c>
      <c r="G638" s="35">
        <v>0.0</v>
      </c>
      <c r="H638" s="35">
        <v>0.0</v>
      </c>
      <c r="I638" s="35">
        <v>1.0</v>
      </c>
      <c r="J638" s="35"/>
      <c r="K638" s="35">
        <v>0.0</v>
      </c>
    </row>
    <row r="639" ht="15.75" customHeight="1">
      <c r="A639" s="35" t="s">
        <v>4471</v>
      </c>
      <c r="B639" s="35"/>
      <c r="C639" s="35">
        <v>31.0</v>
      </c>
      <c r="D639" s="35" t="s">
        <v>2043</v>
      </c>
      <c r="E639" s="35">
        <v>46027.0</v>
      </c>
      <c r="F639" s="35">
        <v>0.0</v>
      </c>
      <c r="G639" s="35">
        <v>2.0</v>
      </c>
      <c r="H639" s="35">
        <v>0.0</v>
      </c>
      <c r="I639" s="35">
        <v>0.0</v>
      </c>
      <c r="J639" s="35"/>
      <c r="K639" s="35">
        <v>0.0</v>
      </c>
    </row>
    <row r="640" ht="15.75" customHeight="1">
      <c r="A640" s="35" t="s">
        <v>4472</v>
      </c>
      <c r="B640" s="35"/>
      <c r="C640" s="35">
        <v>31.0</v>
      </c>
      <c r="D640" s="35" t="s">
        <v>4473</v>
      </c>
      <c r="E640" s="35">
        <v>46027.0</v>
      </c>
      <c r="F640" s="35">
        <v>0.0</v>
      </c>
      <c r="G640" s="35">
        <v>3.0</v>
      </c>
      <c r="H640" s="35">
        <v>0.0</v>
      </c>
      <c r="I640" s="35">
        <v>0.0</v>
      </c>
      <c r="J640" s="35"/>
      <c r="K640" s="35">
        <v>0.0</v>
      </c>
    </row>
    <row r="641" ht="15.75" customHeight="1">
      <c r="A641" s="35" t="s">
        <v>4475</v>
      </c>
      <c r="B641" s="35"/>
      <c r="C641" s="35">
        <v>31.0</v>
      </c>
      <c r="D641" s="35" t="s">
        <v>3440</v>
      </c>
      <c r="E641" s="35">
        <v>46027.0</v>
      </c>
      <c r="F641" s="35">
        <v>0.0</v>
      </c>
      <c r="G641" s="35">
        <v>4.0</v>
      </c>
      <c r="H641" s="35">
        <v>0.0</v>
      </c>
      <c r="I641" s="35">
        <v>0.0</v>
      </c>
      <c r="J641" s="35"/>
      <c r="K641" s="35">
        <v>0.0</v>
      </c>
    </row>
    <row r="642" ht="15.75" customHeight="1">
      <c r="A642" s="35" t="s">
        <v>4476</v>
      </c>
      <c r="B642" s="35"/>
      <c r="C642" s="35">
        <v>31.0</v>
      </c>
      <c r="D642" s="35" t="s">
        <v>4021</v>
      </c>
      <c r="E642" s="35">
        <v>46027.0</v>
      </c>
      <c r="F642" s="35">
        <v>0.0</v>
      </c>
      <c r="G642" s="35">
        <v>0.0</v>
      </c>
      <c r="H642" s="35">
        <v>1.0</v>
      </c>
      <c r="I642" s="35">
        <v>0.0</v>
      </c>
      <c r="J642" s="35"/>
      <c r="K642" s="35">
        <v>0.0</v>
      </c>
    </row>
    <row r="643" ht="15.75" customHeight="1">
      <c r="A643" s="35" t="s">
        <v>4477</v>
      </c>
      <c r="B643" s="35"/>
      <c r="C643" s="35">
        <v>31.0</v>
      </c>
      <c r="D643" s="35" t="s">
        <v>2019</v>
      </c>
      <c r="E643" s="35">
        <v>46027.0</v>
      </c>
      <c r="F643" s="35">
        <v>0.0</v>
      </c>
      <c r="G643" s="35">
        <v>1.0</v>
      </c>
      <c r="H643" s="35">
        <v>0.0</v>
      </c>
      <c r="I643" s="35">
        <v>0.0</v>
      </c>
      <c r="J643" s="35"/>
      <c r="K643" s="35">
        <v>0.0</v>
      </c>
    </row>
    <row r="644" ht="15.75" customHeight="1">
      <c r="A644" s="35" t="s">
        <v>4478</v>
      </c>
      <c r="B644" s="35"/>
      <c r="C644" s="35">
        <v>31.0</v>
      </c>
      <c r="D644" s="35" t="s">
        <v>4284</v>
      </c>
      <c r="E644" s="35">
        <v>46027.0</v>
      </c>
      <c r="F644" s="35">
        <v>0.0</v>
      </c>
      <c r="G644" s="35">
        <v>1.0</v>
      </c>
      <c r="H644" s="35">
        <v>0.0</v>
      </c>
      <c r="I644" s="35">
        <v>0.0</v>
      </c>
      <c r="J644" s="35"/>
      <c r="K644" s="35">
        <v>0.0</v>
      </c>
    </row>
    <row r="645" ht="15.75" customHeight="1">
      <c r="A645" s="35" t="s">
        <v>4479</v>
      </c>
      <c r="B645" s="35"/>
      <c r="C645" s="35">
        <v>31.0</v>
      </c>
      <c r="D645" s="35" t="s">
        <v>4480</v>
      </c>
      <c r="E645" s="35">
        <v>46027.0</v>
      </c>
      <c r="F645" s="35">
        <v>0.0</v>
      </c>
      <c r="G645" s="35">
        <v>19.0</v>
      </c>
      <c r="H645" s="35">
        <v>0.0</v>
      </c>
      <c r="I645" s="35">
        <v>0.0</v>
      </c>
      <c r="J645" s="35"/>
      <c r="K645" s="35">
        <v>0.0</v>
      </c>
    </row>
    <row r="646" ht="15.75" customHeight="1">
      <c r="A646" s="35" t="s">
        <v>4481</v>
      </c>
      <c r="B646" s="35"/>
      <c r="C646" s="35">
        <v>31.0</v>
      </c>
      <c r="D646" s="35" t="s">
        <v>4382</v>
      </c>
      <c r="E646" s="35">
        <v>46027.0</v>
      </c>
      <c r="F646" s="35">
        <v>0.0</v>
      </c>
      <c r="G646" s="35">
        <v>0.0</v>
      </c>
      <c r="H646" s="35">
        <v>1.0</v>
      </c>
      <c r="I646" s="35">
        <v>0.0</v>
      </c>
      <c r="J646" s="35"/>
      <c r="K646" s="35">
        <v>0.0</v>
      </c>
    </row>
    <row r="647" ht="15.75" customHeight="1">
      <c r="A647" s="35" t="s">
        <v>4482</v>
      </c>
      <c r="B647" s="35"/>
      <c r="C647" s="35">
        <v>31.0</v>
      </c>
      <c r="D647" s="35" t="s">
        <v>3473</v>
      </c>
      <c r="E647" s="35">
        <v>46027.0</v>
      </c>
      <c r="F647" s="35">
        <v>0.0</v>
      </c>
      <c r="G647" s="35">
        <v>2.0</v>
      </c>
      <c r="H647" s="35">
        <v>0.0</v>
      </c>
      <c r="I647" s="35">
        <v>0.0</v>
      </c>
      <c r="J647" s="35"/>
      <c r="K647" s="35">
        <v>0.0</v>
      </c>
    </row>
    <row r="648" ht="15.75" customHeight="1">
      <c r="A648" s="35" t="s">
        <v>4484</v>
      </c>
      <c r="B648" s="35"/>
      <c r="C648" s="35">
        <v>31.0</v>
      </c>
      <c r="D648" s="35" t="s">
        <v>3157</v>
      </c>
      <c r="E648" s="35">
        <v>46027.0</v>
      </c>
      <c r="F648" s="35">
        <v>0.0</v>
      </c>
      <c r="G648" s="35">
        <v>2.0</v>
      </c>
      <c r="H648" s="35">
        <v>0.0</v>
      </c>
      <c r="I648" s="35">
        <v>0.0</v>
      </c>
      <c r="J648" s="35"/>
      <c r="K648" s="35">
        <v>0.0</v>
      </c>
    </row>
    <row r="649" ht="15.75" customHeight="1">
      <c r="A649" s="35" t="s">
        <v>4485</v>
      </c>
      <c r="B649" s="35"/>
      <c r="C649" s="35">
        <v>30.0</v>
      </c>
      <c r="D649" s="35" t="s">
        <v>4486</v>
      </c>
      <c r="E649" s="35">
        <v>46086.0</v>
      </c>
      <c r="F649" s="35">
        <v>0.0</v>
      </c>
      <c r="G649" s="35">
        <v>4.0</v>
      </c>
      <c r="H649" s="35">
        <v>7.0</v>
      </c>
      <c r="I649" s="35">
        <v>1.0</v>
      </c>
      <c r="J649" s="35"/>
      <c r="K649" s="35">
        <v>0.0</v>
      </c>
    </row>
    <row r="650" ht="15.75" customHeight="1">
      <c r="A650" s="35" t="s">
        <v>4488</v>
      </c>
      <c r="B650" s="35"/>
      <c r="C650" s="35">
        <v>30.0</v>
      </c>
      <c r="D650" s="35" t="s">
        <v>4489</v>
      </c>
      <c r="E650" s="35">
        <v>46086.0</v>
      </c>
      <c r="F650" s="35">
        <v>0.0</v>
      </c>
      <c r="G650" s="35">
        <v>1.0</v>
      </c>
      <c r="H650" s="35">
        <v>3.0</v>
      </c>
      <c r="I650" s="35">
        <v>2.0</v>
      </c>
      <c r="J650" s="35"/>
      <c r="K650" s="35">
        <v>0.0</v>
      </c>
    </row>
    <row r="651" ht="15.75" customHeight="1">
      <c r="A651" s="35" t="s">
        <v>4490</v>
      </c>
      <c r="B651" s="35"/>
      <c r="C651" s="35">
        <v>30.0</v>
      </c>
      <c r="D651" s="35" t="s">
        <v>3900</v>
      </c>
      <c r="E651" s="35">
        <v>46058.0</v>
      </c>
      <c r="F651" s="35">
        <v>0.0</v>
      </c>
      <c r="G651" s="35">
        <v>0.0</v>
      </c>
      <c r="H651" s="35">
        <v>2.0</v>
      </c>
      <c r="I651" s="35">
        <v>1.0</v>
      </c>
      <c r="J651" s="35"/>
      <c r="K651" s="35">
        <v>0.0</v>
      </c>
    </row>
    <row r="652" ht="15.75" customHeight="1">
      <c r="A652" s="35" t="s">
        <v>1110</v>
      </c>
      <c r="B652" s="35"/>
      <c r="C652" s="35">
        <v>30.0</v>
      </c>
      <c r="D652" s="35" t="s">
        <v>2040</v>
      </c>
      <c r="E652" s="35">
        <v>46058.0</v>
      </c>
      <c r="F652" s="35">
        <v>0.0</v>
      </c>
      <c r="G652" s="35">
        <v>4.0</v>
      </c>
      <c r="H652" s="35">
        <v>2.0</v>
      </c>
      <c r="I652" s="35">
        <v>0.0</v>
      </c>
      <c r="J652" s="35"/>
      <c r="K652" s="35">
        <v>0.0</v>
      </c>
    </row>
    <row r="653" ht="15.75" customHeight="1">
      <c r="A653" s="35" t="s">
        <v>4492</v>
      </c>
      <c r="B653" s="35"/>
      <c r="C653" s="35">
        <v>30.0</v>
      </c>
      <c r="D653" s="35" t="s">
        <v>4493</v>
      </c>
      <c r="E653" s="35">
        <v>46027.0</v>
      </c>
      <c r="F653" s="35">
        <v>0.0</v>
      </c>
      <c r="G653" s="35">
        <v>6.0</v>
      </c>
      <c r="H653" s="35">
        <v>0.0</v>
      </c>
      <c r="I653" s="35">
        <v>0.0</v>
      </c>
      <c r="J653" s="35"/>
      <c r="K653" s="35">
        <v>0.0</v>
      </c>
    </row>
    <row r="654" ht="15.75" customHeight="1">
      <c r="A654" s="35" t="s">
        <v>4495</v>
      </c>
      <c r="B654" s="35"/>
      <c r="C654" s="35">
        <v>30.0</v>
      </c>
      <c r="D654" s="35" t="s">
        <v>4496</v>
      </c>
      <c r="E654" s="35">
        <v>46027.0</v>
      </c>
      <c r="F654" s="35">
        <v>0.0</v>
      </c>
      <c r="G654" s="35">
        <v>0.0</v>
      </c>
      <c r="H654" s="35">
        <v>0.0</v>
      </c>
      <c r="I654" s="35">
        <v>4.0</v>
      </c>
      <c r="J654" s="35"/>
      <c r="K654" s="35">
        <v>0.0</v>
      </c>
    </row>
    <row r="655" ht="15.75" customHeight="1">
      <c r="A655" s="35" t="s">
        <v>4497</v>
      </c>
      <c r="B655" s="35"/>
      <c r="C655" s="35">
        <v>30.0</v>
      </c>
      <c r="D655" s="35" t="s">
        <v>2043</v>
      </c>
      <c r="E655" s="35">
        <v>46027.0</v>
      </c>
      <c r="F655" s="35">
        <v>0.0</v>
      </c>
      <c r="G655" s="35">
        <v>1.0</v>
      </c>
      <c r="H655" s="35">
        <v>0.0</v>
      </c>
      <c r="I655" s="35">
        <v>0.0</v>
      </c>
      <c r="J655" s="35"/>
      <c r="K655" s="35">
        <v>0.0</v>
      </c>
    </row>
    <row r="656" ht="15.75" customHeight="1">
      <c r="A656" s="35" t="s">
        <v>4498</v>
      </c>
      <c r="B656" s="35"/>
      <c r="C656" s="35">
        <v>30.0</v>
      </c>
      <c r="D656" s="35" t="s">
        <v>2056</v>
      </c>
      <c r="E656" s="35">
        <v>46027.0</v>
      </c>
      <c r="F656" s="35">
        <v>0.0</v>
      </c>
      <c r="G656" s="35">
        <v>103.0</v>
      </c>
      <c r="H656" s="35">
        <v>0.0</v>
      </c>
      <c r="I656" s="35">
        <v>0.0</v>
      </c>
      <c r="J656" s="35"/>
      <c r="K656" s="35">
        <v>0.0</v>
      </c>
    </row>
    <row r="657" ht="15.75" customHeight="1">
      <c r="A657" s="35" t="s">
        <v>1112</v>
      </c>
      <c r="B657" s="35"/>
      <c r="C657" s="35">
        <v>30.0</v>
      </c>
      <c r="D657" s="35" t="s">
        <v>4348</v>
      </c>
      <c r="E657" s="35">
        <v>46027.0</v>
      </c>
      <c r="F657" s="35">
        <v>0.0</v>
      </c>
      <c r="G657" s="35">
        <v>2.0</v>
      </c>
      <c r="H657" s="35">
        <v>0.0</v>
      </c>
      <c r="I657" s="35">
        <v>0.0</v>
      </c>
      <c r="J657" s="35"/>
      <c r="K657" s="35">
        <v>0.0</v>
      </c>
    </row>
    <row r="658" ht="15.75" customHeight="1">
      <c r="A658" s="35" t="s">
        <v>4500</v>
      </c>
      <c r="B658" s="35"/>
      <c r="C658" s="35">
        <v>30.0</v>
      </c>
      <c r="D658" s="35" t="s">
        <v>1964</v>
      </c>
      <c r="E658" s="35">
        <v>46027.0</v>
      </c>
      <c r="F658" s="35">
        <v>0.0</v>
      </c>
      <c r="G658" s="35">
        <v>2.0</v>
      </c>
      <c r="H658" s="35">
        <v>0.0</v>
      </c>
      <c r="I658" s="35">
        <v>0.0</v>
      </c>
      <c r="J658" s="35"/>
      <c r="K658" s="35">
        <v>0.0</v>
      </c>
    </row>
    <row r="659" ht="15.75" customHeight="1">
      <c r="A659" s="35" t="s">
        <v>4502</v>
      </c>
      <c r="B659" s="35"/>
      <c r="C659" s="35">
        <v>30.0</v>
      </c>
      <c r="D659" s="35" t="s">
        <v>4503</v>
      </c>
      <c r="E659" s="35">
        <v>46027.0</v>
      </c>
      <c r="F659" s="35">
        <v>0.0</v>
      </c>
      <c r="G659" s="35">
        <v>4.0</v>
      </c>
      <c r="H659" s="35">
        <v>0.0</v>
      </c>
      <c r="I659" s="35">
        <v>0.0</v>
      </c>
      <c r="J659" s="35"/>
      <c r="K659" s="35">
        <v>0.0</v>
      </c>
    </row>
    <row r="660" ht="15.75" customHeight="1">
      <c r="A660" s="35" t="s">
        <v>4504</v>
      </c>
      <c r="B660" s="35"/>
      <c r="C660" s="35">
        <v>30.0</v>
      </c>
      <c r="D660" s="35" t="s">
        <v>4505</v>
      </c>
      <c r="E660" s="35">
        <v>46027.0</v>
      </c>
      <c r="F660" s="35">
        <v>0.0</v>
      </c>
      <c r="G660" s="35">
        <v>1.0</v>
      </c>
      <c r="H660" s="35">
        <v>0.0</v>
      </c>
      <c r="I660" s="35">
        <v>0.0</v>
      </c>
      <c r="J660" s="35"/>
      <c r="K660" s="35">
        <v>0.0</v>
      </c>
    </row>
    <row r="661" ht="15.75" customHeight="1">
      <c r="A661" s="35" t="s">
        <v>4507</v>
      </c>
      <c r="B661" s="35"/>
      <c r="C661" s="35">
        <v>30.0</v>
      </c>
      <c r="D661" s="35" t="s">
        <v>3999</v>
      </c>
      <c r="E661" s="35">
        <v>46027.0</v>
      </c>
      <c r="F661" s="35">
        <v>0.0</v>
      </c>
      <c r="G661" s="35">
        <v>2.0</v>
      </c>
      <c r="H661" s="35">
        <v>0.0</v>
      </c>
      <c r="I661" s="35">
        <v>0.0</v>
      </c>
      <c r="J661" s="35"/>
      <c r="K661" s="35">
        <v>0.0</v>
      </c>
    </row>
    <row r="662" ht="15.75" customHeight="1">
      <c r="A662" s="35" t="s">
        <v>4508</v>
      </c>
      <c r="B662" s="35"/>
      <c r="C662" s="35">
        <v>30.0</v>
      </c>
      <c r="D662" s="35" t="s">
        <v>2023</v>
      </c>
      <c r="E662" s="35">
        <v>46027.0</v>
      </c>
      <c r="F662" s="35">
        <v>0.0</v>
      </c>
      <c r="G662" s="35">
        <v>87.0</v>
      </c>
      <c r="H662" s="35">
        <v>0.0</v>
      </c>
      <c r="I662" s="35">
        <v>0.0</v>
      </c>
      <c r="J662" s="35"/>
      <c r="K662" s="35">
        <v>0.0</v>
      </c>
    </row>
    <row r="663" ht="15.75" customHeight="1">
      <c r="A663" s="35" t="s">
        <v>1117</v>
      </c>
      <c r="B663" s="35"/>
      <c r="C663" s="35">
        <v>30.0</v>
      </c>
      <c r="D663" s="35" t="s">
        <v>3256</v>
      </c>
      <c r="E663" s="35">
        <v>46027.0</v>
      </c>
      <c r="F663" s="35">
        <v>0.0</v>
      </c>
      <c r="G663" s="35">
        <v>0.0</v>
      </c>
      <c r="H663" s="35">
        <v>0.0</v>
      </c>
      <c r="I663" s="35">
        <v>1.0</v>
      </c>
      <c r="J663" s="35"/>
      <c r="K663" s="35">
        <v>0.0</v>
      </c>
    </row>
    <row r="664" ht="15.75" customHeight="1">
      <c r="A664" s="35" t="s">
        <v>4510</v>
      </c>
      <c r="B664" s="35"/>
      <c r="C664" s="35">
        <v>30.0</v>
      </c>
      <c r="D664" s="35" t="s">
        <v>4511</v>
      </c>
      <c r="E664" s="35">
        <v>46027.0</v>
      </c>
      <c r="F664" s="35">
        <v>0.0</v>
      </c>
      <c r="G664" s="35">
        <v>0.0</v>
      </c>
      <c r="H664" s="35">
        <v>0.0</v>
      </c>
      <c r="I664" s="35">
        <v>1.0</v>
      </c>
      <c r="J664" s="35"/>
      <c r="K664" s="35">
        <v>0.0</v>
      </c>
    </row>
    <row r="665" ht="15.75" customHeight="1">
      <c r="A665" s="35" t="s">
        <v>4512</v>
      </c>
      <c r="B665" s="35"/>
      <c r="C665" s="35">
        <v>30.0</v>
      </c>
      <c r="D665" s="35" t="s">
        <v>2159</v>
      </c>
      <c r="E665" s="35">
        <v>46027.0</v>
      </c>
      <c r="F665" s="35">
        <v>0.0</v>
      </c>
      <c r="G665" s="35">
        <v>1.0</v>
      </c>
      <c r="H665" s="35">
        <v>0.0</v>
      </c>
      <c r="I665" s="35">
        <v>0.0</v>
      </c>
      <c r="J665" s="35"/>
      <c r="K665" s="35">
        <v>0.0</v>
      </c>
    </row>
    <row r="666" ht="15.75" customHeight="1">
      <c r="A666" s="35" t="s">
        <v>4514</v>
      </c>
      <c r="B666" s="35"/>
      <c r="C666" s="35">
        <v>30.0</v>
      </c>
      <c r="D666" s="35" t="s">
        <v>4186</v>
      </c>
      <c r="E666" s="35">
        <v>46027.0</v>
      </c>
      <c r="F666" s="35">
        <v>0.0</v>
      </c>
      <c r="G666" s="35">
        <v>3.0</v>
      </c>
      <c r="H666" s="35">
        <v>0.0</v>
      </c>
      <c r="I666" s="35">
        <v>0.0</v>
      </c>
      <c r="J666" s="35"/>
      <c r="K666" s="35">
        <v>0.0</v>
      </c>
    </row>
    <row r="667" ht="15.75" customHeight="1">
      <c r="A667" s="35" t="s">
        <v>1123</v>
      </c>
      <c r="B667" s="35"/>
      <c r="C667" s="35">
        <v>30.0</v>
      </c>
      <c r="D667" s="35" t="s">
        <v>3644</v>
      </c>
      <c r="E667" s="35">
        <v>46027.0</v>
      </c>
      <c r="F667" s="35">
        <v>0.0</v>
      </c>
      <c r="G667" s="35">
        <v>14.0</v>
      </c>
      <c r="H667" s="35">
        <v>0.0</v>
      </c>
      <c r="I667" s="35">
        <v>0.0</v>
      </c>
      <c r="J667" s="35"/>
      <c r="K667" s="35">
        <v>0.0</v>
      </c>
    </row>
    <row r="668" ht="15.75" customHeight="1">
      <c r="A668" s="35" t="s">
        <v>4516</v>
      </c>
      <c r="B668" s="35"/>
      <c r="C668" s="35">
        <v>30.0</v>
      </c>
      <c r="D668" s="35" t="s">
        <v>3117</v>
      </c>
      <c r="E668" s="35">
        <v>46027.0</v>
      </c>
      <c r="F668" s="35">
        <v>0.0</v>
      </c>
      <c r="G668" s="35">
        <v>0.0</v>
      </c>
      <c r="H668" s="35">
        <v>12.0</v>
      </c>
      <c r="I668" s="35">
        <v>0.0</v>
      </c>
      <c r="J668" s="35"/>
      <c r="K668" s="35">
        <v>0.0</v>
      </c>
    </row>
    <row r="669" ht="15.75" customHeight="1">
      <c r="A669" s="35" t="s">
        <v>4517</v>
      </c>
      <c r="B669" s="35"/>
      <c r="C669" s="35">
        <v>30.0</v>
      </c>
      <c r="D669" s="35" t="s">
        <v>4518</v>
      </c>
      <c r="E669" s="35">
        <v>46027.0</v>
      </c>
      <c r="F669" s="35">
        <v>0.0</v>
      </c>
      <c r="G669" s="35">
        <v>22.0</v>
      </c>
      <c r="H669" s="35">
        <v>0.0</v>
      </c>
      <c r="I669" s="35">
        <v>0.0</v>
      </c>
      <c r="J669" s="35"/>
      <c r="K669" s="35">
        <v>0.0</v>
      </c>
    </row>
    <row r="670" ht="15.75" customHeight="1">
      <c r="A670" s="35" t="s">
        <v>4520</v>
      </c>
      <c r="B670" s="35"/>
      <c r="C670" s="35">
        <v>30.0</v>
      </c>
      <c r="D670" s="35" t="s">
        <v>4521</v>
      </c>
      <c r="E670" s="35">
        <v>46027.0</v>
      </c>
      <c r="F670" s="35">
        <v>0.0</v>
      </c>
      <c r="G670" s="35">
        <v>1.0</v>
      </c>
      <c r="H670" s="35">
        <v>0.0</v>
      </c>
      <c r="I670" s="35">
        <v>0.0</v>
      </c>
      <c r="J670" s="35"/>
      <c r="K670" s="35">
        <v>0.0</v>
      </c>
    </row>
    <row r="671" ht="15.75" customHeight="1">
      <c r="A671" s="35" t="s">
        <v>4522</v>
      </c>
      <c r="B671" s="35"/>
      <c r="C671" s="35">
        <v>30.0</v>
      </c>
      <c r="D671" s="35" t="s">
        <v>4523</v>
      </c>
      <c r="E671" s="35">
        <v>46027.0</v>
      </c>
      <c r="F671" s="35">
        <v>0.0</v>
      </c>
      <c r="G671" s="35">
        <v>8.0</v>
      </c>
      <c r="H671" s="35">
        <v>0.0</v>
      </c>
      <c r="I671" s="35">
        <v>0.0</v>
      </c>
      <c r="J671" s="35"/>
      <c r="K671" s="35">
        <v>0.0</v>
      </c>
    </row>
    <row r="672" ht="15.75" customHeight="1">
      <c r="A672" s="35" t="s">
        <v>1128</v>
      </c>
      <c r="B672" s="35"/>
      <c r="C672" s="35">
        <v>30.0</v>
      </c>
      <c r="D672" s="35" t="s">
        <v>4006</v>
      </c>
      <c r="E672" s="35">
        <v>46027.0</v>
      </c>
      <c r="F672" s="35">
        <v>0.0</v>
      </c>
      <c r="G672" s="35">
        <v>2.0</v>
      </c>
      <c r="H672" s="35">
        <v>0.0</v>
      </c>
      <c r="I672" s="35">
        <v>0.0</v>
      </c>
      <c r="J672" s="35"/>
      <c r="K672" s="35">
        <v>0.0</v>
      </c>
    </row>
    <row r="673" ht="15.75" customHeight="1">
      <c r="A673" s="35" t="s">
        <v>4525</v>
      </c>
      <c r="B673" s="35"/>
      <c r="C673" s="35">
        <v>30.0</v>
      </c>
      <c r="D673" s="35" t="s">
        <v>2049</v>
      </c>
      <c r="E673" s="35">
        <v>46027.0</v>
      </c>
      <c r="F673" s="35">
        <v>0.0</v>
      </c>
      <c r="G673" s="35">
        <v>2.0</v>
      </c>
      <c r="H673" s="35">
        <v>0.0</v>
      </c>
      <c r="I673" s="35">
        <v>0.0</v>
      </c>
      <c r="J673" s="35"/>
      <c r="K673" s="35">
        <v>0.0</v>
      </c>
    </row>
    <row r="674" ht="15.75" customHeight="1">
      <c r="A674" s="35" t="s">
        <v>4527</v>
      </c>
      <c r="B674" s="35"/>
      <c r="C674" s="35">
        <v>30.0</v>
      </c>
      <c r="D674" s="35">
        <v>927.0</v>
      </c>
      <c r="E674" s="35">
        <v>46027.0</v>
      </c>
      <c r="F674" s="35">
        <v>0.0</v>
      </c>
      <c r="G674" s="35">
        <v>12.0</v>
      </c>
      <c r="H674" s="35">
        <v>0.0</v>
      </c>
      <c r="I674" s="35">
        <v>0.0</v>
      </c>
      <c r="J674" s="35"/>
      <c r="K674" s="35">
        <v>0.0</v>
      </c>
    </row>
    <row r="675" ht="15.75" customHeight="1">
      <c r="A675" s="35" t="s">
        <v>4528</v>
      </c>
      <c r="B675" s="35"/>
      <c r="C675" s="35">
        <v>30.0</v>
      </c>
      <c r="D675" s="35" t="s">
        <v>2004</v>
      </c>
      <c r="E675" s="35">
        <v>46027.0</v>
      </c>
      <c r="F675" s="35">
        <v>0.0</v>
      </c>
      <c r="G675" s="35">
        <v>3.0</v>
      </c>
      <c r="H675" s="35">
        <v>0.0</v>
      </c>
      <c r="I675" s="35">
        <v>0.0</v>
      </c>
      <c r="J675" s="35"/>
      <c r="K675" s="35">
        <v>0.0</v>
      </c>
    </row>
    <row r="676" ht="15.75" customHeight="1">
      <c r="A676" s="35" t="s">
        <v>4529</v>
      </c>
      <c r="B676" s="35"/>
      <c r="C676" s="35">
        <v>30.0</v>
      </c>
      <c r="D676" s="35" t="s">
        <v>4531</v>
      </c>
      <c r="E676" s="35">
        <v>46027.0</v>
      </c>
      <c r="F676" s="35">
        <v>0.0</v>
      </c>
      <c r="G676" s="35">
        <v>0.0</v>
      </c>
      <c r="H676" s="35">
        <v>0.0</v>
      </c>
      <c r="I676" s="35">
        <v>2.0</v>
      </c>
      <c r="J676" s="35"/>
      <c r="K676" s="35">
        <v>0.0</v>
      </c>
    </row>
    <row r="677" ht="15.75" customHeight="1">
      <c r="A677" s="35" t="s">
        <v>4532</v>
      </c>
      <c r="B677" s="35"/>
      <c r="C677" s="35">
        <v>30.0</v>
      </c>
      <c r="D677" s="35" t="s">
        <v>4533</v>
      </c>
      <c r="E677" s="35">
        <v>46027.0</v>
      </c>
      <c r="F677" s="35">
        <v>0.0</v>
      </c>
      <c r="G677" s="35">
        <v>1.0</v>
      </c>
      <c r="H677" s="35">
        <v>0.0</v>
      </c>
      <c r="I677" s="35">
        <v>0.0</v>
      </c>
      <c r="J677" s="35"/>
      <c r="K677" s="35">
        <v>0.0</v>
      </c>
    </row>
    <row r="678" ht="15.75" customHeight="1">
      <c r="A678" s="35" t="s">
        <v>4534</v>
      </c>
      <c r="B678" s="35"/>
      <c r="C678" s="35">
        <v>30.0</v>
      </c>
      <c r="D678" s="35" t="s">
        <v>3498</v>
      </c>
      <c r="E678" s="35">
        <v>46027.0</v>
      </c>
      <c r="F678" s="35">
        <v>0.0</v>
      </c>
      <c r="G678" s="35">
        <v>44.0</v>
      </c>
      <c r="H678" s="35">
        <v>0.0</v>
      </c>
      <c r="I678" s="35">
        <v>0.0</v>
      </c>
      <c r="J678" s="35"/>
      <c r="K678" s="35">
        <v>0.0</v>
      </c>
    </row>
    <row r="679" ht="15.75" customHeight="1">
      <c r="A679" s="35" t="s">
        <v>4536</v>
      </c>
      <c r="B679" s="35"/>
      <c r="C679" s="35">
        <v>30.0</v>
      </c>
      <c r="D679" s="35" t="s">
        <v>4352</v>
      </c>
      <c r="E679" s="35">
        <v>46027.0</v>
      </c>
      <c r="F679" s="35">
        <v>0.0</v>
      </c>
      <c r="G679" s="35">
        <v>1.0</v>
      </c>
      <c r="H679" s="35">
        <v>0.0</v>
      </c>
      <c r="I679" s="35">
        <v>0.0</v>
      </c>
      <c r="J679" s="35"/>
      <c r="K679" s="35">
        <v>0.0</v>
      </c>
    </row>
    <row r="680" ht="15.75" customHeight="1">
      <c r="A680" s="35" t="s">
        <v>4537</v>
      </c>
      <c r="B680" s="35"/>
      <c r="C680" s="35">
        <v>30.0</v>
      </c>
      <c r="D680" s="35" t="s">
        <v>4538</v>
      </c>
      <c r="E680" s="35">
        <v>46027.0</v>
      </c>
      <c r="F680" s="35">
        <v>0.0</v>
      </c>
      <c r="G680" s="35">
        <v>0.0</v>
      </c>
      <c r="H680" s="35">
        <v>1.0</v>
      </c>
      <c r="I680" s="35">
        <v>0.0</v>
      </c>
      <c r="J680" s="35"/>
      <c r="K680" s="35">
        <v>0.0</v>
      </c>
    </row>
    <row r="681" ht="15.75" customHeight="1">
      <c r="A681" s="35" t="s">
        <v>4540</v>
      </c>
      <c r="B681" s="35"/>
      <c r="C681" s="35">
        <v>30.0</v>
      </c>
      <c r="D681" s="35">
        <v>504.0</v>
      </c>
      <c r="E681" s="35">
        <v>46027.0</v>
      </c>
      <c r="F681" s="35">
        <v>0.0</v>
      </c>
      <c r="G681" s="35">
        <v>5.0</v>
      </c>
      <c r="H681" s="35">
        <v>0.0</v>
      </c>
      <c r="I681" s="35">
        <v>0.0</v>
      </c>
      <c r="J681" s="35"/>
      <c r="K681" s="35">
        <v>0.0</v>
      </c>
    </row>
    <row r="682" ht="15.75" customHeight="1">
      <c r="A682" s="35" t="s">
        <v>4541</v>
      </c>
      <c r="B682" s="35"/>
      <c r="C682" s="35">
        <v>30.0</v>
      </c>
      <c r="D682" s="35" t="s">
        <v>2046</v>
      </c>
      <c r="E682" s="35">
        <v>46027.0</v>
      </c>
      <c r="F682" s="35">
        <v>0.0</v>
      </c>
      <c r="G682" s="35">
        <v>1.0</v>
      </c>
      <c r="H682" s="35">
        <v>0.0</v>
      </c>
      <c r="I682" s="35">
        <v>0.0</v>
      </c>
      <c r="J682" s="35"/>
      <c r="K682" s="35">
        <v>0.0</v>
      </c>
    </row>
    <row r="683" ht="15.75" customHeight="1">
      <c r="A683" s="35" t="s">
        <v>4543</v>
      </c>
      <c r="B683" s="35"/>
      <c r="C683" s="35">
        <v>30.0</v>
      </c>
      <c r="D683" s="35" t="s">
        <v>4544</v>
      </c>
      <c r="E683" s="35">
        <v>46027.0</v>
      </c>
      <c r="F683" s="35">
        <v>0.0</v>
      </c>
      <c r="G683" s="35">
        <v>23.0</v>
      </c>
      <c r="H683" s="35">
        <v>0.0</v>
      </c>
      <c r="I683" s="35">
        <v>0.0</v>
      </c>
      <c r="J683" s="35"/>
      <c r="K683" s="35">
        <v>0.0</v>
      </c>
    </row>
    <row r="684" ht="15.75" customHeight="1">
      <c r="A684" s="35" t="s">
        <v>4545</v>
      </c>
      <c r="B684" s="35"/>
      <c r="C684" s="35">
        <v>30.0</v>
      </c>
      <c r="D684" s="35" t="s">
        <v>4546</v>
      </c>
      <c r="E684" s="35">
        <v>46027.0</v>
      </c>
      <c r="F684" s="35">
        <v>0.0</v>
      </c>
      <c r="G684" s="35">
        <v>1.0</v>
      </c>
      <c r="H684" s="35">
        <v>0.0</v>
      </c>
      <c r="I684" s="35">
        <v>0.0</v>
      </c>
      <c r="J684" s="35"/>
      <c r="K684" s="35">
        <v>0.0</v>
      </c>
    </row>
    <row r="685" ht="15.75" customHeight="1">
      <c r="A685" s="35" t="s">
        <v>4547</v>
      </c>
      <c r="B685" s="35"/>
      <c r="C685" s="35">
        <v>30.0</v>
      </c>
      <c r="D685" s="35" t="s">
        <v>4549</v>
      </c>
      <c r="E685" s="35">
        <v>46027.0</v>
      </c>
      <c r="F685" s="35">
        <v>0.0</v>
      </c>
      <c r="G685" s="35">
        <v>1.0</v>
      </c>
      <c r="H685" s="35">
        <v>0.0</v>
      </c>
      <c r="I685" s="35">
        <v>0.0</v>
      </c>
      <c r="J685" s="35"/>
      <c r="K685" s="35">
        <v>0.0</v>
      </c>
    </row>
    <row r="686" ht="15.75" customHeight="1">
      <c r="A686" s="35" t="s">
        <v>4550</v>
      </c>
      <c r="B686" s="35"/>
      <c r="C686" s="35">
        <v>30.0</v>
      </c>
      <c r="D686" s="35">
        <v>626.0</v>
      </c>
      <c r="E686" s="35">
        <v>46027.0</v>
      </c>
      <c r="F686" s="35">
        <v>0.0</v>
      </c>
      <c r="G686" s="35">
        <v>11.0</v>
      </c>
      <c r="H686" s="35">
        <v>0.0</v>
      </c>
      <c r="I686" s="35">
        <v>0.0</v>
      </c>
      <c r="J686" s="35"/>
      <c r="K686" s="35">
        <v>0.0</v>
      </c>
    </row>
    <row r="687" ht="15.75" customHeight="1">
      <c r="A687" s="35" t="s">
        <v>4551</v>
      </c>
      <c r="B687" s="35"/>
      <c r="C687" s="35">
        <v>30.0</v>
      </c>
      <c r="D687" s="35" t="s">
        <v>4552</v>
      </c>
      <c r="E687" s="35">
        <v>46027.0</v>
      </c>
      <c r="F687" s="35">
        <v>0.0</v>
      </c>
      <c r="G687" s="35">
        <v>1.0</v>
      </c>
      <c r="H687" s="35">
        <v>0.0</v>
      </c>
      <c r="I687" s="35">
        <v>0.0</v>
      </c>
      <c r="J687" s="35"/>
      <c r="K687" s="35">
        <v>0.0</v>
      </c>
    </row>
    <row r="688" ht="15.75" customHeight="1">
      <c r="A688" s="35" t="s">
        <v>4554</v>
      </c>
      <c r="B688" s="35"/>
      <c r="C688" s="35">
        <v>30.0</v>
      </c>
      <c r="D688" s="35" t="s">
        <v>3894</v>
      </c>
      <c r="E688" s="35">
        <v>46027.0</v>
      </c>
      <c r="F688" s="35">
        <v>0.0</v>
      </c>
      <c r="G688" s="35">
        <v>3.0</v>
      </c>
      <c r="H688" s="35">
        <v>0.0</v>
      </c>
      <c r="I688" s="35">
        <v>0.0</v>
      </c>
      <c r="J688" s="35"/>
      <c r="K688" s="35">
        <v>0.0</v>
      </c>
    </row>
    <row r="689" ht="15.75" customHeight="1">
      <c r="A689" s="35" t="s">
        <v>4555</v>
      </c>
      <c r="B689" s="35"/>
      <c r="C689" s="35">
        <v>30.0</v>
      </c>
      <c r="D689" s="35" t="s">
        <v>4061</v>
      </c>
      <c r="E689" s="35">
        <v>46027.0</v>
      </c>
      <c r="F689" s="35">
        <v>0.0</v>
      </c>
      <c r="G689" s="35">
        <v>1.0</v>
      </c>
      <c r="H689" s="35">
        <v>0.0</v>
      </c>
      <c r="I689" s="35">
        <v>0.0</v>
      </c>
      <c r="J689" s="35"/>
      <c r="K689" s="35">
        <v>0.0</v>
      </c>
    </row>
    <row r="690" ht="15.75" customHeight="1">
      <c r="A690" s="35" t="s">
        <v>4557</v>
      </c>
      <c r="B690" s="35"/>
      <c r="C690" s="35">
        <v>30.0</v>
      </c>
      <c r="D690" s="35" t="s">
        <v>4284</v>
      </c>
      <c r="E690" s="35">
        <v>46027.0</v>
      </c>
      <c r="F690" s="35">
        <v>0.0</v>
      </c>
      <c r="G690" s="35">
        <v>2.0</v>
      </c>
      <c r="H690" s="35">
        <v>0.0</v>
      </c>
      <c r="I690" s="35">
        <v>0.0</v>
      </c>
      <c r="J690" s="35"/>
      <c r="K690" s="35">
        <v>0.0</v>
      </c>
    </row>
    <row r="691" ht="15.75" customHeight="1">
      <c r="A691" s="35" t="s">
        <v>1130</v>
      </c>
      <c r="B691" s="35"/>
      <c r="C691" s="35">
        <v>30.0</v>
      </c>
      <c r="D691" s="35" t="s">
        <v>4558</v>
      </c>
      <c r="E691" s="35">
        <v>46027.0</v>
      </c>
      <c r="F691" s="35">
        <v>0.0</v>
      </c>
      <c r="G691" s="35">
        <v>8.0</v>
      </c>
      <c r="H691" s="35">
        <v>0.0</v>
      </c>
      <c r="I691" s="35">
        <v>0.0</v>
      </c>
      <c r="J691" s="35"/>
      <c r="K691" s="35">
        <v>0.0</v>
      </c>
    </row>
    <row r="692" ht="15.75" customHeight="1">
      <c r="A692" s="35" t="s">
        <v>4560</v>
      </c>
      <c r="B692" s="35"/>
      <c r="C692" s="35">
        <v>30.0</v>
      </c>
      <c r="D692" s="35" t="s">
        <v>4561</v>
      </c>
      <c r="E692" s="35">
        <v>46027.0</v>
      </c>
      <c r="F692" s="35">
        <v>0.0</v>
      </c>
      <c r="G692" s="35">
        <v>4.0</v>
      </c>
      <c r="H692" s="35">
        <v>0.0</v>
      </c>
      <c r="I692" s="35">
        <v>0.0</v>
      </c>
      <c r="J692" s="35"/>
      <c r="K692" s="35">
        <v>0.0</v>
      </c>
    </row>
    <row r="693" ht="15.75" customHeight="1">
      <c r="A693" s="35" t="s">
        <v>4562</v>
      </c>
      <c r="B693" s="35"/>
      <c r="C693" s="35">
        <v>30.0</v>
      </c>
      <c r="D693" s="35" t="s">
        <v>4563</v>
      </c>
      <c r="E693" s="35">
        <v>46027.0</v>
      </c>
      <c r="F693" s="35">
        <v>0.0</v>
      </c>
      <c r="G693" s="35">
        <v>1.0</v>
      </c>
      <c r="H693" s="35">
        <v>0.0</v>
      </c>
      <c r="I693" s="35">
        <v>0.0</v>
      </c>
      <c r="J693" s="35"/>
      <c r="K693" s="35">
        <v>0.0</v>
      </c>
    </row>
    <row r="694" ht="15.75" customHeight="1">
      <c r="A694" s="35" t="s">
        <v>4564</v>
      </c>
      <c r="B694" s="35"/>
      <c r="C694" s="35">
        <v>29.0</v>
      </c>
      <c r="D694" s="35" t="s">
        <v>3802</v>
      </c>
      <c r="E694" s="35">
        <v>46058.0</v>
      </c>
      <c r="F694" s="35">
        <v>0.0</v>
      </c>
      <c r="G694" s="35">
        <v>1.0</v>
      </c>
      <c r="H694" s="35">
        <v>7.0</v>
      </c>
      <c r="I694" s="35">
        <v>0.0</v>
      </c>
      <c r="J694" s="35"/>
      <c r="K694" s="35">
        <v>0.0</v>
      </c>
    </row>
    <row r="695" ht="15.75" customHeight="1">
      <c r="A695" s="35" t="s">
        <v>4566</v>
      </c>
      <c r="B695" s="35"/>
      <c r="C695" s="35">
        <v>29.0</v>
      </c>
      <c r="D695" s="35" t="s">
        <v>4261</v>
      </c>
      <c r="E695" s="35">
        <v>46058.0</v>
      </c>
      <c r="F695" s="35">
        <v>0.0</v>
      </c>
      <c r="G695" s="35">
        <v>3.0</v>
      </c>
      <c r="H695" s="35">
        <v>3.0</v>
      </c>
      <c r="I695" s="35">
        <v>0.0</v>
      </c>
      <c r="J695" s="35"/>
      <c r="K695" s="35">
        <v>0.0</v>
      </c>
    </row>
    <row r="696" ht="15.75" customHeight="1">
      <c r="A696" s="35" t="s">
        <v>4567</v>
      </c>
      <c r="B696" s="35"/>
      <c r="C696" s="35">
        <v>29.0</v>
      </c>
      <c r="D696" s="35" t="s">
        <v>4568</v>
      </c>
      <c r="E696" s="35">
        <v>46027.0</v>
      </c>
      <c r="F696" s="35">
        <v>0.0</v>
      </c>
      <c r="G696" s="35">
        <v>5.0</v>
      </c>
      <c r="H696" s="35">
        <v>0.0</v>
      </c>
      <c r="I696" s="35">
        <v>0.0</v>
      </c>
      <c r="J696" s="35"/>
      <c r="K696" s="35">
        <v>0.0</v>
      </c>
    </row>
    <row r="697" ht="15.75" customHeight="1">
      <c r="A697" s="35" t="s">
        <v>4570</v>
      </c>
      <c r="B697" s="35"/>
      <c r="C697" s="35">
        <v>29.0</v>
      </c>
      <c r="D697" s="35" t="s">
        <v>4571</v>
      </c>
      <c r="E697" s="35">
        <v>46027.0</v>
      </c>
      <c r="F697" s="35">
        <v>0.0</v>
      </c>
      <c r="G697" s="35">
        <v>5.0</v>
      </c>
      <c r="H697" s="35">
        <v>0.0</v>
      </c>
      <c r="I697" s="35">
        <v>0.0</v>
      </c>
      <c r="J697" s="35"/>
      <c r="K697" s="35">
        <v>0.0</v>
      </c>
    </row>
    <row r="698" ht="15.75" customHeight="1">
      <c r="A698" s="35" t="s">
        <v>4572</v>
      </c>
      <c r="B698" s="35"/>
      <c r="C698" s="35">
        <v>29.0</v>
      </c>
      <c r="D698" s="35">
        <v>936.0</v>
      </c>
      <c r="E698" s="35">
        <v>46027.0</v>
      </c>
      <c r="F698" s="35">
        <v>0.0</v>
      </c>
      <c r="G698" s="35">
        <v>0.0</v>
      </c>
      <c r="H698" s="35">
        <v>0.0</v>
      </c>
      <c r="I698" s="35">
        <v>0.0</v>
      </c>
      <c r="J698" s="35"/>
      <c r="K698" s="35">
        <v>12.0</v>
      </c>
    </row>
    <row r="699" ht="15.75" customHeight="1">
      <c r="A699" s="35" t="s">
        <v>4574</v>
      </c>
      <c r="B699" s="35"/>
      <c r="C699" s="35">
        <v>29.0</v>
      </c>
      <c r="D699" s="35">
        <v>173.0</v>
      </c>
      <c r="E699" s="35">
        <v>46027.0</v>
      </c>
      <c r="F699" s="35">
        <v>0.0</v>
      </c>
      <c r="G699" s="35">
        <v>2.0</v>
      </c>
      <c r="H699" s="35">
        <v>0.0</v>
      </c>
      <c r="I699" s="35">
        <v>0.0</v>
      </c>
      <c r="J699" s="35"/>
      <c r="K699" s="35">
        <v>0.0</v>
      </c>
    </row>
    <row r="700" ht="15.75" customHeight="1">
      <c r="A700" s="35" t="s">
        <v>4575</v>
      </c>
      <c r="B700" s="35"/>
      <c r="C700" s="35">
        <v>29.0</v>
      </c>
      <c r="D700" s="35" t="s">
        <v>4576</v>
      </c>
      <c r="E700" s="35">
        <v>46027.0</v>
      </c>
      <c r="F700" s="35">
        <v>0.0</v>
      </c>
      <c r="G700" s="35">
        <v>148.0</v>
      </c>
      <c r="H700" s="35">
        <v>0.0</v>
      </c>
      <c r="I700" s="35">
        <v>0.0</v>
      </c>
      <c r="J700" s="35"/>
      <c r="K700" s="35">
        <v>0.0</v>
      </c>
    </row>
    <row r="701" ht="15.75" customHeight="1">
      <c r="A701" s="35" t="s">
        <v>4578</v>
      </c>
      <c r="B701" s="35"/>
      <c r="C701" s="35">
        <v>29.0</v>
      </c>
      <c r="D701" s="35" t="s">
        <v>3363</v>
      </c>
      <c r="E701" s="35">
        <v>46027.0</v>
      </c>
      <c r="F701" s="35">
        <v>0.0</v>
      </c>
      <c r="G701" s="35">
        <v>2.0</v>
      </c>
      <c r="H701" s="35">
        <v>0.0</v>
      </c>
      <c r="I701" s="35">
        <v>0.0</v>
      </c>
      <c r="J701" s="35"/>
      <c r="K701" s="35">
        <v>0.0</v>
      </c>
    </row>
    <row r="702" ht="15.75" customHeight="1">
      <c r="A702" s="35" t="s">
        <v>4579</v>
      </c>
      <c r="B702" s="35"/>
      <c r="C702" s="35">
        <v>29.0</v>
      </c>
      <c r="D702" s="35" t="s">
        <v>4256</v>
      </c>
      <c r="E702" s="35">
        <v>46027.0</v>
      </c>
      <c r="F702" s="35">
        <v>0.0</v>
      </c>
      <c r="G702" s="35">
        <v>0.0</v>
      </c>
      <c r="H702" s="35">
        <v>1.0</v>
      </c>
      <c r="I702" s="35">
        <v>0.0</v>
      </c>
      <c r="J702" s="35"/>
      <c r="K702" s="35">
        <v>0.0</v>
      </c>
    </row>
    <row r="703" ht="15.75" customHeight="1">
      <c r="A703" s="35" t="s">
        <v>4580</v>
      </c>
      <c r="B703" s="35"/>
      <c r="C703" s="35">
        <v>29.0</v>
      </c>
      <c r="D703" s="35" t="s">
        <v>4489</v>
      </c>
      <c r="E703" s="35">
        <v>46027.0</v>
      </c>
      <c r="F703" s="35">
        <v>0.0</v>
      </c>
      <c r="G703" s="35">
        <v>1.0</v>
      </c>
      <c r="H703" s="35">
        <v>0.0</v>
      </c>
      <c r="I703" s="35">
        <v>0.0</v>
      </c>
      <c r="J703" s="35"/>
      <c r="K703" s="35">
        <v>0.0</v>
      </c>
    </row>
    <row r="704" ht="15.75" customHeight="1">
      <c r="A704" s="35" t="s">
        <v>4582</v>
      </c>
      <c r="B704" s="35"/>
      <c r="C704" s="35">
        <v>29.0</v>
      </c>
      <c r="D704" s="35" t="s">
        <v>4583</v>
      </c>
      <c r="E704" s="35">
        <v>46027.0</v>
      </c>
      <c r="F704" s="35">
        <v>0.0</v>
      </c>
      <c r="G704" s="35">
        <v>2.0</v>
      </c>
      <c r="H704" s="35">
        <v>0.0</v>
      </c>
      <c r="I704" s="35">
        <v>0.0</v>
      </c>
      <c r="J704" s="35"/>
      <c r="K704" s="35">
        <v>0.0</v>
      </c>
    </row>
    <row r="705" ht="15.75" customHeight="1">
      <c r="A705" s="35" t="s">
        <v>1134</v>
      </c>
      <c r="B705" s="35"/>
      <c r="C705" s="35">
        <v>29.0</v>
      </c>
      <c r="D705" s="35" t="s">
        <v>4584</v>
      </c>
      <c r="E705" s="35">
        <v>46027.0</v>
      </c>
      <c r="F705" s="35">
        <v>0.0</v>
      </c>
      <c r="G705" s="35">
        <v>7.0</v>
      </c>
      <c r="H705" s="35">
        <v>0.0</v>
      </c>
      <c r="I705" s="35">
        <v>0.0</v>
      </c>
      <c r="J705" s="35"/>
      <c r="K705" s="35">
        <v>0.0</v>
      </c>
    </row>
    <row r="706" ht="15.75" customHeight="1">
      <c r="A706" s="35" t="s">
        <v>1138</v>
      </c>
      <c r="B706" s="35"/>
      <c r="C706" s="35">
        <v>29.0</v>
      </c>
      <c r="D706" s="35" t="s">
        <v>4370</v>
      </c>
      <c r="E706" s="35">
        <v>46027.0</v>
      </c>
      <c r="F706" s="35">
        <v>0.0</v>
      </c>
      <c r="G706" s="35">
        <v>10.0</v>
      </c>
      <c r="H706" s="35">
        <v>0.0</v>
      </c>
      <c r="I706" s="35">
        <v>0.0</v>
      </c>
      <c r="J706" s="35"/>
      <c r="K706" s="35">
        <v>0.0</v>
      </c>
    </row>
    <row r="707" ht="15.75" customHeight="1">
      <c r="A707" s="35" t="s">
        <v>1142</v>
      </c>
      <c r="B707" s="35"/>
      <c r="C707" s="35">
        <v>29.0</v>
      </c>
      <c r="D707" s="35" t="s">
        <v>2021</v>
      </c>
      <c r="E707" s="35">
        <v>46027.0</v>
      </c>
      <c r="F707" s="35">
        <v>0.0</v>
      </c>
      <c r="G707" s="35">
        <v>9.0</v>
      </c>
      <c r="H707" s="35">
        <v>0.0</v>
      </c>
      <c r="I707" s="35">
        <v>0.0</v>
      </c>
      <c r="J707" s="35"/>
      <c r="K707" s="35">
        <v>0.0</v>
      </c>
    </row>
    <row r="708" ht="15.75" customHeight="1">
      <c r="A708" s="35" t="s">
        <v>4587</v>
      </c>
      <c r="B708" s="35"/>
      <c r="C708" s="35">
        <v>29.0</v>
      </c>
      <c r="D708" s="35" t="s">
        <v>4588</v>
      </c>
      <c r="E708" s="35">
        <v>46027.0</v>
      </c>
      <c r="F708" s="35">
        <v>0.0</v>
      </c>
      <c r="G708" s="35">
        <v>1.0</v>
      </c>
      <c r="H708" s="35">
        <v>0.0</v>
      </c>
      <c r="I708" s="35">
        <v>0.0</v>
      </c>
      <c r="J708" s="35"/>
      <c r="K708" s="35">
        <v>0.0</v>
      </c>
    </row>
    <row r="709" ht="15.75" customHeight="1">
      <c r="A709" s="35" t="s">
        <v>4589</v>
      </c>
      <c r="B709" s="35"/>
      <c r="C709" s="35">
        <v>29.0</v>
      </c>
      <c r="D709" s="35" t="s">
        <v>4194</v>
      </c>
      <c r="E709" s="35">
        <v>46027.0</v>
      </c>
      <c r="F709" s="35">
        <v>0.0</v>
      </c>
      <c r="G709" s="35">
        <v>2.0</v>
      </c>
      <c r="H709" s="35">
        <v>0.0</v>
      </c>
      <c r="I709" s="35">
        <v>0.0</v>
      </c>
      <c r="J709" s="35"/>
      <c r="K709" s="35">
        <v>0.0</v>
      </c>
    </row>
    <row r="710" ht="15.75" customHeight="1">
      <c r="A710" s="35" t="s">
        <v>4591</v>
      </c>
      <c r="B710" s="35"/>
      <c r="C710" s="35">
        <v>29.0</v>
      </c>
      <c r="D710" s="35" t="s">
        <v>3967</v>
      </c>
      <c r="E710" s="35">
        <v>46027.0</v>
      </c>
      <c r="F710" s="35">
        <v>0.0</v>
      </c>
      <c r="G710" s="35">
        <v>1.0</v>
      </c>
      <c r="H710" s="35">
        <v>0.0</v>
      </c>
      <c r="I710" s="35">
        <v>0.0</v>
      </c>
      <c r="J710" s="35"/>
      <c r="K710" s="35">
        <v>0.0</v>
      </c>
    </row>
    <row r="711" ht="15.75" customHeight="1">
      <c r="A711" s="35" t="s">
        <v>4592</v>
      </c>
      <c r="B711" s="35"/>
      <c r="C711" s="35">
        <v>29.0</v>
      </c>
      <c r="D711" s="35">
        <v>644.0</v>
      </c>
      <c r="E711" s="35">
        <v>46027.0</v>
      </c>
      <c r="F711" s="35">
        <v>0.0</v>
      </c>
      <c r="G711" s="35">
        <v>2.0</v>
      </c>
      <c r="H711" s="35">
        <v>0.0</v>
      </c>
      <c r="I711" s="35">
        <v>0.0</v>
      </c>
      <c r="J711" s="35"/>
      <c r="K711" s="35">
        <v>0.0</v>
      </c>
    </row>
    <row r="712" ht="15.75" customHeight="1">
      <c r="A712" s="35" t="s">
        <v>4594</v>
      </c>
      <c r="B712" s="35"/>
      <c r="C712" s="35">
        <v>29.0</v>
      </c>
      <c r="D712" s="35" t="s">
        <v>4595</v>
      </c>
      <c r="E712" s="35">
        <v>46027.0</v>
      </c>
      <c r="F712" s="35">
        <v>0.0</v>
      </c>
      <c r="G712" s="35">
        <v>2.0</v>
      </c>
      <c r="H712" s="35">
        <v>0.0</v>
      </c>
      <c r="I712" s="35">
        <v>0.0</v>
      </c>
      <c r="J712" s="35"/>
      <c r="K712" s="35">
        <v>0.0</v>
      </c>
    </row>
    <row r="713" ht="15.75" customHeight="1">
      <c r="A713" s="35" t="s">
        <v>4596</v>
      </c>
      <c r="B713" s="35"/>
      <c r="C713" s="35">
        <v>29.0</v>
      </c>
      <c r="D713" s="35">
        <v>710.0</v>
      </c>
      <c r="E713" s="35">
        <v>46027.0</v>
      </c>
      <c r="F713" s="35">
        <v>0.0</v>
      </c>
      <c r="G713" s="35">
        <v>6.0</v>
      </c>
      <c r="H713" s="35">
        <v>0.0</v>
      </c>
      <c r="I713" s="35">
        <v>0.0</v>
      </c>
      <c r="J713" s="35"/>
      <c r="K713" s="35">
        <v>0.0</v>
      </c>
    </row>
    <row r="714" ht="15.75" customHeight="1">
      <c r="A714" s="35" t="s">
        <v>4597</v>
      </c>
      <c r="B714" s="35"/>
      <c r="C714" s="35">
        <v>29.0</v>
      </c>
      <c r="D714" s="35" t="s">
        <v>4599</v>
      </c>
      <c r="E714" s="35">
        <v>46027.0</v>
      </c>
      <c r="F714" s="35">
        <v>0.0</v>
      </c>
      <c r="G714" s="35">
        <v>3.0</v>
      </c>
      <c r="H714" s="35">
        <v>0.0</v>
      </c>
      <c r="I714" s="35">
        <v>0.0</v>
      </c>
      <c r="J714" s="35"/>
      <c r="K714" s="35">
        <v>0.0</v>
      </c>
    </row>
    <row r="715" ht="15.75" customHeight="1">
      <c r="A715" s="35" t="s">
        <v>4600</v>
      </c>
      <c r="B715" s="35"/>
      <c r="C715" s="35">
        <v>29.0</v>
      </c>
      <c r="D715" s="35" t="s">
        <v>2049</v>
      </c>
      <c r="E715" s="35">
        <v>46027.0</v>
      </c>
      <c r="F715" s="35">
        <v>0.0</v>
      </c>
      <c r="G715" s="35">
        <v>2.0</v>
      </c>
      <c r="H715" s="35">
        <v>0.0</v>
      </c>
      <c r="I715" s="35">
        <v>0.0</v>
      </c>
      <c r="J715" s="35"/>
      <c r="K715" s="35">
        <v>0.0</v>
      </c>
    </row>
    <row r="716" ht="15.75" customHeight="1">
      <c r="A716" s="35" t="s">
        <v>4601</v>
      </c>
      <c r="B716" s="35"/>
      <c r="C716" s="35">
        <v>29.0</v>
      </c>
      <c r="D716" s="35" t="s">
        <v>4602</v>
      </c>
      <c r="E716" s="35">
        <v>46027.0</v>
      </c>
      <c r="F716" s="35">
        <v>0.0</v>
      </c>
      <c r="G716" s="35">
        <v>1293.0</v>
      </c>
      <c r="H716" s="35">
        <v>0.0</v>
      </c>
      <c r="I716" s="35">
        <v>0.0</v>
      </c>
      <c r="J716" s="35"/>
      <c r="K716" s="35">
        <v>0.0</v>
      </c>
    </row>
    <row r="717" ht="15.75" customHeight="1">
      <c r="A717" s="35" t="s">
        <v>4604</v>
      </c>
      <c r="B717" s="35"/>
      <c r="C717" s="35">
        <v>29.0</v>
      </c>
      <c r="D717" s="35" t="s">
        <v>4605</v>
      </c>
      <c r="E717" s="35">
        <v>46027.0</v>
      </c>
      <c r="F717" s="35">
        <v>0.0</v>
      </c>
      <c r="G717" s="35">
        <v>3.0</v>
      </c>
      <c r="H717" s="35">
        <v>0.0</v>
      </c>
      <c r="I717" s="35">
        <v>0.0</v>
      </c>
      <c r="J717" s="35"/>
      <c r="K717" s="35">
        <v>0.0</v>
      </c>
    </row>
    <row r="718" ht="15.75" customHeight="1">
      <c r="A718" s="35" t="s">
        <v>4606</v>
      </c>
      <c r="B718" s="35"/>
      <c r="C718" s="35">
        <v>29.0</v>
      </c>
      <c r="D718" s="35" t="s">
        <v>2033</v>
      </c>
      <c r="E718" s="35">
        <v>46027.0</v>
      </c>
      <c r="F718" s="35">
        <v>0.0</v>
      </c>
      <c r="G718" s="35">
        <v>0.0</v>
      </c>
      <c r="H718" s="35">
        <v>0.0</v>
      </c>
      <c r="I718" s="35">
        <v>1.0</v>
      </c>
      <c r="J718" s="35"/>
      <c r="K718" s="35">
        <v>0.0</v>
      </c>
    </row>
    <row r="719" ht="15.75" customHeight="1">
      <c r="A719" s="35" t="s">
        <v>4608</v>
      </c>
      <c r="B719" s="35"/>
      <c r="C719" s="35">
        <v>29.0</v>
      </c>
      <c r="D719" s="35" t="s">
        <v>4394</v>
      </c>
      <c r="E719" s="35">
        <v>46027.0</v>
      </c>
      <c r="F719" s="35">
        <v>0.0</v>
      </c>
      <c r="G719" s="35">
        <v>0.0</v>
      </c>
      <c r="H719" s="35">
        <v>0.0</v>
      </c>
      <c r="I719" s="35">
        <v>6.0</v>
      </c>
      <c r="J719" s="35"/>
      <c r="K719" s="35">
        <v>0.0</v>
      </c>
    </row>
    <row r="720" ht="15.75" customHeight="1">
      <c r="A720" s="35" t="s">
        <v>4609</v>
      </c>
      <c r="B720" s="35"/>
      <c r="C720" s="35">
        <v>29.0</v>
      </c>
      <c r="D720" s="35">
        <v>237.0</v>
      </c>
      <c r="E720" s="35">
        <v>46027.0</v>
      </c>
      <c r="F720" s="35">
        <v>0.0</v>
      </c>
      <c r="G720" s="35">
        <v>1.0</v>
      </c>
      <c r="H720" s="35">
        <v>0.0</v>
      </c>
      <c r="I720" s="35">
        <v>0.0</v>
      </c>
      <c r="J720" s="35"/>
      <c r="K720" s="35">
        <v>0.0</v>
      </c>
    </row>
    <row r="721" ht="15.75" customHeight="1">
      <c r="A721" s="35" t="s">
        <v>1144</v>
      </c>
      <c r="B721" s="35"/>
      <c r="C721" s="35">
        <v>29.0</v>
      </c>
      <c r="D721" s="35" t="s">
        <v>4197</v>
      </c>
      <c r="E721" s="35">
        <v>46027.0</v>
      </c>
      <c r="F721" s="35">
        <v>0.0</v>
      </c>
      <c r="G721" s="35">
        <v>2.0</v>
      </c>
      <c r="H721" s="35">
        <v>0.0</v>
      </c>
      <c r="I721" s="35">
        <v>0.0</v>
      </c>
      <c r="J721" s="35"/>
      <c r="K721" s="35">
        <v>0.0</v>
      </c>
    </row>
    <row r="722" ht="15.75" customHeight="1">
      <c r="A722" s="35" t="s">
        <v>1148</v>
      </c>
      <c r="B722" s="35"/>
      <c r="C722" s="35">
        <v>29.0</v>
      </c>
      <c r="D722" s="35" t="s">
        <v>4611</v>
      </c>
      <c r="E722" s="35">
        <v>46027.0</v>
      </c>
      <c r="F722" s="35">
        <v>0.0</v>
      </c>
      <c r="G722" s="35">
        <v>8.0</v>
      </c>
      <c r="H722" s="35">
        <v>0.0</v>
      </c>
      <c r="I722" s="35">
        <v>0.0</v>
      </c>
      <c r="J722" s="35"/>
      <c r="K722" s="35">
        <v>0.0</v>
      </c>
    </row>
    <row r="723" ht="15.75" customHeight="1">
      <c r="A723" s="35" t="s">
        <v>4613</v>
      </c>
      <c r="B723" s="35"/>
      <c r="C723" s="35">
        <v>29.0</v>
      </c>
      <c r="D723" s="35" t="s">
        <v>4563</v>
      </c>
      <c r="E723" s="35">
        <v>46027.0</v>
      </c>
      <c r="F723" s="35">
        <v>0.0</v>
      </c>
      <c r="G723" s="35">
        <v>3.0</v>
      </c>
      <c r="H723" s="35">
        <v>0.0</v>
      </c>
      <c r="I723" s="35">
        <v>0.0</v>
      </c>
      <c r="J723" s="35"/>
      <c r="K723" s="35">
        <v>0.0</v>
      </c>
    </row>
    <row r="724" ht="15.75" customHeight="1">
      <c r="A724" s="35" t="s">
        <v>4614</v>
      </c>
      <c r="B724" s="35"/>
      <c r="C724" s="35">
        <v>29.0</v>
      </c>
      <c r="D724" s="35" t="s">
        <v>4538</v>
      </c>
      <c r="E724" s="35">
        <v>46027.0</v>
      </c>
      <c r="F724" s="35">
        <v>0.0</v>
      </c>
      <c r="G724" s="35">
        <v>4.0</v>
      </c>
      <c r="H724" s="35">
        <v>0.0</v>
      </c>
      <c r="I724" s="35">
        <v>0.0</v>
      </c>
      <c r="J724" s="35"/>
      <c r="K724" s="35">
        <v>0.0</v>
      </c>
    </row>
    <row r="725" ht="15.75" customHeight="1">
      <c r="A725" s="35" t="s">
        <v>4615</v>
      </c>
      <c r="B725" s="35"/>
      <c r="C725" s="35">
        <v>29.0</v>
      </c>
      <c r="D725" s="35" t="s">
        <v>4616</v>
      </c>
      <c r="E725" s="35">
        <v>46027.0</v>
      </c>
      <c r="F725" s="35">
        <v>0.0</v>
      </c>
      <c r="G725" s="35">
        <v>2.0</v>
      </c>
      <c r="H725" s="35">
        <v>0.0</v>
      </c>
      <c r="I725" s="35">
        <v>0.0</v>
      </c>
      <c r="J725" s="35"/>
      <c r="K725" s="35">
        <v>0.0</v>
      </c>
    </row>
    <row r="726" ht="15.75" customHeight="1">
      <c r="A726" s="35" t="s">
        <v>4618</v>
      </c>
      <c r="B726" s="35"/>
      <c r="C726" s="35">
        <v>29.0</v>
      </c>
      <c r="D726" s="35">
        <v>335.0</v>
      </c>
      <c r="E726" s="35">
        <v>46027.0</v>
      </c>
      <c r="F726" s="35">
        <v>0.0</v>
      </c>
      <c r="G726" s="35">
        <v>3.0</v>
      </c>
      <c r="H726" s="35">
        <v>0.0</v>
      </c>
      <c r="I726" s="35">
        <v>0.0</v>
      </c>
      <c r="J726" s="35"/>
      <c r="K726" s="35">
        <v>0.0</v>
      </c>
    </row>
    <row r="727" ht="15.75" customHeight="1">
      <c r="A727" s="35" t="s">
        <v>4619</v>
      </c>
      <c r="B727" s="35"/>
      <c r="C727" s="35">
        <v>29.0</v>
      </c>
      <c r="D727" s="35" t="s">
        <v>2479</v>
      </c>
      <c r="E727" s="35">
        <v>46027.0</v>
      </c>
      <c r="F727" s="35">
        <v>0.0</v>
      </c>
      <c r="G727" s="35">
        <v>3.0</v>
      </c>
      <c r="H727" s="35">
        <v>0.0</v>
      </c>
      <c r="I727" s="35">
        <v>0.0</v>
      </c>
      <c r="J727" s="35"/>
      <c r="K727" s="35">
        <v>0.0</v>
      </c>
    </row>
    <row r="728" ht="15.75" customHeight="1">
      <c r="A728" s="35" t="s">
        <v>4621</v>
      </c>
      <c r="B728" s="35"/>
      <c r="C728" s="35">
        <v>29.0</v>
      </c>
      <c r="D728" s="35" t="s">
        <v>4622</v>
      </c>
      <c r="E728" s="35">
        <v>46027.0</v>
      </c>
      <c r="F728" s="35">
        <v>0.0</v>
      </c>
      <c r="G728" s="35">
        <v>0.0</v>
      </c>
      <c r="H728" s="35">
        <v>0.0</v>
      </c>
      <c r="I728" s="35">
        <v>34.0</v>
      </c>
      <c r="J728" s="35"/>
      <c r="K728" s="35">
        <v>0.0</v>
      </c>
    </row>
    <row r="729" ht="15.75" customHeight="1">
      <c r="A729" s="35" t="s">
        <v>4623</v>
      </c>
      <c r="B729" s="35"/>
      <c r="C729" s="35">
        <v>29.0</v>
      </c>
      <c r="D729" s="35" t="s">
        <v>4624</v>
      </c>
      <c r="E729" s="35">
        <v>46027.0</v>
      </c>
      <c r="F729" s="35">
        <v>0.0</v>
      </c>
      <c r="G729" s="35">
        <v>5.0</v>
      </c>
      <c r="H729" s="35">
        <v>0.0</v>
      </c>
      <c r="I729" s="35">
        <v>0.0</v>
      </c>
      <c r="J729" s="35"/>
      <c r="K729" s="35">
        <v>0.0</v>
      </c>
    </row>
    <row r="730" ht="15.75" customHeight="1">
      <c r="A730" s="35" t="s">
        <v>4626</v>
      </c>
      <c r="B730" s="35"/>
      <c r="C730" s="35">
        <v>29.0</v>
      </c>
      <c r="D730" s="35" t="s">
        <v>4433</v>
      </c>
      <c r="E730" s="35">
        <v>46027.0</v>
      </c>
      <c r="F730" s="35">
        <v>0.0</v>
      </c>
      <c r="G730" s="35">
        <v>1.0</v>
      </c>
      <c r="H730" s="35">
        <v>0.0</v>
      </c>
      <c r="I730" s="35">
        <v>0.0</v>
      </c>
      <c r="J730" s="35"/>
      <c r="K730" s="35">
        <v>0.0</v>
      </c>
    </row>
    <row r="731" ht="15.75" customHeight="1">
      <c r="A731" s="35" t="s">
        <v>1152</v>
      </c>
      <c r="B731" s="35"/>
      <c r="C731" s="35">
        <v>29.0</v>
      </c>
      <c r="D731" s="35" t="s">
        <v>4456</v>
      </c>
      <c r="E731" s="35">
        <v>46027.0</v>
      </c>
      <c r="F731" s="35">
        <v>0.0</v>
      </c>
      <c r="G731" s="35">
        <v>26.0</v>
      </c>
      <c r="H731" s="35">
        <v>0.0</v>
      </c>
      <c r="I731" s="35">
        <v>0.0</v>
      </c>
      <c r="J731" s="35"/>
      <c r="K731" s="35">
        <v>0.0</v>
      </c>
    </row>
    <row r="732" ht="15.75" customHeight="1">
      <c r="A732" s="35" t="s">
        <v>4628</v>
      </c>
      <c r="B732" s="35"/>
      <c r="C732" s="35">
        <v>29.0</v>
      </c>
      <c r="D732" s="35" t="s">
        <v>4629</v>
      </c>
      <c r="E732" s="35">
        <v>46027.0</v>
      </c>
      <c r="F732" s="35">
        <v>0.0</v>
      </c>
      <c r="G732" s="35">
        <v>9.0</v>
      </c>
      <c r="H732" s="35">
        <v>0.0</v>
      </c>
      <c r="I732" s="35">
        <v>0.0</v>
      </c>
      <c r="J732" s="35"/>
      <c r="K732" s="35">
        <v>0.0</v>
      </c>
    </row>
    <row r="733" ht="15.75" customHeight="1">
      <c r="A733" s="35" t="s">
        <v>4630</v>
      </c>
      <c r="B733" s="35"/>
      <c r="C733" s="35">
        <v>29.0</v>
      </c>
      <c r="D733" s="35" t="s">
        <v>4631</v>
      </c>
      <c r="E733" s="35">
        <v>46027.0</v>
      </c>
      <c r="F733" s="35">
        <v>0.0</v>
      </c>
      <c r="G733" s="35">
        <v>4.0</v>
      </c>
      <c r="H733" s="35">
        <v>0.0</v>
      </c>
      <c r="I733" s="35">
        <v>0.0</v>
      </c>
      <c r="J733" s="35"/>
      <c r="K733" s="35">
        <v>0.0</v>
      </c>
    </row>
    <row r="734" ht="15.75" customHeight="1">
      <c r="A734" s="35" t="s">
        <v>4632</v>
      </c>
      <c r="B734" s="35"/>
      <c r="C734" s="35">
        <v>29.0</v>
      </c>
      <c r="D734" s="35" t="s">
        <v>4599</v>
      </c>
      <c r="E734" s="35">
        <v>46027.0</v>
      </c>
      <c r="F734" s="35">
        <v>0.0</v>
      </c>
      <c r="G734" s="35">
        <v>5.0</v>
      </c>
      <c r="H734" s="35">
        <v>0.0</v>
      </c>
      <c r="I734" s="35">
        <v>0.0</v>
      </c>
      <c r="J734" s="35"/>
      <c r="K734" s="35">
        <v>0.0</v>
      </c>
    </row>
    <row r="735" ht="15.75" customHeight="1">
      <c r="A735" s="35" t="s">
        <v>1154</v>
      </c>
      <c r="B735" s="35"/>
      <c r="C735" s="35">
        <v>29.0</v>
      </c>
      <c r="D735" s="35" t="s">
        <v>2021</v>
      </c>
      <c r="E735" s="35">
        <v>46027.0</v>
      </c>
      <c r="F735" s="35">
        <v>0.0</v>
      </c>
      <c r="G735" s="35">
        <v>9.0</v>
      </c>
      <c r="H735" s="35">
        <v>0.0</v>
      </c>
      <c r="I735" s="35">
        <v>0.0</v>
      </c>
      <c r="J735" s="35"/>
      <c r="K735" s="35">
        <v>0.0</v>
      </c>
    </row>
    <row r="736" ht="15.75" customHeight="1">
      <c r="A736" s="35" t="s">
        <v>4634</v>
      </c>
      <c r="B736" s="35"/>
      <c r="C736" s="35">
        <v>29.0</v>
      </c>
      <c r="D736" s="35" t="s">
        <v>4635</v>
      </c>
      <c r="E736" s="35">
        <v>46027.0</v>
      </c>
      <c r="F736" s="35">
        <v>0.0</v>
      </c>
      <c r="G736" s="35">
        <v>4.0</v>
      </c>
      <c r="H736" s="35">
        <v>0.0</v>
      </c>
      <c r="I736" s="35">
        <v>0.0</v>
      </c>
      <c r="J736" s="35"/>
      <c r="K736" s="35">
        <v>0.0</v>
      </c>
    </row>
    <row r="737" ht="15.75" customHeight="1">
      <c r="A737" s="35" t="s">
        <v>4636</v>
      </c>
      <c r="B737" s="35"/>
      <c r="C737" s="35">
        <v>29.0</v>
      </c>
      <c r="D737" s="35" t="s">
        <v>4637</v>
      </c>
      <c r="E737" s="35">
        <v>46027.0</v>
      </c>
      <c r="F737" s="35">
        <v>0.0</v>
      </c>
      <c r="G737" s="35">
        <v>2.0</v>
      </c>
      <c r="H737" s="35">
        <v>0.0</v>
      </c>
      <c r="I737" s="35">
        <v>0.0</v>
      </c>
      <c r="J737" s="35"/>
      <c r="K737" s="35">
        <v>0.0</v>
      </c>
    </row>
    <row r="738" ht="15.75" customHeight="1">
      <c r="A738" s="35" t="s">
        <v>4639</v>
      </c>
      <c r="B738" s="35"/>
      <c r="C738" s="35">
        <v>29.0</v>
      </c>
      <c r="D738" s="35" t="s">
        <v>4640</v>
      </c>
      <c r="E738" s="35">
        <v>46027.0</v>
      </c>
      <c r="F738" s="35">
        <v>0.0</v>
      </c>
      <c r="G738" s="35">
        <v>3.0</v>
      </c>
      <c r="H738" s="35">
        <v>0.0</v>
      </c>
      <c r="I738" s="35">
        <v>0.0</v>
      </c>
      <c r="J738" s="35"/>
      <c r="K738" s="35">
        <v>0.0</v>
      </c>
    </row>
    <row r="739" ht="15.75" customHeight="1">
      <c r="A739" s="35" t="s">
        <v>4641</v>
      </c>
      <c r="B739" s="35"/>
      <c r="C739" s="35">
        <v>29.0</v>
      </c>
      <c r="D739" s="35" t="s">
        <v>4642</v>
      </c>
      <c r="E739" s="35">
        <v>46027.0</v>
      </c>
      <c r="F739" s="35">
        <v>0.0</v>
      </c>
      <c r="G739" s="35">
        <v>2.0</v>
      </c>
      <c r="H739" s="35">
        <v>0.0</v>
      </c>
      <c r="I739" s="35">
        <v>0.0</v>
      </c>
      <c r="J739" s="35"/>
      <c r="K739" s="35">
        <v>0.0</v>
      </c>
    </row>
    <row r="740" ht="15.75" customHeight="1">
      <c r="A740" s="35" t="s">
        <v>4644</v>
      </c>
      <c r="B740" s="35"/>
      <c r="C740" s="35">
        <v>29.0</v>
      </c>
      <c r="D740" s="35" t="s">
        <v>2034</v>
      </c>
      <c r="E740" s="35">
        <v>46027.0</v>
      </c>
      <c r="F740" s="35">
        <v>0.0</v>
      </c>
      <c r="G740" s="35">
        <v>2.0</v>
      </c>
      <c r="H740" s="35">
        <v>0.0</v>
      </c>
      <c r="I740" s="35">
        <v>0.0</v>
      </c>
      <c r="J740" s="35"/>
      <c r="K740" s="35">
        <v>0.0</v>
      </c>
    </row>
    <row r="741" ht="15.75" customHeight="1">
      <c r="A741" s="35" t="s">
        <v>4645</v>
      </c>
      <c r="B741" s="35"/>
      <c r="C741" s="35">
        <v>29.0</v>
      </c>
      <c r="D741" s="35" t="s">
        <v>4646</v>
      </c>
      <c r="E741" s="35">
        <v>46027.0</v>
      </c>
      <c r="F741" s="35">
        <v>0.0</v>
      </c>
      <c r="G741" s="35">
        <v>8.0</v>
      </c>
      <c r="H741" s="35">
        <v>0.0</v>
      </c>
      <c r="I741" s="35">
        <v>0.0</v>
      </c>
      <c r="J741" s="35"/>
      <c r="K741" s="35">
        <v>0.0</v>
      </c>
    </row>
    <row r="742" ht="15.75" customHeight="1">
      <c r="A742" s="35" t="s">
        <v>4647</v>
      </c>
      <c r="B742" s="35"/>
      <c r="C742" s="35">
        <v>29.0</v>
      </c>
      <c r="D742" s="35" t="s">
        <v>3725</v>
      </c>
      <c r="E742" s="35">
        <v>46027.0</v>
      </c>
      <c r="F742" s="35">
        <v>0.0</v>
      </c>
      <c r="G742" s="35">
        <v>1.0</v>
      </c>
      <c r="H742" s="35">
        <v>0.0</v>
      </c>
      <c r="I742" s="35">
        <v>0.0</v>
      </c>
      <c r="J742" s="35"/>
      <c r="K742" s="35">
        <v>0.0</v>
      </c>
    </row>
    <row r="743" ht="15.75" customHeight="1">
      <c r="A743" s="35" t="s">
        <v>4649</v>
      </c>
      <c r="B743" s="35"/>
      <c r="C743" s="35">
        <v>28.0</v>
      </c>
      <c r="D743" s="35" t="s">
        <v>4650</v>
      </c>
      <c r="E743" s="35">
        <v>46058.0</v>
      </c>
      <c r="F743" s="35">
        <v>0.0</v>
      </c>
      <c r="G743" s="35">
        <v>19.0</v>
      </c>
      <c r="H743" s="35">
        <v>12.0</v>
      </c>
      <c r="I743" s="35">
        <v>0.0</v>
      </c>
      <c r="J743" s="35"/>
      <c r="K743" s="35">
        <v>0.0</v>
      </c>
    </row>
    <row r="744" ht="15.75" customHeight="1">
      <c r="A744" s="35" t="s">
        <v>4651</v>
      </c>
      <c r="B744" s="35"/>
      <c r="C744" s="35">
        <v>28.0</v>
      </c>
      <c r="D744" s="35">
        <v>810.0</v>
      </c>
      <c r="E744" s="35">
        <v>46058.0</v>
      </c>
      <c r="F744" s="35">
        <v>0.0</v>
      </c>
      <c r="G744" s="35">
        <v>0.0</v>
      </c>
      <c r="H744" s="35">
        <v>1.0</v>
      </c>
      <c r="I744" s="35">
        <v>3.0</v>
      </c>
      <c r="J744" s="35"/>
      <c r="K744" s="35">
        <v>0.0</v>
      </c>
    </row>
    <row r="745" ht="15.75" customHeight="1">
      <c r="A745" s="35" t="s">
        <v>4653</v>
      </c>
      <c r="B745" s="35"/>
      <c r="C745" s="35">
        <v>28.0</v>
      </c>
      <c r="D745" s="35" t="s">
        <v>4049</v>
      </c>
      <c r="E745" s="35">
        <v>46058.0</v>
      </c>
      <c r="F745" s="35">
        <v>0.0</v>
      </c>
      <c r="G745" s="35">
        <v>2.0</v>
      </c>
      <c r="H745" s="35">
        <v>0.0</v>
      </c>
      <c r="I745" s="35">
        <v>1.0</v>
      </c>
      <c r="J745" s="35"/>
      <c r="K745" s="35">
        <v>0.0</v>
      </c>
    </row>
    <row r="746" ht="15.75" customHeight="1">
      <c r="A746" s="35" t="s">
        <v>4654</v>
      </c>
      <c r="B746" s="35"/>
      <c r="C746" s="35">
        <v>28.0</v>
      </c>
      <c r="D746" s="35" t="s">
        <v>4655</v>
      </c>
      <c r="E746" s="35">
        <v>46027.0</v>
      </c>
      <c r="F746" s="35">
        <v>0.0</v>
      </c>
      <c r="G746" s="35">
        <v>15.0</v>
      </c>
      <c r="H746" s="35">
        <v>0.0</v>
      </c>
      <c r="I746" s="35">
        <v>0.0</v>
      </c>
      <c r="J746" s="35"/>
      <c r="K746" s="35">
        <v>0.0</v>
      </c>
    </row>
    <row r="747" ht="15.75" customHeight="1">
      <c r="A747" s="35" t="s">
        <v>4657</v>
      </c>
      <c r="B747" s="35"/>
      <c r="C747" s="35">
        <v>28.0</v>
      </c>
      <c r="D747" s="35" t="s">
        <v>4658</v>
      </c>
      <c r="E747" s="35">
        <v>46027.0</v>
      </c>
      <c r="F747" s="35">
        <v>0.0</v>
      </c>
      <c r="G747" s="35">
        <v>0.0</v>
      </c>
      <c r="H747" s="35">
        <v>4.0</v>
      </c>
      <c r="I747" s="35">
        <v>0.0</v>
      </c>
      <c r="J747" s="35"/>
      <c r="K747" s="35">
        <v>0.0</v>
      </c>
    </row>
    <row r="748" ht="15.75" customHeight="1">
      <c r="A748" s="35" t="s">
        <v>4659</v>
      </c>
      <c r="B748" s="35"/>
      <c r="C748" s="35">
        <v>28.0</v>
      </c>
      <c r="D748" s="35" t="s">
        <v>2056</v>
      </c>
      <c r="E748" s="35">
        <v>46027.0</v>
      </c>
      <c r="F748" s="35">
        <v>0.0</v>
      </c>
      <c r="G748" s="35">
        <v>1.0</v>
      </c>
      <c r="H748" s="35">
        <v>0.0</v>
      </c>
      <c r="I748" s="35">
        <v>0.0</v>
      </c>
      <c r="J748" s="35"/>
      <c r="K748" s="35">
        <v>0.0</v>
      </c>
    </row>
    <row r="749" ht="15.75" customHeight="1">
      <c r="A749" s="35" t="s">
        <v>4661</v>
      </c>
      <c r="B749" s="35"/>
      <c r="C749" s="35">
        <v>28.0</v>
      </c>
      <c r="D749" s="35" t="s">
        <v>2049</v>
      </c>
      <c r="E749" s="35">
        <v>46027.0</v>
      </c>
      <c r="F749" s="35">
        <v>0.0</v>
      </c>
      <c r="G749" s="35">
        <v>0.0</v>
      </c>
      <c r="H749" s="35">
        <v>1.0</v>
      </c>
      <c r="I749" s="35">
        <v>0.0</v>
      </c>
      <c r="J749" s="35"/>
      <c r="K749" s="35">
        <v>0.0</v>
      </c>
    </row>
    <row r="750" ht="15.75" customHeight="1">
      <c r="A750" s="35" t="s">
        <v>4662</v>
      </c>
      <c r="B750" s="35"/>
      <c r="C750" s="35">
        <v>28.0</v>
      </c>
      <c r="D750" s="35" t="s">
        <v>3600</v>
      </c>
      <c r="E750" s="35">
        <v>46027.0</v>
      </c>
      <c r="F750" s="35">
        <v>0.0</v>
      </c>
      <c r="G750" s="35">
        <v>1.0</v>
      </c>
      <c r="H750" s="35">
        <v>0.0</v>
      </c>
      <c r="I750" s="35">
        <v>0.0</v>
      </c>
      <c r="J750" s="35"/>
      <c r="K750" s="35">
        <v>0.0</v>
      </c>
    </row>
    <row r="751" ht="15.75" customHeight="1">
      <c r="A751" s="35" t="s">
        <v>4663</v>
      </c>
      <c r="B751" s="35"/>
      <c r="C751" s="35">
        <v>28.0</v>
      </c>
      <c r="D751" s="35" t="s">
        <v>2040</v>
      </c>
      <c r="E751" s="35">
        <v>46027.0</v>
      </c>
      <c r="F751" s="35">
        <v>0.0</v>
      </c>
      <c r="G751" s="35">
        <v>1.0</v>
      </c>
      <c r="H751" s="35">
        <v>0.0</v>
      </c>
      <c r="I751" s="35">
        <v>0.0</v>
      </c>
      <c r="J751" s="35"/>
      <c r="K751" s="35">
        <v>0.0</v>
      </c>
    </row>
    <row r="752" ht="15.75" customHeight="1">
      <c r="A752" s="35" t="s">
        <v>4665</v>
      </c>
      <c r="B752" s="35"/>
      <c r="C752" s="35">
        <v>28.0</v>
      </c>
      <c r="D752" s="35" t="s">
        <v>4666</v>
      </c>
      <c r="E752" s="35">
        <v>46027.0</v>
      </c>
      <c r="F752" s="35">
        <v>0.0</v>
      </c>
      <c r="G752" s="35">
        <v>0.0</v>
      </c>
      <c r="H752" s="35">
        <v>73.0</v>
      </c>
      <c r="I752" s="35">
        <v>0.0</v>
      </c>
      <c r="J752" s="35"/>
      <c r="K752" s="35">
        <v>0.0</v>
      </c>
    </row>
    <row r="753" ht="15.75" customHeight="1">
      <c r="A753" s="35" t="s">
        <v>4667</v>
      </c>
      <c r="B753" s="35"/>
      <c r="C753" s="35">
        <v>28.0</v>
      </c>
      <c r="D753" s="35" t="s">
        <v>2040</v>
      </c>
      <c r="E753" s="35">
        <v>46027.0</v>
      </c>
      <c r="F753" s="35">
        <v>0.0</v>
      </c>
      <c r="G753" s="35">
        <v>2.0</v>
      </c>
      <c r="H753" s="35">
        <v>0.0</v>
      </c>
      <c r="I753" s="35">
        <v>0.0</v>
      </c>
      <c r="J753" s="35"/>
      <c r="K753" s="35">
        <v>0.0</v>
      </c>
    </row>
    <row r="754" ht="15.75" customHeight="1">
      <c r="A754" s="35" t="s">
        <v>1158</v>
      </c>
      <c r="B754" s="35"/>
      <c r="C754" s="35">
        <v>28.0</v>
      </c>
      <c r="D754" s="35" t="s">
        <v>3577</v>
      </c>
      <c r="E754" s="35">
        <v>46027.0</v>
      </c>
      <c r="F754" s="35">
        <v>0.0</v>
      </c>
      <c r="G754" s="35">
        <v>17.0</v>
      </c>
      <c r="H754" s="35">
        <v>0.0</v>
      </c>
      <c r="I754" s="35">
        <v>0.0</v>
      </c>
      <c r="J754" s="35"/>
      <c r="K754" s="35">
        <v>0.0</v>
      </c>
    </row>
    <row r="755" ht="15.75" customHeight="1">
      <c r="A755" s="35" t="s">
        <v>4670</v>
      </c>
      <c r="B755" s="35"/>
      <c r="C755" s="35">
        <v>28.0</v>
      </c>
      <c r="D755" s="35" t="s">
        <v>4416</v>
      </c>
      <c r="E755" s="35">
        <v>46027.0</v>
      </c>
      <c r="F755" s="35">
        <v>0.0</v>
      </c>
      <c r="G755" s="35">
        <v>0.0</v>
      </c>
      <c r="H755" s="35">
        <v>1.0</v>
      </c>
      <c r="I755" s="35">
        <v>0.0</v>
      </c>
      <c r="J755" s="35"/>
      <c r="K755" s="35">
        <v>0.0</v>
      </c>
    </row>
    <row r="756" ht="15.75" customHeight="1">
      <c r="A756" s="35" t="s">
        <v>4671</v>
      </c>
      <c r="B756" s="35"/>
      <c r="C756" s="35">
        <v>28.0</v>
      </c>
      <c r="D756" s="35" t="s">
        <v>2010</v>
      </c>
      <c r="E756" s="35">
        <v>46027.0</v>
      </c>
      <c r="F756" s="35">
        <v>0.0</v>
      </c>
      <c r="G756" s="35">
        <v>0.0</v>
      </c>
      <c r="H756" s="35">
        <v>1.0</v>
      </c>
      <c r="I756" s="35">
        <v>0.0</v>
      </c>
      <c r="J756" s="35"/>
      <c r="K756" s="35">
        <v>0.0</v>
      </c>
    </row>
    <row r="757" ht="15.75" customHeight="1">
      <c r="A757" s="35" t="s">
        <v>1162</v>
      </c>
      <c r="B757" s="35"/>
      <c r="C757" s="35">
        <v>28.0</v>
      </c>
      <c r="D757" s="35" t="s">
        <v>1964</v>
      </c>
      <c r="E757" s="35">
        <v>46027.0</v>
      </c>
      <c r="F757" s="35">
        <v>0.0</v>
      </c>
      <c r="G757" s="35">
        <v>1.0</v>
      </c>
      <c r="H757" s="35">
        <v>0.0</v>
      </c>
      <c r="I757" s="35">
        <v>0.0</v>
      </c>
      <c r="J757" s="35"/>
      <c r="K757" s="35">
        <v>0.0</v>
      </c>
    </row>
    <row r="758" ht="15.75" customHeight="1">
      <c r="A758" s="35" t="s">
        <v>4673</v>
      </c>
      <c r="B758" s="35"/>
      <c r="C758" s="35">
        <v>28.0</v>
      </c>
      <c r="D758" s="35">
        <v>793.0</v>
      </c>
      <c r="E758" s="35">
        <v>46027.0</v>
      </c>
      <c r="F758" s="35">
        <v>0.0</v>
      </c>
      <c r="G758" s="35">
        <v>0.0</v>
      </c>
      <c r="H758" s="35">
        <v>13.0</v>
      </c>
      <c r="I758" s="35">
        <v>0.0</v>
      </c>
      <c r="J758" s="35"/>
      <c r="K758" s="35">
        <v>0.0</v>
      </c>
    </row>
    <row r="759" ht="15.75" customHeight="1">
      <c r="A759" s="35" t="s">
        <v>1166</v>
      </c>
      <c r="B759" s="35"/>
      <c r="C759" s="35">
        <v>28.0</v>
      </c>
      <c r="D759" s="35" t="s">
        <v>4642</v>
      </c>
      <c r="E759" s="35">
        <v>46027.0</v>
      </c>
      <c r="F759" s="35">
        <v>0.0</v>
      </c>
      <c r="G759" s="35">
        <v>1.0</v>
      </c>
      <c r="H759" s="35">
        <v>0.0</v>
      </c>
      <c r="I759" s="35">
        <v>0.0</v>
      </c>
      <c r="J759" s="35"/>
      <c r="K759" s="35">
        <v>0.0</v>
      </c>
    </row>
    <row r="760" ht="15.75" customHeight="1">
      <c r="A760" s="35" t="s">
        <v>4675</v>
      </c>
      <c r="B760" s="35"/>
      <c r="C760" s="35">
        <v>28.0</v>
      </c>
      <c r="D760" s="35" t="s">
        <v>4676</v>
      </c>
      <c r="E760" s="35">
        <v>46027.0</v>
      </c>
      <c r="F760" s="35">
        <v>0.0</v>
      </c>
      <c r="G760" s="35">
        <v>1.0</v>
      </c>
      <c r="H760" s="35">
        <v>0.0</v>
      </c>
      <c r="I760" s="35">
        <v>0.0</v>
      </c>
      <c r="J760" s="35"/>
      <c r="K760" s="35">
        <v>0.0</v>
      </c>
    </row>
    <row r="761" ht="15.75" customHeight="1">
      <c r="A761" s="35" t="s">
        <v>4677</v>
      </c>
      <c r="B761" s="35"/>
      <c r="C761" s="35">
        <v>28.0</v>
      </c>
      <c r="D761" s="35" t="s">
        <v>4678</v>
      </c>
      <c r="E761" s="35">
        <v>46027.0</v>
      </c>
      <c r="F761" s="35">
        <v>0.0</v>
      </c>
      <c r="G761" s="35">
        <v>1.0</v>
      </c>
      <c r="H761" s="35">
        <v>0.0</v>
      </c>
      <c r="I761" s="35">
        <v>0.0</v>
      </c>
      <c r="J761" s="35"/>
      <c r="K761" s="35">
        <v>0.0</v>
      </c>
    </row>
    <row r="762" ht="15.75" customHeight="1">
      <c r="A762" s="35" t="s">
        <v>4680</v>
      </c>
      <c r="B762" s="35"/>
      <c r="C762" s="35">
        <v>28.0</v>
      </c>
      <c r="D762" s="35" t="s">
        <v>3214</v>
      </c>
      <c r="E762" s="35">
        <v>46027.0</v>
      </c>
      <c r="F762" s="35">
        <v>0.0</v>
      </c>
      <c r="G762" s="35">
        <v>1.0</v>
      </c>
      <c r="H762" s="35">
        <v>0.0</v>
      </c>
      <c r="I762" s="35">
        <v>0.0</v>
      </c>
      <c r="J762" s="35"/>
      <c r="K762" s="35">
        <v>0.0</v>
      </c>
    </row>
    <row r="763" ht="15.75" customHeight="1">
      <c r="A763" s="35" t="s">
        <v>4681</v>
      </c>
      <c r="B763" s="35"/>
      <c r="C763" s="35">
        <v>28.0</v>
      </c>
      <c r="D763" s="35" t="s">
        <v>4546</v>
      </c>
      <c r="E763" s="35">
        <v>46027.0</v>
      </c>
      <c r="F763" s="35">
        <v>0.0</v>
      </c>
      <c r="G763" s="35">
        <v>6.0</v>
      </c>
      <c r="H763" s="35">
        <v>0.0</v>
      </c>
      <c r="I763" s="35">
        <v>0.0</v>
      </c>
      <c r="J763" s="35"/>
      <c r="K763" s="35">
        <v>0.0</v>
      </c>
    </row>
    <row r="764" ht="15.75" customHeight="1">
      <c r="A764" s="35" t="s">
        <v>4683</v>
      </c>
      <c r="B764" s="35"/>
      <c r="C764" s="35">
        <v>28.0</v>
      </c>
      <c r="D764" s="35" t="s">
        <v>4684</v>
      </c>
      <c r="E764" s="35">
        <v>46027.0</v>
      </c>
      <c r="F764" s="35">
        <v>0.0</v>
      </c>
      <c r="G764" s="35">
        <v>4.0</v>
      </c>
      <c r="H764" s="35">
        <v>0.0</v>
      </c>
      <c r="I764" s="35">
        <v>0.0</v>
      </c>
      <c r="J764" s="35"/>
      <c r="K764" s="35">
        <v>0.0</v>
      </c>
    </row>
    <row r="765" ht="15.75" customHeight="1">
      <c r="A765" s="35" t="s">
        <v>4685</v>
      </c>
      <c r="B765" s="35"/>
      <c r="C765" s="35">
        <v>28.0</v>
      </c>
      <c r="D765" s="35" t="s">
        <v>4103</v>
      </c>
      <c r="E765" s="35">
        <v>46027.0</v>
      </c>
      <c r="F765" s="35">
        <v>0.0</v>
      </c>
      <c r="G765" s="35">
        <v>8.0</v>
      </c>
      <c r="H765" s="35">
        <v>0.0</v>
      </c>
      <c r="I765" s="35">
        <v>0.0</v>
      </c>
      <c r="J765" s="35"/>
      <c r="K765" s="35">
        <v>0.0</v>
      </c>
    </row>
    <row r="766" ht="15.75" customHeight="1">
      <c r="A766" s="35" t="s">
        <v>1170</v>
      </c>
      <c r="B766" s="35"/>
      <c r="C766" s="35">
        <v>28.0</v>
      </c>
      <c r="D766" s="35" t="s">
        <v>1964</v>
      </c>
      <c r="E766" s="35">
        <v>46027.0</v>
      </c>
      <c r="F766" s="35">
        <v>0.0</v>
      </c>
      <c r="G766" s="35">
        <v>52.0</v>
      </c>
      <c r="H766" s="35">
        <v>0.0</v>
      </c>
      <c r="I766" s="35">
        <v>0.0</v>
      </c>
      <c r="J766" s="35"/>
      <c r="K766" s="35">
        <v>0.0</v>
      </c>
    </row>
    <row r="767" ht="15.75" customHeight="1">
      <c r="A767" s="35" t="s">
        <v>4687</v>
      </c>
      <c r="B767" s="35"/>
      <c r="C767" s="35">
        <v>28.0</v>
      </c>
      <c r="D767" s="35" t="s">
        <v>4602</v>
      </c>
      <c r="E767" s="35">
        <v>46027.0</v>
      </c>
      <c r="F767" s="35">
        <v>0.0</v>
      </c>
      <c r="G767" s="35">
        <v>3.0</v>
      </c>
      <c r="H767" s="35">
        <v>0.0</v>
      </c>
      <c r="I767" s="35">
        <v>0.0</v>
      </c>
      <c r="J767" s="35"/>
      <c r="K767" s="35">
        <v>0.0</v>
      </c>
    </row>
    <row r="768" ht="15.75" customHeight="1">
      <c r="A768" s="35" t="s">
        <v>1172</v>
      </c>
      <c r="B768" s="35"/>
      <c r="C768" s="35">
        <v>28.0</v>
      </c>
      <c r="D768" s="35" t="s">
        <v>4538</v>
      </c>
      <c r="E768" s="35">
        <v>46027.0</v>
      </c>
      <c r="F768" s="35">
        <v>0.0</v>
      </c>
      <c r="G768" s="35">
        <v>7.0</v>
      </c>
      <c r="H768" s="35">
        <v>0.0</v>
      </c>
      <c r="I768" s="35">
        <v>0.0</v>
      </c>
      <c r="J768" s="35"/>
      <c r="K768" s="35">
        <v>0.0</v>
      </c>
    </row>
    <row r="769" ht="15.75" customHeight="1">
      <c r="A769" s="35" t="s">
        <v>1176</v>
      </c>
      <c r="B769" s="35"/>
      <c r="C769" s="35">
        <v>28.0</v>
      </c>
      <c r="D769" s="35" t="s">
        <v>4521</v>
      </c>
      <c r="E769" s="35">
        <v>46027.0</v>
      </c>
      <c r="F769" s="35">
        <v>0.0</v>
      </c>
      <c r="G769" s="35">
        <v>0.0</v>
      </c>
      <c r="H769" s="35">
        <v>1.0</v>
      </c>
      <c r="I769" s="35">
        <v>0.0</v>
      </c>
      <c r="J769" s="35"/>
      <c r="K769" s="35">
        <v>0.0</v>
      </c>
    </row>
    <row r="770" ht="15.75" customHeight="1">
      <c r="A770" s="35" t="s">
        <v>4689</v>
      </c>
      <c r="B770" s="35"/>
      <c r="C770" s="35">
        <v>28.0</v>
      </c>
      <c r="D770" s="35" t="s">
        <v>3311</v>
      </c>
      <c r="E770" s="35">
        <v>46027.0</v>
      </c>
      <c r="F770" s="35">
        <v>0.0</v>
      </c>
      <c r="G770" s="35">
        <v>1.0</v>
      </c>
      <c r="H770" s="35">
        <v>0.0</v>
      </c>
      <c r="I770" s="35">
        <v>0.0</v>
      </c>
      <c r="J770" s="35"/>
      <c r="K770" s="35">
        <v>0.0</v>
      </c>
    </row>
    <row r="771" ht="15.75" customHeight="1">
      <c r="A771" s="35" t="s">
        <v>4691</v>
      </c>
      <c r="B771" s="35"/>
      <c r="C771" s="35">
        <v>28.0</v>
      </c>
      <c r="D771" s="35" t="s">
        <v>4692</v>
      </c>
      <c r="E771" s="35">
        <v>46027.0</v>
      </c>
      <c r="F771" s="35">
        <v>0.0</v>
      </c>
      <c r="G771" s="35">
        <v>3.0</v>
      </c>
      <c r="H771" s="35">
        <v>0.0</v>
      </c>
      <c r="I771" s="35">
        <v>0.0</v>
      </c>
      <c r="J771" s="35"/>
      <c r="K771" s="35">
        <v>0.0</v>
      </c>
    </row>
    <row r="772" ht="15.75" customHeight="1">
      <c r="A772" s="35" t="s">
        <v>4693</v>
      </c>
      <c r="B772" s="35"/>
      <c r="C772" s="35">
        <v>28.0</v>
      </c>
      <c r="D772" s="35" t="s">
        <v>4694</v>
      </c>
      <c r="E772" s="35">
        <v>46027.0</v>
      </c>
      <c r="F772" s="35">
        <v>0.0</v>
      </c>
      <c r="G772" s="35">
        <v>42.0</v>
      </c>
      <c r="H772" s="35">
        <v>0.0</v>
      </c>
      <c r="I772" s="35">
        <v>0.0</v>
      </c>
      <c r="J772" s="35"/>
      <c r="K772" s="35">
        <v>0.0</v>
      </c>
    </row>
    <row r="773" ht="15.75" customHeight="1">
      <c r="A773" s="35" t="s">
        <v>4696</v>
      </c>
      <c r="B773" s="35"/>
      <c r="C773" s="35">
        <v>28.0</v>
      </c>
      <c r="D773" s="35" t="s">
        <v>4697</v>
      </c>
      <c r="E773" s="35">
        <v>46027.0</v>
      </c>
      <c r="F773" s="35">
        <v>0.0</v>
      </c>
      <c r="G773" s="35">
        <v>10.0</v>
      </c>
      <c r="H773" s="35">
        <v>0.0</v>
      </c>
      <c r="I773" s="35">
        <v>0.0</v>
      </c>
      <c r="J773" s="35"/>
      <c r="K773" s="35">
        <v>0.0</v>
      </c>
    </row>
    <row r="774" ht="15.75" customHeight="1">
      <c r="A774" s="35" t="s">
        <v>4698</v>
      </c>
      <c r="B774" s="35"/>
      <c r="C774" s="35">
        <v>28.0</v>
      </c>
      <c r="D774" s="35">
        <v>555.0</v>
      </c>
      <c r="E774" s="35">
        <v>46027.0</v>
      </c>
      <c r="F774" s="35">
        <v>0.0</v>
      </c>
      <c r="G774" s="35">
        <v>1.0</v>
      </c>
      <c r="H774" s="35">
        <v>0.0</v>
      </c>
      <c r="I774" s="35">
        <v>0.0</v>
      </c>
      <c r="J774" s="35"/>
      <c r="K774" s="35">
        <v>0.0</v>
      </c>
    </row>
    <row r="775" ht="15.75" customHeight="1">
      <c r="A775" s="35" t="s">
        <v>4699</v>
      </c>
      <c r="B775" s="35"/>
      <c r="C775" s="35">
        <v>28.0</v>
      </c>
      <c r="D775" s="35" t="s">
        <v>3429</v>
      </c>
      <c r="E775" s="35">
        <v>46027.0</v>
      </c>
      <c r="F775" s="35">
        <v>0.0</v>
      </c>
      <c r="G775" s="35">
        <v>2.0</v>
      </c>
      <c r="H775" s="35">
        <v>0.0</v>
      </c>
      <c r="I775" s="35">
        <v>0.0</v>
      </c>
      <c r="J775" s="35"/>
      <c r="K775" s="35">
        <v>0.0</v>
      </c>
    </row>
    <row r="776" ht="15.75" customHeight="1">
      <c r="A776" s="35" t="s">
        <v>4701</v>
      </c>
      <c r="B776" s="35"/>
      <c r="C776" s="35">
        <v>28.0</v>
      </c>
      <c r="D776" s="35" t="s">
        <v>3958</v>
      </c>
      <c r="E776" s="35">
        <v>46027.0</v>
      </c>
      <c r="F776" s="35">
        <v>0.0</v>
      </c>
      <c r="G776" s="35">
        <v>0.0</v>
      </c>
      <c r="H776" s="35">
        <v>141.0</v>
      </c>
      <c r="I776" s="35">
        <v>0.0</v>
      </c>
      <c r="J776" s="35"/>
      <c r="K776" s="35">
        <v>0.0</v>
      </c>
    </row>
    <row r="777" ht="15.75" customHeight="1">
      <c r="A777" s="35" t="s">
        <v>4702</v>
      </c>
      <c r="B777" s="35"/>
      <c r="C777" s="35">
        <v>28.0</v>
      </c>
      <c r="D777" s="35" t="s">
        <v>4703</v>
      </c>
      <c r="E777" s="35">
        <v>46027.0</v>
      </c>
      <c r="F777" s="35">
        <v>0.0</v>
      </c>
      <c r="G777" s="35">
        <v>1.0</v>
      </c>
      <c r="H777" s="35">
        <v>0.0</v>
      </c>
      <c r="I777" s="35">
        <v>0.0</v>
      </c>
      <c r="J777" s="35"/>
      <c r="K777" s="35">
        <v>0.0</v>
      </c>
    </row>
    <row r="778" ht="15.75" customHeight="1">
      <c r="A778" s="35" t="s">
        <v>4705</v>
      </c>
      <c r="B778" s="35"/>
      <c r="C778" s="35">
        <v>28.0</v>
      </c>
      <c r="D778" s="35" t="s">
        <v>4706</v>
      </c>
      <c r="E778" s="35">
        <v>46027.0</v>
      </c>
      <c r="F778" s="35">
        <v>0.0</v>
      </c>
      <c r="G778" s="35">
        <v>0.0</v>
      </c>
      <c r="H778" s="35">
        <v>1.0</v>
      </c>
      <c r="I778" s="35">
        <v>0.0</v>
      </c>
      <c r="J778" s="35"/>
      <c r="K778" s="35">
        <v>0.0</v>
      </c>
    </row>
    <row r="779" ht="15.75" customHeight="1">
      <c r="A779" s="35" t="s">
        <v>1180</v>
      </c>
      <c r="B779" s="35"/>
      <c r="C779" s="35">
        <v>28.0</v>
      </c>
      <c r="D779" s="35" t="s">
        <v>4104</v>
      </c>
      <c r="E779" s="35">
        <v>46027.0</v>
      </c>
      <c r="F779" s="35">
        <v>0.0</v>
      </c>
      <c r="G779" s="35">
        <v>1.0</v>
      </c>
      <c r="H779" s="35">
        <v>0.0</v>
      </c>
      <c r="I779" s="35">
        <v>0.0</v>
      </c>
      <c r="J779" s="35"/>
      <c r="K779" s="35">
        <v>0.0</v>
      </c>
    </row>
    <row r="780" ht="15.75" customHeight="1">
      <c r="A780" s="35" t="s">
        <v>4708</v>
      </c>
      <c r="B780" s="35"/>
      <c r="C780" s="35">
        <v>28.0</v>
      </c>
      <c r="D780" s="35" t="s">
        <v>4709</v>
      </c>
      <c r="E780" s="35">
        <v>46027.0</v>
      </c>
      <c r="F780" s="35">
        <v>0.0</v>
      </c>
      <c r="G780" s="35">
        <v>3.0</v>
      </c>
      <c r="H780" s="35">
        <v>0.0</v>
      </c>
      <c r="I780" s="35">
        <v>0.0</v>
      </c>
      <c r="J780" s="35"/>
      <c r="K780" s="35">
        <v>0.0</v>
      </c>
    </row>
    <row r="781" ht="15.75" customHeight="1">
      <c r="A781" s="35" t="s">
        <v>1184</v>
      </c>
      <c r="B781" s="35"/>
      <c r="C781" s="35">
        <v>28.0</v>
      </c>
      <c r="D781" s="35">
        <v>547.0</v>
      </c>
      <c r="E781" s="35">
        <v>46027.0</v>
      </c>
      <c r="F781" s="35">
        <v>0.0</v>
      </c>
      <c r="G781" s="35">
        <v>74.0</v>
      </c>
      <c r="H781" s="35">
        <v>0.0</v>
      </c>
      <c r="I781" s="35">
        <v>0.0</v>
      </c>
      <c r="J781" s="35"/>
      <c r="K781" s="35">
        <v>0.0</v>
      </c>
    </row>
    <row r="782" ht="15.75" customHeight="1">
      <c r="A782" s="35" t="s">
        <v>1186</v>
      </c>
      <c r="B782" s="35"/>
      <c r="C782" s="35">
        <v>28.0</v>
      </c>
      <c r="D782" s="35" t="s">
        <v>2033</v>
      </c>
      <c r="E782" s="35">
        <v>46027.0</v>
      </c>
      <c r="F782" s="35">
        <v>0.0</v>
      </c>
      <c r="G782" s="35">
        <v>16.0</v>
      </c>
      <c r="H782" s="35">
        <v>0.0</v>
      </c>
      <c r="I782" s="35">
        <v>0.0</v>
      </c>
      <c r="J782" s="35"/>
      <c r="K782" s="35">
        <v>0.0</v>
      </c>
    </row>
    <row r="783" ht="15.75" customHeight="1">
      <c r="A783" s="35" t="s">
        <v>4711</v>
      </c>
      <c r="B783" s="35"/>
      <c r="C783" s="35">
        <v>28.0</v>
      </c>
      <c r="D783" s="35" t="s">
        <v>4256</v>
      </c>
      <c r="E783" s="35">
        <v>46027.0</v>
      </c>
      <c r="F783" s="35">
        <v>0.0</v>
      </c>
      <c r="G783" s="35">
        <v>1.0</v>
      </c>
      <c r="H783" s="35">
        <v>0.0</v>
      </c>
      <c r="I783" s="35">
        <v>0.0</v>
      </c>
      <c r="J783" s="35"/>
      <c r="K783" s="35">
        <v>0.0</v>
      </c>
    </row>
    <row r="784" ht="15.75" customHeight="1">
      <c r="A784" s="35" t="s">
        <v>4712</v>
      </c>
      <c r="B784" s="35"/>
      <c r="C784" s="35">
        <v>28.0</v>
      </c>
      <c r="D784" s="35" t="s">
        <v>4288</v>
      </c>
      <c r="E784" s="35">
        <v>46027.0</v>
      </c>
      <c r="F784" s="35">
        <v>0.0</v>
      </c>
      <c r="G784" s="35">
        <v>3.0</v>
      </c>
      <c r="H784" s="35">
        <v>0.0</v>
      </c>
      <c r="I784" s="35">
        <v>0.0</v>
      </c>
      <c r="J784" s="35"/>
      <c r="K784" s="35">
        <v>0.0</v>
      </c>
    </row>
    <row r="785" ht="15.75" customHeight="1">
      <c r="A785" s="35" t="s">
        <v>4714</v>
      </c>
      <c r="B785" s="35"/>
      <c r="C785" s="35">
        <v>28.0</v>
      </c>
      <c r="D785" s="35" t="s">
        <v>4715</v>
      </c>
      <c r="E785" s="35">
        <v>46027.0</v>
      </c>
      <c r="F785" s="35">
        <v>0.0</v>
      </c>
      <c r="G785" s="35">
        <v>15.0</v>
      </c>
      <c r="H785" s="35">
        <v>0.0</v>
      </c>
      <c r="I785" s="35">
        <v>0.0</v>
      </c>
      <c r="J785" s="35"/>
      <c r="K785" s="35">
        <v>0.0</v>
      </c>
    </row>
    <row r="786" ht="15.75" customHeight="1">
      <c r="A786" s="35" t="s">
        <v>1190</v>
      </c>
      <c r="B786" s="35"/>
      <c r="C786" s="35">
        <v>27.0</v>
      </c>
      <c r="D786" s="35" t="s">
        <v>2033</v>
      </c>
      <c r="E786" s="35">
        <v>46058.0</v>
      </c>
      <c r="F786" s="35">
        <v>0.0</v>
      </c>
      <c r="G786" s="35">
        <v>7.0</v>
      </c>
      <c r="H786" s="35">
        <v>3.0</v>
      </c>
      <c r="I786" s="35">
        <v>0.0</v>
      </c>
      <c r="J786" s="35"/>
      <c r="K786" s="35">
        <v>0.0</v>
      </c>
    </row>
    <row r="787" ht="15.75" customHeight="1">
      <c r="A787" s="35" t="s">
        <v>4717</v>
      </c>
      <c r="B787" s="35"/>
      <c r="C787" s="35">
        <v>27.0</v>
      </c>
      <c r="D787" s="35" t="s">
        <v>4718</v>
      </c>
      <c r="E787" s="35">
        <v>46058.0</v>
      </c>
      <c r="F787" s="35">
        <v>0.0</v>
      </c>
      <c r="G787" s="35">
        <v>7.0</v>
      </c>
      <c r="H787" s="35">
        <v>1.0</v>
      </c>
      <c r="I787" s="35">
        <v>0.0</v>
      </c>
      <c r="J787" s="35"/>
      <c r="K787" s="35">
        <v>0.0</v>
      </c>
    </row>
    <row r="788" ht="15.75" customHeight="1">
      <c r="A788" s="35" t="s">
        <v>1195</v>
      </c>
      <c r="B788" s="35"/>
      <c r="C788" s="35">
        <v>27.0</v>
      </c>
      <c r="D788" s="35" t="s">
        <v>3972</v>
      </c>
      <c r="E788" s="35">
        <v>46058.0</v>
      </c>
      <c r="F788" s="35">
        <v>0.0</v>
      </c>
      <c r="G788" s="35">
        <v>212.0</v>
      </c>
      <c r="H788" s="35">
        <v>18.0</v>
      </c>
      <c r="I788" s="35">
        <v>0.0</v>
      </c>
      <c r="J788" s="35"/>
      <c r="K788" s="35">
        <v>0.0</v>
      </c>
    </row>
    <row r="789" ht="15.75" customHeight="1">
      <c r="A789" s="35" t="s">
        <v>4720</v>
      </c>
      <c r="B789" s="35"/>
      <c r="C789" s="35">
        <v>27.0</v>
      </c>
      <c r="D789" s="35" t="s">
        <v>4602</v>
      </c>
      <c r="E789" s="35">
        <v>46027.0</v>
      </c>
      <c r="F789" s="35">
        <v>0.0</v>
      </c>
      <c r="G789" s="35">
        <v>1.0</v>
      </c>
      <c r="H789" s="35">
        <v>0.0</v>
      </c>
      <c r="I789" s="35">
        <v>0.0</v>
      </c>
      <c r="J789" s="35"/>
      <c r="K789" s="35">
        <v>0.0</v>
      </c>
    </row>
    <row r="790" ht="15.75" customHeight="1">
      <c r="A790" s="35" t="s">
        <v>4721</v>
      </c>
      <c r="B790" s="35"/>
      <c r="C790" s="35">
        <v>27.0</v>
      </c>
      <c r="D790" s="35" t="s">
        <v>4722</v>
      </c>
      <c r="E790" s="35">
        <v>46027.0</v>
      </c>
      <c r="F790" s="35">
        <v>0.0</v>
      </c>
      <c r="G790" s="35">
        <v>0.0</v>
      </c>
      <c r="H790" s="35">
        <v>3.0</v>
      </c>
      <c r="I790" s="35">
        <v>0.0</v>
      </c>
      <c r="J790" s="35"/>
      <c r="K790" s="35">
        <v>0.0</v>
      </c>
    </row>
    <row r="791" ht="15.75" customHeight="1">
      <c r="A791" s="35" t="s">
        <v>4724</v>
      </c>
      <c r="B791" s="35"/>
      <c r="C791" s="35">
        <v>27.0</v>
      </c>
      <c r="D791" s="35" t="s">
        <v>4725</v>
      </c>
      <c r="E791" s="35">
        <v>46027.0</v>
      </c>
      <c r="F791" s="35">
        <v>0.0</v>
      </c>
      <c r="G791" s="35">
        <v>3.0</v>
      </c>
      <c r="H791" s="35">
        <v>0.0</v>
      </c>
      <c r="I791" s="35">
        <v>0.0</v>
      </c>
      <c r="J791" s="35"/>
      <c r="K791" s="35">
        <v>0.0</v>
      </c>
    </row>
    <row r="792" ht="15.75" customHeight="1">
      <c r="A792" s="35" t="s">
        <v>4726</v>
      </c>
      <c r="B792" s="35"/>
      <c r="C792" s="35">
        <v>27.0</v>
      </c>
      <c r="D792" s="35" t="s">
        <v>4727</v>
      </c>
      <c r="E792" s="35">
        <v>46027.0</v>
      </c>
      <c r="F792" s="35">
        <v>0.0</v>
      </c>
      <c r="G792" s="35">
        <v>15.0</v>
      </c>
      <c r="H792" s="35">
        <v>0.0</v>
      </c>
      <c r="I792" s="35">
        <v>0.0</v>
      </c>
      <c r="J792" s="35"/>
      <c r="K792" s="35">
        <v>0.0</v>
      </c>
    </row>
    <row r="793" ht="15.75" customHeight="1">
      <c r="A793" s="35" t="s">
        <v>4729</v>
      </c>
      <c r="B793" s="35"/>
      <c r="C793" s="35">
        <v>27.0</v>
      </c>
      <c r="D793" s="35" t="s">
        <v>4480</v>
      </c>
      <c r="E793" s="35">
        <v>46027.0</v>
      </c>
      <c r="F793" s="35">
        <v>0.0</v>
      </c>
      <c r="G793" s="35">
        <v>1.0</v>
      </c>
      <c r="H793" s="35">
        <v>0.0</v>
      </c>
      <c r="I793" s="35">
        <v>0.0</v>
      </c>
      <c r="J793" s="35"/>
      <c r="K793" s="35">
        <v>0.0</v>
      </c>
    </row>
    <row r="794" ht="15.75" customHeight="1">
      <c r="A794" s="35" t="s">
        <v>4730</v>
      </c>
      <c r="B794" s="35"/>
      <c r="C794" s="35">
        <v>27.0</v>
      </c>
      <c r="D794" s="35">
        <v>525.0</v>
      </c>
      <c r="E794" s="35">
        <v>46027.0</v>
      </c>
      <c r="F794" s="35">
        <v>0.0</v>
      </c>
      <c r="G794" s="35">
        <v>1.0</v>
      </c>
      <c r="H794" s="35">
        <v>0.0</v>
      </c>
      <c r="I794" s="35">
        <v>0.0</v>
      </c>
      <c r="J794" s="35"/>
      <c r="K794" s="35">
        <v>0.0</v>
      </c>
    </row>
    <row r="795" ht="15.75" customHeight="1">
      <c r="A795" s="35" t="s">
        <v>4731</v>
      </c>
      <c r="B795" s="35"/>
      <c r="C795" s="35">
        <v>27.0</v>
      </c>
      <c r="D795" s="35" t="s">
        <v>4733</v>
      </c>
      <c r="E795" s="35">
        <v>46027.0</v>
      </c>
      <c r="F795" s="35">
        <v>0.0</v>
      </c>
      <c r="G795" s="35">
        <v>1.0</v>
      </c>
      <c r="H795" s="35">
        <v>0.0</v>
      </c>
      <c r="I795" s="35">
        <v>0.0</v>
      </c>
      <c r="J795" s="35"/>
      <c r="K795" s="35">
        <v>0.0</v>
      </c>
    </row>
    <row r="796" ht="15.75" customHeight="1">
      <c r="A796" s="35" t="s">
        <v>4734</v>
      </c>
      <c r="B796" s="35"/>
      <c r="C796" s="35">
        <v>27.0</v>
      </c>
      <c r="D796" s="35" t="s">
        <v>4735</v>
      </c>
      <c r="E796" s="35">
        <v>46027.0</v>
      </c>
      <c r="F796" s="35">
        <v>0.0</v>
      </c>
      <c r="G796" s="35">
        <v>2.0</v>
      </c>
      <c r="H796" s="35">
        <v>0.0</v>
      </c>
      <c r="I796" s="35">
        <v>0.0</v>
      </c>
      <c r="J796" s="35"/>
      <c r="K796" s="35">
        <v>0.0</v>
      </c>
    </row>
    <row r="797" ht="15.75" customHeight="1">
      <c r="A797" s="35" t="s">
        <v>1197</v>
      </c>
      <c r="B797" s="35"/>
      <c r="C797" s="35">
        <v>27.0</v>
      </c>
      <c r="D797" s="35">
        <v>647.0</v>
      </c>
      <c r="E797" s="35">
        <v>46027.0</v>
      </c>
      <c r="F797" s="35">
        <v>0.0</v>
      </c>
      <c r="G797" s="35">
        <v>1.0</v>
      </c>
      <c r="H797" s="35">
        <v>0.0</v>
      </c>
      <c r="I797" s="35">
        <v>0.0</v>
      </c>
      <c r="J797" s="35"/>
      <c r="K797" s="35">
        <v>0.0</v>
      </c>
    </row>
    <row r="798" ht="15.75" customHeight="1">
      <c r="A798" s="35" t="s">
        <v>1201</v>
      </c>
      <c r="B798" s="35"/>
      <c r="C798" s="35">
        <v>27.0</v>
      </c>
      <c r="D798" s="35" t="s">
        <v>4737</v>
      </c>
      <c r="E798" s="35">
        <v>46027.0</v>
      </c>
      <c r="F798" s="35">
        <v>0.0</v>
      </c>
      <c r="G798" s="35">
        <v>0.0</v>
      </c>
      <c r="H798" s="35">
        <v>1.0</v>
      </c>
      <c r="I798" s="35">
        <v>0.0</v>
      </c>
      <c r="J798" s="35"/>
      <c r="K798" s="35">
        <v>0.0</v>
      </c>
    </row>
    <row r="799" ht="15.75" customHeight="1">
      <c r="A799" s="35" t="s">
        <v>4738</v>
      </c>
      <c r="B799" s="35"/>
      <c r="C799" s="35">
        <v>27.0</v>
      </c>
      <c r="D799" s="35" t="s">
        <v>4394</v>
      </c>
      <c r="E799" s="35">
        <v>46027.0</v>
      </c>
      <c r="F799" s="35">
        <v>0.0</v>
      </c>
      <c r="G799" s="35">
        <v>1.0</v>
      </c>
      <c r="H799" s="35">
        <v>0.0</v>
      </c>
      <c r="I799" s="35">
        <v>0.0</v>
      </c>
      <c r="J799" s="35"/>
      <c r="K799" s="35">
        <v>0.0</v>
      </c>
    </row>
    <row r="800" ht="15.75" customHeight="1">
      <c r="A800" s="35" t="s">
        <v>1205</v>
      </c>
      <c r="B800" s="35"/>
      <c r="C800" s="35">
        <v>27.0</v>
      </c>
      <c r="D800" s="35" t="s">
        <v>3644</v>
      </c>
      <c r="E800" s="35">
        <v>46027.0</v>
      </c>
      <c r="F800" s="35">
        <v>0.0</v>
      </c>
      <c r="G800" s="35">
        <v>2.0</v>
      </c>
      <c r="H800" s="35">
        <v>0.0</v>
      </c>
      <c r="I800" s="35">
        <v>0.0</v>
      </c>
      <c r="J800" s="35"/>
      <c r="K800" s="35">
        <v>0.0</v>
      </c>
    </row>
    <row r="801" ht="15.75" customHeight="1">
      <c r="A801" s="35" t="s">
        <v>4740</v>
      </c>
      <c r="B801" s="35"/>
      <c r="C801" s="35">
        <v>27.0</v>
      </c>
      <c r="D801" s="35" t="s">
        <v>4741</v>
      </c>
      <c r="E801" s="35">
        <v>46027.0</v>
      </c>
      <c r="F801" s="35">
        <v>0.0</v>
      </c>
      <c r="G801" s="35">
        <v>2.0</v>
      </c>
      <c r="H801" s="35">
        <v>0.0</v>
      </c>
      <c r="I801" s="35">
        <v>0.0</v>
      </c>
      <c r="J801" s="35"/>
      <c r="K801" s="35">
        <v>0.0</v>
      </c>
    </row>
    <row r="802" ht="15.75" customHeight="1">
      <c r="A802" s="35" t="s">
        <v>4743</v>
      </c>
      <c r="B802" s="35"/>
      <c r="C802" s="35">
        <v>27.0</v>
      </c>
      <c r="D802" s="35" t="s">
        <v>3900</v>
      </c>
      <c r="E802" s="35">
        <v>46027.0</v>
      </c>
      <c r="F802" s="35">
        <v>0.0</v>
      </c>
      <c r="G802" s="35">
        <v>0.0</v>
      </c>
      <c r="H802" s="35">
        <v>1.0</v>
      </c>
      <c r="I802" s="35">
        <v>0.0</v>
      </c>
      <c r="J802" s="35"/>
      <c r="K802" s="35">
        <v>0.0</v>
      </c>
    </row>
    <row r="803" ht="15.75" customHeight="1">
      <c r="A803" s="35" t="s">
        <v>1209</v>
      </c>
      <c r="B803" s="35"/>
      <c r="C803" s="35">
        <v>27.0</v>
      </c>
      <c r="D803" s="35" t="s">
        <v>4744</v>
      </c>
      <c r="E803" s="35">
        <v>46027.0</v>
      </c>
      <c r="F803" s="35">
        <v>0.0</v>
      </c>
      <c r="G803" s="35">
        <v>2.0</v>
      </c>
      <c r="H803" s="35">
        <v>0.0</v>
      </c>
      <c r="I803" s="35">
        <v>0.0</v>
      </c>
      <c r="J803" s="35"/>
      <c r="K803" s="35">
        <v>0.0</v>
      </c>
    </row>
    <row r="804" ht="15.75" customHeight="1">
      <c r="A804" s="35" t="s">
        <v>4745</v>
      </c>
      <c r="B804" s="35"/>
      <c r="C804" s="35">
        <v>27.0</v>
      </c>
      <c r="D804" s="35" t="s">
        <v>4298</v>
      </c>
      <c r="E804" s="35">
        <v>46027.0</v>
      </c>
      <c r="F804" s="35">
        <v>0.0</v>
      </c>
      <c r="G804" s="35">
        <v>0.0</v>
      </c>
      <c r="H804" s="35">
        <v>0.0</v>
      </c>
      <c r="I804" s="35">
        <v>1.0</v>
      </c>
      <c r="J804" s="35"/>
      <c r="K804" s="35">
        <v>0.0</v>
      </c>
    </row>
    <row r="805" ht="15.75" customHeight="1">
      <c r="A805" s="35" t="s">
        <v>4747</v>
      </c>
      <c r="B805" s="35"/>
      <c r="C805" s="35">
        <v>27.0</v>
      </c>
      <c r="D805" s="35" t="s">
        <v>2049</v>
      </c>
      <c r="E805" s="35">
        <v>46027.0</v>
      </c>
      <c r="F805" s="35">
        <v>0.0</v>
      </c>
      <c r="G805" s="35">
        <v>1.0</v>
      </c>
      <c r="H805" s="35">
        <v>0.0</v>
      </c>
      <c r="I805" s="35">
        <v>0.0</v>
      </c>
      <c r="J805" s="35"/>
      <c r="K805" s="35">
        <v>0.0</v>
      </c>
    </row>
    <row r="806" ht="15.75" customHeight="1">
      <c r="A806" s="35" t="s">
        <v>4748</v>
      </c>
      <c r="B806" s="35"/>
      <c r="C806" s="35">
        <v>27.0</v>
      </c>
      <c r="D806" s="35">
        <v>246.0</v>
      </c>
      <c r="E806" s="35">
        <v>46027.0</v>
      </c>
      <c r="F806" s="35">
        <v>0.0</v>
      </c>
      <c r="G806" s="35">
        <v>2.0</v>
      </c>
      <c r="H806" s="35">
        <v>0.0</v>
      </c>
      <c r="I806" s="35">
        <v>0.0</v>
      </c>
      <c r="J806" s="35"/>
      <c r="K806" s="35">
        <v>0.0</v>
      </c>
    </row>
    <row r="807" ht="15.75" customHeight="1">
      <c r="A807" s="35" t="s">
        <v>4750</v>
      </c>
      <c r="B807" s="35"/>
      <c r="C807" s="35">
        <v>27.0</v>
      </c>
      <c r="D807" s="35" t="s">
        <v>3725</v>
      </c>
      <c r="E807" s="35">
        <v>46027.0</v>
      </c>
      <c r="F807" s="35">
        <v>0.0</v>
      </c>
      <c r="G807" s="35">
        <v>1.0</v>
      </c>
      <c r="H807" s="35">
        <v>0.0</v>
      </c>
      <c r="I807" s="35">
        <v>0.0</v>
      </c>
      <c r="J807" s="35"/>
      <c r="K807" s="35">
        <v>0.0</v>
      </c>
    </row>
    <row r="808" ht="15.75" customHeight="1">
      <c r="A808" s="35" t="s">
        <v>4751</v>
      </c>
      <c r="B808" s="35"/>
      <c r="C808" s="35">
        <v>27.0</v>
      </c>
      <c r="D808" s="35" t="s">
        <v>4752</v>
      </c>
      <c r="E808" s="35">
        <v>46027.0</v>
      </c>
      <c r="F808" s="35">
        <v>0.0</v>
      </c>
      <c r="G808" s="35">
        <v>26.0</v>
      </c>
      <c r="H808" s="35">
        <v>0.0</v>
      </c>
      <c r="I808" s="35">
        <v>0.0</v>
      </c>
      <c r="J808" s="35"/>
      <c r="K808" s="35">
        <v>0.0</v>
      </c>
    </row>
    <row r="809" ht="15.75" customHeight="1">
      <c r="A809" s="35" t="s">
        <v>4754</v>
      </c>
      <c r="B809" s="35"/>
      <c r="C809" s="35">
        <v>27.0</v>
      </c>
      <c r="D809" s="35" t="s">
        <v>4755</v>
      </c>
      <c r="E809" s="35">
        <v>46027.0</v>
      </c>
      <c r="F809" s="35">
        <v>0.0</v>
      </c>
      <c r="G809" s="35">
        <v>3.0</v>
      </c>
      <c r="H809" s="35">
        <v>0.0</v>
      </c>
      <c r="I809" s="35">
        <v>0.0</v>
      </c>
      <c r="J809" s="35"/>
      <c r="K809" s="35">
        <v>0.0</v>
      </c>
    </row>
    <row r="810" ht="15.75" customHeight="1">
      <c r="A810" s="35" t="s">
        <v>4756</v>
      </c>
      <c r="B810" s="35"/>
      <c r="C810" s="35">
        <v>27.0</v>
      </c>
      <c r="D810" s="35" t="s">
        <v>3390</v>
      </c>
      <c r="E810" s="35">
        <v>46027.0</v>
      </c>
      <c r="F810" s="35">
        <v>0.0</v>
      </c>
      <c r="G810" s="35">
        <v>70.0</v>
      </c>
      <c r="H810" s="35">
        <v>0.0</v>
      </c>
      <c r="I810" s="35">
        <v>0.0</v>
      </c>
      <c r="J810" s="35"/>
      <c r="K810" s="35">
        <v>0.0</v>
      </c>
    </row>
    <row r="811" ht="15.75" customHeight="1">
      <c r="A811" s="35" t="s">
        <v>4758</v>
      </c>
      <c r="B811" s="35"/>
      <c r="C811" s="35">
        <v>27.0</v>
      </c>
      <c r="D811" s="35" t="s">
        <v>4759</v>
      </c>
      <c r="E811" s="35">
        <v>46027.0</v>
      </c>
      <c r="F811" s="35">
        <v>0.0</v>
      </c>
      <c r="G811" s="35">
        <v>1.0</v>
      </c>
      <c r="H811" s="35">
        <v>0.0</v>
      </c>
      <c r="I811" s="35">
        <v>0.0</v>
      </c>
      <c r="J811" s="35"/>
      <c r="K811" s="35">
        <v>0.0</v>
      </c>
    </row>
    <row r="812" ht="15.75" customHeight="1">
      <c r="A812" s="35" t="s">
        <v>4760</v>
      </c>
      <c r="B812" s="35"/>
      <c r="C812" s="35">
        <v>27.0</v>
      </c>
      <c r="D812" s="35" t="s">
        <v>2004</v>
      </c>
      <c r="E812" s="35">
        <v>46027.0</v>
      </c>
      <c r="F812" s="35">
        <v>0.0</v>
      </c>
      <c r="G812" s="35">
        <v>1.0</v>
      </c>
      <c r="H812" s="35">
        <v>0.0</v>
      </c>
      <c r="I812" s="35">
        <v>0.0</v>
      </c>
      <c r="J812" s="35"/>
      <c r="K812" s="35">
        <v>0.0</v>
      </c>
    </row>
    <row r="813" ht="15.75" customHeight="1">
      <c r="A813" s="35" t="s">
        <v>4761</v>
      </c>
      <c r="B813" s="35"/>
      <c r="C813" s="35">
        <v>27.0</v>
      </c>
      <c r="D813" s="35" t="s">
        <v>4763</v>
      </c>
      <c r="E813" s="35">
        <v>46027.0</v>
      </c>
      <c r="F813" s="35">
        <v>0.0</v>
      </c>
      <c r="G813" s="35">
        <v>8.0</v>
      </c>
      <c r="H813" s="35">
        <v>0.0</v>
      </c>
      <c r="I813" s="35">
        <v>0.0</v>
      </c>
      <c r="J813" s="35"/>
      <c r="K813" s="35">
        <v>0.0</v>
      </c>
    </row>
    <row r="814" ht="15.75" customHeight="1">
      <c r="A814" s="35" t="s">
        <v>1211</v>
      </c>
      <c r="B814" s="35"/>
      <c r="C814" s="35">
        <v>27.0</v>
      </c>
      <c r="D814" s="35" t="s">
        <v>4764</v>
      </c>
      <c r="E814" s="35">
        <v>46027.0</v>
      </c>
      <c r="F814" s="35">
        <v>0.0</v>
      </c>
      <c r="G814" s="35">
        <v>8.0</v>
      </c>
      <c r="H814" s="35">
        <v>0.0</v>
      </c>
      <c r="I814" s="35">
        <v>0.0</v>
      </c>
      <c r="J814" s="35"/>
      <c r="K814" s="35">
        <v>0.0</v>
      </c>
    </row>
    <row r="815" ht="15.75" customHeight="1">
      <c r="A815" s="35" t="s">
        <v>4765</v>
      </c>
      <c r="B815" s="35"/>
      <c r="C815" s="35">
        <v>27.0</v>
      </c>
      <c r="D815" s="35" t="s">
        <v>4766</v>
      </c>
      <c r="E815" s="35">
        <v>46027.0</v>
      </c>
      <c r="F815" s="35">
        <v>0.0</v>
      </c>
      <c r="G815" s="35">
        <v>5.0</v>
      </c>
      <c r="H815" s="35">
        <v>0.0</v>
      </c>
      <c r="I815" s="35">
        <v>0.0</v>
      </c>
      <c r="J815" s="35"/>
      <c r="K815" s="35">
        <v>0.0</v>
      </c>
    </row>
    <row r="816" ht="15.75" customHeight="1">
      <c r="A816" s="35" t="s">
        <v>4768</v>
      </c>
      <c r="B816" s="35"/>
      <c r="C816" s="35">
        <v>27.0</v>
      </c>
      <c r="D816" s="35" t="s">
        <v>4769</v>
      </c>
      <c r="E816" s="35">
        <v>46027.0</v>
      </c>
      <c r="F816" s="35">
        <v>0.0</v>
      </c>
      <c r="G816" s="35">
        <v>7.0</v>
      </c>
      <c r="H816" s="35">
        <v>0.0</v>
      </c>
      <c r="I816" s="35">
        <v>0.0</v>
      </c>
      <c r="J816" s="35"/>
      <c r="K816" s="35">
        <v>0.0</v>
      </c>
    </row>
    <row r="817" ht="15.75" customHeight="1">
      <c r="A817" s="35" t="s">
        <v>4770</v>
      </c>
      <c r="B817" s="35"/>
      <c r="C817" s="35">
        <v>27.0</v>
      </c>
      <c r="D817" s="35" t="s">
        <v>4771</v>
      </c>
      <c r="E817" s="35">
        <v>46027.0</v>
      </c>
      <c r="F817" s="35">
        <v>0.0</v>
      </c>
      <c r="G817" s="35">
        <v>2.0</v>
      </c>
      <c r="H817" s="35">
        <v>0.0</v>
      </c>
      <c r="I817" s="35">
        <v>0.0</v>
      </c>
      <c r="J817" s="35"/>
      <c r="K817" s="35">
        <v>0.0</v>
      </c>
    </row>
    <row r="818" ht="15.75" customHeight="1">
      <c r="A818" s="35" t="s">
        <v>4773</v>
      </c>
      <c r="B818" s="35"/>
      <c r="C818" s="35">
        <v>27.0</v>
      </c>
      <c r="D818" s="35" t="s">
        <v>2018</v>
      </c>
      <c r="E818" s="35">
        <v>46027.0</v>
      </c>
      <c r="F818" s="35">
        <v>0.0</v>
      </c>
      <c r="G818" s="35">
        <v>0.0</v>
      </c>
      <c r="H818" s="35">
        <v>6.0</v>
      </c>
      <c r="I818" s="35">
        <v>0.0</v>
      </c>
      <c r="J818" s="35"/>
      <c r="K818" s="35">
        <v>0.0</v>
      </c>
    </row>
    <row r="819" ht="15.75" customHeight="1">
      <c r="A819" s="35" t="s">
        <v>1215</v>
      </c>
      <c r="B819" s="35"/>
      <c r="C819" s="35">
        <v>27.0</v>
      </c>
      <c r="D819" s="35" t="s">
        <v>4774</v>
      </c>
      <c r="E819" s="35">
        <v>46027.0</v>
      </c>
      <c r="F819" s="35">
        <v>0.0</v>
      </c>
      <c r="G819" s="35">
        <v>0.0</v>
      </c>
      <c r="H819" s="35">
        <v>1.0</v>
      </c>
      <c r="I819" s="35">
        <v>0.0</v>
      </c>
      <c r="J819" s="35"/>
      <c r="K819" s="35">
        <v>0.0</v>
      </c>
    </row>
    <row r="820" ht="15.75" customHeight="1">
      <c r="A820" s="35" t="s">
        <v>4775</v>
      </c>
      <c r="B820" s="35"/>
      <c r="C820" s="35">
        <v>27.0</v>
      </c>
      <c r="D820" s="35" t="s">
        <v>4212</v>
      </c>
      <c r="E820" s="35">
        <v>46027.0</v>
      </c>
      <c r="F820" s="35">
        <v>0.0</v>
      </c>
      <c r="G820" s="35">
        <v>4.0</v>
      </c>
      <c r="H820" s="35">
        <v>0.0</v>
      </c>
      <c r="I820" s="35">
        <v>0.0</v>
      </c>
      <c r="J820" s="35"/>
      <c r="K820" s="35">
        <v>0.0</v>
      </c>
    </row>
    <row r="821" ht="15.75" customHeight="1">
      <c r="A821" s="35" t="s">
        <v>4777</v>
      </c>
      <c r="B821" s="35"/>
      <c r="C821" s="35">
        <v>27.0</v>
      </c>
      <c r="D821" s="35" t="s">
        <v>4778</v>
      </c>
      <c r="E821" s="35">
        <v>46027.0</v>
      </c>
      <c r="F821" s="35">
        <v>0.0</v>
      </c>
      <c r="G821" s="35">
        <v>2.0</v>
      </c>
      <c r="H821" s="35">
        <v>0.0</v>
      </c>
      <c r="I821" s="35">
        <v>0.0</v>
      </c>
      <c r="J821" s="35"/>
      <c r="K821" s="35">
        <v>0.0</v>
      </c>
    </row>
    <row r="822" ht="15.75" customHeight="1">
      <c r="A822" s="35" t="s">
        <v>4779</v>
      </c>
      <c r="B822" s="35"/>
      <c r="C822" s="35">
        <v>27.0</v>
      </c>
      <c r="D822" s="35" t="s">
        <v>4780</v>
      </c>
      <c r="E822" s="35">
        <v>46027.0</v>
      </c>
      <c r="F822" s="35">
        <v>0.0</v>
      </c>
      <c r="G822" s="35">
        <v>1.0</v>
      </c>
      <c r="H822" s="35">
        <v>0.0</v>
      </c>
      <c r="I822" s="35">
        <v>0.0</v>
      </c>
      <c r="J822" s="35"/>
      <c r="K822" s="35">
        <v>0.0</v>
      </c>
    </row>
    <row r="823" ht="15.75" customHeight="1">
      <c r="A823" s="35" t="s">
        <v>4782</v>
      </c>
      <c r="B823" s="35"/>
      <c r="C823" s="35">
        <v>27.0</v>
      </c>
      <c r="D823" s="35" t="s">
        <v>4480</v>
      </c>
      <c r="E823" s="35">
        <v>46027.0</v>
      </c>
      <c r="F823" s="35">
        <v>0.0</v>
      </c>
      <c r="G823" s="35">
        <v>0.0</v>
      </c>
      <c r="H823" s="35">
        <v>1.0</v>
      </c>
      <c r="I823" s="35">
        <v>0.0</v>
      </c>
      <c r="J823" s="35"/>
      <c r="K823" s="35">
        <v>0.0</v>
      </c>
    </row>
    <row r="824" ht="15.75" customHeight="1">
      <c r="A824" s="35" t="s">
        <v>4783</v>
      </c>
      <c r="B824" s="35"/>
      <c r="C824" s="35">
        <v>27.0</v>
      </c>
      <c r="D824" s="35" t="s">
        <v>2005</v>
      </c>
      <c r="E824" s="35">
        <v>46027.0</v>
      </c>
      <c r="F824" s="35">
        <v>0.0</v>
      </c>
      <c r="G824" s="35">
        <v>0.0</v>
      </c>
      <c r="H824" s="35">
        <v>1.0</v>
      </c>
      <c r="I824" s="35">
        <v>0.0</v>
      </c>
      <c r="J824" s="35"/>
      <c r="K824" s="35">
        <v>0.0</v>
      </c>
    </row>
    <row r="825" ht="15.75" customHeight="1">
      <c r="A825" s="35" t="s">
        <v>4785</v>
      </c>
      <c r="B825" s="35"/>
      <c r="C825" s="35">
        <v>27.0</v>
      </c>
      <c r="D825" s="35" t="s">
        <v>4332</v>
      </c>
      <c r="E825" s="35">
        <v>46027.0</v>
      </c>
      <c r="F825" s="35">
        <v>0.0</v>
      </c>
      <c r="G825" s="35">
        <v>0.0</v>
      </c>
      <c r="H825" s="35">
        <v>1.0</v>
      </c>
      <c r="I825" s="35">
        <v>0.0</v>
      </c>
      <c r="J825" s="35"/>
      <c r="K825" s="35">
        <v>0.0</v>
      </c>
    </row>
    <row r="826" ht="15.75" customHeight="1">
      <c r="A826" s="35" t="s">
        <v>4786</v>
      </c>
      <c r="B826" s="35"/>
      <c r="C826" s="35">
        <v>27.0</v>
      </c>
      <c r="D826" s="35" t="s">
        <v>4787</v>
      </c>
      <c r="E826" s="35">
        <v>46027.0</v>
      </c>
      <c r="F826" s="35">
        <v>0.0</v>
      </c>
      <c r="G826" s="35">
        <v>1.0</v>
      </c>
      <c r="H826" s="35">
        <v>0.0</v>
      </c>
      <c r="I826" s="35">
        <v>0.0</v>
      </c>
      <c r="J826" s="35"/>
      <c r="K826" s="35">
        <v>0.0</v>
      </c>
    </row>
    <row r="827" ht="15.75" customHeight="1">
      <c r="A827" s="35" t="s">
        <v>4789</v>
      </c>
      <c r="B827" s="35"/>
      <c r="C827" s="35">
        <v>27.0</v>
      </c>
      <c r="D827" s="35" t="s">
        <v>4703</v>
      </c>
      <c r="E827" s="35">
        <v>46027.0</v>
      </c>
      <c r="F827" s="35">
        <v>0.0</v>
      </c>
      <c r="G827" s="35">
        <v>2.0</v>
      </c>
      <c r="H827" s="35">
        <v>0.0</v>
      </c>
      <c r="I827" s="35">
        <v>0.0</v>
      </c>
      <c r="J827" s="35"/>
      <c r="K827" s="35">
        <v>0.0</v>
      </c>
    </row>
    <row r="828" ht="15.75" customHeight="1">
      <c r="A828" s="35" t="s">
        <v>4790</v>
      </c>
      <c r="B828" s="35"/>
      <c r="C828" s="35">
        <v>27.0</v>
      </c>
      <c r="D828" s="35" t="s">
        <v>4791</v>
      </c>
      <c r="E828" s="35">
        <v>46027.0</v>
      </c>
      <c r="F828" s="35">
        <v>0.0</v>
      </c>
      <c r="G828" s="35">
        <v>1.0</v>
      </c>
      <c r="H828" s="35">
        <v>0.0</v>
      </c>
      <c r="I828" s="35">
        <v>0.0</v>
      </c>
      <c r="J828" s="35"/>
      <c r="K828" s="35">
        <v>0.0</v>
      </c>
    </row>
    <row r="829" ht="15.75" customHeight="1">
      <c r="A829" s="35" t="s">
        <v>4792</v>
      </c>
      <c r="B829" s="35"/>
      <c r="C829" s="35">
        <v>27.0</v>
      </c>
      <c r="D829" s="35">
        <v>583.0</v>
      </c>
      <c r="E829" s="35">
        <v>46027.0</v>
      </c>
      <c r="F829" s="35">
        <v>0.0</v>
      </c>
      <c r="G829" s="35">
        <v>1.0</v>
      </c>
      <c r="H829" s="35">
        <v>0.0</v>
      </c>
      <c r="I829" s="35">
        <v>0.0</v>
      </c>
      <c r="J829" s="35"/>
      <c r="K829" s="35">
        <v>0.0</v>
      </c>
    </row>
    <row r="830" ht="15.75" customHeight="1">
      <c r="A830" s="35" t="s">
        <v>1219</v>
      </c>
      <c r="B830" s="35"/>
      <c r="C830" s="35">
        <v>27.0</v>
      </c>
      <c r="D830" s="35" t="s">
        <v>4794</v>
      </c>
      <c r="E830" s="35">
        <v>46027.0</v>
      </c>
      <c r="F830" s="35">
        <v>0.0</v>
      </c>
      <c r="G830" s="35">
        <v>0.0</v>
      </c>
      <c r="H830" s="35">
        <v>0.0</v>
      </c>
      <c r="I830" s="35">
        <v>2.0</v>
      </c>
      <c r="J830" s="35"/>
      <c r="K830" s="35">
        <v>0.0</v>
      </c>
    </row>
    <row r="831" ht="15.75" customHeight="1">
      <c r="A831" s="35" t="s">
        <v>4795</v>
      </c>
      <c r="B831" s="35"/>
      <c r="C831" s="35">
        <v>27.0</v>
      </c>
      <c r="D831" s="35" t="s">
        <v>4796</v>
      </c>
      <c r="E831" s="35">
        <v>46027.0</v>
      </c>
      <c r="F831" s="35">
        <v>0.0</v>
      </c>
      <c r="G831" s="35">
        <v>1.0</v>
      </c>
      <c r="H831" s="35">
        <v>0.0</v>
      </c>
      <c r="I831" s="35">
        <v>0.0</v>
      </c>
      <c r="J831" s="35"/>
      <c r="K831" s="35">
        <v>0.0</v>
      </c>
    </row>
    <row r="832" ht="15.75" customHeight="1">
      <c r="A832" s="35" t="s">
        <v>4798</v>
      </c>
      <c r="B832" s="35"/>
      <c r="C832" s="35">
        <v>27.0</v>
      </c>
      <c r="D832" s="35" t="s">
        <v>4435</v>
      </c>
      <c r="E832" s="35">
        <v>46027.0</v>
      </c>
      <c r="F832" s="35">
        <v>0.0</v>
      </c>
      <c r="G832" s="35">
        <v>3.0</v>
      </c>
      <c r="H832" s="35">
        <v>0.0</v>
      </c>
      <c r="I832" s="35">
        <v>0.0</v>
      </c>
      <c r="J832" s="35"/>
      <c r="K832" s="35">
        <v>0.0</v>
      </c>
    </row>
    <row r="833" ht="15.75" customHeight="1">
      <c r="A833" s="35" t="s">
        <v>4799</v>
      </c>
      <c r="B833" s="35"/>
      <c r="C833" s="35">
        <v>27.0</v>
      </c>
      <c r="D833" s="35" t="s">
        <v>4800</v>
      </c>
      <c r="E833" s="35">
        <v>46027.0</v>
      </c>
      <c r="F833" s="35">
        <v>0.0</v>
      </c>
      <c r="G833" s="35">
        <v>0.0</v>
      </c>
      <c r="H833" s="35">
        <v>26.0</v>
      </c>
      <c r="I833" s="35">
        <v>0.0</v>
      </c>
      <c r="J833" s="35"/>
      <c r="K833" s="35">
        <v>0.0</v>
      </c>
    </row>
    <row r="834" ht="15.75" customHeight="1">
      <c r="A834" s="35" t="s">
        <v>4802</v>
      </c>
      <c r="B834" s="35"/>
      <c r="C834" s="35">
        <v>27.0</v>
      </c>
      <c r="D834" s="35" t="s">
        <v>4186</v>
      </c>
      <c r="E834" s="35">
        <v>46027.0</v>
      </c>
      <c r="F834" s="35">
        <v>0.0</v>
      </c>
      <c r="G834" s="35">
        <v>0.0</v>
      </c>
      <c r="H834" s="35">
        <v>0.0</v>
      </c>
      <c r="I834" s="35">
        <v>1.0</v>
      </c>
      <c r="J834" s="35"/>
      <c r="K834" s="35">
        <v>0.0</v>
      </c>
    </row>
    <row r="835" ht="15.75" customHeight="1">
      <c r="A835" s="35" t="s">
        <v>4803</v>
      </c>
      <c r="B835" s="35"/>
      <c r="C835" s="35">
        <v>27.0</v>
      </c>
      <c r="D835" s="35" t="s">
        <v>4722</v>
      </c>
      <c r="E835" s="35">
        <v>46027.0</v>
      </c>
      <c r="F835" s="35">
        <v>0.0</v>
      </c>
      <c r="G835" s="35">
        <v>0.0</v>
      </c>
      <c r="H835" s="35">
        <v>0.0</v>
      </c>
      <c r="I835" s="35">
        <v>2.0</v>
      </c>
      <c r="J835" s="35"/>
      <c r="K835" s="35">
        <v>0.0</v>
      </c>
    </row>
    <row r="836" ht="15.75" customHeight="1">
      <c r="A836" s="35" t="s">
        <v>4805</v>
      </c>
      <c r="B836" s="35"/>
      <c r="C836" s="35">
        <v>27.0</v>
      </c>
      <c r="D836" s="35" t="s">
        <v>4197</v>
      </c>
      <c r="E836" s="35">
        <v>46027.0</v>
      </c>
      <c r="F836" s="35">
        <v>0.0</v>
      </c>
      <c r="G836" s="35">
        <v>1.0</v>
      </c>
      <c r="H836" s="35">
        <v>0.0</v>
      </c>
      <c r="I836" s="35">
        <v>0.0</v>
      </c>
      <c r="J836" s="35"/>
      <c r="K836" s="35">
        <v>0.0</v>
      </c>
    </row>
    <row r="837" ht="15.75" customHeight="1">
      <c r="A837" s="35" t="s">
        <v>4806</v>
      </c>
      <c r="B837" s="35"/>
      <c r="C837" s="35">
        <v>27.0</v>
      </c>
      <c r="D837" s="35" t="s">
        <v>4807</v>
      </c>
      <c r="E837" s="35">
        <v>46027.0</v>
      </c>
      <c r="F837" s="35">
        <v>0.0</v>
      </c>
      <c r="G837" s="35">
        <v>0.0</v>
      </c>
      <c r="H837" s="35">
        <v>1.0</v>
      </c>
      <c r="I837" s="35">
        <v>0.0</v>
      </c>
      <c r="J837" s="35"/>
      <c r="K837" s="35">
        <v>0.0</v>
      </c>
    </row>
    <row r="838" ht="15.75" customHeight="1">
      <c r="A838" s="35" t="s">
        <v>4808</v>
      </c>
      <c r="B838" s="35"/>
      <c r="C838" s="35">
        <v>26.0</v>
      </c>
      <c r="D838" s="35" t="s">
        <v>4189</v>
      </c>
      <c r="E838" s="35">
        <v>46027.0</v>
      </c>
      <c r="F838" s="35">
        <v>0.0</v>
      </c>
      <c r="G838" s="35">
        <v>128.0</v>
      </c>
      <c r="H838" s="35">
        <v>0.0</v>
      </c>
      <c r="I838" s="35">
        <v>0.0</v>
      </c>
      <c r="J838" s="35"/>
      <c r="K838" s="35">
        <v>0.0</v>
      </c>
    </row>
    <row r="839" ht="15.75" customHeight="1">
      <c r="A839" s="35" t="s">
        <v>4810</v>
      </c>
      <c r="B839" s="35"/>
      <c r="C839" s="35">
        <v>26.0</v>
      </c>
      <c r="D839" s="35" t="s">
        <v>2607</v>
      </c>
      <c r="E839" s="35">
        <v>46027.0</v>
      </c>
      <c r="F839" s="35">
        <v>0.0</v>
      </c>
      <c r="G839" s="35">
        <v>1.0</v>
      </c>
      <c r="H839" s="35">
        <v>0.0</v>
      </c>
      <c r="I839" s="35">
        <v>0.0</v>
      </c>
      <c r="J839" s="35"/>
      <c r="K839" s="35">
        <v>0.0</v>
      </c>
    </row>
    <row r="840" ht="15.75" customHeight="1">
      <c r="A840" s="35" t="s">
        <v>4811</v>
      </c>
      <c r="B840" s="35"/>
      <c r="C840" s="35">
        <v>26.0</v>
      </c>
      <c r="D840" s="35" t="s">
        <v>4197</v>
      </c>
      <c r="E840" s="35">
        <v>46027.0</v>
      </c>
      <c r="F840" s="35">
        <v>0.0</v>
      </c>
      <c r="G840" s="35">
        <v>2.0</v>
      </c>
      <c r="H840" s="35">
        <v>0.0</v>
      </c>
      <c r="I840" s="35">
        <v>0.0</v>
      </c>
      <c r="J840" s="35"/>
      <c r="K840" s="35">
        <v>0.0</v>
      </c>
    </row>
    <row r="841" ht="15.75" customHeight="1">
      <c r="A841" s="35" t="s">
        <v>4813</v>
      </c>
      <c r="B841" s="35"/>
      <c r="C841" s="35">
        <v>26.0</v>
      </c>
      <c r="D841" s="35" t="s">
        <v>4343</v>
      </c>
      <c r="E841" s="35">
        <v>46027.0</v>
      </c>
      <c r="F841" s="35">
        <v>0.0</v>
      </c>
      <c r="G841" s="35">
        <v>3.0</v>
      </c>
      <c r="H841" s="35">
        <v>0.0</v>
      </c>
      <c r="I841" s="35">
        <v>0.0</v>
      </c>
      <c r="J841" s="35"/>
      <c r="K841" s="35">
        <v>0.0</v>
      </c>
    </row>
    <row r="842" ht="15.75" customHeight="1">
      <c r="A842" s="35" t="s">
        <v>4814</v>
      </c>
      <c r="B842" s="35"/>
      <c r="C842" s="35">
        <v>26.0</v>
      </c>
      <c r="D842" s="35" t="s">
        <v>2046</v>
      </c>
      <c r="E842" s="35">
        <v>46027.0</v>
      </c>
      <c r="F842" s="35">
        <v>0.0</v>
      </c>
      <c r="G842" s="35">
        <v>1.0</v>
      </c>
      <c r="H842" s="35">
        <v>0.0</v>
      </c>
      <c r="I842" s="35">
        <v>0.0</v>
      </c>
      <c r="J842" s="35"/>
      <c r="K842" s="35">
        <v>0.0</v>
      </c>
    </row>
    <row r="843" ht="15.75" customHeight="1">
      <c r="A843" s="35" t="s">
        <v>4816</v>
      </c>
      <c r="B843" s="35"/>
      <c r="C843" s="35">
        <v>26.0</v>
      </c>
      <c r="D843" s="35" t="s">
        <v>2032</v>
      </c>
      <c r="E843" s="35">
        <v>46027.0</v>
      </c>
      <c r="F843" s="35">
        <v>0.0</v>
      </c>
      <c r="G843" s="35">
        <v>4.0</v>
      </c>
      <c r="H843" s="35">
        <v>0.0</v>
      </c>
      <c r="I843" s="35">
        <v>0.0</v>
      </c>
      <c r="J843" s="35"/>
      <c r="K843" s="35">
        <v>0.0</v>
      </c>
    </row>
    <row r="844" ht="15.75" customHeight="1">
      <c r="A844" s="35" t="s">
        <v>4817</v>
      </c>
      <c r="B844" s="35"/>
      <c r="C844" s="35">
        <v>26.0</v>
      </c>
      <c r="D844" s="35">
        <v>543.0</v>
      </c>
      <c r="E844" s="35">
        <v>46027.0</v>
      </c>
      <c r="F844" s="35">
        <v>0.0</v>
      </c>
      <c r="G844" s="35">
        <v>1.0</v>
      </c>
      <c r="H844" s="35">
        <v>0.0</v>
      </c>
      <c r="I844" s="35">
        <v>0.0</v>
      </c>
      <c r="J844" s="35"/>
      <c r="K844" s="35">
        <v>0.0</v>
      </c>
    </row>
    <row r="845" ht="15.75" customHeight="1">
      <c r="A845" s="35" t="s">
        <v>4819</v>
      </c>
      <c r="B845" s="35"/>
      <c r="C845" s="35">
        <v>26.0</v>
      </c>
      <c r="D845" s="35" t="s">
        <v>4787</v>
      </c>
      <c r="E845" s="35">
        <v>46027.0</v>
      </c>
      <c r="F845" s="35">
        <v>0.0</v>
      </c>
      <c r="G845" s="35">
        <v>1.0</v>
      </c>
      <c r="H845" s="35">
        <v>0.0</v>
      </c>
      <c r="I845" s="35">
        <v>0.0</v>
      </c>
      <c r="J845" s="35"/>
      <c r="K845" s="35">
        <v>0.0</v>
      </c>
    </row>
    <row r="846" ht="15.75" customHeight="1">
      <c r="A846" s="35" t="s">
        <v>4820</v>
      </c>
      <c r="B846" s="35"/>
      <c r="C846" s="35">
        <v>26.0</v>
      </c>
      <c r="D846" s="35" t="s">
        <v>4821</v>
      </c>
      <c r="E846" s="35">
        <v>46027.0</v>
      </c>
      <c r="F846" s="35">
        <v>0.0</v>
      </c>
      <c r="G846" s="35">
        <v>1.0</v>
      </c>
      <c r="H846" s="35">
        <v>0.0</v>
      </c>
      <c r="I846" s="35">
        <v>0.0</v>
      </c>
      <c r="J846" s="35"/>
      <c r="K846" s="35">
        <v>0.0</v>
      </c>
    </row>
    <row r="847" ht="15.75" customHeight="1">
      <c r="A847" s="35" t="s">
        <v>1222</v>
      </c>
      <c r="B847" s="35"/>
      <c r="C847" s="35">
        <v>26.0</v>
      </c>
      <c r="D847" s="35" t="s">
        <v>4823</v>
      </c>
      <c r="E847" s="35">
        <v>46027.0</v>
      </c>
      <c r="F847" s="35">
        <v>0.0</v>
      </c>
      <c r="G847" s="35">
        <v>1.0</v>
      </c>
      <c r="H847" s="35">
        <v>0.0</v>
      </c>
      <c r="I847" s="35">
        <v>0.0</v>
      </c>
      <c r="J847" s="35"/>
      <c r="K847" s="35">
        <v>0.0</v>
      </c>
    </row>
    <row r="848" ht="15.75" customHeight="1">
      <c r="A848" s="35" t="s">
        <v>4824</v>
      </c>
      <c r="B848" s="35"/>
      <c r="C848" s="35">
        <v>26.0</v>
      </c>
      <c r="D848" s="35" t="s">
        <v>2018</v>
      </c>
      <c r="E848" s="35">
        <v>46027.0</v>
      </c>
      <c r="F848" s="35">
        <v>0.0</v>
      </c>
      <c r="G848" s="35">
        <v>2.0</v>
      </c>
      <c r="H848" s="35">
        <v>0.0</v>
      </c>
      <c r="I848" s="35">
        <v>0.0</v>
      </c>
      <c r="J848" s="35"/>
      <c r="K848" s="35">
        <v>0.0</v>
      </c>
    </row>
    <row r="849" ht="15.75" customHeight="1">
      <c r="A849" s="35" t="s">
        <v>4825</v>
      </c>
      <c r="B849" s="35"/>
      <c r="C849" s="35">
        <v>26.0</v>
      </c>
      <c r="D849" s="35" t="s">
        <v>4826</v>
      </c>
      <c r="E849" s="35">
        <v>46027.0</v>
      </c>
      <c r="F849" s="35">
        <v>0.0</v>
      </c>
      <c r="G849" s="35">
        <v>4.0</v>
      </c>
      <c r="H849" s="35">
        <v>0.0</v>
      </c>
      <c r="I849" s="35">
        <v>0.0</v>
      </c>
      <c r="J849" s="35"/>
      <c r="K849" s="35">
        <v>0.0</v>
      </c>
    </row>
    <row r="850" ht="15.75" customHeight="1">
      <c r="A850" s="35" t="s">
        <v>4828</v>
      </c>
      <c r="B850" s="35"/>
      <c r="C850" s="35">
        <v>26.0</v>
      </c>
      <c r="D850" s="35" t="s">
        <v>4829</v>
      </c>
      <c r="E850" s="35">
        <v>46027.0</v>
      </c>
      <c r="F850" s="35">
        <v>0.0</v>
      </c>
      <c r="G850" s="35">
        <v>0.0</v>
      </c>
      <c r="H850" s="35">
        <v>0.0</v>
      </c>
      <c r="I850" s="35">
        <v>1.0</v>
      </c>
      <c r="J850" s="35"/>
      <c r="K850" s="35">
        <v>0.0</v>
      </c>
    </row>
    <row r="851" ht="15.75" customHeight="1">
      <c r="A851" s="35" t="s">
        <v>4830</v>
      </c>
      <c r="B851" s="35"/>
      <c r="C851" s="35">
        <v>26.0</v>
      </c>
      <c r="D851" s="35" t="s">
        <v>2039</v>
      </c>
      <c r="E851" s="35">
        <v>46027.0</v>
      </c>
      <c r="F851" s="35">
        <v>0.0</v>
      </c>
      <c r="G851" s="35">
        <v>2.0</v>
      </c>
      <c r="H851" s="35">
        <v>0.0</v>
      </c>
      <c r="I851" s="35">
        <v>0.0</v>
      </c>
      <c r="J851" s="35"/>
      <c r="K851" s="35">
        <v>0.0</v>
      </c>
    </row>
    <row r="852" ht="15.75" customHeight="1">
      <c r="A852" s="35" t="s">
        <v>4832</v>
      </c>
      <c r="B852" s="35"/>
      <c r="C852" s="35">
        <v>26.0</v>
      </c>
      <c r="D852" s="35" t="s">
        <v>4189</v>
      </c>
      <c r="E852" s="35">
        <v>46027.0</v>
      </c>
      <c r="F852" s="35">
        <v>0.0</v>
      </c>
      <c r="G852" s="35">
        <v>4.0</v>
      </c>
      <c r="H852" s="35">
        <v>0.0</v>
      </c>
      <c r="I852" s="35">
        <v>0.0</v>
      </c>
      <c r="J852" s="35"/>
      <c r="K852" s="35">
        <v>0.0</v>
      </c>
    </row>
    <row r="853" ht="15.75" customHeight="1">
      <c r="A853" s="35" t="s">
        <v>4833</v>
      </c>
      <c r="B853" s="35"/>
      <c r="C853" s="35">
        <v>26.0</v>
      </c>
      <c r="D853" s="35" t="s">
        <v>3256</v>
      </c>
      <c r="E853" s="35">
        <v>46027.0</v>
      </c>
      <c r="F853" s="35">
        <v>0.0</v>
      </c>
      <c r="G853" s="35">
        <v>1.0</v>
      </c>
      <c r="H853" s="35">
        <v>0.0</v>
      </c>
      <c r="I853" s="35">
        <v>0.0</v>
      </c>
      <c r="J853" s="35"/>
      <c r="K853" s="35">
        <v>0.0</v>
      </c>
    </row>
    <row r="854" ht="15.75" customHeight="1">
      <c r="A854" s="35" t="s">
        <v>4834</v>
      </c>
      <c r="B854" s="35"/>
      <c r="C854" s="35">
        <v>26.0</v>
      </c>
      <c r="D854" s="35" t="s">
        <v>4676</v>
      </c>
      <c r="E854" s="35">
        <v>46027.0</v>
      </c>
      <c r="F854" s="35">
        <v>0.0</v>
      </c>
      <c r="G854" s="35">
        <v>1.0</v>
      </c>
      <c r="H854" s="35">
        <v>0.0</v>
      </c>
      <c r="I854" s="35">
        <v>0.0</v>
      </c>
      <c r="J854" s="35"/>
      <c r="K854" s="35">
        <v>0.0</v>
      </c>
    </row>
    <row r="855" ht="15.75" customHeight="1">
      <c r="A855" s="35" t="s">
        <v>4836</v>
      </c>
      <c r="B855" s="35"/>
      <c r="C855" s="35">
        <v>26.0</v>
      </c>
      <c r="D855" s="35" t="s">
        <v>3600</v>
      </c>
      <c r="E855" s="35">
        <v>46027.0</v>
      </c>
      <c r="F855" s="35">
        <v>0.0</v>
      </c>
      <c r="G855" s="35">
        <v>0.0</v>
      </c>
      <c r="H855" s="35">
        <v>0.0</v>
      </c>
      <c r="I855" s="35">
        <v>0.0</v>
      </c>
      <c r="J855" s="35"/>
      <c r="K855" s="35">
        <v>1.0</v>
      </c>
    </row>
    <row r="856" ht="15.75" customHeight="1">
      <c r="A856" s="35" t="s">
        <v>4837</v>
      </c>
      <c r="B856" s="35"/>
      <c r="C856" s="35">
        <v>26.0</v>
      </c>
      <c r="D856" s="35" t="s">
        <v>4838</v>
      </c>
      <c r="E856" s="35">
        <v>46027.0</v>
      </c>
      <c r="F856" s="35">
        <v>0.0</v>
      </c>
      <c r="G856" s="35">
        <v>8.0</v>
      </c>
      <c r="H856" s="35">
        <v>0.0</v>
      </c>
      <c r="I856" s="35">
        <v>0.0</v>
      </c>
      <c r="J856" s="35"/>
      <c r="K856" s="35">
        <v>0.0</v>
      </c>
    </row>
    <row r="857" ht="15.75" customHeight="1">
      <c r="A857" s="35" t="s">
        <v>1225</v>
      </c>
      <c r="B857" s="35"/>
      <c r="C857" s="35">
        <v>26.0</v>
      </c>
      <c r="D857" s="35">
        <v>360.0</v>
      </c>
      <c r="E857" s="35">
        <v>46027.0</v>
      </c>
      <c r="F857" s="35">
        <v>0.0</v>
      </c>
      <c r="G857" s="35">
        <v>2.0</v>
      </c>
      <c r="H857" s="35">
        <v>0.0</v>
      </c>
      <c r="I857" s="35">
        <v>0.0</v>
      </c>
      <c r="J857" s="35"/>
      <c r="K857" s="35">
        <v>0.0</v>
      </c>
    </row>
    <row r="858" ht="15.75" customHeight="1">
      <c r="A858" s="35" t="s">
        <v>4840</v>
      </c>
      <c r="B858" s="35"/>
      <c r="C858" s="35">
        <v>26.0</v>
      </c>
      <c r="D858" s="35" t="s">
        <v>4841</v>
      </c>
      <c r="E858" s="35">
        <v>46027.0</v>
      </c>
      <c r="F858" s="35">
        <v>0.0</v>
      </c>
      <c r="G858" s="35">
        <v>15.0</v>
      </c>
      <c r="H858" s="35">
        <v>0.0</v>
      </c>
      <c r="I858" s="35">
        <v>0.0</v>
      </c>
      <c r="J858" s="35"/>
      <c r="K858" s="35">
        <v>0.0</v>
      </c>
    </row>
    <row r="859" ht="15.75" customHeight="1">
      <c r="A859" s="35" t="s">
        <v>4843</v>
      </c>
      <c r="B859" s="35"/>
      <c r="C859" s="35">
        <v>26.0</v>
      </c>
      <c r="D859" s="35">
        <v>117.0</v>
      </c>
      <c r="E859" s="35">
        <v>46027.0</v>
      </c>
      <c r="F859" s="35">
        <v>0.0</v>
      </c>
      <c r="G859" s="35">
        <v>7.0</v>
      </c>
      <c r="H859" s="35">
        <v>0.0</v>
      </c>
      <c r="I859" s="35">
        <v>0.0</v>
      </c>
      <c r="J859" s="35"/>
      <c r="K859" s="35">
        <v>0.0</v>
      </c>
    </row>
    <row r="860" ht="15.75" customHeight="1">
      <c r="A860" s="35" t="s">
        <v>4844</v>
      </c>
      <c r="B860" s="35"/>
      <c r="C860" s="35">
        <v>26.0</v>
      </c>
      <c r="D860" s="35">
        <v>646.0</v>
      </c>
      <c r="E860" s="35">
        <v>46027.0</v>
      </c>
      <c r="F860" s="35">
        <v>0.0</v>
      </c>
      <c r="G860" s="35">
        <v>6.0</v>
      </c>
      <c r="H860" s="35">
        <v>0.0</v>
      </c>
      <c r="I860" s="35">
        <v>0.0</v>
      </c>
      <c r="J860" s="35"/>
      <c r="K860" s="35">
        <v>0.0</v>
      </c>
    </row>
    <row r="861" ht="15.75" customHeight="1">
      <c r="A861" s="35" t="s">
        <v>1229</v>
      </c>
      <c r="B861" s="35"/>
      <c r="C861" s="35">
        <v>26.0</v>
      </c>
      <c r="D861" s="35" t="s">
        <v>4846</v>
      </c>
      <c r="E861" s="35">
        <v>46027.0</v>
      </c>
      <c r="F861" s="35">
        <v>0.0</v>
      </c>
      <c r="G861" s="35">
        <v>4.0</v>
      </c>
      <c r="H861" s="35">
        <v>0.0</v>
      </c>
      <c r="I861" s="35">
        <v>0.0</v>
      </c>
      <c r="J861" s="35"/>
      <c r="K861" s="35">
        <v>0.0</v>
      </c>
    </row>
    <row r="862" ht="15.75" customHeight="1">
      <c r="A862" s="35" t="s">
        <v>4847</v>
      </c>
      <c r="B862" s="35"/>
      <c r="C862" s="35">
        <v>26.0</v>
      </c>
      <c r="D862" s="35" t="s">
        <v>2046</v>
      </c>
      <c r="E862" s="35">
        <v>46027.0</v>
      </c>
      <c r="F862" s="35">
        <v>0.0</v>
      </c>
      <c r="G862" s="35">
        <v>2.0</v>
      </c>
      <c r="H862" s="35">
        <v>0.0</v>
      </c>
      <c r="I862" s="35">
        <v>0.0</v>
      </c>
      <c r="J862" s="35"/>
      <c r="K862" s="35">
        <v>0.0</v>
      </c>
    </row>
    <row r="863" ht="15.75" customHeight="1">
      <c r="A863" s="35" t="s">
        <v>1233</v>
      </c>
      <c r="B863" s="35"/>
      <c r="C863" s="35">
        <v>26.0</v>
      </c>
      <c r="D863" s="35" t="s">
        <v>2032</v>
      </c>
      <c r="E863" s="35">
        <v>46027.0</v>
      </c>
      <c r="F863" s="35">
        <v>0.0</v>
      </c>
      <c r="G863" s="35">
        <v>1.0</v>
      </c>
      <c r="H863" s="35">
        <v>0.0</v>
      </c>
      <c r="I863" s="35">
        <v>0.0</v>
      </c>
      <c r="J863" s="35"/>
      <c r="K863" s="35">
        <v>0.0</v>
      </c>
    </row>
    <row r="864" ht="15.75" customHeight="1">
      <c r="A864" s="35" t="s">
        <v>4849</v>
      </c>
      <c r="B864" s="35"/>
      <c r="C864" s="35">
        <v>26.0</v>
      </c>
      <c r="D864" s="35" t="s">
        <v>3665</v>
      </c>
      <c r="E864" s="35">
        <v>46027.0</v>
      </c>
      <c r="F864" s="35">
        <v>0.0</v>
      </c>
      <c r="G864" s="35">
        <v>1.0</v>
      </c>
      <c r="H864" s="35">
        <v>0.0</v>
      </c>
      <c r="I864" s="35">
        <v>0.0</v>
      </c>
      <c r="J864" s="35"/>
      <c r="K864" s="35">
        <v>0.0</v>
      </c>
    </row>
    <row r="865" ht="15.75" customHeight="1">
      <c r="A865" s="35" t="s">
        <v>4850</v>
      </c>
      <c r="B865" s="35"/>
      <c r="C865" s="35">
        <v>26.0</v>
      </c>
      <c r="D865" s="35" t="s">
        <v>2035</v>
      </c>
      <c r="E865" s="35">
        <v>46027.0</v>
      </c>
      <c r="F865" s="35">
        <v>0.0</v>
      </c>
      <c r="G865" s="35">
        <v>1.0</v>
      </c>
      <c r="H865" s="35">
        <v>0.0</v>
      </c>
      <c r="I865" s="35">
        <v>0.0</v>
      </c>
      <c r="J865" s="35"/>
      <c r="K865" s="35">
        <v>0.0</v>
      </c>
    </row>
    <row r="866" ht="15.75" customHeight="1">
      <c r="A866" s="35" t="s">
        <v>4852</v>
      </c>
      <c r="B866" s="35"/>
      <c r="C866" s="35">
        <v>26.0</v>
      </c>
      <c r="D866" s="35">
        <v>855.0</v>
      </c>
      <c r="E866" s="35">
        <v>46027.0</v>
      </c>
      <c r="F866" s="35">
        <v>0.0</v>
      </c>
      <c r="G866" s="35">
        <v>0.0</v>
      </c>
      <c r="H866" s="35">
        <v>1.0</v>
      </c>
      <c r="I866" s="35">
        <v>0.0</v>
      </c>
      <c r="J866" s="35"/>
      <c r="K866" s="35">
        <v>0.0</v>
      </c>
    </row>
    <row r="867" ht="15.75" customHeight="1">
      <c r="A867" s="35" t="s">
        <v>4853</v>
      </c>
      <c r="B867" s="35"/>
      <c r="C867" s="35">
        <v>26.0</v>
      </c>
      <c r="D867" s="35" t="s">
        <v>3600</v>
      </c>
      <c r="E867" s="35">
        <v>46027.0</v>
      </c>
      <c r="F867" s="35">
        <v>0.0</v>
      </c>
      <c r="G867" s="35">
        <v>47.0</v>
      </c>
      <c r="H867" s="35">
        <v>0.0</v>
      </c>
      <c r="I867" s="35">
        <v>0.0</v>
      </c>
      <c r="J867" s="35"/>
      <c r="K867" s="35">
        <v>0.0</v>
      </c>
    </row>
    <row r="868" ht="15.75" customHeight="1">
      <c r="A868" s="35" t="s">
        <v>4855</v>
      </c>
      <c r="B868" s="35"/>
      <c r="C868" s="35">
        <v>26.0</v>
      </c>
      <c r="D868" s="35" t="s">
        <v>4856</v>
      </c>
      <c r="E868" s="35">
        <v>46027.0</v>
      </c>
      <c r="F868" s="35">
        <v>0.0</v>
      </c>
      <c r="G868" s="35">
        <v>0.0</v>
      </c>
      <c r="H868" s="35">
        <v>27.0</v>
      </c>
      <c r="I868" s="35">
        <v>0.0</v>
      </c>
      <c r="J868" s="35"/>
      <c r="K868" s="35">
        <v>0.0</v>
      </c>
    </row>
    <row r="869" ht="15.75" customHeight="1">
      <c r="A869" s="35" t="s">
        <v>4857</v>
      </c>
      <c r="B869" s="35"/>
      <c r="C869" s="35">
        <v>26.0</v>
      </c>
      <c r="D869" s="35">
        <v>815.0</v>
      </c>
      <c r="E869" s="35">
        <v>46027.0</v>
      </c>
      <c r="F869" s="35">
        <v>0.0</v>
      </c>
      <c r="G869" s="35">
        <v>6.0</v>
      </c>
      <c r="H869" s="35">
        <v>0.0</v>
      </c>
      <c r="I869" s="35">
        <v>0.0</v>
      </c>
      <c r="J869" s="35"/>
      <c r="K869" s="35">
        <v>0.0</v>
      </c>
    </row>
    <row r="870" ht="15.75" customHeight="1">
      <c r="A870" s="35" t="s">
        <v>4858</v>
      </c>
      <c r="B870" s="35"/>
      <c r="C870" s="35">
        <v>26.0</v>
      </c>
      <c r="D870" s="35" t="s">
        <v>4480</v>
      </c>
      <c r="E870" s="35">
        <v>46027.0</v>
      </c>
      <c r="F870" s="35">
        <v>0.0</v>
      </c>
      <c r="G870" s="35">
        <v>3.0</v>
      </c>
      <c r="H870" s="35">
        <v>0.0</v>
      </c>
      <c r="I870" s="35">
        <v>0.0</v>
      </c>
      <c r="J870" s="35"/>
      <c r="K870" s="35">
        <v>0.0</v>
      </c>
    </row>
    <row r="871" ht="15.75" customHeight="1">
      <c r="A871" s="35" t="s">
        <v>4860</v>
      </c>
      <c r="B871" s="35"/>
      <c r="C871" s="35">
        <v>26.0</v>
      </c>
      <c r="D871" s="35" t="s">
        <v>2144</v>
      </c>
      <c r="E871" s="35">
        <v>46027.0</v>
      </c>
      <c r="F871" s="35">
        <v>0.0</v>
      </c>
      <c r="G871" s="35">
        <v>3.0</v>
      </c>
      <c r="H871" s="35">
        <v>0.0</v>
      </c>
      <c r="I871" s="35">
        <v>0.0</v>
      </c>
      <c r="J871" s="35"/>
      <c r="K871" s="35">
        <v>0.0</v>
      </c>
    </row>
    <row r="872" ht="15.75" customHeight="1">
      <c r="A872" s="35" t="s">
        <v>4861</v>
      </c>
      <c r="B872" s="35"/>
      <c r="C872" s="35">
        <v>26.0</v>
      </c>
      <c r="D872" s="35" t="s">
        <v>4862</v>
      </c>
      <c r="E872" s="35">
        <v>46027.0</v>
      </c>
      <c r="F872" s="35">
        <v>0.0</v>
      </c>
      <c r="G872" s="35">
        <v>3.0</v>
      </c>
      <c r="H872" s="35">
        <v>0.0</v>
      </c>
      <c r="I872" s="35">
        <v>0.0</v>
      </c>
      <c r="J872" s="35"/>
      <c r="K872" s="35">
        <v>0.0</v>
      </c>
    </row>
    <row r="873" ht="15.75" customHeight="1">
      <c r="A873" s="35" t="s">
        <v>4864</v>
      </c>
      <c r="B873" s="35"/>
      <c r="C873" s="35">
        <v>26.0</v>
      </c>
      <c r="D873" s="35">
        <v>940.0</v>
      </c>
      <c r="E873" s="35">
        <v>46027.0</v>
      </c>
      <c r="F873" s="35">
        <v>0.0</v>
      </c>
      <c r="G873" s="35">
        <v>1.0</v>
      </c>
      <c r="H873" s="35">
        <v>0.0</v>
      </c>
      <c r="I873" s="35">
        <v>0.0</v>
      </c>
      <c r="J873" s="35"/>
      <c r="K873" s="35">
        <v>0.0</v>
      </c>
    </row>
    <row r="874" ht="15.75" customHeight="1">
      <c r="A874" s="35" t="s">
        <v>1235</v>
      </c>
      <c r="B874" s="35"/>
      <c r="C874" s="35">
        <v>26.0</v>
      </c>
      <c r="D874" s="35" t="s">
        <v>4865</v>
      </c>
      <c r="E874" s="35">
        <v>46027.0</v>
      </c>
      <c r="F874" s="35">
        <v>0.0</v>
      </c>
      <c r="G874" s="35">
        <v>0.0</v>
      </c>
      <c r="H874" s="35">
        <v>0.0</v>
      </c>
      <c r="I874" s="35">
        <v>1.0</v>
      </c>
      <c r="J874" s="35"/>
      <c r="K874" s="35">
        <v>0.0</v>
      </c>
    </row>
    <row r="875" ht="15.75" customHeight="1">
      <c r="A875" s="35" t="s">
        <v>4867</v>
      </c>
      <c r="B875" s="35"/>
      <c r="C875" s="35">
        <v>26.0</v>
      </c>
      <c r="D875" s="35" t="s">
        <v>4868</v>
      </c>
      <c r="E875" s="35">
        <v>46027.0</v>
      </c>
      <c r="F875" s="35">
        <v>0.0</v>
      </c>
      <c r="G875" s="35">
        <v>46.0</v>
      </c>
      <c r="H875" s="35">
        <v>0.0</v>
      </c>
      <c r="I875" s="35">
        <v>0.0</v>
      </c>
      <c r="J875" s="35"/>
      <c r="K875" s="35">
        <v>0.0</v>
      </c>
    </row>
    <row r="876" ht="15.75" customHeight="1">
      <c r="A876" s="35" t="s">
        <v>4869</v>
      </c>
      <c r="B876" s="35"/>
      <c r="C876" s="35">
        <v>26.0</v>
      </c>
      <c r="D876" s="35" t="s">
        <v>4493</v>
      </c>
      <c r="E876" s="35">
        <v>46027.0</v>
      </c>
      <c r="F876" s="35">
        <v>0.0</v>
      </c>
      <c r="G876" s="35">
        <v>5.0</v>
      </c>
      <c r="H876" s="35">
        <v>0.0</v>
      </c>
      <c r="I876" s="35">
        <v>0.0</v>
      </c>
      <c r="J876" s="35"/>
      <c r="K876" s="35">
        <v>0.0</v>
      </c>
    </row>
    <row r="877" ht="15.75" customHeight="1">
      <c r="A877" s="35" t="s">
        <v>4870</v>
      </c>
      <c r="B877" s="35"/>
      <c r="C877" s="35">
        <v>26.0</v>
      </c>
      <c r="D877" s="35" t="s">
        <v>4161</v>
      </c>
      <c r="E877" s="35">
        <v>46027.0</v>
      </c>
      <c r="F877" s="35">
        <v>0.0</v>
      </c>
      <c r="G877" s="35">
        <v>3.0</v>
      </c>
      <c r="H877" s="35">
        <v>0.0</v>
      </c>
      <c r="I877" s="35">
        <v>0.0</v>
      </c>
      <c r="J877" s="35"/>
      <c r="K877" s="35">
        <v>0.0</v>
      </c>
    </row>
    <row r="878" ht="15.75" customHeight="1">
      <c r="A878" s="35" t="s">
        <v>4872</v>
      </c>
      <c r="B878" s="35"/>
      <c r="C878" s="35">
        <v>26.0</v>
      </c>
      <c r="D878" s="35" t="s">
        <v>4284</v>
      </c>
      <c r="E878" s="35">
        <v>46027.0</v>
      </c>
      <c r="F878" s="35">
        <v>0.0</v>
      </c>
      <c r="G878" s="35">
        <v>1.0</v>
      </c>
      <c r="H878" s="35">
        <v>0.0</v>
      </c>
      <c r="I878" s="35">
        <v>0.0</v>
      </c>
      <c r="J878" s="35"/>
      <c r="K878" s="35">
        <v>0.0</v>
      </c>
    </row>
    <row r="879" ht="15.75" customHeight="1">
      <c r="A879" s="35" t="s">
        <v>4873</v>
      </c>
      <c r="B879" s="35"/>
      <c r="C879" s="35">
        <v>26.0</v>
      </c>
      <c r="D879" s="35" t="s">
        <v>4343</v>
      </c>
      <c r="E879" s="35">
        <v>46027.0</v>
      </c>
      <c r="F879" s="35">
        <v>0.0</v>
      </c>
      <c r="G879" s="35">
        <v>1.0</v>
      </c>
      <c r="H879" s="35">
        <v>0.0</v>
      </c>
      <c r="I879" s="35">
        <v>0.0</v>
      </c>
      <c r="J879" s="35"/>
      <c r="K879" s="35">
        <v>0.0</v>
      </c>
    </row>
    <row r="880" ht="15.75" customHeight="1">
      <c r="A880" s="35" t="s">
        <v>4875</v>
      </c>
      <c r="B880" s="35"/>
      <c r="C880" s="35">
        <v>26.0</v>
      </c>
      <c r="D880" s="35" t="s">
        <v>4602</v>
      </c>
      <c r="E880" s="35">
        <v>46027.0</v>
      </c>
      <c r="F880" s="35">
        <v>0.0</v>
      </c>
      <c r="G880" s="35">
        <v>4.0</v>
      </c>
      <c r="H880" s="35">
        <v>0.0</v>
      </c>
      <c r="I880" s="35">
        <v>0.0</v>
      </c>
      <c r="J880" s="35"/>
      <c r="K880" s="35">
        <v>0.0</v>
      </c>
    </row>
    <row r="881" ht="15.75" customHeight="1">
      <c r="A881" s="35" t="s">
        <v>4876</v>
      </c>
      <c r="B881" s="35"/>
      <c r="C881" s="35">
        <v>26.0</v>
      </c>
      <c r="D881" s="35">
        <v>581.0</v>
      </c>
      <c r="E881" s="35">
        <v>46027.0</v>
      </c>
      <c r="F881" s="35">
        <v>0.0</v>
      </c>
      <c r="G881" s="35">
        <v>2.0</v>
      </c>
      <c r="H881" s="35">
        <v>0.0</v>
      </c>
      <c r="I881" s="35">
        <v>0.0</v>
      </c>
      <c r="J881" s="35"/>
      <c r="K881" s="35">
        <v>0.0</v>
      </c>
    </row>
    <row r="882" ht="15.75" customHeight="1">
      <c r="A882" s="35" t="s">
        <v>4878</v>
      </c>
      <c r="B882" s="35"/>
      <c r="C882" s="35">
        <v>26.0</v>
      </c>
      <c r="D882" s="35" t="s">
        <v>4303</v>
      </c>
      <c r="E882" s="35">
        <v>46027.0</v>
      </c>
      <c r="F882" s="35">
        <v>0.0</v>
      </c>
      <c r="G882" s="35">
        <v>1.0</v>
      </c>
      <c r="H882" s="35">
        <v>0.0</v>
      </c>
      <c r="I882" s="35">
        <v>0.0</v>
      </c>
      <c r="J882" s="35"/>
      <c r="K882" s="35">
        <v>0.0</v>
      </c>
    </row>
    <row r="883" ht="15.75" customHeight="1">
      <c r="A883" s="35" t="s">
        <v>4879</v>
      </c>
      <c r="B883" s="35"/>
      <c r="C883" s="35">
        <v>26.0</v>
      </c>
      <c r="D883" s="35">
        <v>450.0</v>
      </c>
      <c r="E883" s="35">
        <v>46027.0</v>
      </c>
      <c r="F883" s="35">
        <v>0.0</v>
      </c>
      <c r="G883" s="35">
        <v>0.0</v>
      </c>
      <c r="H883" s="35">
        <v>1.0</v>
      </c>
      <c r="I883" s="35">
        <v>0.0</v>
      </c>
      <c r="J883" s="35"/>
      <c r="K883" s="35">
        <v>0.0</v>
      </c>
    </row>
    <row r="884" ht="15.75" customHeight="1">
      <c r="A884" s="35" t="s">
        <v>4880</v>
      </c>
      <c r="B884" s="35"/>
      <c r="C884" s="35">
        <v>26.0</v>
      </c>
      <c r="D884" s="35" t="s">
        <v>4882</v>
      </c>
      <c r="E884" s="35">
        <v>46027.0</v>
      </c>
      <c r="F884" s="35">
        <v>0.0</v>
      </c>
      <c r="G884" s="35">
        <v>10.0</v>
      </c>
      <c r="H884" s="35">
        <v>0.0</v>
      </c>
      <c r="I884" s="35">
        <v>0.0</v>
      </c>
      <c r="J884" s="35"/>
      <c r="K884" s="35">
        <v>0.0</v>
      </c>
    </row>
    <row r="885" ht="15.75" customHeight="1">
      <c r="A885" s="35" t="s">
        <v>4883</v>
      </c>
      <c r="B885" s="35"/>
      <c r="C885" s="35">
        <v>25.0</v>
      </c>
      <c r="D885" s="35">
        <v>833.0</v>
      </c>
      <c r="E885" s="35">
        <v>46058.0</v>
      </c>
      <c r="F885" s="35">
        <v>0.0</v>
      </c>
      <c r="G885" s="35">
        <v>2.0</v>
      </c>
      <c r="H885" s="35">
        <v>1.0</v>
      </c>
      <c r="I885" s="35">
        <v>0.0</v>
      </c>
      <c r="J885" s="35"/>
      <c r="K885" s="35">
        <v>0.0</v>
      </c>
    </row>
    <row r="886" ht="15.75" customHeight="1">
      <c r="A886" s="35" t="s">
        <v>4884</v>
      </c>
      <c r="B886" s="35"/>
      <c r="C886" s="35">
        <v>25.0</v>
      </c>
      <c r="D886" s="35" t="s">
        <v>4372</v>
      </c>
      <c r="E886" s="35">
        <v>46027.0</v>
      </c>
      <c r="F886" s="35">
        <v>0.0</v>
      </c>
      <c r="G886" s="35">
        <v>7.0</v>
      </c>
      <c r="H886" s="35">
        <v>0.0</v>
      </c>
      <c r="I886" s="35">
        <v>0.0</v>
      </c>
      <c r="J886" s="35"/>
      <c r="K886" s="35">
        <v>0.0</v>
      </c>
    </row>
    <row r="887" ht="15.75" customHeight="1">
      <c r="A887" s="35" t="s">
        <v>4886</v>
      </c>
      <c r="B887" s="35"/>
      <c r="C887" s="35">
        <v>25.0</v>
      </c>
      <c r="D887" s="35" t="s">
        <v>2032</v>
      </c>
      <c r="E887" s="35">
        <v>46027.0</v>
      </c>
      <c r="F887" s="35">
        <v>0.0</v>
      </c>
      <c r="G887" s="35">
        <v>1.0</v>
      </c>
      <c r="H887" s="35">
        <v>0.0</v>
      </c>
      <c r="I887" s="35">
        <v>0.0</v>
      </c>
      <c r="J887" s="35"/>
      <c r="K887" s="35">
        <v>0.0</v>
      </c>
    </row>
    <row r="888" ht="15.75" customHeight="1">
      <c r="A888" s="35" t="s">
        <v>4887</v>
      </c>
      <c r="B888" s="35"/>
      <c r="C888" s="35">
        <v>25.0</v>
      </c>
      <c r="D888" s="35" t="s">
        <v>4888</v>
      </c>
      <c r="E888" s="35">
        <v>46027.0</v>
      </c>
      <c r="F888" s="35">
        <v>0.0</v>
      </c>
      <c r="G888" s="35">
        <v>3.0</v>
      </c>
      <c r="H888" s="35">
        <v>0.0</v>
      </c>
      <c r="I888" s="35">
        <v>0.0</v>
      </c>
      <c r="J888" s="35"/>
      <c r="K888" s="35">
        <v>0.0</v>
      </c>
    </row>
    <row r="889" ht="15.75" customHeight="1">
      <c r="A889" s="35" t="s">
        <v>4890</v>
      </c>
      <c r="B889" s="35"/>
      <c r="C889" s="35">
        <v>25.0</v>
      </c>
      <c r="D889" s="35" t="s">
        <v>4722</v>
      </c>
      <c r="E889" s="35">
        <v>46027.0</v>
      </c>
      <c r="F889" s="35">
        <v>0.0</v>
      </c>
      <c r="G889" s="35">
        <v>18.0</v>
      </c>
      <c r="H889" s="35">
        <v>0.0</v>
      </c>
      <c r="I889" s="35">
        <v>0.0</v>
      </c>
      <c r="J889" s="35"/>
      <c r="K889" s="35">
        <v>0.0</v>
      </c>
    </row>
    <row r="890" ht="15.75" customHeight="1">
      <c r="A890" s="35" t="s">
        <v>1239</v>
      </c>
      <c r="B890" s="35"/>
      <c r="C890" s="35">
        <v>25.0</v>
      </c>
      <c r="D890" s="35" t="s">
        <v>4891</v>
      </c>
      <c r="E890" s="35">
        <v>46027.0</v>
      </c>
      <c r="F890" s="35">
        <v>0.0</v>
      </c>
      <c r="G890" s="35">
        <v>0.0</v>
      </c>
      <c r="H890" s="35">
        <v>0.0</v>
      </c>
      <c r="I890" s="35">
        <v>2.0</v>
      </c>
      <c r="J890" s="35"/>
      <c r="K890" s="35">
        <v>0.0</v>
      </c>
    </row>
    <row r="891" ht="15.75" customHeight="1">
      <c r="A891" s="35" t="s">
        <v>1243</v>
      </c>
      <c r="B891" s="35"/>
      <c r="C891" s="35">
        <v>25.0</v>
      </c>
      <c r="D891" s="35">
        <v>841.0</v>
      </c>
      <c r="E891" s="35">
        <v>46027.0</v>
      </c>
      <c r="F891" s="35">
        <v>0.0</v>
      </c>
      <c r="G891" s="35">
        <v>20.0</v>
      </c>
      <c r="H891" s="35">
        <v>0.0</v>
      </c>
      <c r="I891" s="35">
        <v>0.0</v>
      </c>
      <c r="J891" s="35"/>
      <c r="K891" s="35">
        <v>0.0</v>
      </c>
    </row>
    <row r="892" ht="15.75" customHeight="1">
      <c r="A892" s="35" t="s">
        <v>4893</v>
      </c>
      <c r="B892" s="35"/>
      <c r="C892" s="35">
        <v>25.0</v>
      </c>
      <c r="D892" s="35" t="s">
        <v>2039</v>
      </c>
      <c r="E892" s="35">
        <v>46027.0</v>
      </c>
      <c r="F892" s="35">
        <v>0.0</v>
      </c>
      <c r="G892" s="35">
        <v>1.0</v>
      </c>
      <c r="H892" s="35">
        <v>0.0</v>
      </c>
      <c r="I892" s="35">
        <v>0.0</v>
      </c>
      <c r="J892" s="35"/>
      <c r="K892" s="35">
        <v>0.0</v>
      </c>
    </row>
    <row r="893" ht="15.75" customHeight="1">
      <c r="A893" s="35" t="s">
        <v>4894</v>
      </c>
      <c r="B893" s="35"/>
      <c r="C893" s="35">
        <v>25.0</v>
      </c>
      <c r="D893" s="35">
        <v>263.0</v>
      </c>
      <c r="E893" s="35">
        <v>46027.0</v>
      </c>
      <c r="F893" s="35">
        <v>0.0</v>
      </c>
      <c r="G893" s="35">
        <v>2.0</v>
      </c>
      <c r="H893" s="35">
        <v>0.0</v>
      </c>
      <c r="I893" s="35">
        <v>0.0</v>
      </c>
      <c r="J893" s="35"/>
      <c r="K893" s="35">
        <v>0.0</v>
      </c>
    </row>
    <row r="894" ht="15.75" customHeight="1">
      <c r="A894" s="35" t="s">
        <v>4895</v>
      </c>
      <c r="B894" s="35"/>
      <c r="C894" s="35">
        <v>25.0</v>
      </c>
      <c r="D894" s="35">
        <v>166.0</v>
      </c>
      <c r="E894" s="35">
        <v>46027.0</v>
      </c>
      <c r="F894" s="35">
        <v>0.0</v>
      </c>
      <c r="G894" s="35">
        <v>2.0</v>
      </c>
      <c r="H894" s="35">
        <v>0.0</v>
      </c>
      <c r="I894" s="35">
        <v>0.0</v>
      </c>
      <c r="J894" s="35"/>
      <c r="K894" s="35">
        <v>0.0</v>
      </c>
    </row>
    <row r="895" ht="15.75" customHeight="1">
      <c r="A895" s="35" t="s">
        <v>4897</v>
      </c>
      <c r="B895" s="35"/>
      <c r="C895" s="35">
        <v>25.0</v>
      </c>
      <c r="D895" s="35" t="s">
        <v>2039</v>
      </c>
      <c r="E895" s="35">
        <v>46027.0</v>
      </c>
      <c r="F895" s="35">
        <v>0.0</v>
      </c>
      <c r="G895" s="35">
        <v>0.0</v>
      </c>
      <c r="H895" s="35">
        <v>0.0</v>
      </c>
      <c r="I895" s="35">
        <v>1.0</v>
      </c>
      <c r="J895" s="35"/>
      <c r="K895" s="35">
        <v>0.0</v>
      </c>
    </row>
    <row r="896" ht="15.75" customHeight="1">
      <c r="A896" s="35" t="s">
        <v>1247</v>
      </c>
      <c r="B896" s="35"/>
      <c r="C896" s="35">
        <v>25.0</v>
      </c>
      <c r="D896" s="35" t="s">
        <v>2039</v>
      </c>
      <c r="E896" s="35">
        <v>46027.0</v>
      </c>
      <c r="F896" s="35">
        <v>0.0</v>
      </c>
      <c r="G896" s="35">
        <v>2.0</v>
      </c>
      <c r="H896" s="35">
        <v>0.0</v>
      </c>
      <c r="I896" s="35">
        <v>0.0</v>
      </c>
      <c r="J896" s="35"/>
      <c r="K896" s="35">
        <v>0.0</v>
      </c>
    </row>
    <row r="897" ht="15.75" customHeight="1">
      <c r="A897" s="35" t="s">
        <v>4898</v>
      </c>
      <c r="B897" s="35"/>
      <c r="C897" s="35">
        <v>25.0</v>
      </c>
      <c r="D897" s="35" t="s">
        <v>4139</v>
      </c>
      <c r="E897" s="35">
        <v>46027.0</v>
      </c>
      <c r="F897" s="35">
        <v>0.0</v>
      </c>
      <c r="G897" s="35">
        <v>0.0</v>
      </c>
      <c r="H897" s="35">
        <v>1.0</v>
      </c>
      <c r="I897" s="35">
        <v>0.0</v>
      </c>
      <c r="J897" s="35"/>
      <c r="K897" s="35">
        <v>0.0</v>
      </c>
    </row>
    <row r="898" ht="15.75" customHeight="1">
      <c r="A898" s="35" t="s">
        <v>4900</v>
      </c>
      <c r="B898" s="35"/>
      <c r="C898" s="35">
        <v>25.0</v>
      </c>
      <c r="D898" s="35">
        <v>451.0</v>
      </c>
      <c r="E898" s="35">
        <v>46027.0</v>
      </c>
      <c r="F898" s="35">
        <v>0.0</v>
      </c>
      <c r="G898" s="35">
        <v>1.0</v>
      </c>
      <c r="H898" s="35">
        <v>0.0</v>
      </c>
      <c r="I898" s="35">
        <v>0.0</v>
      </c>
      <c r="J898" s="35"/>
      <c r="K898" s="35">
        <v>0.0</v>
      </c>
    </row>
    <row r="899" ht="15.75" customHeight="1">
      <c r="A899" s="35" t="s">
        <v>4901</v>
      </c>
      <c r="B899" s="35"/>
      <c r="C899" s="35">
        <v>25.0</v>
      </c>
      <c r="D899" s="35" t="s">
        <v>4183</v>
      </c>
      <c r="E899" s="35">
        <v>46027.0</v>
      </c>
      <c r="F899" s="35">
        <v>0.0</v>
      </c>
      <c r="G899" s="35">
        <v>2.0</v>
      </c>
      <c r="H899" s="35">
        <v>0.0</v>
      </c>
      <c r="I899" s="35">
        <v>0.0</v>
      </c>
      <c r="J899" s="35"/>
      <c r="K899" s="35">
        <v>0.0</v>
      </c>
    </row>
    <row r="900" ht="15.75" customHeight="1">
      <c r="A900" s="35" t="s">
        <v>4903</v>
      </c>
      <c r="B900" s="35"/>
      <c r="C900" s="35">
        <v>25.0</v>
      </c>
      <c r="D900" s="35" t="s">
        <v>4862</v>
      </c>
      <c r="E900" s="35">
        <v>46027.0</v>
      </c>
      <c r="F900" s="35">
        <v>0.0</v>
      </c>
      <c r="G900" s="35">
        <v>1.0</v>
      </c>
      <c r="H900" s="35">
        <v>0.0</v>
      </c>
      <c r="I900" s="35">
        <v>0.0</v>
      </c>
      <c r="J900" s="35"/>
      <c r="K900" s="35">
        <v>0.0</v>
      </c>
    </row>
    <row r="901" ht="15.75" customHeight="1">
      <c r="A901" s="35" t="s">
        <v>4904</v>
      </c>
      <c r="B901" s="35"/>
      <c r="C901" s="35">
        <v>25.0</v>
      </c>
      <c r="D901" s="35" t="s">
        <v>2021</v>
      </c>
      <c r="E901" s="35">
        <v>46027.0</v>
      </c>
      <c r="F901" s="35">
        <v>0.0</v>
      </c>
      <c r="G901" s="35">
        <v>1.0</v>
      </c>
      <c r="H901" s="35">
        <v>0.0</v>
      </c>
      <c r="I901" s="35">
        <v>0.0</v>
      </c>
      <c r="J901" s="35"/>
      <c r="K901" s="35">
        <v>0.0</v>
      </c>
    </row>
    <row r="902" ht="15.75" customHeight="1">
      <c r="A902" s="35" t="s">
        <v>4906</v>
      </c>
      <c r="B902" s="35"/>
      <c r="C902" s="35">
        <v>25.0</v>
      </c>
      <c r="D902" s="35" t="s">
        <v>2021</v>
      </c>
      <c r="E902" s="35">
        <v>46027.0</v>
      </c>
      <c r="F902" s="35">
        <v>0.0</v>
      </c>
      <c r="G902" s="35">
        <v>11.0</v>
      </c>
      <c r="H902" s="35">
        <v>0.0</v>
      </c>
      <c r="I902" s="35">
        <v>0.0</v>
      </c>
      <c r="J902" s="35"/>
      <c r="K902" s="35">
        <v>0.0</v>
      </c>
    </row>
    <row r="903" ht="15.75" customHeight="1">
      <c r="A903" s="35" t="s">
        <v>4907</v>
      </c>
      <c r="B903" s="35"/>
      <c r="C903" s="35">
        <v>25.0</v>
      </c>
      <c r="D903" s="35" t="s">
        <v>4256</v>
      </c>
      <c r="E903" s="35">
        <v>46027.0</v>
      </c>
      <c r="F903" s="35">
        <v>0.0</v>
      </c>
      <c r="G903" s="35">
        <v>6.0</v>
      </c>
      <c r="H903" s="35">
        <v>0.0</v>
      </c>
      <c r="I903" s="35">
        <v>0.0</v>
      </c>
      <c r="J903" s="35"/>
      <c r="K903" s="35">
        <v>0.0</v>
      </c>
    </row>
    <row r="904" ht="15.75" customHeight="1">
      <c r="A904" s="35" t="s">
        <v>1249</v>
      </c>
      <c r="B904" s="35"/>
      <c r="C904" s="35">
        <v>25.0</v>
      </c>
      <c r="D904" s="35" t="s">
        <v>4143</v>
      </c>
      <c r="E904" s="35">
        <v>46027.0</v>
      </c>
      <c r="F904" s="35">
        <v>0.0</v>
      </c>
      <c r="G904" s="35">
        <v>2.0</v>
      </c>
      <c r="H904" s="35">
        <v>0.0</v>
      </c>
      <c r="I904" s="35">
        <v>0.0</v>
      </c>
      <c r="J904" s="35"/>
      <c r="K904" s="35">
        <v>0.0</v>
      </c>
    </row>
    <row r="905" ht="15.75" customHeight="1">
      <c r="A905" s="35" t="s">
        <v>4909</v>
      </c>
      <c r="B905" s="35"/>
      <c r="C905" s="35">
        <v>25.0</v>
      </c>
      <c r="D905" s="35" t="s">
        <v>2021</v>
      </c>
      <c r="E905" s="35">
        <v>46027.0</v>
      </c>
      <c r="F905" s="35">
        <v>0.0</v>
      </c>
      <c r="G905" s="35">
        <v>0.0</v>
      </c>
      <c r="H905" s="35">
        <v>0.0</v>
      </c>
      <c r="I905" s="35">
        <v>1.0</v>
      </c>
      <c r="J905" s="35"/>
      <c r="K905" s="35">
        <v>0.0</v>
      </c>
    </row>
    <row r="906" ht="15.75" customHeight="1">
      <c r="A906" s="35" t="s">
        <v>1253</v>
      </c>
      <c r="B906" s="35"/>
      <c r="C906" s="35">
        <v>25.0</v>
      </c>
      <c r="D906" s="35" t="s">
        <v>3665</v>
      </c>
      <c r="E906" s="35">
        <v>46027.0</v>
      </c>
      <c r="F906" s="35">
        <v>0.0</v>
      </c>
      <c r="G906" s="35">
        <v>0.0</v>
      </c>
      <c r="H906" s="35">
        <v>1.0</v>
      </c>
      <c r="I906" s="35">
        <v>0.0</v>
      </c>
      <c r="J906" s="35"/>
      <c r="K906" s="35">
        <v>0.0</v>
      </c>
    </row>
    <row r="907" ht="15.75" customHeight="1">
      <c r="A907" s="35" t="s">
        <v>1257</v>
      </c>
      <c r="B907" s="35"/>
      <c r="C907" s="35">
        <v>25.0</v>
      </c>
      <c r="D907" s="35">
        <v>525.0</v>
      </c>
      <c r="E907" s="35">
        <v>46027.0</v>
      </c>
      <c r="F907" s="35">
        <v>0.0</v>
      </c>
      <c r="G907" s="35">
        <v>17.0</v>
      </c>
      <c r="H907" s="35">
        <v>0.0</v>
      </c>
      <c r="I907" s="35">
        <v>0.0</v>
      </c>
      <c r="J907" s="35"/>
      <c r="K907" s="35">
        <v>0.0</v>
      </c>
    </row>
    <row r="908" ht="15.75" customHeight="1">
      <c r="A908" s="35" t="s">
        <v>4910</v>
      </c>
      <c r="B908" s="35"/>
      <c r="C908" s="35">
        <v>25.0</v>
      </c>
      <c r="D908" s="35" t="s">
        <v>4911</v>
      </c>
      <c r="E908" s="35">
        <v>46027.0</v>
      </c>
      <c r="F908" s="35">
        <v>0.0</v>
      </c>
      <c r="G908" s="35">
        <v>0.0</v>
      </c>
      <c r="H908" s="35">
        <v>0.0</v>
      </c>
      <c r="I908" s="35">
        <v>1.0</v>
      </c>
      <c r="J908" s="35"/>
      <c r="K908" s="35">
        <v>0.0</v>
      </c>
    </row>
    <row r="909" ht="15.75" customHeight="1">
      <c r="A909" s="35" t="s">
        <v>4913</v>
      </c>
      <c r="B909" s="35"/>
      <c r="C909" s="35">
        <v>25.0</v>
      </c>
      <c r="D909" s="35">
        <v>893.0</v>
      </c>
      <c r="E909" s="35">
        <v>46027.0</v>
      </c>
      <c r="F909" s="35">
        <v>0.0</v>
      </c>
      <c r="G909" s="35">
        <v>24.0</v>
      </c>
      <c r="H909" s="35">
        <v>0.0</v>
      </c>
      <c r="I909" s="35">
        <v>0.0</v>
      </c>
      <c r="J909" s="35"/>
      <c r="K909" s="35">
        <v>0.0</v>
      </c>
    </row>
    <row r="910" ht="15.75" customHeight="1">
      <c r="A910" s="35" t="s">
        <v>4914</v>
      </c>
      <c r="B910" s="35"/>
      <c r="C910" s="35">
        <v>25.0</v>
      </c>
      <c r="D910" s="35" t="s">
        <v>4175</v>
      </c>
      <c r="E910" s="35">
        <v>46027.0</v>
      </c>
      <c r="F910" s="35">
        <v>0.0</v>
      </c>
      <c r="G910" s="35">
        <v>7.0</v>
      </c>
      <c r="H910" s="35">
        <v>0.0</v>
      </c>
      <c r="I910" s="35">
        <v>0.0</v>
      </c>
      <c r="J910" s="35"/>
      <c r="K910" s="35">
        <v>0.0</v>
      </c>
    </row>
    <row r="911" ht="15.75" customHeight="1">
      <c r="A911" s="35" t="s">
        <v>1261</v>
      </c>
      <c r="B911" s="35"/>
      <c r="C911" s="35">
        <v>25.0</v>
      </c>
      <c r="D911" s="35" t="s">
        <v>2019</v>
      </c>
      <c r="E911" s="35">
        <v>46027.0</v>
      </c>
      <c r="F911" s="35">
        <v>0.0</v>
      </c>
      <c r="G911" s="35">
        <v>1.0</v>
      </c>
      <c r="H911" s="35">
        <v>0.0</v>
      </c>
      <c r="I911" s="35">
        <v>0.0</v>
      </c>
      <c r="J911" s="35"/>
      <c r="K911" s="35">
        <v>0.0</v>
      </c>
    </row>
    <row r="912" ht="15.75" customHeight="1">
      <c r="A912" s="35" t="s">
        <v>4916</v>
      </c>
      <c r="B912" s="35"/>
      <c r="C912" s="35">
        <v>25.0</v>
      </c>
      <c r="D912" s="35">
        <v>71.0</v>
      </c>
      <c r="E912" s="35">
        <v>46027.0</v>
      </c>
      <c r="F912" s="35">
        <v>0.0</v>
      </c>
      <c r="G912" s="35">
        <v>2.0</v>
      </c>
      <c r="H912" s="35">
        <v>0.0</v>
      </c>
      <c r="I912" s="35">
        <v>0.0</v>
      </c>
      <c r="J912" s="35"/>
      <c r="K912" s="35">
        <v>0.0</v>
      </c>
    </row>
    <row r="913" ht="15.75" customHeight="1">
      <c r="A913" s="35" t="s">
        <v>4918</v>
      </c>
      <c r="B913" s="35"/>
      <c r="C913" s="35">
        <v>25.0</v>
      </c>
      <c r="D913" s="35">
        <v>270.0</v>
      </c>
      <c r="E913" s="35">
        <v>46027.0</v>
      </c>
      <c r="F913" s="35">
        <v>0.0</v>
      </c>
      <c r="G913" s="35">
        <v>0.0</v>
      </c>
      <c r="H913" s="35">
        <v>1.0</v>
      </c>
      <c r="I913" s="35">
        <v>0.0</v>
      </c>
      <c r="J913" s="35"/>
      <c r="K913" s="35">
        <v>0.0</v>
      </c>
    </row>
    <row r="914" ht="15.75" customHeight="1">
      <c r="A914" s="35" t="s">
        <v>4919</v>
      </c>
      <c r="B914" s="35"/>
      <c r="C914" s="35">
        <v>25.0</v>
      </c>
      <c r="D914" s="35" t="s">
        <v>2049</v>
      </c>
      <c r="E914" s="35">
        <v>46027.0</v>
      </c>
      <c r="F914" s="35">
        <v>0.0</v>
      </c>
      <c r="G914" s="35">
        <v>0.0</v>
      </c>
      <c r="H914" s="35">
        <v>0.0</v>
      </c>
      <c r="I914" s="35">
        <v>2.0</v>
      </c>
      <c r="J914" s="35"/>
      <c r="K914" s="35">
        <v>0.0</v>
      </c>
    </row>
    <row r="915" ht="15.75" customHeight="1">
      <c r="A915" s="35" t="s">
        <v>4920</v>
      </c>
      <c r="B915" s="35"/>
      <c r="C915" s="35">
        <v>25.0</v>
      </c>
      <c r="D915" s="35" t="s">
        <v>4922</v>
      </c>
      <c r="E915" s="35">
        <v>46027.0</v>
      </c>
      <c r="F915" s="35">
        <v>0.0</v>
      </c>
      <c r="G915" s="35">
        <v>2.0</v>
      </c>
      <c r="H915" s="35">
        <v>0.0</v>
      </c>
      <c r="I915" s="35">
        <v>0.0</v>
      </c>
      <c r="J915" s="35"/>
      <c r="K915" s="35">
        <v>0.0</v>
      </c>
    </row>
    <row r="916" ht="15.75" customHeight="1">
      <c r="A916" s="35" t="s">
        <v>4923</v>
      </c>
      <c r="B916" s="35"/>
      <c r="C916" s="35">
        <v>25.0</v>
      </c>
      <c r="D916" s="35" t="s">
        <v>4538</v>
      </c>
      <c r="E916" s="35">
        <v>46027.0</v>
      </c>
      <c r="F916" s="35">
        <v>0.0</v>
      </c>
      <c r="G916" s="35">
        <v>2.0</v>
      </c>
      <c r="H916" s="35">
        <v>0.0</v>
      </c>
      <c r="I916" s="35">
        <v>0.0</v>
      </c>
      <c r="J916" s="35"/>
      <c r="K916" s="35">
        <v>0.0</v>
      </c>
    </row>
    <row r="917" ht="15.75" customHeight="1">
      <c r="A917" s="35" t="s">
        <v>4924</v>
      </c>
      <c r="B917" s="35"/>
      <c r="C917" s="35">
        <v>25.0</v>
      </c>
      <c r="D917" s="35" t="s">
        <v>4372</v>
      </c>
      <c r="E917" s="35">
        <v>46027.0</v>
      </c>
      <c r="F917" s="35">
        <v>0.0</v>
      </c>
      <c r="G917" s="35">
        <v>1.0</v>
      </c>
      <c r="H917" s="35">
        <v>0.0</v>
      </c>
      <c r="I917" s="35">
        <v>0.0</v>
      </c>
      <c r="J917" s="35"/>
      <c r="K917" s="35">
        <v>0.0</v>
      </c>
    </row>
    <row r="918" ht="15.75" customHeight="1">
      <c r="A918" s="35" t="s">
        <v>4926</v>
      </c>
      <c r="B918" s="35"/>
      <c r="C918" s="35">
        <v>25.0</v>
      </c>
      <c r="D918" s="35" t="s">
        <v>4927</v>
      </c>
      <c r="E918" s="35">
        <v>46027.0</v>
      </c>
      <c r="F918" s="35">
        <v>0.0</v>
      </c>
      <c r="G918" s="35">
        <v>1.0</v>
      </c>
      <c r="H918" s="35">
        <v>0.0</v>
      </c>
      <c r="I918" s="35">
        <v>0.0</v>
      </c>
      <c r="J918" s="35"/>
      <c r="K918" s="35">
        <v>0.0</v>
      </c>
    </row>
    <row r="919" ht="15.75" customHeight="1">
      <c r="A919" s="35" t="s">
        <v>4928</v>
      </c>
      <c r="B919" s="35"/>
      <c r="C919" s="35">
        <v>25.0</v>
      </c>
      <c r="D919" s="35" t="s">
        <v>4380</v>
      </c>
      <c r="E919" s="35">
        <v>46027.0</v>
      </c>
      <c r="F919" s="35">
        <v>0.0</v>
      </c>
      <c r="G919" s="35">
        <v>1.0</v>
      </c>
      <c r="H919" s="35">
        <v>0.0</v>
      </c>
      <c r="I919" s="35">
        <v>0.0</v>
      </c>
      <c r="J919" s="35"/>
      <c r="K919" s="35">
        <v>0.0</v>
      </c>
    </row>
    <row r="920" ht="15.75" customHeight="1">
      <c r="A920" s="35" t="s">
        <v>4930</v>
      </c>
      <c r="B920" s="35"/>
      <c r="C920" s="35">
        <v>25.0</v>
      </c>
      <c r="D920" s="35" t="s">
        <v>4931</v>
      </c>
      <c r="E920" s="35">
        <v>46027.0</v>
      </c>
      <c r="F920" s="35">
        <v>0.0</v>
      </c>
      <c r="G920" s="35">
        <v>0.0</v>
      </c>
      <c r="H920" s="35">
        <v>2.0</v>
      </c>
      <c r="I920" s="35">
        <v>0.0</v>
      </c>
      <c r="J920" s="35"/>
      <c r="K920" s="35">
        <v>0.0</v>
      </c>
    </row>
    <row r="921" ht="15.75" customHeight="1">
      <c r="A921" s="35" t="s">
        <v>4932</v>
      </c>
      <c r="B921" s="35"/>
      <c r="C921" s="35">
        <v>25.0</v>
      </c>
      <c r="D921" s="35">
        <v>87.0</v>
      </c>
      <c r="E921" s="35">
        <v>46027.0</v>
      </c>
      <c r="F921" s="35">
        <v>0.0</v>
      </c>
      <c r="G921" s="35">
        <v>6.0</v>
      </c>
      <c r="H921" s="35">
        <v>0.0</v>
      </c>
      <c r="I921" s="35">
        <v>0.0</v>
      </c>
      <c r="J921" s="35"/>
      <c r="K921" s="35">
        <v>0.0</v>
      </c>
    </row>
    <row r="922" ht="15.75" customHeight="1">
      <c r="A922" s="35" t="s">
        <v>4934</v>
      </c>
      <c r="B922" s="35"/>
      <c r="C922" s="35">
        <v>25.0</v>
      </c>
      <c r="D922" s="35" t="s">
        <v>2016</v>
      </c>
      <c r="E922" s="35">
        <v>46027.0</v>
      </c>
      <c r="F922" s="35">
        <v>0.0</v>
      </c>
      <c r="G922" s="35">
        <v>1.0</v>
      </c>
      <c r="H922" s="35">
        <v>0.0</v>
      </c>
      <c r="I922" s="35">
        <v>0.0</v>
      </c>
      <c r="J922" s="35"/>
      <c r="K922" s="35">
        <v>0.0</v>
      </c>
    </row>
    <row r="923" ht="15.75" customHeight="1">
      <c r="A923" s="35" t="s">
        <v>4935</v>
      </c>
      <c r="B923" s="35"/>
      <c r="C923" s="35">
        <v>25.0</v>
      </c>
      <c r="D923" s="35" t="s">
        <v>3557</v>
      </c>
      <c r="E923" s="35">
        <v>46027.0</v>
      </c>
      <c r="F923" s="35">
        <v>0.0</v>
      </c>
      <c r="G923" s="35">
        <v>14.0</v>
      </c>
      <c r="H923" s="35">
        <v>0.0</v>
      </c>
      <c r="I923" s="35">
        <v>0.0</v>
      </c>
      <c r="J923" s="35"/>
      <c r="K923" s="35">
        <v>0.0</v>
      </c>
    </row>
    <row r="924" ht="15.75" customHeight="1">
      <c r="A924" s="35" t="s">
        <v>4936</v>
      </c>
      <c r="B924" s="35"/>
      <c r="C924" s="35">
        <v>25.0</v>
      </c>
      <c r="D924" s="35" t="s">
        <v>4938</v>
      </c>
      <c r="E924" s="35">
        <v>46027.0</v>
      </c>
      <c r="F924" s="35">
        <v>0.0</v>
      </c>
      <c r="G924" s="35">
        <v>6.0</v>
      </c>
      <c r="H924" s="35">
        <v>0.0</v>
      </c>
      <c r="I924" s="35">
        <v>0.0</v>
      </c>
      <c r="J924" s="35"/>
      <c r="K924" s="35">
        <v>0.0</v>
      </c>
    </row>
    <row r="925" ht="15.75" customHeight="1">
      <c r="A925" s="35" t="s">
        <v>4939</v>
      </c>
      <c r="B925" s="35"/>
      <c r="C925" s="35">
        <v>24.0</v>
      </c>
      <c r="D925" s="35" t="s">
        <v>2164</v>
      </c>
      <c r="E925" s="35">
        <v>46058.0</v>
      </c>
      <c r="F925" s="35">
        <v>0.0</v>
      </c>
      <c r="G925" s="35">
        <v>1.0</v>
      </c>
      <c r="H925" s="35">
        <v>1.0</v>
      </c>
      <c r="I925" s="35">
        <v>0.0</v>
      </c>
      <c r="J925" s="35"/>
      <c r="K925" s="35">
        <v>0.0</v>
      </c>
    </row>
    <row r="926" ht="15.75" customHeight="1">
      <c r="A926" s="35" t="s">
        <v>4940</v>
      </c>
      <c r="B926" s="35"/>
      <c r="C926" s="35">
        <v>24.0</v>
      </c>
      <c r="D926" s="35">
        <v>120.0</v>
      </c>
      <c r="E926" s="35">
        <v>46027.0</v>
      </c>
      <c r="F926" s="35">
        <v>0.0</v>
      </c>
      <c r="G926" s="35">
        <v>2.0</v>
      </c>
      <c r="H926" s="35">
        <v>0.0</v>
      </c>
      <c r="I926" s="35">
        <v>0.0</v>
      </c>
      <c r="J926" s="35"/>
      <c r="K926" s="35">
        <v>0.0</v>
      </c>
    </row>
    <row r="927" ht="15.75" customHeight="1">
      <c r="A927" s="35" t="s">
        <v>4942</v>
      </c>
      <c r="B927" s="35"/>
      <c r="C927" s="35">
        <v>24.0</v>
      </c>
      <c r="D927" s="35" t="s">
        <v>4128</v>
      </c>
      <c r="E927" s="35">
        <v>46027.0</v>
      </c>
      <c r="F927" s="35">
        <v>0.0</v>
      </c>
      <c r="G927" s="35">
        <v>5.0</v>
      </c>
      <c r="H927" s="35">
        <v>0.0</v>
      </c>
      <c r="I927" s="35">
        <v>0.0</v>
      </c>
      <c r="J927" s="35"/>
      <c r="K927" s="35">
        <v>0.0</v>
      </c>
    </row>
    <row r="928" ht="15.75" customHeight="1">
      <c r="A928" s="35" t="s">
        <v>4943</v>
      </c>
      <c r="B928" s="35"/>
      <c r="C928" s="35">
        <v>24.0</v>
      </c>
      <c r="D928" s="35" t="s">
        <v>4944</v>
      </c>
      <c r="E928" s="35">
        <v>46027.0</v>
      </c>
      <c r="F928" s="35">
        <v>0.0</v>
      </c>
      <c r="G928" s="35">
        <v>2.0</v>
      </c>
      <c r="H928" s="35">
        <v>0.0</v>
      </c>
      <c r="I928" s="35">
        <v>0.0</v>
      </c>
      <c r="J928" s="35"/>
      <c r="K928" s="35">
        <v>0.0</v>
      </c>
    </row>
    <row r="929" ht="15.75" customHeight="1">
      <c r="A929" s="35" t="s">
        <v>4945</v>
      </c>
      <c r="B929" s="35"/>
      <c r="C929" s="35">
        <v>24.0</v>
      </c>
      <c r="D929" s="35" t="s">
        <v>3999</v>
      </c>
      <c r="E929" s="35">
        <v>46027.0</v>
      </c>
      <c r="F929" s="35">
        <v>0.0</v>
      </c>
      <c r="G929" s="35">
        <v>2.0</v>
      </c>
      <c r="H929" s="35">
        <v>0.0</v>
      </c>
      <c r="I929" s="35">
        <v>0.0</v>
      </c>
      <c r="J929" s="35"/>
      <c r="K929" s="35">
        <v>0.0</v>
      </c>
    </row>
    <row r="930" ht="15.75" customHeight="1">
      <c r="A930" s="35" t="s">
        <v>4947</v>
      </c>
      <c r="B930" s="35"/>
      <c r="C930" s="35">
        <v>24.0</v>
      </c>
      <c r="D930" s="35" t="s">
        <v>4126</v>
      </c>
      <c r="E930" s="35">
        <v>46027.0</v>
      </c>
      <c r="F930" s="35">
        <v>0.0</v>
      </c>
      <c r="G930" s="35">
        <v>2.0</v>
      </c>
      <c r="H930" s="35">
        <v>0.0</v>
      </c>
      <c r="I930" s="35">
        <v>0.0</v>
      </c>
      <c r="J930" s="35"/>
      <c r="K930" s="35">
        <v>0.0</v>
      </c>
    </row>
    <row r="931" ht="15.75" customHeight="1">
      <c r="A931" s="35" t="s">
        <v>4948</v>
      </c>
      <c r="B931" s="35"/>
      <c r="C931" s="35">
        <v>24.0</v>
      </c>
      <c r="D931" s="35" t="s">
        <v>4949</v>
      </c>
      <c r="E931" s="35">
        <v>46027.0</v>
      </c>
      <c r="F931" s="35">
        <v>0.0</v>
      </c>
      <c r="G931" s="35">
        <v>0.0</v>
      </c>
      <c r="H931" s="35">
        <v>2.0</v>
      </c>
      <c r="I931" s="35">
        <v>0.0</v>
      </c>
      <c r="J931" s="35"/>
      <c r="K931" s="35">
        <v>0.0</v>
      </c>
    </row>
    <row r="932" ht="15.75" customHeight="1">
      <c r="A932" s="35" t="s">
        <v>4950</v>
      </c>
      <c r="B932" s="35"/>
      <c r="C932" s="35">
        <v>24.0</v>
      </c>
      <c r="D932" s="35" t="s">
        <v>4952</v>
      </c>
      <c r="E932" s="35">
        <v>46027.0</v>
      </c>
      <c r="F932" s="35">
        <v>0.0</v>
      </c>
      <c r="G932" s="35">
        <v>3.0</v>
      </c>
      <c r="H932" s="35">
        <v>0.0</v>
      </c>
      <c r="I932" s="35">
        <v>0.0</v>
      </c>
      <c r="J932" s="35"/>
      <c r="K932" s="35">
        <v>0.0</v>
      </c>
    </row>
    <row r="933" ht="15.75" customHeight="1">
      <c r="A933" s="35" t="s">
        <v>4953</v>
      </c>
      <c r="B933" s="35"/>
      <c r="C933" s="35">
        <v>24.0</v>
      </c>
      <c r="D933" s="35" t="s">
        <v>4563</v>
      </c>
      <c r="E933" s="35">
        <v>46027.0</v>
      </c>
      <c r="F933" s="35">
        <v>0.0</v>
      </c>
      <c r="G933" s="35">
        <v>1.0</v>
      </c>
      <c r="H933" s="35">
        <v>0.0</v>
      </c>
      <c r="I933" s="35">
        <v>0.0</v>
      </c>
      <c r="J933" s="35"/>
      <c r="K933" s="35">
        <v>0.0</v>
      </c>
    </row>
    <row r="934" ht="15.75" customHeight="1">
      <c r="A934" s="35" t="s">
        <v>4954</v>
      </c>
      <c r="B934" s="35"/>
      <c r="C934" s="35">
        <v>24.0</v>
      </c>
      <c r="D934" s="35" t="s">
        <v>3253</v>
      </c>
      <c r="E934" s="35">
        <v>46027.0</v>
      </c>
      <c r="F934" s="35">
        <v>0.0</v>
      </c>
      <c r="G934" s="35">
        <v>0.0</v>
      </c>
      <c r="H934" s="35">
        <v>1.0</v>
      </c>
      <c r="I934" s="35">
        <v>0.0</v>
      </c>
      <c r="J934" s="35"/>
      <c r="K934" s="35">
        <v>0.0</v>
      </c>
    </row>
    <row r="935" ht="15.75" customHeight="1">
      <c r="A935" s="35" t="s">
        <v>1263</v>
      </c>
      <c r="B935" s="35"/>
      <c r="C935" s="35">
        <v>24.0</v>
      </c>
      <c r="D935" s="35" t="s">
        <v>4319</v>
      </c>
      <c r="E935" s="35">
        <v>46027.0</v>
      </c>
      <c r="F935" s="35">
        <v>0.0</v>
      </c>
      <c r="G935" s="35">
        <v>1.0</v>
      </c>
      <c r="H935" s="35">
        <v>0.0</v>
      </c>
      <c r="I935" s="35">
        <v>0.0</v>
      </c>
      <c r="J935" s="35"/>
      <c r="K935" s="35">
        <v>0.0</v>
      </c>
    </row>
    <row r="936" ht="15.75" customHeight="1">
      <c r="A936" s="35" t="s">
        <v>4957</v>
      </c>
      <c r="B936" s="35"/>
      <c r="C936" s="35">
        <v>24.0</v>
      </c>
      <c r="D936" s="35" t="s">
        <v>4958</v>
      </c>
      <c r="E936" s="35">
        <v>46027.0</v>
      </c>
      <c r="F936" s="35">
        <v>0.0</v>
      </c>
      <c r="G936" s="35">
        <v>0.0</v>
      </c>
      <c r="H936" s="35">
        <v>7.0</v>
      </c>
      <c r="I936" s="35">
        <v>0.0</v>
      </c>
      <c r="J936" s="35"/>
      <c r="K936" s="35">
        <v>0.0</v>
      </c>
    </row>
    <row r="937" ht="15.75" customHeight="1">
      <c r="A937" s="35" t="s">
        <v>4960</v>
      </c>
      <c r="B937" s="35"/>
      <c r="C937" s="35">
        <v>24.0</v>
      </c>
      <c r="D937" s="35" t="s">
        <v>2046</v>
      </c>
      <c r="E937" s="35">
        <v>46027.0</v>
      </c>
      <c r="F937" s="35">
        <v>0.0</v>
      </c>
      <c r="G937" s="35">
        <v>1.0</v>
      </c>
      <c r="H937" s="35">
        <v>0.0</v>
      </c>
      <c r="I937" s="35">
        <v>0.0</v>
      </c>
      <c r="J937" s="35"/>
      <c r="K937" s="35">
        <v>0.0</v>
      </c>
    </row>
    <row r="938" ht="15.75" customHeight="1">
      <c r="A938" s="35" t="s">
        <v>1267</v>
      </c>
      <c r="B938" s="35"/>
      <c r="C938" s="35">
        <v>24.0</v>
      </c>
      <c r="D938" s="35" t="s">
        <v>2005</v>
      </c>
      <c r="E938" s="35">
        <v>46027.0</v>
      </c>
      <c r="F938" s="35">
        <v>0.0</v>
      </c>
      <c r="G938" s="35">
        <v>4.0</v>
      </c>
      <c r="H938" s="35">
        <v>0.0</v>
      </c>
      <c r="I938" s="35">
        <v>0.0</v>
      </c>
      <c r="J938" s="35"/>
      <c r="K938" s="35">
        <v>0.0</v>
      </c>
    </row>
    <row r="939" ht="15.75" customHeight="1">
      <c r="A939" s="35" t="s">
        <v>4962</v>
      </c>
      <c r="B939" s="35"/>
      <c r="C939" s="35">
        <v>24.0</v>
      </c>
      <c r="D939" s="35" t="s">
        <v>4963</v>
      </c>
      <c r="E939" s="35">
        <v>46027.0</v>
      </c>
      <c r="F939" s="35">
        <v>0.0</v>
      </c>
      <c r="G939" s="35">
        <v>5.0</v>
      </c>
      <c r="H939" s="35">
        <v>0.0</v>
      </c>
      <c r="I939" s="35">
        <v>0.0</v>
      </c>
      <c r="J939" s="35"/>
      <c r="K939" s="35">
        <v>0.0</v>
      </c>
    </row>
    <row r="940" ht="15.75" customHeight="1">
      <c r="A940" s="35" t="s">
        <v>4964</v>
      </c>
      <c r="B940" s="35"/>
      <c r="C940" s="35">
        <v>24.0</v>
      </c>
      <c r="D940" s="35" t="s">
        <v>4965</v>
      </c>
      <c r="E940" s="35">
        <v>46027.0</v>
      </c>
      <c r="F940" s="35">
        <v>0.0</v>
      </c>
      <c r="G940" s="35">
        <v>1.0</v>
      </c>
      <c r="H940" s="35">
        <v>0.0</v>
      </c>
      <c r="I940" s="35">
        <v>0.0</v>
      </c>
      <c r="J940" s="35"/>
      <c r="K940" s="35">
        <v>0.0</v>
      </c>
    </row>
    <row r="941" ht="15.75" customHeight="1">
      <c r="A941" s="35" t="s">
        <v>4966</v>
      </c>
      <c r="B941" s="35"/>
      <c r="C941" s="35">
        <v>24.0</v>
      </c>
      <c r="D941" s="35" t="s">
        <v>4968</v>
      </c>
      <c r="E941" s="35">
        <v>46027.0</v>
      </c>
      <c r="F941" s="35">
        <v>0.0</v>
      </c>
      <c r="G941" s="35">
        <v>0.0</v>
      </c>
      <c r="H941" s="35">
        <v>1.0</v>
      </c>
      <c r="I941" s="35">
        <v>0.0</v>
      </c>
      <c r="J941" s="35"/>
      <c r="K941" s="35">
        <v>0.0</v>
      </c>
    </row>
    <row r="942" ht="15.75" customHeight="1">
      <c r="A942" s="35" t="s">
        <v>4969</v>
      </c>
      <c r="B942" s="35"/>
      <c r="C942" s="35">
        <v>24.0</v>
      </c>
      <c r="D942" s="35" t="s">
        <v>3980</v>
      </c>
      <c r="E942" s="35">
        <v>46027.0</v>
      </c>
      <c r="F942" s="35">
        <v>0.0</v>
      </c>
      <c r="G942" s="35">
        <v>0.0</v>
      </c>
      <c r="H942" s="35">
        <v>2.0</v>
      </c>
      <c r="I942" s="35">
        <v>0.0</v>
      </c>
      <c r="J942" s="35"/>
      <c r="K942" s="35">
        <v>0.0</v>
      </c>
    </row>
    <row r="943" ht="15.75" customHeight="1">
      <c r="A943" s="35" t="s">
        <v>4970</v>
      </c>
      <c r="B943" s="35"/>
      <c r="C943" s="35">
        <v>24.0</v>
      </c>
      <c r="D943" s="35" t="s">
        <v>2023</v>
      </c>
      <c r="E943" s="35">
        <v>46027.0</v>
      </c>
      <c r="F943" s="35">
        <v>0.0</v>
      </c>
      <c r="G943" s="35">
        <v>14.0</v>
      </c>
      <c r="H943" s="35">
        <v>0.0</v>
      </c>
      <c r="I943" s="35">
        <v>0.0</v>
      </c>
      <c r="J943" s="35"/>
      <c r="K943" s="35">
        <v>0.0</v>
      </c>
    </row>
    <row r="944" ht="15.75" customHeight="1">
      <c r="A944" s="35" t="s">
        <v>4972</v>
      </c>
      <c r="B944" s="35"/>
      <c r="C944" s="35">
        <v>24.0</v>
      </c>
      <c r="D944" s="35" t="s">
        <v>4549</v>
      </c>
      <c r="E944" s="35">
        <v>46027.0</v>
      </c>
      <c r="F944" s="35">
        <v>0.0</v>
      </c>
      <c r="G944" s="35">
        <v>1.0</v>
      </c>
      <c r="H944" s="35">
        <v>0.0</v>
      </c>
      <c r="I944" s="35">
        <v>0.0</v>
      </c>
      <c r="J944" s="35"/>
      <c r="K944" s="35">
        <v>0.0</v>
      </c>
    </row>
    <row r="945" ht="15.75" customHeight="1">
      <c r="A945" s="35" t="s">
        <v>4973</v>
      </c>
      <c r="B945" s="35"/>
      <c r="C945" s="35">
        <v>24.0</v>
      </c>
      <c r="D945" s="35" t="s">
        <v>4722</v>
      </c>
      <c r="E945" s="35">
        <v>46027.0</v>
      </c>
      <c r="F945" s="35">
        <v>0.0</v>
      </c>
      <c r="G945" s="35">
        <v>1.0</v>
      </c>
      <c r="H945" s="35">
        <v>0.0</v>
      </c>
      <c r="I945" s="35">
        <v>0.0</v>
      </c>
      <c r="J945" s="35"/>
      <c r="K945" s="35">
        <v>0.0</v>
      </c>
    </row>
    <row r="946" ht="15.75" customHeight="1">
      <c r="A946" s="35" t="s">
        <v>4975</v>
      </c>
      <c r="B946" s="35"/>
      <c r="C946" s="35">
        <v>24.0</v>
      </c>
      <c r="D946" s="35" t="s">
        <v>4343</v>
      </c>
      <c r="E946" s="35">
        <v>46027.0</v>
      </c>
      <c r="F946" s="35">
        <v>0.0</v>
      </c>
      <c r="G946" s="35">
        <v>13.0</v>
      </c>
      <c r="H946" s="35">
        <v>0.0</v>
      </c>
      <c r="I946" s="35">
        <v>0.0</v>
      </c>
      <c r="J946" s="35"/>
      <c r="K946" s="35">
        <v>0.0</v>
      </c>
    </row>
    <row r="947" ht="15.75" customHeight="1">
      <c r="A947" s="35" t="s">
        <v>4976</v>
      </c>
      <c r="B947" s="35"/>
      <c r="C947" s="35">
        <v>24.0</v>
      </c>
      <c r="D947" s="35">
        <v>725.0</v>
      </c>
      <c r="E947" s="35">
        <v>46027.0</v>
      </c>
      <c r="F947" s="35">
        <v>0.0</v>
      </c>
      <c r="G947" s="35">
        <v>1.0</v>
      </c>
      <c r="H947" s="35">
        <v>0.0</v>
      </c>
      <c r="I947" s="35">
        <v>0.0</v>
      </c>
      <c r="J947" s="35"/>
      <c r="K947" s="35">
        <v>0.0</v>
      </c>
    </row>
    <row r="948" ht="15.75" customHeight="1">
      <c r="A948" s="35" t="s">
        <v>4977</v>
      </c>
      <c r="B948" s="35"/>
      <c r="C948" s="35">
        <v>24.0</v>
      </c>
      <c r="D948" s="35" t="s">
        <v>2065</v>
      </c>
      <c r="E948" s="35">
        <v>46027.0</v>
      </c>
      <c r="F948" s="35">
        <v>0.0</v>
      </c>
      <c r="G948" s="35">
        <v>53.0</v>
      </c>
      <c r="H948" s="35">
        <v>0.0</v>
      </c>
      <c r="I948" s="35">
        <v>0.0</v>
      </c>
      <c r="J948" s="35"/>
      <c r="K948" s="35">
        <v>0.0</v>
      </c>
    </row>
    <row r="949" ht="15.75" customHeight="1">
      <c r="A949" s="35" t="s">
        <v>1271</v>
      </c>
      <c r="B949" s="35"/>
      <c r="C949" s="35">
        <v>24.0</v>
      </c>
      <c r="D949" s="35" t="s">
        <v>4538</v>
      </c>
      <c r="E949" s="35">
        <v>46027.0</v>
      </c>
      <c r="F949" s="35">
        <v>0.0</v>
      </c>
      <c r="G949" s="35">
        <v>2.0</v>
      </c>
      <c r="H949" s="35">
        <v>0.0</v>
      </c>
      <c r="I949" s="35">
        <v>0.0</v>
      </c>
      <c r="J949" s="35"/>
      <c r="K949" s="35">
        <v>0.0</v>
      </c>
    </row>
    <row r="950" ht="15.75" customHeight="1">
      <c r="A950" s="35" t="s">
        <v>1275</v>
      </c>
      <c r="B950" s="35"/>
      <c r="C950" s="35">
        <v>24.0</v>
      </c>
      <c r="D950" s="35" t="s">
        <v>4167</v>
      </c>
      <c r="E950" s="35">
        <v>46027.0</v>
      </c>
      <c r="F950" s="35">
        <v>0.0</v>
      </c>
      <c r="G950" s="35">
        <v>0.0</v>
      </c>
      <c r="H950" s="35">
        <v>316.0</v>
      </c>
      <c r="I950" s="35">
        <v>0.0</v>
      </c>
      <c r="J950" s="35"/>
      <c r="K950" s="35">
        <v>0.0</v>
      </c>
    </row>
    <row r="951" ht="15.75" customHeight="1">
      <c r="A951" s="35" t="s">
        <v>4980</v>
      </c>
      <c r="B951" s="35"/>
      <c r="C951" s="35">
        <v>24.0</v>
      </c>
      <c r="D951" s="35" t="s">
        <v>2010</v>
      </c>
      <c r="E951" s="35">
        <v>46027.0</v>
      </c>
      <c r="F951" s="35">
        <v>0.0</v>
      </c>
      <c r="G951" s="35">
        <v>0.0</v>
      </c>
      <c r="H951" s="35">
        <v>1.0</v>
      </c>
      <c r="I951" s="35">
        <v>0.0</v>
      </c>
      <c r="J951" s="35"/>
      <c r="K951" s="35">
        <v>0.0</v>
      </c>
    </row>
    <row r="952" ht="15.75" customHeight="1">
      <c r="A952" s="35" t="s">
        <v>4981</v>
      </c>
      <c r="B952" s="35"/>
      <c r="C952" s="35">
        <v>24.0</v>
      </c>
      <c r="D952" s="35" t="s">
        <v>4209</v>
      </c>
      <c r="E952" s="35">
        <v>46027.0</v>
      </c>
      <c r="F952" s="35">
        <v>0.0</v>
      </c>
      <c r="G952" s="35">
        <v>1.0</v>
      </c>
      <c r="H952" s="35">
        <v>0.0</v>
      </c>
      <c r="I952" s="35">
        <v>0.0</v>
      </c>
      <c r="J952" s="35"/>
      <c r="K952" s="35">
        <v>0.0</v>
      </c>
    </row>
    <row r="953" ht="15.75" customHeight="1">
      <c r="A953" s="35" t="s">
        <v>4983</v>
      </c>
      <c r="B953" s="35"/>
      <c r="C953" s="35">
        <v>24.0</v>
      </c>
      <c r="D953" s="35" t="s">
        <v>3931</v>
      </c>
      <c r="E953" s="35">
        <v>46027.0</v>
      </c>
      <c r="F953" s="35">
        <v>0.0</v>
      </c>
      <c r="G953" s="35">
        <v>1.0</v>
      </c>
      <c r="H953" s="35">
        <v>0.0</v>
      </c>
      <c r="I953" s="35">
        <v>0.0</v>
      </c>
      <c r="J953" s="35"/>
      <c r="K953" s="35">
        <v>0.0</v>
      </c>
    </row>
    <row r="954" ht="15.75" customHeight="1">
      <c r="A954" s="35" t="s">
        <v>1278</v>
      </c>
      <c r="B954" s="35"/>
      <c r="C954" s="35">
        <v>24.0</v>
      </c>
      <c r="D954" s="35" t="s">
        <v>4538</v>
      </c>
      <c r="E954" s="35">
        <v>46027.0</v>
      </c>
      <c r="F954" s="35">
        <v>0.0</v>
      </c>
      <c r="G954" s="35">
        <v>0.0</v>
      </c>
      <c r="H954" s="35">
        <v>0.0</v>
      </c>
      <c r="I954" s="35">
        <v>1.0</v>
      </c>
      <c r="J954" s="35"/>
      <c r="K954" s="35">
        <v>0.0</v>
      </c>
    </row>
    <row r="955" ht="15.75" customHeight="1">
      <c r="A955" s="35" t="s">
        <v>1281</v>
      </c>
      <c r="B955" s="35"/>
      <c r="C955" s="35">
        <v>24.0</v>
      </c>
      <c r="D955" s="35" t="s">
        <v>4985</v>
      </c>
      <c r="E955" s="35">
        <v>46027.0</v>
      </c>
      <c r="F955" s="35">
        <v>0.0</v>
      </c>
      <c r="G955" s="35">
        <v>2.0</v>
      </c>
      <c r="H955" s="35">
        <v>0.0</v>
      </c>
      <c r="I955" s="35">
        <v>0.0</v>
      </c>
      <c r="J955" s="35"/>
      <c r="K955" s="35">
        <v>0.0</v>
      </c>
    </row>
    <row r="956" ht="15.75" customHeight="1">
      <c r="A956" s="35" t="s">
        <v>4986</v>
      </c>
      <c r="B956" s="35"/>
      <c r="C956" s="35">
        <v>24.0</v>
      </c>
      <c r="D956" s="35">
        <v>633.0</v>
      </c>
      <c r="E956" s="35">
        <v>46027.0</v>
      </c>
      <c r="F956" s="35">
        <v>0.0</v>
      </c>
      <c r="G956" s="35">
        <v>1.0</v>
      </c>
      <c r="H956" s="35">
        <v>0.0</v>
      </c>
      <c r="I956" s="35">
        <v>0.0</v>
      </c>
      <c r="J956" s="35"/>
      <c r="K956" s="35">
        <v>0.0</v>
      </c>
    </row>
    <row r="957" ht="15.75" customHeight="1">
      <c r="A957" s="35" t="s">
        <v>4988</v>
      </c>
      <c r="B957" s="35"/>
      <c r="C957" s="35">
        <v>24.0</v>
      </c>
      <c r="D957" s="35" t="s">
        <v>4965</v>
      </c>
      <c r="E957" s="35">
        <v>46027.0</v>
      </c>
      <c r="F957" s="35">
        <v>0.0</v>
      </c>
      <c r="G957" s="35">
        <v>1.0</v>
      </c>
      <c r="H957" s="35">
        <v>0.0</v>
      </c>
      <c r="I957" s="35">
        <v>0.0</v>
      </c>
      <c r="J957" s="35"/>
      <c r="K957" s="35">
        <v>0.0</v>
      </c>
    </row>
    <row r="958" ht="15.75" customHeight="1">
      <c r="A958" s="35" t="s">
        <v>4989</v>
      </c>
      <c r="B958" s="35"/>
      <c r="C958" s="35">
        <v>24.0</v>
      </c>
      <c r="D958" s="35" t="s">
        <v>4990</v>
      </c>
      <c r="E958" s="35">
        <v>46027.0</v>
      </c>
      <c r="F958" s="35">
        <v>0.0</v>
      </c>
      <c r="G958" s="35">
        <v>0.0</v>
      </c>
      <c r="H958" s="35">
        <v>0.0</v>
      </c>
      <c r="I958" s="35">
        <v>2.0</v>
      </c>
      <c r="J958" s="35"/>
      <c r="K958" s="35">
        <v>0.0</v>
      </c>
    </row>
    <row r="959" ht="15.75" customHeight="1">
      <c r="A959" s="35" t="s">
        <v>4991</v>
      </c>
      <c r="B959" s="35"/>
      <c r="C959" s="35">
        <v>24.0</v>
      </c>
      <c r="D959" s="35" t="s">
        <v>4128</v>
      </c>
      <c r="E959" s="35">
        <v>46027.0</v>
      </c>
      <c r="F959" s="35">
        <v>0.0</v>
      </c>
      <c r="G959" s="35">
        <v>0.0</v>
      </c>
      <c r="H959" s="35">
        <v>2.0</v>
      </c>
      <c r="I959" s="35">
        <v>0.0</v>
      </c>
      <c r="J959" s="35"/>
      <c r="K959" s="35">
        <v>0.0</v>
      </c>
    </row>
    <row r="960" ht="15.75" customHeight="1">
      <c r="A960" s="35" t="s">
        <v>4993</v>
      </c>
      <c r="B960" s="35"/>
      <c r="C960" s="35">
        <v>24.0</v>
      </c>
      <c r="D960" s="35" t="s">
        <v>2032</v>
      </c>
      <c r="E960" s="35">
        <v>46027.0</v>
      </c>
      <c r="F960" s="35">
        <v>0.0</v>
      </c>
      <c r="G960" s="35">
        <v>1.0</v>
      </c>
      <c r="H960" s="35">
        <v>0.0</v>
      </c>
      <c r="I960" s="35">
        <v>0.0</v>
      </c>
      <c r="J960" s="35"/>
      <c r="K960" s="35">
        <v>0.0</v>
      </c>
    </row>
    <row r="961" ht="15.75" customHeight="1">
      <c r="A961" s="35" t="s">
        <v>4994</v>
      </c>
      <c r="B961" s="35"/>
      <c r="C961" s="35">
        <v>24.0</v>
      </c>
      <c r="D961" s="35" t="s">
        <v>4995</v>
      </c>
      <c r="E961" s="35">
        <v>46027.0</v>
      </c>
      <c r="F961" s="35">
        <v>0.0</v>
      </c>
      <c r="G961" s="35">
        <v>1.0</v>
      </c>
      <c r="H961" s="35">
        <v>0.0</v>
      </c>
      <c r="I961" s="35">
        <v>0.0</v>
      </c>
      <c r="J961" s="35"/>
      <c r="K961" s="35">
        <v>0.0</v>
      </c>
    </row>
    <row r="962" ht="15.75" customHeight="1">
      <c r="A962" s="35" t="s">
        <v>4997</v>
      </c>
      <c r="B962" s="35"/>
      <c r="C962" s="35">
        <v>24.0</v>
      </c>
      <c r="D962" s="35" t="s">
        <v>4154</v>
      </c>
      <c r="E962" s="35">
        <v>46027.0</v>
      </c>
      <c r="F962" s="35">
        <v>0.0</v>
      </c>
      <c r="G962" s="35">
        <v>1.0</v>
      </c>
      <c r="H962" s="35">
        <v>0.0</v>
      </c>
      <c r="I962" s="35">
        <v>0.0</v>
      </c>
      <c r="J962" s="35"/>
      <c r="K962" s="35">
        <v>0.0</v>
      </c>
    </row>
    <row r="963" ht="15.75" customHeight="1">
      <c r="A963" s="35" t="s">
        <v>4998</v>
      </c>
      <c r="B963" s="35"/>
      <c r="C963" s="35">
        <v>24.0</v>
      </c>
      <c r="D963" s="35" t="s">
        <v>4722</v>
      </c>
      <c r="E963" s="35">
        <v>46027.0</v>
      </c>
      <c r="F963" s="35">
        <v>0.0</v>
      </c>
      <c r="G963" s="35">
        <v>1.0</v>
      </c>
      <c r="H963" s="35">
        <v>0.0</v>
      </c>
      <c r="I963" s="35">
        <v>0.0</v>
      </c>
      <c r="J963" s="35"/>
      <c r="K963" s="35">
        <v>0.0</v>
      </c>
    </row>
    <row r="964" ht="15.75" customHeight="1">
      <c r="A964" s="35" t="s">
        <v>5000</v>
      </c>
      <c r="B964" s="35"/>
      <c r="C964" s="35">
        <v>24.0</v>
      </c>
      <c r="D964" s="35" t="s">
        <v>5001</v>
      </c>
      <c r="E964" s="35">
        <v>46027.0</v>
      </c>
      <c r="F964" s="35">
        <v>0.0</v>
      </c>
      <c r="G964" s="35">
        <v>7.0</v>
      </c>
      <c r="H964" s="35">
        <v>0.0</v>
      </c>
      <c r="I964" s="35">
        <v>0.0</v>
      </c>
      <c r="J964" s="35"/>
      <c r="K964" s="35">
        <v>0.0</v>
      </c>
    </row>
    <row r="965" ht="15.75" customHeight="1">
      <c r="A965" s="35" t="s">
        <v>5002</v>
      </c>
      <c r="B965" s="35"/>
      <c r="C965" s="35">
        <v>24.0</v>
      </c>
      <c r="D965" s="35" t="s">
        <v>5003</v>
      </c>
      <c r="E965" s="35">
        <v>46027.0</v>
      </c>
      <c r="F965" s="35">
        <v>0.0</v>
      </c>
      <c r="G965" s="35">
        <v>18.0</v>
      </c>
      <c r="H965" s="35">
        <v>0.0</v>
      </c>
      <c r="I965" s="35">
        <v>0.0</v>
      </c>
      <c r="J965" s="35"/>
      <c r="K965" s="35">
        <v>0.0</v>
      </c>
    </row>
    <row r="966" ht="15.75" customHeight="1">
      <c r="A966" s="35" t="s">
        <v>5004</v>
      </c>
      <c r="B966" s="35"/>
      <c r="C966" s="35">
        <v>24.0</v>
      </c>
      <c r="D966" s="35">
        <v>175.0</v>
      </c>
      <c r="E966" s="35">
        <v>46027.0</v>
      </c>
      <c r="F966" s="35">
        <v>0.0</v>
      </c>
      <c r="G966" s="35">
        <v>4.0</v>
      </c>
      <c r="H966" s="35">
        <v>0.0</v>
      </c>
      <c r="I966" s="35">
        <v>0.0</v>
      </c>
      <c r="J966" s="35"/>
      <c r="K966" s="35">
        <v>0.0</v>
      </c>
    </row>
    <row r="967" ht="15.75" customHeight="1">
      <c r="A967" s="35" t="s">
        <v>1285</v>
      </c>
      <c r="B967" s="35"/>
      <c r="C967" s="35">
        <v>24.0</v>
      </c>
      <c r="D967" s="35" t="s">
        <v>2040</v>
      </c>
      <c r="E967" s="35">
        <v>46027.0</v>
      </c>
      <c r="F967" s="35">
        <v>0.0</v>
      </c>
      <c r="G967" s="35">
        <v>2.0</v>
      </c>
      <c r="H967" s="35">
        <v>0.0</v>
      </c>
      <c r="I967" s="35">
        <v>0.0</v>
      </c>
      <c r="J967" s="35"/>
      <c r="K967" s="35">
        <v>0.0</v>
      </c>
    </row>
    <row r="968" ht="15.75" customHeight="1">
      <c r="A968" s="35" t="s">
        <v>1290</v>
      </c>
      <c r="B968" s="35"/>
      <c r="C968" s="35">
        <v>24.0</v>
      </c>
      <c r="D968" s="35">
        <v>522.0</v>
      </c>
      <c r="E968" s="35">
        <v>46027.0</v>
      </c>
      <c r="F968" s="35">
        <v>0.0</v>
      </c>
      <c r="G968" s="35">
        <v>2.0</v>
      </c>
      <c r="H968" s="35">
        <v>0.0</v>
      </c>
      <c r="I968" s="35">
        <v>0.0</v>
      </c>
      <c r="J968" s="35"/>
      <c r="K968" s="35">
        <v>0.0</v>
      </c>
    </row>
    <row r="969" ht="15.75" customHeight="1">
      <c r="A969" s="35" t="s">
        <v>5007</v>
      </c>
      <c r="B969" s="35"/>
      <c r="C969" s="35">
        <v>24.0</v>
      </c>
      <c r="D969" s="35" t="s">
        <v>5008</v>
      </c>
      <c r="E969" s="35">
        <v>46027.0</v>
      </c>
      <c r="F969" s="35">
        <v>0.0</v>
      </c>
      <c r="G969" s="35">
        <v>1.0</v>
      </c>
      <c r="H969" s="35">
        <v>0.0</v>
      </c>
      <c r="I969" s="35">
        <v>0.0</v>
      </c>
      <c r="J969" s="35"/>
      <c r="K969" s="35">
        <v>0.0</v>
      </c>
    </row>
    <row r="970" ht="15.75" customHeight="1">
      <c r="A970" s="35" t="s">
        <v>5009</v>
      </c>
      <c r="B970" s="35"/>
      <c r="C970" s="35">
        <v>24.0</v>
      </c>
      <c r="D970" s="35" t="s">
        <v>2004</v>
      </c>
      <c r="E970" s="35">
        <v>46027.0</v>
      </c>
      <c r="F970" s="35">
        <v>0.0</v>
      </c>
      <c r="G970" s="35">
        <v>1.0</v>
      </c>
      <c r="H970" s="35">
        <v>0.0</v>
      </c>
      <c r="I970" s="35">
        <v>0.0</v>
      </c>
      <c r="J970" s="35"/>
      <c r="K970" s="35">
        <v>0.0</v>
      </c>
    </row>
    <row r="971" ht="15.75" customHeight="1">
      <c r="A971" s="35" t="s">
        <v>5011</v>
      </c>
      <c r="B971" s="35"/>
      <c r="C971" s="35">
        <v>24.0</v>
      </c>
      <c r="D971" s="35" t="s">
        <v>2043</v>
      </c>
      <c r="E971" s="35">
        <v>46027.0</v>
      </c>
      <c r="F971" s="35">
        <v>0.0</v>
      </c>
      <c r="G971" s="35">
        <v>2.0</v>
      </c>
      <c r="H971" s="35">
        <v>0.0</v>
      </c>
      <c r="I971" s="35">
        <v>0.0</v>
      </c>
      <c r="J971" s="35"/>
      <c r="K971" s="35">
        <v>0.0</v>
      </c>
    </row>
    <row r="972" ht="15.75" customHeight="1">
      <c r="A972" s="35" t="s">
        <v>5012</v>
      </c>
      <c r="B972" s="35"/>
      <c r="C972" s="35">
        <v>24.0</v>
      </c>
      <c r="D972" s="35" t="s">
        <v>4546</v>
      </c>
      <c r="E972" s="35">
        <v>46027.0</v>
      </c>
      <c r="F972" s="35">
        <v>0.0</v>
      </c>
      <c r="G972" s="35">
        <v>0.0</v>
      </c>
      <c r="H972" s="35">
        <v>1.0</v>
      </c>
      <c r="I972" s="35">
        <v>0.0</v>
      </c>
      <c r="J972" s="35"/>
      <c r="K972" s="35">
        <v>0.0</v>
      </c>
    </row>
    <row r="973" ht="15.75" customHeight="1">
      <c r="A973" s="35" t="s">
        <v>5013</v>
      </c>
      <c r="B973" s="35"/>
      <c r="C973" s="35">
        <v>24.0</v>
      </c>
      <c r="D973" s="35" t="s">
        <v>4635</v>
      </c>
      <c r="E973" s="35">
        <v>46027.0</v>
      </c>
      <c r="F973" s="35">
        <v>0.0</v>
      </c>
      <c r="G973" s="35">
        <v>3.0</v>
      </c>
      <c r="H973" s="35">
        <v>0.0</v>
      </c>
      <c r="I973" s="35">
        <v>0.0</v>
      </c>
      <c r="J973" s="35"/>
      <c r="K973" s="35">
        <v>0.0</v>
      </c>
    </row>
    <row r="974" ht="15.75" customHeight="1">
      <c r="A974" s="35" t="s">
        <v>5015</v>
      </c>
      <c r="B974" s="35"/>
      <c r="C974" s="35">
        <v>23.0</v>
      </c>
      <c r="D974" s="35" t="s">
        <v>2039</v>
      </c>
      <c r="E974" s="35">
        <v>46058.0</v>
      </c>
      <c r="F974" s="35">
        <v>0.0</v>
      </c>
      <c r="G974" s="35">
        <v>27.0</v>
      </c>
      <c r="H974" s="35">
        <v>0.0</v>
      </c>
      <c r="I974" s="35">
        <v>4.0</v>
      </c>
      <c r="J974" s="35"/>
      <c r="K974" s="35">
        <v>0.0</v>
      </c>
    </row>
    <row r="975" ht="15.75" customHeight="1">
      <c r="A975" s="35" t="s">
        <v>5016</v>
      </c>
      <c r="B975" s="35"/>
      <c r="C975" s="35">
        <v>23.0</v>
      </c>
      <c r="D975" s="35" t="s">
        <v>5017</v>
      </c>
      <c r="E975" s="35">
        <v>46027.0</v>
      </c>
      <c r="F975" s="35">
        <v>0.0</v>
      </c>
      <c r="G975" s="35">
        <v>1.0</v>
      </c>
      <c r="H975" s="35">
        <v>0.0</v>
      </c>
      <c r="I975" s="35">
        <v>0.0</v>
      </c>
      <c r="J975" s="35"/>
      <c r="K975" s="35">
        <v>0.0</v>
      </c>
    </row>
    <row r="976" ht="15.75" customHeight="1">
      <c r="A976" s="35" t="s">
        <v>5019</v>
      </c>
      <c r="B976" s="35"/>
      <c r="C976" s="35">
        <v>23.0</v>
      </c>
      <c r="D976" s="35" t="s">
        <v>5020</v>
      </c>
      <c r="E976" s="35">
        <v>46027.0</v>
      </c>
      <c r="F976" s="35">
        <v>0.0</v>
      </c>
      <c r="G976" s="35">
        <v>0.0</v>
      </c>
      <c r="H976" s="35">
        <v>8.0</v>
      </c>
      <c r="I976" s="35">
        <v>0.0</v>
      </c>
      <c r="J976" s="35"/>
      <c r="K976" s="35">
        <v>0.0</v>
      </c>
    </row>
    <row r="977" ht="15.75" customHeight="1">
      <c r="A977" s="35" t="s">
        <v>5021</v>
      </c>
      <c r="B977" s="35"/>
      <c r="C977" s="35">
        <v>23.0</v>
      </c>
      <c r="D977" s="35">
        <v>500.0</v>
      </c>
      <c r="E977" s="35">
        <v>46027.0</v>
      </c>
      <c r="F977" s="35">
        <v>0.0</v>
      </c>
      <c r="G977" s="35">
        <v>1.0</v>
      </c>
      <c r="H977" s="35">
        <v>0.0</v>
      </c>
      <c r="I977" s="35">
        <v>0.0</v>
      </c>
      <c r="J977" s="35"/>
      <c r="K977" s="35">
        <v>0.0</v>
      </c>
    </row>
    <row r="978" ht="15.75" customHeight="1">
      <c r="A978" s="35" t="s">
        <v>5023</v>
      </c>
      <c r="B978" s="35"/>
      <c r="C978" s="35">
        <v>23.0</v>
      </c>
      <c r="D978" s="35" t="s">
        <v>2049</v>
      </c>
      <c r="E978" s="35">
        <v>46027.0</v>
      </c>
      <c r="F978" s="35">
        <v>0.0</v>
      </c>
      <c r="G978" s="35">
        <v>0.0</v>
      </c>
      <c r="H978" s="35">
        <v>0.0</v>
      </c>
      <c r="I978" s="35">
        <v>1.0</v>
      </c>
      <c r="J978" s="35"/>
      <c r="K978" s="35">
        <v>0.0</v>
      </c>
    </row>
    <row r="979" ht="15.75" customHeight="1">
      <c r="A979" s="35" t="s">
        <v>5024</v>
      </c>
      <c r="B979" s="35"/>
      <c r="C979" s="35">
        <v>23.0</v>
      </c>
      <c r="D979" s="35" t="s">
        <v>4231</v>
      </c>
      <c r="E979" s="35">
        <v>46027.0</v>
      </c>
      <c r="F979" s="35">
        <v>0.0</v>
      </c>
      <c r="G979" s="35">
        <v>124.0</v>
      </c>
      <c r="H979" s="35">
        <v>0.0</v>
      </c>
      <c r="I979" s="35">
        <v>0.0</v>
      </c>
      <c r="J979" s="35"/>
      <c r="K979" s="35">
        <v>0.0</v>
      </c>
    </row>
    <row r="980" ht="15.75" customHeight="1">
      <c r="A980" s="35" t="s">
        <v>1292</v>
      </c>
      <c r="B980" s="35"/>
      <c r="C980" s="35">
        <v>23.0</v>
      </c>
      <c r="D980" s="35">
        <v>502.0</v>
      </c>
      <c r="E980" s="35">
        <v>46027.0</v>
      </c>
      <c r="F980" s="35">
        <v>0.0</v>
      </c>
      <c r="G980" s="35">
        <v>4.0</v>
      </c>
      <c r="H980" s="35">
        <v>0.0</v>
      </c>
      <c r="I980" s="35">
        <v>0.0</v>
      </c>
      <c r="J980" s="35"/>
      <c r="K980" s="35">
        <v>0.0</v>
      </c>
    </row>
    <row r="981" ht="15.75" customHeight="1">
      <c r="A981" s="35" t="s">
        <v>5026</v>
      </c>
      <c r="B981" s="35"/>
      <c r="C981" s="35">
        <v>23.0</v>
      </c>
      <c r="D981" s="35" t="s">
        <v>4697</v>
      </c>
      <c r="E981" s="35">
        <v>46027.0</v>
      </c>
      <c r="F981" s="35">
        <v>0.0</v>
      </c>
      <c r="G981" s="35">
        <v>1.0</v>
      </c>
      <c r="H981" s="35">
        <v>0.0</v>
      </c>
      <c r="I981" s="35">
        <v>0.0</v>
      </c>
      <c r="J981" s="35"/>
      <c r="K981" s="35">
        <v>0.0</v>
      </c>
    </row>
    <row r="982" ht="15.75" customHeight="1">
      <c r="A982" s="35" t="s">
        <v>5027</v>
      </c>
      <c r="B982" s="35"/>
      <c r="C982" s="35">
        <v>23.0</v>
      </c>
      <c r="D982" s="35" t="s">
        <v>2021</v>
      </c>
      <c r="E982" s="35">
        <v>46027.0</v>
      </c>
      <c r="F982" s="35">
        <v>0.0</v>
      </c>
      <c r="G982" s="35">
        <v>0.0</v>
      </c>
      <c r="H982" s="35">
        <v>0.0</v>
      </c>
      <c r="I982" s="35">
        <v>1.0</v>
      </c>
      <c r="J982" s="35"/>
      <c r="K982" s="35">
        <v>0.0</v>
      </c>
    </row>
    <row r="983" ht="15.75" customHeight="1">
      <c r="A983" s="35" t="s">
        <v>5029</v>
      </c>
      <c r="B983" s="35"/>
      <c r="C983" s="35">
        <v>23.0</v>
      </c>
      <c r="D983" s="35" t="s">
        <v>4380</v>
      </c>
      <c r="E983" s="35">
        <v>46027.0</v>
      </c>
      <c r="F983" s="35">
        <v>0.0</v>
      </c>
      <c r="G983" s="35">
        <v>1.0</v>
      </c>
      <c r="H983" s="35">
        <v>0.0</v>
      </c>
      <c r="I983" s="35">
        <v>0.0</v>
      </c>
      <c r="J983" s="35"/>
      <c r="K983" s="35">
        <v>0.0</v>
      </c>
    </row>
    <row r="984" ht="15.75" customHeight="1">
      <c r="A984" s="35" t="s">
        <v>5030</v>
      </c>
      <c r="B984" s="35"/>
      <c r="C984" s="35">
        <v>23.0</v>
      </c>
      <c r="D984" s="35" t="s">
        <v>5031</v>
      </c>
      <c r="E984" s="35">
        <v>46027.0</v>
      </c>
      <c r="F984" s="35">
        <v>0.0</v>
      </c>
      <c r="G984" s="35">
        <v>1.0</v>
      </c>
      <c r="H984" s="35">
        <v>0.0</v>
      </c>
      <c r="I984" s="35">
        <v>0.0</v>
      </c>
      <c r="J984" s="35"/>
      <c r="K984" s="35">
        <v>0.0</v>
      </c>
    </row>
    <row r="985" ht="15.75" customHeight="1">
      <c r="A985" s="35" t="s">
        <v>5033</v>
      </c>
      <c r="B985" s="35"/>
      <c r="C985" s="35">
        <v>23.0</v>
      </c>
      <c r="D985" s="35" t="s">
        <v>3421</v>
      </c>
      <c r="E985" s="35">
        <v>46027.0</v>
      </c>
      <c r="F985" s="35">
        <v>0.0</v>
      </c>
      <c r="G985" s="35">
        <v>1.0</v>
      </c>
      <c r="H985" s="35">
        <v>0.0</v>
      </c>
      <c r="I985" s="35">
        <v>0.0</v>
      </c>
      <c r="J985" s="35"/>
      <c r="K985" s="35">
        <v>0.0</v>
      </c>
    </row>
    <row r="986" ht="15.75" customHeight="1">
      <c r="A986" s="35" t="s">
        <v>5034</v>
      </c>
      <c r="B986" s="35"/>
      <c r="C986" s="35">
        <v>23.0</v>
      </c>
      <c r="D986" s="35" t="s">
        <v>2034</v>
      </c>
      <c r="E986" s="35">
        <v>46027.0</v>
      </c>
      <c r="F986" s="35">
        <v>0.0</v>
      </c>
      <c r="G986" s="35">
        <v>2.0</v>
      </c>
      <c r="H986" s="35">
        <v>0.0</v>
      </c>
      <c r="I986" s="35">
        <v>0.0</v>
      </c>
      <c r="J986" s="35"/>
      <c r="K986" s="35">
        <v>0.0</v>
      </c>
    </row>
    <row r="987" ht="15.75" customHeight="1">
      <c r="A987" s="35" t="s">
        <v>5036</v>
      </c>
      <c r="B987" s="35"/>
      <c r="C987" s="35">
        <v>23.0</v>
      </c>
      <c r="D987" s="35" t="s">
        <v>1964</v>
      </c>
      <c r="E987" s="35">
        <v>46027.0</v>
      </c>
      <c r="F987" s="35">
        <v>0.0</v>
      </c>
      <c r="G987" s="35">
        <v>1.0</v>
      </c>
      <c r="H987" s="35">
        <v>0.0</v>
      </c>
      <c r="I987" s="35">
        <v>0.0</v>
      </c>
      <c r="J987" s="35"/>
      <c r="K987" s="35">
        <v>0.0</v>
      </c>
    </row>
    <row r="988" ht="15.75" customHeight="1">
      <c r="A988" s="35" t="s">
        <v>5037</v>
      </c>
      <c r="B988" s="35"/>
      <c r="C988" s="35">
        <v>23.0</v>
      </c>
      <c r="D988" s="35">
        <v>861.0</v>
      </c>
      <c r="E988" s="35">
        <v>46027.0</v>
      </c>
      <c r="F988" s="35">
        <v>0.0</v>
      </c>
      <c r="G988" s="35">
        <v>0.0</v>
      </c>
      <c r="H988" s="35">
        <v>1.0</v>
      </c>
      <c r="I988" s="35">
        <v>0.0</v>
      </c>
      <c r="J988" s="35"/>
      <c r="K988" s="35">
        <v>0.0</v>
      </c>
    </row>
    <row r="989" ht="15.75" customHeight="1">
      <c r="A989" s="35" t="s">
        <v>5038</v>
      </c>
      <c r="B989" s="35"/>
      <c r="C989" s="35">
        <v>23.0</v>
      </c>
      <c r="D989" s="35" t="s">
        <v>2049</v>
      </c>
      <c r="E989" s="35">
        <v>46027.0</v>
      </c>
      <c r="F989" s="35">
        <v>0.0</v>
      </c>
      <c r="G989" s="35">
        <v>4.0</v>
      </c>
      <c r="H989" s="35">
        <v>0.0</v>
      </c>
      <c r="I989" s="35">
        <v>0.0</v>
      </c>
      <c r="J989" s="35"/>
      <c r="K989" s="35">
        <v>0.0</v>
      </c>
    </row>
    <row r="990" ht="15.75" customHeight="1">
      <c r="A990" s="35" t="s">
        <v>1296</v>
      </c>
      <c r="B990" s="35"/>
      <c r="C990" s="35">
        <v>23.0</v>
      </c>
      <c r="D990" s="35" t="s">
        <v>5040</v>
      </c>
      <c r="E990" s="35">
        <v>46027.0</v>
      </c>
      <c r="F990" s="35">
        <v>0.0</v>
      </c>
      <c r="G990" s="35">
        <v>1.0</v>
      </c>
      <c r="H990" s="35">
        <v>0.0</v>
      </c>
      <c r="I990" s="35">
        <v>0.0</v>
      </c>
      <c r="J990" s="35"/>
      <c r="K990" s="35">
        <v>0.0</v>
      </c>
    </row>
    <row r="991" ht="15.75" customHeight="1">
      <c r="A991" s="35" t="s">
        <v>5041</v>
      </c>
      <c r="B991" s="35"/>
      <c r="C991" s="35">
        <v>23.0</v>
      </c>
      <c r="D991" s="35" t="s">
        <v>4364</v>
      </c>
      <c r="E991" s="35">
        <v>46027.0</v>
      </c>
      <c r="F991" s="35">
        <v>0.0</v>
      </c>
      <c r="G991" s="35">
        <v>5.0</v>
      </c>
      <c r="H991" s="35">
        <v>0.0</v>
      </c>
      <c r="I991" s="35">
        <v>0.0</v>
      </c>
      <c r="J991" s="35"/>
      <c r="K991" s="35">
        <v>0.0</v>
      </c>
    </row>
    <row r="992" ht="15.75" customHeight="1">
      <c r="A992" s="35" t="s">
        <v>5043</v>
      </c>
      <c r="B992" s="35"/>
      <c r="C992" s="35">
        <v>23.0</v>
      </c>
      <c r="D992" s="35" t="s">
        <v>4635</v>
      </c>
      <c r="E992" s="35">
        <v>46027.0</v>
      </c>
      <c r="F992" s="35">
        <v>0.0</v>
      </c>
      <c r="G992" s="35">
        <v>1.0</v>
      </c>
      <c r="H992" s="35">
        <v>0.0</v>
      </c>
      <c r="I992" s="35">
        <v>0.0</v>
      </c>
      <c r="J992" s="35"/>
      <c r="K992" s="35">
        <v>0.0</v>
      </c>
    </row>
    <row r="993" ht="15.75" customHeight="1">
      <c r="A993" s="35" t="s">
        <v>5044</v>
      </c>
      <c r="B993" s="35"/>
      <c r="C993" s="35">
        <v>23.0</v>
      </c>
      <c r="D993" s="35" t="s">
        <v>3891</v>
      </c>
      <c r="E993" s="35">
        <v>46027.0</v>
      </c>
      <c r="F993" s="35">
        <v>0.0</v>
      </c>
      <c r="G993" s="35">
        <v>3.0</v>
      </c>
      <c r="H993" s="35">
        <v>0.0</v>
      </c>
      <c r="I993" s="35">
        <v>0.0</v>
      </c>
      <c r="J993" s="35"/>
      <c r="K993" s="35">
        <v>0.0</v>
      </c>
    </row>
    <row r="994" ht="15.75" customHeight="1">
      <c r="A994" s="35" t="s">
        <v>5046</v>
      </c>
      <c r="B994" s="35"/>
      <c r="C994" s="35">
        <v>23.0</v>
      </c>
      <c r="D994" s="35" t="s">
        <v>4635</v>
      </c>
      <c r="E994" s="35">
        <v>46027.0</v>
      </c>
      <c r="F994" s="35">
        <v>0.0</v>
      </c>
      <c r="G994" s="35">
        <v>0.0</v>
      </c>
      <c r="H994" s="35">
        <v>0.0</v>
      </c>
      <c r="I994" s="35">
        <v>1.0</v>
      </c>
      <c r="J994" s="35"/>
      <c r="K994" s="35">
        <v>0.0</v>
      </c>
    </row>
    <row r="995" ht="15.75" customHeight="1">
      <c r="A995" s="35" t="s">
        <v>1300</v>
      </c>
      <c r="B995" s="35"/>
      <c r="C995" s="35">
        <v>23.0</v>
      </c>
      <c r="D995" s="35" t="s">
        <v>4694</v>
      </c>
      <c r="E995" s="35">
        <v>46027.0</v>
      </c>
      <c r="F995" s="35">
        <v>0.0</v>
      </c>
      <c r="G995" s="35">
        <v>1.0</v>
      </c>
      <c r="H995" s="35">
        <v>0.0</v>
      </c>
      <c r="I995" s="35">
        <v>0.0</v>
      </c>
      <c r="J995" s="35"/>
      <c r="K995" s="35">
        <v>0.0</v>
      </c>
    </row>
    <row r="996" ht="15.75" customHeight="1">
      <c r="A996" s="35" t="s">
        <v>5047</v>
      </c>
      <c r="B996" s="35"/>
      <c r="C996" s="35">
        <v>23.0</v>
      </c>
      <c r="D996" s="35">
        <v>313.0</v>
      </c>
      <c r="E996" s="35">
        <v>46027.0</v>
      </c>
      <c r="F996" s="35">
        <v>0.0</v>
      </c>
      <c r="G996" s="35">
        <v>2.0</v>
      </c>
      <c r="H996" s="35">
        <v>0.0</v>
      </c>
      <c r="I996" s="35">
        <v>0.0</v>
      </c>
      <c r="J996" s="35"/>
      <c r="K996" s="35">
        <v>0.0</v>
      </c>
    </row>
    <row r="997" ht="15.75" customHeight="1">
      <c r="A997" s="35" t="s">
        <v>5049</v>
      </c>
      <c r="B997" s="35"/>
      <c r="C997" s="35">
        <v>23.0</v>
      </c>
      <c r="D997" s="35" t="s">
        <v>2046</v>
      </c>
      <c r="E997" s="35">
        <v>46027.0</v>
      </c>
      <c r="F997" s="35">
        <v>0.0</v>
      </c>
      <c r="G997" s="35">
        <v>2.0</v>
      </c>
      <c r="H997" s="35">
        <v>0.0</v>
      </c>
      <c r="I997" s="35">
        <v>0.0</v>
      </c>
      <c r="J997" s="35"/>
      <c r="K997" s="35">
        <v>0.0</v>
      </c>
    </row>
    <row r="998" ht="15.75" customHeight="1">
      <c r="A998" s="35" t="s">
        <v>5050</v>
      </c>
      <c r="B998" s="35"/>
      <c r="C998" s="35">
        <v>23.0</v>
      </c>
      <c r="D998" s="35" t="s">
        <v>5051</v>
      </c>
      <c r="E998" s="35">
        <v>46027.0</v>
      </c>
      <c r="F998" s="35">
        <v>0.0</v>
      </c>
      <c r="G998" s="35">
        <v>0.0</v>
      </c>
      <c r="H998" s="35">
        <v>1.0</v>
      </c>
      <c r="I998" s="35">
        <v>0.0</v>
      </c>
      <c r="J998" s="35"/>
      <c r="K998" s="35">
        <v>0.0</v>
      </c>
    </row>
    <row r="999" ht="15.75" customHeight="1">
      <c r="A999" s="35" t="s">
        <v>5053</v>
      </c>
      <c r="B999" s="35"/>
      <c r="C999" s="35">
        <v>23.0</v>
      </c>
      <c r="D999" s="35">
        <v>921.0</v>
      </c>
      <c r="E999" s="35">
        <v>46027.0</v>
      </c>
      <c r="F999" s="35">
        <v>0.0</v>
      </c>
      <c r="G999" s="35">
        <v>4.0</v>
      </c>
      <c r="H999" s="35">
        <v>0.0</v>
      </c>
      <c r="I999" s="35">
        <v>0.0</v>
      </c>
      <c r="J999" s="35"/>
      <c r="K999" s="35">
        <v>0.0</v>
      </c>
    </row>
    <row r="1000" ht="15.75" customHeight="1">
      <c r="A1000" s="35" t="s">
        <v>5054</v>
      </c>
      <c r="B1000" s="35"/>
      <c r="C1000" s="35">
        <v>23.0</v>
      </c>
      <c r="D1000" s="35" t="s">
        <v>3146</v>
      </c>
      <c r="E1000" s="35">
        <v>46027.0</v>
      </c>
      <c r="F1000" s="35">
        <v>0.0</v>
      </c>
      <c r="G1000" s="35">
        <v>0.0</v>
      </c>
      <c r="H1000" s="35">
        <v>0.0</v>
      </c>
      <c r="I1000" s="35">
        <v>1.0</v>
      </c>
      <c r="J1000" s="35"/>
      <c r="K1000" s="35">
        <v>0.0</v>
      </c>
    </row>
    <row r="1001" ht="15.75" customHeight="1">
      <c r="A1001" s="35" t="s">
        <v>5056</v>
      </c>
      <c r="B1001" s="35"/>
      <c r="C1001" s="35">
        <v>23.0</v>
      </c>
      <c r="D1001" s="35" t="s">
        <v>2065</v>
      </c>
      <c r="E1001" s="35">
        <v>46027.0</v>
      </c>
      <c r="F1001" s="35">
        <v>0.0</v>
      </c>
      <c r="G1001" s="35">
        <v>2.0</v>
      </c>
      <c r="H1001" s="35">
        <v>0.0</v>
      </c>
      <c r="I1001" s="35">
        <v>0.0</v>
      </c>
      <c r="J1001" s="35"/>
      <c r="K1001" s="35">
        <v>0.0</v>
      </c>
    </row>
    <row r="1002" ht="15.75" customHeight="1">
      <c r="A1002" s="35" t="s">
        <v>5057</v>
      </c>
      <c r="B1002" s="35"/>
      <c r="C1002" s="35">
        <v>23.0</v>
      </c>
      <c r="D1002" s="35" t="s">
        <v>4323</v>
      </c>
      <c r="E1002" s="35">
        <v>46027.0</v>
      </c>
      <c r="F1002" s="35">
        <v>0.0</v>
      </c>
      <c r="G1002" s="35">
        <v>9.0</v>
      </c>
      <c r="H1002" s="35">
        <v>0.0</v>
      </c>
      <c r="I1002" s="35">
        <v>0.0</v>
      </c>
      <c r="J1002" s="35"/>
      <c r="K1002" s="35">
        <v>0.0</v>
      </c>
    </row>
    <row r="1003" ht="15.75" customHeight="1">
      <c r="A1003" s="35" t="s">
        <v>5059</v>
      </c>
      <c r="B1003" s="35"/>
      <c r="C1003" s="35">
        <v>23.0</v>
      </c>
      <c r="D1003" s="35" t="s">
        <v>5060</v>
      </c>
      <c r="E1003" s="35">
        <v>46027.0</v>
      </c>
      <c r="F1003" s="35">
        <v>0.0</v>
      </c>
      <c r="G1003" s="35">
        <v>4.0</v>
      </c>
      <c r="H1003" s="35">
        <v>0.0</v>
      </c>
      <c r="I1003" s="35">
        <v>0.0</v>
      </c>
      <c r="J1003" s="35"/>
      <c r="K1003" s="35">
        <v>0.0</v>
      </c>
    </row>
    <row r="1004" ht="15.75" customHeight="1">
      <c r="A1004" s="35" t="s">
        <v>5061</v>
      </c>
      <c r="B1004" s="35"/>
      <c r="C1004" s="35">
        <v>23.0</v>
      </c>
      <c r="D1004" s="35">
        <v>888.0</v>
      </c>
      <c r="E1004" s="35">
        <v>46027.0</v>
      </c>
      <c r="F1004" s="35">
        <v>0.0</v>
      </c>
      <c r="G1004" s="35">
        <v>1.0</v>
      </c>
      <c r="H1004" s="35">
        <v>0.0</v>
      </c>
      <c r="I1004" s="35">
        <v>0.0</v>
      </c>
      <c r="J1004" s="35"/>
      <c r="K1004" s="35">
        <v>0.0</v>
      </c>
    </row>
    <row r="1005" ht="15.75" customHeight="1">
      <c r="A1005" s="35" t="s">
        <v>5062</v>
      </c>
      <c r="B1005" s="35"/>
      <c r="C1005" s="35">
        <v>23.0</v>
      </c>
      <c r="D1005" s="35">
        <v>288.0</v>
      </c>
      <c r="E1005" s="35">
        <v>46027.0</v>
      </c>
      <c r="F1005" s="35">
        <v>0.0</v>
      </c>
      <c r="G1005" s="35">
        <v>4.0</v>
      </c>
      <c r="H1005" s="35">
        <v>0.0</v>
      </c>
      <c r="I1005" s="35">
        <v>0.0</v>
      </c>
      <c r="J1005" s="35"/>
      <c r="K1005" s="35">
        <v>0.0</v>
      </c>
    </row>
    <row r="1006" ht="15.75" customHeight="1">
      <c r="A1006" s="35" t="s">
        <v>5064</v>
      </c>
      <c r="B1006" s="35"/>
      <c r="C1006" s="35">
        <v>22.0</v>
      </c>
      <c r="D1006" s="35" t="s">
        <v>5065</v>
      </c>
      <c r="E1006" s="35">
        <v>46058.0</v>
      </c>
      <c r="F1006" s="35">
        <v>0.0</v>
      </c>
      <c r="G1006" s="35">
        <v>7.0</v>
      </c>
      <c r="H1006" s="35">
        <v>0.0</v>
      </c>
      <c r="I1006" s="35">
        <v>1.0</v>
      </c>
      <c r="J1006" s="35"/>
      <c r="K1006" s="35">
        <v>0.0</v>
      </c>
    </row>
    <row r="1007" ht="15.75" customHeight="1">
      <c r="A1007" s="35" t="s">
        <v>5066</v>
      </c>
      <c r="B1007" s="35"/>
      <c r="C1007" s="35">
        <v>22.0</v>
      </c>
      <c r="D1007" s="35" t="s">
        <v>4186</v>
      </c>
      <c r="E1007" s="35">
        <v>46058.0</v>
      </c>
      <c r="F1007" s="35">
        <v>0.0</v>
      </c>
      <c r="G1007" s="35">
        <v>3.0</v>
      </c>
      <c r="H1007" s="35">
        <v>0.0</v>
      </c>
      <c r="I1007" s="35">
        <v>1.0</v>
      </c>
      <c r="J1007" s="35"/>
      <c r="K1007" s="35">
        <v>0.0</v>
      </c>
    </row>
    <row r="1008" ht="15.75" customHeight="1">
      <c r="A1008" s="35" t="s">
        <v>5068</v>
      </c>
      <c r="B1008" s="35"/>
      <c r="C1008" s="35">
        <v>22.0</v>
      </c>
      <c r="D1008" s="35">
        <v>150.0</v>
      </c>
      <c r="E1008" s="35">
        <v>46027.0</v>
      </c>
      <c r="F1008" s="35">
        <v>0.0</v>
      </c>
      <c r="G1008" s="35">
        <v>1.0</v>
      </c>
      <c r="H1008" s="35">
        <v>0.0</v>
      </c>
      <c r="I1008" s="35">
        <v>0.0</v>
      </c>
      <c r="J1008" s="35"/>
      <c r="K1008" s="35">
        <v>0.0</v>
      </c>
    </row>
    <row r="1009" ht="15.75" customHeight="1">
      <c r="A1009" s="35" t="s">
        <v>1304</v>
      </c>
      <c r="B1009" s="35"/>
      <c r="C1009" s="35">
        <v>22.0</v>
      </c>
      <c r="D1009" s="35">
        <v>76.0</v>
      </c>
      <c r="E1009" s="35">
        <v>46027.0</v>
      </c>
      <c r="F1009" s="35">
        <v>0.0</v>
      </c>
      <c r="G1009" s="35">
        <v>2.0</v>
      </c>
      <c r="H1009" s="35">
        <v>0.0</v>
      </c>
      <c r="I1009" s="35">
        <v>0.0</v>
      </c>
      <c r="J1009" s="35"/>
      <c r="K1009" s="35">
        <v>0.0</v>
      </c>
    </row>
    <row r="1010" ht="15.75" customHeight="1">
      <c r="A1010" s="35" t="s">
        <v>5070</v>
      </c>
      <c r="B1010" s="35"/>
      <c r="C1010" s="35">
        <v>22.0</v>
      </c>
      <c r="D1010" s="35" t="s">
        <v>3776</v>
      </c>
      <c r="E1010" s="35">
        <v>46027.0</v>
      </c>
      <c r="F1010" s="35">
        <v>0.0</v>
      </c>
      <c r="G1010" s="35">
        <v>0.0</v>
      </c>
      <c r="H1010" s="35">
        <v>0.0</v>
      </c>
      <c r="I1010" s="35">
        <v>504.0</v>
      </c>
      <c r="J1010" s="35"/>
      <c r="K1010" s="35">
        <v>0.0</v>
      </c>
    </row>
    <row r="1011" ht="15.75" customHeight="1">
      <c r="A1011" s="35" t="s">
        <v>5071</v>
      </c>
      <c r="B1011" s="35"/>
      <c r="C1011" s="35">
        <v>22.0</v>
      </c>
      <c r="D1011" s="35">
        <v>185.0</v>
      </c>
      <c r="E1011" s="35">
        <v>46027.0</v>
      </c>
      <c r="F1011" s="35">
        <v>0.0</v>
      </c>
      <c r="G1011" s="35">
        <v>1.0</v>
      </c>
      <c r="H1011" s="35">
        <v>0.0</v>
      </c>
      <c r="I1011" s="35">
        <v>0.0</v>
      </c>
      <c r="J1011" s="35"/>
      <c r="K1011" s="35">
        <v>0.0</v>
      </c>
    </row>
    <row r="1012" ht="15.75" customHeight="1">
      <c r="A1012" s="35" t="s">
        <v>1308</v>
      </c>
      <c r="B1012" s="35"/>
      <c r="C1012" s="35">
        <v>22.0</v>
      </c>
      <c r="D1012" s="35" t="s">
        <v>4372</v>
      </c>
      <c r="E1012" s="35">
        <v>46027.0</v>
      </c>
      <c r="F1012" s="35">
        <v>0.0</v>
      </c>
      <c r="G1012" s="35">
        <v>0.0</v>
      </c>
      <c r="H1012" s="35">
        <v>8.0</v>
      </c>
      <c r="I1012" s="35">
        <v>0.0</v>
      </c>
      <c r="J1012" s="35"/>
      <c r="K1012" s="35">
        <v>0.0</v>
      </c>
    </row>
    <row r="1013" ht="15.75" customHeight="1">
      <c r="A1013" s="35" t="s">
        <v>1310</v>
      </c>
      <c r="B1013" s="35"/>
      <c r="C1013" s="35">
        <v>22.0</v>
      </c>
      <c r="D1013" s="35">
        <v>149.0</v>
      </c>
      <c r="E1013" s="35">
        <v>46027.0</v>
      </c>
      <c r="F1013" s="35">
        <v>0.0</v>
      </c>
      <c r="G1013" s="35">
        <v>1.0</v>
      </c>
      <c r="H1013" s="35">
        <v>0.0</v>
      </c>
      <c r="I1013" s="35">
        <v>0.0</v>
      </c>
      <c r="J1013" s="35"/>
      <c r="K1013" s="35">
        <v>0.0</v>
      </c>
    </row>
    <row r="1014" ht="15.75" customHeight="1">
      <c r="A1014" s="35" t="s">
        <v>5073</v>
      </c>
      <c r="B1014" s="35"/>
      <c r="C1014" s="35">
        <v>22.0</v>
      </c>
      <c r="D1014" s="35">
        <v>828.0</v>
      </c>
      <c r="E1014" s="35">
        <v>46027.0</v>
      </c>
      <c r="F1014" s="35">
        <v>0.0</v>
      </c>
      <c r="G1014" s="35">
        <v>196.0</v>
      </c>
      <c r="H1014" s="35">
        <v>0.0</v>
      </c>
      <c r="I1014" s="35">
        <v>0.0</v>
      </c>
      <c r="J1014" s="35"/>
      <c r="K1014" s="35">
        <v>0.0</v>
      </c>
    </row>
    <row r="1015" ht="15.75" customHeight="1">
      <c r="A1015" s="35" t="s">
        <v>5075</v>
      </c>
      <c r="B1015" s="35"/>
      <c r="C1015" s="35">
        <v>22.0</v>
      </c>
      <c r="D1015" s="35">
        <v>929.0</v>
      </c>
      <c r="E1015" s="35">
        <v>46027.0</v>
      </c>
      <c r="F1015" s="35">
        <v>0.0</v>
      </c>
      <c r="G1015" s="35">
        <v>10.0</v>
      </c>
      <c r="H1015" s="35">
        <v>0.0</v>
      </c>
      <c r="I1015" s="35">
        <v>0.0</v>
      </c>
      <c r="J1015" s="35"/>
      <c r="K1015" s="35">
        <v>0.0</v>
      </c>
    </row>
    <row r="1016" ht="15.75" customHeight="1">
      <c r="A1016" s="35" t="s">
        <v>5076</v>
      </c>
      <c r="B1016" s="35"/>
      <c r="C1016" s="35">
        <v>22.0</v>
      </c>
      <c r="D1016" s="35" t="s">
        <v>5077</v>
      </c>
      <c r="E1016" s="35">
        <v>46027.0</v>
      </c>
      <c r="F1016" s="35">
        <v>0.0</v>
      </c>
      <c r="G1016" s="35">
        <v>3.0</v>
      </c>
      <c r="H1016" s="35">
        <v>0.0</v>
      </c>
      <c r="I1016" s="35">
        <v>0.0</v>
      </c>
      <c r="J1016" s="35"/>
      <c r="K1016" s="35">
        <v>0.0</v>
      </c>
    </row>
    <row r="1017" ht="15.75" customHeight="1">
      <c r="A1017" s="35" t="s">
        <v>5079</v>
      </c>
      <c r="B1017" s="35"/>
      <c r="C1017" s="35">
        <v>22.0</v>
      </c>
      <c r="D1017" s="35">
        <v>798.0</v>
      </c>
      <c r="E1017" s="35">
        <v>46027.0</v>
      </c>
      <c r="F1017" s="35">
        <v>0.0</v>
      </c>
      <c r="G1017" s="35">
        <v>1.0</v>
      </c>
      <c r="H1017" s="35">
        <v>0.0</v>
      </c>
      <c r="I1017" s="35">
        <v>0.0</v>
      </c>
      <c r="J1017" s="35"/>
      <c r="K1017" s="35">
        <v>0.0</v>
      </c>
    </row>
    <row r="1018" ht="15.75" customHeight="1">
      <c r="A1018" s="35" t="s">
        <v>1314</v>
      </c>
      <c r="B1018" s="35"/>
      <c r="C1018" s="35">
        <v>22.0</v>
      </c>
      <c r="D1018" s="35">
        <v>94.0</v>
      </c>
      <c r="E1018" s="35">
        <v>46027.0</v>
      </c>
      <c r="F1018" s="35">
        <v>0.0</v>
      </c>
      <c r="G1018" s="35">
        <v>4.0</v>
      </c>
      <c r="H1018" s="35">
        <v>0.0</v>
      </c>
      <c r="I1018" s="35">
        <v>0.0</v>
      </c>
      <c r="J1018" s="35"/>
      <c r="K1018" s="35">
        <v>0.0</v>
      </c>
    </row>
    <row r="1019" ht="15.75" customHeight="1">
      <c r="A1019" s="35" t="s">
        <v>5081</v>
      </c>
      <c r="B1019" s="35"/>
      <c r="C1019" s="35">
        <v>22.0</v>
      </c>
      <c r="D1019" s="35" t="s">
        <v>5082</v>
      </c>
      <c r="E1019" s="35">
        <v>46027.0</v>
      </c>
      <c r="F1019" s="35">
        <v>0.0</v>
      </c>
      <c r="G1019" s="35">
        <v>0.0</v>
      </c>
      <c r="H1019" s="35">
        <v>14.0</v>
      </c>
      <c r="I1019" s="35">
        <v>0.0</v>
      </c>
      <c r="J1019" s="35"/>
      <c r="K1019" s="35">
        <v>0.0</v>
      </c>
    </row>
    <row r="1020" ht="15.75" customHeight="1">
      <c r="A1020" s="35" t="s">
        <v>5083</v>
      </c>
      <c r="B1020" s="35"/>
      <c r="C1020" s="35">
        <v>22.0</v>
      </c>
      <c r="D1020" s="35">
        <v>871.0</v>
      </c>
      <c r="E1020" s="35">
        <v>46027.0</v>
      </c>
      <c r="F1020" s="35">
        <v>0.0</v>
      </c>
      <c r="G1020" s="35">
        <v>1.0</v>
      </c>
      <c r="H1020" s="35">
        <v>0.0</v>
      </c>
      <c r="I1020" s="35">
        <v>0.0</v>
      </c>
      <c r="J1020" s="35"/>
      <c r="K1020" s="35">
        <v>0.0</v>
      </c>
    </row>
    <row r="1021" ht="15.75" customHeight="1">
      <c r="A1021" s="35" t="s">
        <v>5084</v>
      </c>
      <c r="B1021" s="35"/>
      <c r="C1021" s="35">
        <v>22.0</v>
      </c>
      <c r="D1021" s="35">
        <v>706.0</v>
      </c>
      <c r="E1021" s="35">
        <v>46027.0</v>
      </c>
      <c r="F1021" s="35">
        <v>0.0</v>
      </c>
      <c r="G1021" s="35">
        <v>1.0</v>
      </c>
      <c r="H1021" s="35">
        <v>0.0</v>
      </c>
      <c r="I1021" s="35">
        <v>0.0</v>
      </c>
      <c r="J1021" s="35"/>
      <c r="K1021" s="35">
        <v>0.0</v>
      </c>
    </row>
    <row r="1022" ht="15.75" customHeight="1">
      <c r="A1022" s="35" t="s">
        <v>5086</v>
      </c>
      <c r="B1022" s="35"/>
      <c r="C1022" s="35">
        <v>22.0</v>
      </c>
      <c r="D1022" s="35" t="s">
        <v>2033</v>
      </c>
      <c r="E1022" s="35">
        <v>46027.0</v>
      </c>
      <c r="F1022" s="35">
        <v>0.0</v>
      </c>
      <c r="G1022" s="35">
        <v>1.0</v>
      </c>
      <c r="H1022" s="35">
        <v>0.0</v>
      </c>
      <c r="I1022" s="35">
        <v>0.0</v>
      </c>
      <c r="J1022" s="35"/>
      <c r="K1022" s="35">
        <v>0.0</v>
      </c>
    </row>
    <row r="1023" ht="15.75" customHeight="1">
      <c r="A1023" s="35" t="s">
        <v>5087</v>
      </c>
      <c r="B1023" s="35"/>
      <c r="C1023" s="35">
        <v>22.0</v>
      </c>
      <c r="D1023" s="35">
        <v>519.0</v>
      </c>
      <c r="E1023" s="35">
        <v>46027.0</v>
      </c>
      <c r="F1023" s="35">
        <v>0.0</v>
      </c>
      <c r="G1023" s="35">
        <v>1.0</v>
      </c>
      <c r="H1023" s="35">
        <v>0.0</v>
      </c>
      <c r="I1023" s="35">
        <v>0.0</v>
      </c>
      <c r="J1023" s="35"/>
      <c r="K1023" s="35">
        <v>0.0</v>
      </c>
    </row>
    <row r="1024" ht="15.75" customHeight="1">
      <c r="A1024" s="35" t="s">
        <v>5089</v>
      </c>
      <c r="B1024" s="35"/>
      <c r="C1024" s="35">
        <v>22.0</v>
      </c>
      <c r="D1024" s="35" t="s">
        <v>4538</v>
      </c>
      <c r="E1024" s="35">
        <v>46027.0</v>
      </c>
      <c r="F1024" s="35">
        <v>0.0</v>
      </c>
      <c r="G1024" s="35">
        <v>1.0</v>
      </c>
      <c r="H1024" s="35">
        <v>0.0</v>
      </c>
      <c r="I1024" s="35">
        <v>0.0</v>
      </c>
      <c r="J1024" s="35"/>
      <c r="K1024" s="35">
        <v>0.0</v>
      </c>
    </row>
    <row r="1025" ht="15.75" customHeight="1">
      <c r="A1025" s="35" t="s">
        <v>1318</v>
      </c>
      <c r="B1025" s="35"/>
      <c r="C1025" s="35">
        <v>22.0</v>
      </c>
      <c r="D1025" s="35">
        <v>245.0</v>
      </c>
      <c r="E1025" s="35">
        <v>46027.0</v>
      </c>
      <c r="F1025" s="35">
        <v>0.0</v>
      </c>
      <c r="G1025" s="35">
        <v>0.0</v>
      </c>
      <c r="H1025" s="35">
        <v>0.0</v>
      </c>
      <c r="I1025" s="35">
        <v>1.0</v>
      </c>
      <c r="J1025" s="35"/>
      <c r="K1025" s="35">
        <v>0.0</v>
      </c>
    </row>
    <row r="1026" ht="15.75" customHeight="1">
      <c r="A1026" s="35" t="s">
        <v>5091</v>
      </c>
      <c r="B1026" s="35"/>
      <c r="C1026" s="35">
        <v>22.0</v>
      </c>
      <c r="D1026" s="35">
        <v>963.0</v>
      </c>
      <c r="E1026" s="35">
        <v>46027.0</v>
      </c>
      <c r="F1026" s="35">
        <v>0.0</v>
      </c>
      <c r="G1026" s="35">
        <v>1.0</v>
      </c>
      <c r="H1026" s="35">
        <v>0.0</v>
      </c>
      <c r="I1026" s="35">
        <v>0.0</v>
      </c>
      <c r="J1026" s="35"/>
      <c r="K1026" s="35">
        <v>0.0</v>
      </c>
    </row>
    <row r="1027" ht="15.75" customHeight="1">
      <c r="A1027" s="35" t="s">
        <v>5092</v>
      </c>
      <c r="B1027" s="35"/>
      <c r="C1027" s="35">
        <v>22.0</v>
      </c>
      <c r="D1027" s="35" t="s">
        <v>4343</v>
      </c>
      <c r="E1027" s="35">
        <v>46027.0</v>
      </c>
      <c r="F1027" s="35">
        <v>0.0</v>
      </c>
      <c r="G1027" s="35">
        <v>1.0</v>
      </c>
      <c r="H1027" s="35">
        <v>0.0</v>
      </c>
      <c r="I1027" s="35">
        <v>0.0</v>
      </c>
      <c r="J1027" s="35"/>
      <c r="K1027" s="35">
        <v>0.0</v>
      </c>
    </row>
    <row r="1028" ht="15.75" customHeight="1">
      <c r="A1028" s="35" t="s">
        <v>5093</v>
      </c>
      <c r="B1028" s="35"/>
      <c r="C1028" s="35">
        <v>22.0</v>
      </c>
      <c r="D1028" s="35" t="s">
        <v>2005</v>
      </c>
      <c r="E1028" s="35">
        <v>46027.0</v>
      </c>
      <c r="F1028" s="35">
        <v>0.0</v>
      </c>
      <c r="G1028" s="35">
        <v>0.0</v>
      </c>
      <c r="H1028" s="35">
        <v>1.0</v>
      </c>
      <c r="I1028" s="35">
        <v>0.0</v>
      </c>
      <c r="J1028" s="35"/>
      <c r="K1028" s="35">
        <v>0.0</v>
      </c>
    </row>
    <row r="1029" ht="15.75" customHeight="1">
      <c r="A1029" s="35" t="s">
        <v>5095</v>
      </c>
      <c r="B1029" s="35"/>
      <c r="C1029" s="35">
        <v>22.0</v>
      </c>
      <c r="D1029" s="35" t="s">
        <v>4303</v>
      </c>
      <c r="E1029" s="35">
        <v>46027.0</v>
      </c>
      <c r="F1029" s="35">
        <v>0.0</v>
      </c>
      <c r="G1029" s="35">
        <v>1.0</v>
      </c>
      <c r="H1029" s="35">
        <v>0.0</v>
      </c>
      <c r="I1029" s="35">
        <v>0.0</v>
      </c>
      <c r="J1029" s="35"/>
      <c r="K1029" s="35">
        <v>0.0</v>
      </c>
    </row>
    <row r="1030" ht="15.75" customHeight="1">
      <c r="A1030" s="35" t="s">
        <v>5096</v>
      </c>
      <c r="B1030" s="35"/>
      <c r="C1030" s="35">
        <v>22.0</v>
      </c>
      <c r="D1030" s="35" t="s">
        <v>2018</v>
      </c>
      <c r="E1030" s="35">
        <v>46027.0</v>
      </c>
      <c r="F1030" s="35">
        <v>0.0</v>
      </c>
      <c r="G1030" s="35">
        <v>1.0</v>
      </c>
      <c r="H1030" s="35">
        <v>0.0</v>
      </c>
      <c r="I1030" s="35">
        <v>0.0</v>
      </c>
      <c r="J1030" s="35"/>
      <c r="K1030" s="35">
        <v>0.0</v>
      </c>
    </row>
    <row r="1031" ht="15.75" customHeight="1">
      <c r="A1031" s="35" t="s">
        <v>5098</v>
      </c>
      <c r="B1031" s="35"/>
      <c r="C1031" s="35">
        <v>22.0</v>
      </c>
      <c r="D1031" s="35" t="s">
        <v>4036</v>
      </c>
      <c r="E1031" s="35">
        <v>46027.0</v>
      </c>
      <c r="F1031" s="35">
        <v>0.0</v>
      </c>
      <c r="G1031" s="35">
        <v>0.0</v>
      </c>
      <c r="H1031" s="35">
        <v>1.0</v>
      </c>
      <c r="I1031" s="35">
        <v>0.0</v>
      </c>
      <c r="J1031" s="35"/>
      <c r="K1031" s="35">
        <v>0.0</v>
      </c>
    </row>
    <row r="1032" ht="15.75" customHeight="1">
      <c r="A1032" s="35" t="s">
        <v>5099</v>
      </c>
      <c r="B1032" s="35"/>
      <c r="C1032" s="35">
        <v>22.0</v>
      </c>
      <c r="D1032" s="35" t="s">
        <v>2038</v>
      </c>
      <c r="E1032" s="35">
        <v>46027.0</v>
      </c>
      <c r="F1032" s="35">
        <v>0.0</v>
      </c>
      <c r="G1032" s="35">
        <v>1.0</v>
      </c>
      <c r="H1032" s="35">
        <v>0.0</v>
      </c>
      <c r="I1032" s="35">
        <v>0.0</v>
      </c>
      <c r="J1032" s="35"/>
      <c r="K1032" s="35">
        <v>0.0</v>
      </c>
    </row>
    <row r="1033" ht="15.75" customHeight="1">
      <c r="A1033" s="35" t="s">
        <v>5101</v>
      </c>
      <c r="B1033" s="35"/>
      <c r="C1033" s="35">
        <v>22.0</v>
      </c>
      <c r="D1033" s="35" t="s">
        <v>2049</v>
      </c>
      <c r="E1033" s="35">
        <v>46027.0</v>
      </c>
      <c r="F1033" s="35">
        <v>0.0</v>
      </c>
      <c r="G1033" s="35">
        <v>6.0</v>
      </c>
      <c r="H1033" s="35">
        <v>0.0</v>
      </c>
      <c r="I1033" s="35">
        <v>0.0</v>
      </c>
      <c r="J1033" s="35"/>
      <c r="K1033" s="35">
        <v>0.0</v>
      </c>
    </row>
    <row r="1034" ht="15.75" customHeight="1">
      <c r="A1034" s="35" t="s">
        <v>5102</v>
      </c>
      <c r="B1034" s="35"/>
      <c r="C1034" s="35">
        <v>22.0</v>
      </c>
      <c r="D1034" s="35">
        <v>383.0</v>
      </c>
      <c r="E1034" s="35">
        <v>46027.0</v>
      </c>
      <c r="F1034" s="35">
        <v>0.0</v>
      </c>
      <c r="G1034" s="35">
        <v>3.0</v>
      </c>
      <c r="H1034" s="35">
        <v>0.0</v>
      </c>
      <c r="I1034" s="35">
        <v>0.0</v>
      </c>
      <c r="J1034" s="35"/>
      <c r="K1034" s="35">
        <v>0.0</v>
      </c>
    </row>
    <row r="1035" ht="15.75" customHeight="1">
      <c r="A1035" s="35" t="s">
        <v>5104</v>
      </c>
      <c r="B1035" s="35"/>
      <c r="C1035" s="35">
        <v>22.0</v>
      </c>
      <c r="D1035" s="35">
        <v>627.0</v>
      </c>
      <c r="E1035" s="35">
        <v>46027.0</v>
      </c>
      <c r="F1035" s="35">
        <v>0.0</v>
      </c>
      <c r="G1035" s="35">
        <v>0.0</v>
      </c>
      <c r="H1035" s="35">
        <v>3.0</v>
      </c>
      <c r="I1035" s="35">
        <v>0.0</v>
      </c>
      <c r="J1035" s="35"/>
      <c r="K1035" s="35">
        <v>0.0</v>
      </c>
    </row>
    <row r="1036" ht="15.75" customHeight="1">
      <c r="A1036" s="35" t="s">
        <v>5105</v>
      </c>
      <c r="B1036" s="35"/>
      <c r="C1036" s="35">
        <v>22.0</v>
      </c>
      <c r="D1036" s="35" t="s">
        <v>4635</v>
      </c>
      <c r="E1036" s="35">
        <v>46027.0</v>
      </c>
      <c r="F1036" s="35">
        <v>0.0</v>
      </c>
      <c r="G1036" s="35">
        <v>2.0</v>
      </c>
      <c r="H1036" s="35">
        <v>0.0</v>
      </c>
      <c r="I1036" s="35">
        <v>0.0</v>
      </c>
      <c r="J1036" s="35"/>
      <c r="K1036" s="35">
        <v>0.0</v>
      </c>
    </row>
    <row r="1037" ht="15.75" customHeight="1">
      <c r="A1037" s="35" t="s">
        <v>5106</v>
      </c>
      <c r="B1037" s="35"/>
      <c r="C1037" s="35">
        <v>22.0</v>
      </c>
      <c r="D1037" s="35" t="s">
        <v>4480</v>
      </c>
      <c r="E1037" s="35">
        <v>46027.0</v>
      </c>
      <c r="F1037" s="35">
        <v>0.0</v>
      </c>
      <c r="G1037" s="35">
        <v>2.0</v>
      </c>
      <c r="H1037" s="35">
        <v>0.0</v>
      </c>
      <c r="I1037" s="35">
        <v>0.0</v>
      </c>
      <c r="J1037" s="35"/>
      <c r="K1037" s="35">
        <v>0.0</v>
      </c>
    </row>
    <row r="1038" ht="15.75" customHeight="1">
      <c r="A1038" s="35" t="s">
        <v>5108</v>
      </c>
      <c r="B1038" s="35"/>
      <c r="C1038" s="35">
        <v>22.0</v>
      </c>
      <c r="D1038" s="35" t="s">
        <v>2032</v>
      </c>
      <c r="E1038" s="35">
        <v>46027.0</v>
      </c>
      <c r="F1038" s="35">
        <v>0.0</v>
      </c>
      <c r="G1038" s="35">
        <v>2.0</v>
      </c>
      <c r="H1038" s="35">
        <v>0.0</v>
      </c>
      <c r="I1038" s="35">
        <v>0.0</v>
      </c>
      <c r="J1038" s="35"/>
      <c r="K1038" s="35">
        <v>0.0</v>
      </c>
    </row>
    <row r="1039" ht="15.75" customHeight="1">
      <c r="A1039" s="35" t="s">
        <v>5109</v>
      </c>
      <c r="B1039" s="35"/>
      <c r="C1039" s="35">
        <v>22.0</v>
      </c>
      <c r="D1039" s="35">
        <v>950.0</v>
      </c>
      <c r="E1039" s="35">
        <v>46027.0</v>
      </c>
      <c r="F1039" s="35">
        <v>0.0</v>
      </c>
      <c r="G1039" s="35">
        <v>2.0</v>
      </c>
      <c r="H1039" s="35">
        <v>0.0</v>
      </c>
      <c r="I1039" s="35">
        <v>0.0</v>
      </c>
      <c r="J1039" s="35"/>
      <c r="K1039" s="35">
        <v>0.0</v>
      </c>
    </row>
    <row r="1040" ht="15.75" customHeight="1">
      <c r="A1040" s="35" t="s">
        <v>5111</v>
      </c>
      <c r="B1040" s="35"/>
      <c r="C1040" s="35">
        <v>22.0</v>
      </c>
      <c r="D1040" s="35" t="s">
        <v>4197</v>
      </c>
      <c r="E1040" s="35">
        <v>46027.0</v>
      </c>
      <c r="F1040" s="35">
        <v>0.0</v>
      </c>
      <c r="G1040" s="35">
        <v>2.0</v>
      </c>
      <c r="H1040" s="35">
        <v>0.0</v>
      </c>
      <c r="I1040" s="35">
        <v>0.0</v>
      </c>
      <c r="J1040" s="35"/>
      <c r="K1040" s="35">
        <v>0.0</v>
      </c>
    </row>
    <row r="1041" ht="15.75" customHeight="1">
      <c r="A1041" s="35" t="s">
        <v>5112</v>
      </c>
      <c r="B1041" s="35"/>
      <c r="C1041" s="35">
        <v>22.0</v>
      </c>
      <c r="D1041" s="35" t="s">
        <v>4635</v>
      </c>
      <c r="E1041" s="35">
        <v>46027.0</v>
      </c>
      <c r="F1041" s="35">
        <v>0.0</v>
      </c>
      <c r="G1041" s="35">
        <v>5.0</v>
      </c>
      <c r="H1041" s="35">
        <v>0.0</v>
      </c>
      <c r="I1041" s="35">
        <v>0.0</v>
      </c>
      <c r="J1041" s="35"/>
      <c r="K1041" s="35">
        <v>0.0</v>
      </c>
    </row>
    <row r="1042" ht="15.75" customHeight="1">
      <c r="A1042" s="35" t="s">
        <v>5114</v>
      </c>
      <c r="B1042" s="35"/>
      <c r="C1042" s="35">
        <v>22.0</v>
      </c>
      <c r="D1042" s="35">
        <v>141.0</v>
      </c>
      <c r="E1042" s="35">
        <v>46027.0</v>
      </c>
      <c r="F1042" s="35">
        <v>0.0</v>
      </c>
      <c r="G1042" s="35">
        <v>1.0</v>
      </c>
      <c r="H1042" s="35">
        <v>0.0</v>
      </c>
      <c r="I1042" s="35">
        <v>0.0</v>
      </c>
      <c r="J1042" s="35"/>
      <c r="K1042" s="35">
        <v>0.0</v>
      </c>
    </row>
    <row r="1043" ht="15.75" customHeight="1">
      <c r="A1043" s="35" t="s">
        <v>5115</v>
      </c>
      <c r="B1043" s="35"/>
      <c r="C1043" s="35">
        <v>22.0</v>
      </c>
      <c r="D1043" s="35">
        <v>423.0</v>
      </c>
      <c r="E1043" s="35">
        <v>46027.0</v>
      </c>
      <c r="F1043" s="35">
        <v>0.0</v>
      </c>
      <c r="G1043" s="35">
        <v>1.0</v>
      </c>
      <c r="H1043" s="35">
        <v>0.0</v>
      </c>
      <c r="I1043" s="35">
        <v>0.0</v>
      </c>
      <c r="J1043" s="35"/>
      <c r="K1043" s="35">
        <v>0.0</v>
      </c>
    </row>
    <row r="1044" ht="15.75" customHeight="1">
      <c r="A1044" s="35" t="s">
        <v>5116</v>
      </c>
      <c r="B1044" s="35"/>
      <c r="C1044" s="35">
        <v>22.0</v>
      </c>
      <c r="D1044" s="35" t="s">
        <v>4360</v>
      </c>
      <c r="E1044" s="35">
        <v>46027.0</v>
      </c>
      <c r="F1044" s="35">
        <v>0.0</v>
      </c>
      <c r="G1044" s="35">
        <v>24.0</v>
      </c>
      <c r="H1044" s="35">
        <v>0.0</v>
      </c>
      <c r="I1044" s="35">
        <v>0.0</v>
      </c>
      <c r="J1044" s="35"/>
      <c r="K1044" s="35">
        <v>0.0</v>
      </c>
    </row>
    <row r="1045" ht="15.75" customHeight="1">
      <c r="A1045" s="35" t="s">
        <v>5118</v>
      </c>
      <c r="B1045" s="35"/>
      <c r="C1045" s="35">
        <v>22.0</v>
      </c>
      <c r="D1045" s="35">
        <v>482.0</v>
      </c>
      <c r="E1045" s="35">
        <v>46027.0</v>
      </c>
      <c r="F1045" s="35">
        <v>0.0</v>
      </c>
      <c r="G1045" s="35">
        <v>1.0</v>
      </c>
      <c r="H1045" s="35">
        <v>0.0</v>
      </c>
      <c r="I1045" s="35">
        <v>0.0</v>
      </c>
      <c r="J1045" s="35"/>
      <c r="K1045" s="35">
        <v>0.0</v>
      </c>
    </row>
    <row r="1046" ht="15.75" customHeight="1">
      <c r="A1046" s="35" t="s">
        <v>5119</v>
      </c>
      <c r="B1046" s="35"/>
      <c r="C1046" s="35">
        <v>22.0</v>
      </c>
      <c r="D1046" s="35">
        <v>160.0</v>
      </c>
      <c r="E1046" s="35">
        <v>46027.0</v>
      </c>
      <c r="F1046" s="35">
        <v>0.0</v>
      </c>
      <c r="G1046" s="35">
        <v>2.0</v>
      </c>
      <c r="H1046" s="35">
        <v>0.0</v>
      </c>
      <c r="I1046" s="35">
        <v>0.0</v>
      </c>
      <c r="J1046" s="35"/>
      <c r="K1046" s="35">
        <v>0.0</v>
      </c>
    </row>
    <row r="1047" ht="15.75" customHeight="1">
      <c r="A1047" s="35" t="s">
        <v>1322</v>
      </c>
      <c r="B1047" s="35"/>
      <c r="C1047" s="35">
        <v>22.0</v>
      </c>
      <c r="D1047" s="35">
        <v>601.0</v>
      </c>
      <c r="E1047" s="35">
        <v>46027.0</v>
      </c>
      <c r="F1047" s="35">
        <v>0.0</v>
      </c>
      <c r="G1047" s="35">
        <v>67.0</v>
      </c>
      <c r="H1047" s="35">
        <v>0.0</v>
      </c>
      <c r="I1047" s="35">
        <v>0.0</v>
      </c>
      <c r="J1047" s="35"/>
      <c r="K1047" s="35">
        <v>0.0</v>
      </c>
    </row>
    <row r="1048" ht="15.75" customHeight="1">
      <c r="A1048" s="35" t="s">
        <v>5121</v>
      </c>
      <c r="B1048" s="35"/>
      <c r="C1048" s="35">
        <v>22.0</v>
      </c>
      <c r="D1048" s="35">
        <v>321.0</v>
      </c>
      <c r="E1048" s="35">
        <v>46027.0</v>
      </c>
      <c r="F1048" s="35">
        <v>0.0</v>
      </c>
      <c r="G1048" s="35">
        <v>2.0</v>
      </c>
      <c r="H1048" s="35">
        <v>0.0</v>
      </c>
      <c r="I1048" s="35">
        <v>0.0</v>
      </c>
      <c r="J1048" s="35"/>
      <c r="K1048" s="35">
        <v>0.0</v>
      </c>
    </row>
    <row r="1049" ht="15.75" customHeight="1">
      <c r="A1049" s="35" t="s">
        <v>5123</v>
      </c>
      <c r="B1049" s="35"/>
      <c r="C1049" s="35">
        <v>22.0</v>
      </c>
      <c r="D1049" s="35" t="s">
        <v>2060</v>
      </c>
      <c r="E1049" s="35">
        <v>46027.0</v>
      </c>
      <c r="F1049" s="35">
        <v>0.0</v>
      </c>
      <c r="G1049" s="35">
        <v>2.0</v>
      </c>
      <c r="H1049" s="35">
        <v>0.0</v>
      </c>
      <c r="I1049" s="35">
        <v>0.0</v>
      </c>
      <c r="J1049" s="35"/>
      <c r="K1049" s="35">
        <v>0.0</v>
      </c>
    </row>
    <row r="1050" ht="15.75" customHeight="1">
      <c r="A1050" s="35" t="s">
        <v>5124</v>
      </c>
      <c r="B1050" s="35"/>
      <c r="C1050" s="35">
        <v>22.0</v>
      </c>
      <c r="D1050" s="35" t="s">
        <v>5125</v>
      </c>
      <c r="E1050" s="35">
        <v>46027.0</v>
      </c>
      <c r="F1050" s="35">
        <v>0.0</v>
      </c>
      <c r="G1050" s="35">
        <v>0.0</v>
      </c>
      <c r="H1050" s="35">
        <v>4.0</v>
      </c>
      <c r="I1050" s="35">
        <v>0.0</v>
      </c>
      <c r="J1050" s="35"/>
      <c r="K1050" s="35">
        <v>0.0</v>
      </c>
    </row>
    <row r="1051" ht="15.75" customHeight="1">
      <c r="A1051" s="35" t="s">
        <v>5127</v>
      </c>
      <c r="B1051" s="35"/>
      <c r="C1051" s="35">
        <v>22.0</v>
      </c>
      <c r="D1051" s="35">
        <v>851.0</v>
      </c>
      <c r="E1051" s="35">
        <v>46027.0</v>
      </c>
      <c r="F1051" s="35">
        <v>0.0</v>
      </c>
      <c r="G1051" s="35">
        <v>4.0</v>
      </c>
      <c r="H1051" s="35">
        <v>0.0</v>
      </c>
      <c r="I1051" s="35">
        <v>0.0</v>
      </c>
      <c r="J1051" s="35"/>
      <c r="K1051" s="35">
        <v>0.0</v>
      </c>
    </row>
    <row r="1052" ht="15.75" customHeight="1">
      <c r="A1052" s="35" t="s">
        <v>5128</v>
      </c>
      <c r="B1052" s="35"/>
      <c r="C1052" s="35">
        <v>22.0</v>
      </c>
      <c r="D1052" s="35" t="s">
        <v>2040</v>
      </c>
      <c r="E1052" s="35">
        <v>46027.0</v>
      </c>
      <c r="F1052" s="35">
        <v>0.0</v>
      </c>
      <c r="G1052" s="35">
        <v>4.0</v>
      </c>
      <c r="H1052" s="35">
        <v>0.0</v>
      </c>
      <c r="I1052" s="35">
        <v>0.0</v>
      </c>
      <c r="J1052" s="35"/>
      <c r="K1052" s="35">
        <v>0.0</v>
      </c>
    </row>
    <row r="1053" ht="15.75" customHeight="1">
      <c r="A1053" s="35" t="s">
        <v>1324</v>
      </c>
      <c r="B1053" s="35"/>
      <c r="C1053" s="35">
        <v>22.0</v>
      </c>
      <c r="D1053" s="35" t="s">
        <v>4380</v>
      </c>
      <c r="E1053" s="35">
        <v>46027.0</v>
      </c>
      <c r="F1053" s="35">
        <v>0.0</v>
      </c>
      <c r="G1053" s="35">
        <v>1.0</v>
      </c>
      <c r="H1053" s="35">
        <v>0.0</v>
      </c>
      <c r="I1053" s="35">
        <v>0.0</v>
      </c>
      <c r="J1053" s="35"/>
      <c r="K1053" s="35">
        <v>0.0</v>
      </c>
    </row>
    <row r="1054" ht="15.75" customHeight="1">
      <c r="A1054" s="35" t="s">
        <v>5130</v>
      </c>
      <c r="B1054" s="35"/>
      <c r="C1054" s="35">
        <v>22.0</v>
      </c>
      <c r="D1054" s="35" t="s">
        <v>5131</v>
      </c>
      <c r="E1054" s="35">
        <v>46027.0</v>
      </c>
      <c r="F1054" s="35">
        <v>0.0</v>
      </c>
      <c r="G1054" s="35">
        <v>2.0</v>
      </c>
      <c r="H1054" s="35">
        <v>0.0</v>
      </c>
      <c r="I1054" s="35">
        <v>0.0</v>
      </c>
      <c r="J1054" s="35"/>
      <c r="K1054" s="35">
        <v>0.0</v>
      </c>
    </row>
    <row r="1055" ht="15.75" customHeight="1">
      <c r="A1055" s="35" t="s">
        <v>1328</v>
      </c>
      <c r="B1055" s="35"/>
      <c r="C1055" s="35">
        <v>21.0</v>
      </c>
      <c r="D1055" s="35">
        <v>516.0</v>
      </c>
      <c r="E1055" s="35">
        <v>46058.0</v>
      </c>
      <c r="F1055" s="35">
        <v>0.0</v>
      </c>
      <c r="G1055" s="35">
        <v>1.0</v>
      </c>
      <c r="H1055" s="35">
        <v>1.0</v>
      </c>
      <c r="I1055" s="35">
        <v>0.0</v>
      </c>
      <c r="J1055" s="35"/>
      <c r="K1055" s="35">
        <v>0.0</v>
      </c>
    </row>
    <row r="1056" ht="15.75" customHeight="1">
      <c r="A1056" s="35" t="s">
        <v>5133</v>
      </c>
      <c r="B1056" s="35"/>
      <c r="C1056" s="35">
        <v>21.0</v>
      </c>
      <c r="D1056" s="35" t="s">
        <v>5134</v>
      </c>
      <c r="E1056" s="35">
        <v>46027.0</v>
      </c>
      <c r="F1056" s="35">
        <v>0.0</v>
      </c>
      <c r="G1056" s="35">
        <v>1.0</v>
      </c>
      <c r="H1056" s="35">
        <v>0.0</v>
      </c>
      <c r="I1056" s="35">
        <v>0.0</v>
      </c>
      <c r="J1056" s="35"/>
      <c r="K1056" s="35">
        <v>0.0</v>
      </c>
    </row>
    <row r="1057" ht="15.75" customHeight="1">
      <c r="A1057" s="35" t="s">
        <v>5135</v>
      </c>
      <c r="B1057" s="35"/>
      <c r="C1057" s="35">
        <v>21.0</v>
      </c>
      <c r="D1057" s="35" t="s">
        <v>2164</v>
      </c>
      <c r="E1057" s="35">
        <v>46027.0</v>
      </c>
      <c r="F1057" s="35">
        <v>0.0</v>
      </c>
      <c r="G1057" s="35">
        <v>1.0</v>
      </c>
      <c r="H1057" s="35">
        <v>0.0</v>
      </c>
      <c r="I1057" s="35">
        <v>0.0</v>
      </c>
      <c r="J1057" s="35"/>
      <c r="K1057" s="35">
        <v>0.0</v>
      </c>
    </row>
    <row r="1058" ht="15.75" customHeight="1">
      <c r="A1058" s="35" t="s">
        <v>5137</v>
      </c>
      <c r="B1058" s="35"/>
      <c r="C1058" s="35">
        <v>21.0</v>
      </c>
      <c r="D1058" s="35" t="s">
        <v>4277</v>
      </c>
      <c r="E1058" s="35">
        <v>46027.0</v>
      </c>
      <c r="F1058" s="35">
        <v>0.0</v>
      </c>
      <c r="G1058" s="35">
        <v>2.0</v>
      </c>
      <c r="H1058" s="35">
        <v>0.0</v>
      </c>
      <c r="I1058" s="35">
        <v>0.0</v>
      </c>
      <c r="J1058" s="35"/>
      <c r="K1058" s="35">
        <v>0.0</v>
      </c>
    </row>
    <row r="1059" ht="15.75" customHeight="1">
      <c r="A1059" s="35" t="s">
        <v>5138</v>
      </c>
      <c r="B1059" s="35"/>
      <c r="C1059" s="35">
        <v>21.0</v>
      </c>
      <c r="D1059" s="35" t="s">
        <v>5139</v>
      </c>
      <c r="E1059" s="35">
        <v>46027.0</v>
      </c>
      <c r="F1059" s="35">
        <v>0.0</v>
      </c>
      <c r="G1059" s="35">
        <v>0.0</v>
      </c>
      <c r="H1059" s="35">
        <v>1.0</v>
      </c>
      <c r="I1059" s="35">
        <v>0.0</v>
      </c>
      <c r="J1059" s="35"/>
      <c r="K1059" s="35">
        <v>0.0</v>
      </c>
    </row>
    <row r="1060" ht="15.75" customHeight="1">
      <c r="A1060" s="35" t="s">
        <v>5140</v>
      </c>
      <c r="B1060" s="35"/>
      <c r="C1060" s="35">
        <v>21.0</v>
      </c>
      <c r="D1060" s="35" t="s">
        <v>4372</v>
      </c>
      <c r="E1060" s="35">
        <v>46027.0</v>
      </c>
      <c r="F1060" s="35">
        <v>0.0</v>
      </c>
      <c r="G1060" s="35">
        <v>5.0</v>
      </c>
      <c r="H1060" s="35">
        <v>0.0</v>
      </c>
      <c r="I1060" s="35">
        <v>0.0</v>
      </c>
      <c r="J1060" s="35"/>
      <c r="K1060" s="35">
        <v>0.0</v>
      </c>
    </row>
    <row r="1061" ht="15.75" customHeight="1">
      <c r="A1061" s="35" t="s">
        <v>5142</v>
      </c>
      <c r="B1061" s="35"/>
      <c r="C1061" s="35">
        <v>21.0</v>
      </c>
      <c r="D1061" s="35">
        <v>708.0</v>
      </c>
      <c r="E1061" s="35">
        <v>46027.0</v>
      </c>
      <c r="F1061" s="35">
        <v>0.0</v>
      </c>
      <c r="G1061" s="35">
        <v>1.0</v>
      </c>
      <c r="H1061" s="35">
        <v>0.0</v>
      </c>
      <c r="I1061" s="35">
        <v>0.0</v>
      </c>
      <c r="J1061" s="35"/>
      <c r="K1061" s="35">
        <v>0.0</v>
      </c>
    </row>
    <row r="1062" ht="15.75" customHeight="1">
      <c r="A1062" s="35" t="s">
        <v>5143</v>
      </c>
      <c r="B1062" s="35"/>
      <c r="C1062" s="35">
        <v>21.0</v>
      </c>
      <c r="D1062" s="35">
        <v>357.0</v>
      </c>
      <c r="E1062" s="35">
        <v>46027.0</v>
      </c>
      <c r="F1062" s="35">
        <v>0.0</v>
      </c>
      <c r="G1062" s="35">
        <v>1.0</v>
      </c>
      <c r="H1062" s="35">
        <v>0.0</v>
      </c>
      <c r="I1062" s="35">
        <v>0.0</v>
      </c>
      <c r="J1062" s="35"/>
      <c r="K1062" s="35">
        <v>0.0</v>
      </c>
    </row>
    <row r="1063" ht="15.75" customHeight="1">
      <c r="A1063" s="35" t="s">
        <v>5145</v>
      </c>
      <c r="B1063" s="35"/>
      <c r="C1063" s="35">
        <v>21.0</v>
      </c>
      <c r="D1063" s="35">
        <v>414.0</v>
      </c>
      <c r="E1063" s="35">
        <v>46027.0</v>
      </c>
      <c r="F1063" s="35">
        <v>0.0</v>
      </c>
      <c r="G1063" s="35">
        <v>9.0</v>
      </c>
      <c r="H1063" s="35">
        <v>0.0</v>
      </c>
      <c r="I1063" s="35">
        <v>0.0</v>
      </c>
      <c r="J1063" s="35"/>
      <c r="K1063" s="35">
        <v>0.0</v>
      </c>
    </row>
    <row r="1064" ht="15.75" customHeight="1">
      <c r="A1064" s="35" t="s">
        <v>1332</v>
      </c>
      <c r="B1064" s="35"/>
      <c r="C1064" s="35">
        <v>21.0</v>
      </c>
      <c r="D1064" s="35" t="s">
        <v>2004</v>
      </c>
      <c r="E1064" s="35">
        <v>46027.0</v>
      </c>
      <c r="F1064" s="35">
        <v>0.0</v>
      </c>
      <c r="G1064" s="35">
        <v>1.0</v>
      </c>
      <c r="H1064" s="35">
        <v>0.0</v>
      </c>
      <c r="I1064" s="35">
        <v>0.0</v>
      </c>
      <c r="J1064" s="35"/>
      <c r="K1064" s="35">
        <v>0.0</v>
      </c>
    </row>
    <row r="1065" ht="15.75" customHeight="1">
      <c r="A1065" s="35" t="s">
        <v>5147</v>
      </c>
      <c r="B1065" s="35"/>
      <c r="C1065" s="35">
        <v>21.0</v>
      </c>
      <c r="D1065" s="35" t="s">
        <v>5148</v>
      </c>
      <c r="E1065" s="35">
        <v>46027.0</v>
      </c>
      <c r="F1065" s="35">
        <v>0.0</v>
      </c>
      <c r="G1065" s="35">
        <v>1.0</v>
      </c>
      <c r="H1065" s="35">
        <v>0.0</v>
      </c>
      <c r="I1065" s="35">
        <v>0.0</v>
      </c>
      <c r="J1065" s="35"/>
      <c r="K1065" s="35">
        <v>0.0</v>
      </c>
    </row>
    <row r="1066" ht="15.75" customHeight="1">
      <c r="A1066" s="35" t="s">
        <v>5149</v>
      </c>
      <c r="B1066" s="35"/>
      <c r="C1066" s="35">
        <v>21.0</v>
      </c>
      <c r="D1066" s="35">
        <v>482.0</v>
      </c>
      <c r="E1066" s="35">
        <v>46027.0</v>
      </c>
      <c r="F1066" s="35">
        <v>0.0</v>
      </c>
      <c r="G1066" s="35">
        <v>0.0</v>
      </c>
      <c r="H1066" s="35">
        <v>5.0</v>
      </c>
      <c r="I1066" s="35">
        <v>0.0</v>
      </c>
      <c r="J1066" s="35"/>
      <c r="K1066" s="35">
        <v>0.0</v>
      </c>
    </row>
    <row r="1067" ht="15.75" customHeight="1">
      <c r="A1067" s="35" t="s">
        <v>1338</v>
      </c>
      <c r="B1067" s="35"/>
      <c r="C1067" s="35">
        <v>21.0</v>
      </c>
      <c r="D1067" s="35" t="s">
        <v>2049</v>
      </c>
      <c r="E1067" s="35">
        <v>46027.0</v>
      </c>
      <c r="F1067" s="35">
        <v>0.0</v>
      </c>
      <c r="G1067" s="35">
        <v>1.0</v>
      </c>
      <c r="H1067" s="35">
        <v>0.0</v>
      </c>
      <c r="I1067" s="35">
        <v>0.0</v>
      </c>
      <c r="J1067" s="35"/>
      <c r="K1067" s="35">
        <v>0.0</v>
      </c>
    </row>
    <row r="1068" ht="15.75" customHeight="1">
      <c r="A1068" s="35" t="s">
        <v>5151</v>
      </c>
      <c r="B1068" s="35"/>
      <c r="C1068" s="35">
        <v>21.0</v>
      </c>
      <c r="D1068" s="35" t="s">
        <v>4312</v>
      </c>
      <c r="E1068" s="35">
        <v>46027.0</v>
      </c>
      <c r="F1068" s="35">
        <v>0.0</v>
      </c>
      <c r="G1068" s="35">
        <v>1.0</v>
      </c>
      <c r="H1068" s="35">
        <v>0.0</v>
      </c>
      <c r="I1068" s="35">
        <v>0.0</v>
      </c>
      <c r="J1068" s="35"/>
      <c r="K1068" s="35">
        <v>0.0</v>
      </c>
    </row>
    <row r="1069" ht="15.75" customHeight="1">
      <c r="A1069" s="35" t="s">
        <v>5152</v>
      </c>
      <c r="B1069" s="35"/>
      <c r="C1069" s="35">
        <v>21.0</v>
      </c>
      <c r="D1069" s="35" t="s">
        <v>5154</v>
      </c>
      <c r="E1069" s="35">
        <v>46027.0</v>
      </c>
      <c r="F1069" s="35">
        <v>0.0</v>
      </c>
      <c r="G1069" s="35">
        <v>0.0</v>
      </c>
      <c r="H1069" s="35">
        <v>0.0</v>
      </c>
      <c r="I1069" s="35">
        <v>2.0</v>
      </c>
      <c r="J1069" s="35"/>
      <c r="K1069" s="35">
        <v>0.0</v>
      </c>
    </row>
    <row r="1070" ht="15.75" customHeight="1">
      <c r="A1070" s="35" t="s">
        <v>5155</v>
      </c>
      <c r="B1070" s="35"/>
      <c r="C1070" s="35">
        <v>21.0</v>
      </c>
      <c r="D1070" s="35" t="s">
        <v>4538</v>
      </c>
      <c r="E1070" s="35">
        <v>46027.0</v>
      </c>
      <c r="F1070" s="35">
        <v>0.0</v>
      </c>
      <c r="G1070" s="35">
        <v>2.0</v>
      </c>
      <c r="H1070" s="35">
        <v>0.0</v>
      </c>
      <c r="I1070" s="35">
        <v>0.0</v>
      </c>
      <c r="J1070" s="35"/>
      <c r="K1070" s="35">
        <v>0.0</v>
      </c>
    </row>
    <row r="1071" ht="15.75" customHeight="1">
      <c r="A1071" s="35" t="s">
        <v>5156</v>
      </c>
      <c r="B1071" s="35"/>
      <c r="C1071" s="35">
        <v>21.0</v>
      </c>
      <c r="D1071" s="35" t="s">
        <v>4635</v>
      </c>
      <c r="E1071" s="35">
        <v>46027.0</v>
      </c>
      <c r="F1071" s="35">
        <v>0.0</v>
      </c>
      <c r="G1071" s="35">
        <v>3.0</v>
      </c>
      <c r="H1071" s="35">
        <v>0.0</v>
      </c>
      <c r="I1071" s="35">
        <v>0.0</v>
      </c>
      <c r="J1071" s="35"/>
      <c r="K1071" s="35">
        <v>0.0</v>
      </c>
    </row>
    <row r="1072" ht="15.75" customHeight="1">
      <c r="A1072" s="35" t="s">
        <v>5158</v>
      </c>
      <c r="B1072" s="35"/>
      <c r="C1072" s="35">
        <v>21.0</v>
      </c>
      <c r="D1072" s="35" t="s">
        <v>5159</v>
      </c>
      <c r="E1072" s="35">
        <v>46027.0</v>
      </c>
      <c r="F1072" s="35">
        <v>0.0</v>
      </c>
      <c r="G1072" s="35">
        <v>2.0</v>
      </c>
      <c r="H1072" s="35">
        <v>0.0</v>
      </c>
      <c r="I1072" s="35">
        <v>0.0</v>
      </c>
      <c r="J1072" s="35"/>
      <c r="K1072" s="35">
        <v>0.0</v>
      </c>
    </row>
    <row r="1073" ht="15.75" customHeight="1">
      <c r="A1073" s="35" t="s">
        <v>5160</v>
      </c>
      <c r="B1073" s="35"/>
      <c r="C1073" s="35">
        <v>21.0</v>
      </c>
      <c r="D1073" s="35" t="s">
        <v>2021</v>
      </c>
      <c r="E1073" s="35">
        <v>46027.0</v>
      </c>
      <c r="F1073" s="35">
        <v>0.0</v>
      </c>
      <c r="G1073" s="35">
        <v>1.0</v>
      </c>
      <c r="H1073" s="35">
        <v>0.0</v>
      </c>
      <c r="I1073" s="35">
        <v>0.0</v>
      </c>
      <c r="J1073" s="35"/>
      <c r="K1073" s="35">
        <v>0.0</v>
      </c>
    </row>
    <row r="1074" ht="15.75" customHeight="1">
      <c r="A1074" s="35" t="s">
        <v>5162</v>
      </c>
      <c r="B1074" s="35"/>
      <c r="C1074" s="35">
        <v>21.0</v>
      </c>
      <c r="D1074" s="35" t="s">
        <v>5163</v>
      </c>
      <c r="E1074" s="35">
        <v>46027.0</v>
      </c>
      <c r="F1074" s="35">
        <v>0.0</v>
      </c>
      <c r="G1074" s="35">
        <v>1.0</v>
      </c>
      <c r="H1074" s="35">
        <v>0.0</v>
      </c>
      <c r="I1074" s="35">
        <v>0.0</v>
      </c>
      <c r="J1074" s="35"/>
      <c r="K1074" s="35">
        <v>0.0</v>
      </c>
    </row>
    <row r="1075" ht="15.75" customHeight="1">
      <c r="A1075" s="35" t="s">
        <v>5164</v>
      </c>
      <c r="B1075" s="35"/>
      <c r="C1075" s="35">
        <v>21.0</v>
      </c>
      <c r="D1075" s="35" t="s">
        <v>2065</v>
      </c>
      <c r="E1075" s="35">
        <v>46027.0</v>
      </c>
      <c r="F1075" s="35">
        <v>0.0</v>
      </c>
      <c r="G1075" s="35">
        <v>1.0</v>
      </c>
      <c r="H1075" s="35">
        <v>0.0</v>
      </c>
      <c r="I1075" s="35">
        <v>0.0</v>
      </c>
      <c r="J1075" s="35"/>
      <c r="K1075" s="35">
        <v>0.0</v>
      </c>
    </row>
    <row r="1076" ht="15.75" customHeight="1">
      <c r="A1076" s="35" t="s">
        <v>5166</v>
      </c>
      <c r="B1076" s="35"/>
      <c r="C1076" s="35">
        <v>21.0</v>
      </c>
      <c r="D1076" s="35" t="s">
        <v>4631</v>
      </c>
      <c r="E1076" s="35">
        <v>46027.0</v>
      </c>
      <c r="F1076" s="35">
        <v>0.0</v>
      </c>
      <c r="G1076" s="35">
        <v>2.0</v>
      </c>
      <c r="H1076" s="35">
        <v>0.0</v>
      </c>
      <c r="I1076" s="35">
        <v>0.0</v>
      </c>
      <c r="J1076" s="35"/>
      <c r="K1076" s="35">
        <v>0.0</v>
      </c>
    </row>
    <row r="1077" ht="15.75" customHeight="1">
      <c r="A1077" s="35" t="s">
        <v>5167</v>
      </c>
      <c r="B1077" s="35"/>
      <c r="C1077" s="35">
        <v>21.0</v>
      </c>
      <c r="D1077" s="35">
        <v>236.0</v>
      </c>
      <c r="E1077" s="35">
        <v>46027.0</v>
      </c>
      <c r="F1077" s="35">
        <v>0.0</v>
      </c>
      <c r="G1077" s="35">
        <v>1.0</v>
      </c>
      <c r="H1077" s="35">
        <v>0.0</v>
      </c>
      <c r="I1077" s="35">
        <v>0.0</v>
      </c>
      <c r="J1077" s="35"/>
      <c r="K1077" s="35">
        <v>0.0</v>
      </c>
    </row>
    <row r="1078" ht="15.75" customHeight="1">
      <c r="A1078" s="35" t="s">
        <v>5168</v>
      </c>
      <c r="B1078" s="35"/>
      <c r="C1078" s="35">
        <v>21.0</v>
      </c>
      <c r="D1078" s="35" t="s">
        <v>4348</v>
      </c>
      <c r="E1078" s="35">
        <v>46027.0</v>
      </c>
      <c r="F1078" s="35">
        <v>0.0</v>
      </c>
      <c r="G1078" s="35">
        <v>0.0</v>
      </c>
      <c r="H1078" s="35">
        <v>3.0</v>
      </c>
      <c r="I1078" s="35">
        <v>0.0</v>
      </c>
      <c r="J1078" s="35"/>
      <c r="K1078" s="35">
        <v>0.0</v>
      </c>
    </row>
    <row r="1079" ht="15.75" customHeight="1">
      <c r="A1079" s="35" t="s">
        <v>5170</v>
      </c>
      <c r="B1079" s="35"/>
      <c r="C1079" s="35">
        <v>21.0</v>
      </c>
      <c r="D1079" s="35" t="s">
        <v>2016</v>
      </c>
      <c r="E1079" s="35">
        <v>46027.0</v>
      </c>
      <c r="F1079" s="35">
        <v>0.0</v>
      </c>
      <c r="G1079" s="35">
        <v>26.0</v>
      </c>
      <c r="H1079" s="35">
        <v>0.0</v>
      </c>
      <c r="I1079" s="35">
        <v>0.0</v>
      </c>
      <c r="J1079" s="35"/>
      <c r="K1079" s="35">
        <v>0.0</v>
      </c>
    </row>
    <row r="1080" ht="15.75" customHeight="1">
      <c r="A1080" s="35" t="s">
        <v>5171</v>
      </c>
      <c r="B1080" s="35"/>
      <c r="C1080" s="35">
        <v>21.0</v>
      </c>
      <c r="D1080" s="35">
        <v>71.0</v>
      </c>
      <c r="E1080" s="35">
        <v>46027.0</v>
      </c>
      <c r="F1080" s="35">
        <v>0.0</v>
      </c>
      <c r="G1080" s="35">
        <v>0.0</v>
      </c>
      <c r="H1080" s="35">
        <v>0.0</v>
      </c>
      <c r="I1080" s="35">
        <v>0.0</v>
      </c>
      <c r="J1080" s="35"/>
      <c r="K1080" s="35">
        <v>2.0</v>
      </c>
    </row>
    <row r="1081" ht="15.75" customHeight="1">
      <c r="A1081" s="35" t="s">
        <v>5173</v>
      </c>
      <c r="B1081" s="35"/>
      <c r="C1081" s="35">
        <v>21.0</v>
      </c>
      <c r="D1081" s="35">
        <v>377.0</v>
      </c>
      <c r="E1081" s="35">
        <v>46027.0</v>
      </c>
      <c r="F1081" s="35">
        <v>0.0</v>
      </c>
      <c r="G1081" s="35">
        <v>0.0</v>
      </c>
      <c r="H1081" s="35">
        <v>0.0</v>
      </c>
      <c r="I1081" s="35">
        <v>0.0</v>
      </c>
      <c r="J1081" s="35"/>
      <c r="K1081" s="35">
        <v>2.0</v>
      </c>
    </row>
    <row r="1082" ht="15.75" customHeight="1">
      <c r="A1082" s="35" t="s">
        <v>5174</v>
      </c>
      <c r="B1082" s="35"/>
      <c r="C1082" s="35">
        <v>21.0</v>
      </c>
      <c r="D1082" s="35" t="s">
        <v>5175</v>
      </c>
      <c r="E1082" s="35">
        <v>46027.0</v>
      </c>
      <c r="F1082" s="35">
        <v>0.0</v>
      </c>
      <c r="G1082" s="35">
        <v>3.0</v>
      </c>
      <c r="H1082" s="35">
        <v>0.0</v>
      </c>
      <c r="I1082" s="35">
        <v>0.0</v>
      </c>
      <c r="J1082" s="35"/>
      <c r="K1082" s="35">
        <v>0.0</v>
      </c>
    </row>
    <row r="1083" ht="15.75" customHeight="1">
      <c r="A1083" s="35" t="s">
        <v>5177</v>
      </c>
      <c r="B1083" s="35"/>
      <c r="C1083" s="35">
        <v>21.0</v>
      </c>
      <c r="D1083" s="35" t="s">
        <v>4505</v>
      </c>
      <c r="E1083" s="35">
        <v>46027.0</v>
      </c>
      <c r="F1083" s="35">
        <v>0.0</v>
      </c>
      <c r="G1083" s="35">
        <v>2.0</v>
      </c>
      <c r="H1083" s="35">
        <v>0.0</v>
      </c>
      <c r="I1083" s="35">
        <v>0.0</v>
      </c>
      <c r="J1083" s="35"/>
      <c r="K1083" s="35">
        <v>0.0</v>
      </c>
    </row>
    <row r="1084" ht="15.75" customHeight="1">
      <c r="A1084" s="35" t="s">
        <v>5178</v>
      </c>
      <c r="B1084" s="35"/>
      <c r="C1084" s="35">
        <v>21.0</v>
      </c>
      <c r="D1084" s="35">
        <v>469.0</v>
      </c>
      <c r="E1084" s="35">
        <v>46027.0</v>
      </c>
      <c r="F1084" s="35">
        <v>0.0</v>
      </c>
      <c r="G1084" s="35">
        <v>2.0</v>
      </c>
      <c r="H1084" s="35">
        <v>0.0</v>
      </c>
      <c r="I1084" s="35">
        <v>0.0</v>
      </c>
      <c r="J1084" s="35"/>
      <c r="K1084" s="35">
        <v>0.0</v>
      </c>
    </row>
    <row r="1085" ht="15.75" customHeight="1">
      <c r="A1085" s="35" t="s">
        <v>5179</v>
      </c>
      <c r="B1085" s="35"/>
      <c r="C1085" s="35">
        <v>21.0</v>
      </c>
      <c r="D1085" s="35">
        <v>648.0</v>
      </c>
      <c r="E1085" s="35">
        <v>46027.0</v>
      </c>
      <c r="F1085" s="35">
        <v>0.0</v>
      </c>
      <c r="G1085" s="35">
        <v>0.0</v>
      </c>
      <c r="H1085" s="35">
        <v>1.0</v>
      </c>
      <c r="I1085" s="35">
        <v>0.0</v>
      </c>
      <c r="J1085" s="35"/>
      <c r="K1085" s="35">
        <v>0.0</v>
      </c>
    </row>
    <row r="1086" ht="15.75" customHeight="1">
      <c r="A1086" s="35" t="s">
        <v>5181</v>
      </c>
      <c r="B1086" s="35"/>
      <c r="C1086" s="35">
        <v>21.0</v>
      </c>
      <c r="D1086" s="35" t="s">
        <v>5182</v>
      </c>
      <c r="E1086" s="35">
        <v>46027.0</v>
      </c>
      <c r="F1086" s="35">
        <v>0.0</v>
      </c>
      <c r="G1086" s="35">
        <v>1.0</v>
      </c>
      <c r="H1086" s="35">
        <v>0.0</v>
      </c>
      <c r="I1086" s="35">
        <v>0.0</v>
      </c>
      <c r="J1086" s="35"/>
      <c r="K1086" s="35">
        <v>0.0</v>
      </c>
    </row>
    <row r="1087" ht="15.75" customHeight="1">
      <c r="A1087" s="35" t="s">
        <v>5183</v>
      </c>
      <c r="B1087" s="35"/>
      <c r="C1087" s="35">
        <v>21.0</v>
      </c>
      <c r="D1087" s="35" t="s">
        <v>3665</v>
      </c>
      <c r="E1087" s="35">
        <v>46027.0</v>
      </c>
      <c r="F1087" s="35">
        <v>0.0</v>
      </c>
      <c r="G1087" s="35">
        <v>1.0</v>
      </c>
      <c r="H1087" s="35">
        <v>0.0</v>
      </c>
      <c r="I1087" s="35">
        <v>0.0</v>
      </c>
      <c r="J1087" s="35"/>
      <c r="K1087" s="35">
        <v>0.0</v>
      </c>
    </row>
    <row r="1088" ht="15.75" customHeight="1">
      <c r="A1088" s="35" t="s">
        <v>5185</v>
      </c>
      <c r="B1088" s="35"/>
      <c r="C1088" s="35">
        <v>21.0</v>
      </c>
      <c r="D1088" s="35" t="s">
        <v>4082</v>
      </c>
      <c r="E1088" s="35">
        <v>46027.0</v>
      </c>
      <c r="F1088" s="35">
        <v>0.0</v>
      </c>
      <c r="G1088" s="35">
        <v>3.0</v>
      </c>
      <c r="H1088" s="35">
        <v>0.0</v>
      </c>
      <c r="I1088" s="35">
        <v>0.0</v>
      </c>
      <c r="J1088" s="35"/>
      <c r="K1088" s="35">
        <v>0.0</v>
      </c>
    </row>
    <row r="1089" ht="15.75" customHeight="1">
      <c r="A1089" s="35" t="s">
        <v>5186</v>
      </c>
      <c r="B1089" s="35"/>
      <c r="C1089" s="35">
        <v>21.0</v>
      </c>
      <c r="D1089" s="35">
        <v>304.0</v>
      </c>
      <c r="E1089" s="35">
        <v>46027.0</v>
      </c>
      <c r="F1089" s="35">
        <v>0.0</v>
      </c>
      <c r="G1089" s="35">
        <v>2.0</v>
      </c>
      <c r="H1089" s="35">
        <v>0.0</v>
      </c>
      <c r="I1089" s="35">
        <v>0.0</v>
      </c>
      <c r="J1089" s="35"/>
      <c r="K1089" s="35">
        <v>0.0</v>
      </c>
    </row>
    <row r="1090" ht="15.75" customHeight="1">
      <c r="A1090" s="35" t="s">
        <v>5188</v>
      </c>
      <c r="B1090" s="35"/>
      <c r="C1090" s="35">
        <v>21.0</v>
      </c>
      <c r="D1090" s="35" t="s">
        <v>5189</v>
      </c>
      <c r="E1090" s="35">
        <v>46027.0</v>
      </c>
      <c r="F1090" s="35">
        <v>0.0</v>
      </c>
      <c r="G1090" s="35">
        <v>1.0</v>
      </c>
      <c r="H1090" s="35">
        <v>0.0</v>
      </c>
      <c r="I1090" s="35">
        <v>0.0</v>
      </c>
      <c r="J1090" s="35"/>
      <c r="K1090" s="35">
        <v>0.0</v>
      </c>
    </row>
    <row r="1091" ht="15.75" customHeight="1">
      <c r="A1091" s="35" t="s">
        <v>1342</v>
      </c>
      <c r="B1091" s="35"/>
      <c r="C1091" s="35">
        <v>21.0</v>
      </c>
      <c r="D1091" s="35" t="s">
        <v>5190</v>
      </c>
      <c r="E1091" s="35">
        <v>46027.0</v>
      </c>
      <c r="F1091" s="35">
        <v>0.0</v>
      </c>
      <c r="G1091" s="35">
        <v>1.0</v>
      </c>
      <c r="H1091" s="35">
        <v>0.0</v>
      </c>
      <c r="I1091" s="35">
        <v>0.0</v>
      </c>
      <c r="J1091" s="35"/>
      <c r="K1091" s="35">
        <v>0.0</v>
      </c>
    </row>
    <row r="1092" ht="15.75" customHeight="1">
      <c r="A1092" s="35" t="s">
        <v>5191</v>
      </c>
      <c r="B1092" s="35"/>
      <c r="C1092" s="35">
        <v>21.0</v>
      </c>
      <c r="D1092" s="35" t="s">
        <v>2018</v>
      </c>
      <c r="E1092" s="35">
        <v>46027.0</v>
      </c>
      <c r="F1092" s="35">
        <v>0.0</v>
      </c>
      <c r="G1092" s="35">
        <v>2.0</v>
      </c>
      <c r="H1092" s="35">
        <v>0.0</v>
      </c>
      <c r="I1092" s="35">
        <v>0.0</v>
      </c>
      <c r="J1092" s="35"/>
      <c r="K1092" s="35">
        <v>0.0</v>
      </c>
    </row>
    <row r="1093" ht="15.75" customHeight="1">
      <c r="A1093" s="35" t="s">
        <v>5193</v>
      </c>
      <c r="B1093" s="35"/>
      <c r="C1093" s="35">
        <v>21.0</v>
      </c>
      <c r="D1093" s="35" t="s">
        <v>2159</v>
      </c>
      <c r="E1093" s="35">
        <v>46027.0</v>
      </c>
      <c r="F1093" s="35">
        <v>0.0</v>
      </c>
      <c r="G1093" s="35">
        <v>0.0</v>
      </c>
      <c r="H1093" s="35">
        <v>0.0</v>
      </c>
      <c r="I1093" s="35">
        <v>2.0</v>
      </c>
      <c r="J1093" s="35"/>
      <c r="K1093" s="35">
        <v>0.0</v>
      </c>
    </row>
    <row r="1094" ht="15.75" customHeight="1">
      <c r="A1094" s="35" t="s">
        <v>5194</v>
      </c>
      <c r="B1094" s="35"/>
      <c r="C1094" s="35">
        <v>21.0</v>
      </c>
      <c r="D1094" s="35" t="s">
        <v>4635</v>
      </c>
      <c r="E1094" s="35">
        <v>46027.0</v>
      </c>
      <c r="F1094" s="35">
        <v>0.0</v>
      </c>
      <c r="G1094" s="35">
        <v>2.0</v>
      </c>
      <c r="H1094" s="35">
        <v>0.0</v>
      </c>
      <c r="I1094" s="35">
        <v>0.0</v>
      </c>
      <c r="J1094" s="35"/>
      <c r="K1094" s="35">
        <v>0.0</v>
      </c>
    </row>
    <row r="1095" ht="15.75" customHeight="1">
      <c r="A1095" s="35" t="s">
        <v>5196</v>
      </c>
      <c r="B1095" s="35"/>
      <c r="C1095" s="35">
        <v>21.0</v>
      </c>
      <c r="D1095" s="35">
        <v>413.0</v>
      </c>
      <c r="E1095" s="35">
        <v>46027.0</v>
      </c>
      <c r="F1095" s="35">
        <v>0.0</v>
      </c>
      <c r="G1095" s="35">
        <v>1.0</v>
      </c>
      <c r="H1095" s="35">
        <v>0.0</v>
      </c>
      <c r="I1095" s="35">
        <v>0.0</v>
      </c>
      <c r="J1095" s="35"/>
      <c r="K1095" s="35">
        <v>0.0</v>
      </c>
    </row>
    <row r="1096" ht="15.75" customHeight="1">
      <c r="A1096" s="35" t="s">
        <v>5197</v>
      </c>
      <c r="B1096" s="35"/>
      <c r="C1096" s="35">
        <v>21.0</v>
      </c>
      <c r="D1096" s="35" t="s">
        <v>4546</v>
      </c>
      <c r="E1096" s="35">
        <v>46027.0</v>
      </c>
      <c r="F1096" s="35">
        <v>0.0</v>
      </c>
      <c r="G1096" s="35">
        <v>1.0</v>
      </c>
      <c r="H1096" s="35">
        <v>0.0</v>
      </c>
      <c r="I1096" s="35">
        <v>0.0</v>
      </c>
      <c r="J1096" s="35"/>
      <c r="K1096" s="35">
        <v>0.0</v>
      </c>
    </row>
    <row r="1097" ht="15.75" customHeight="1">
      <c r="A1097" s="35" t="s">
        <v>5199</v>
      </c>
      <c r="B1097" s="35"/>
      <c r="C1097" s="35">
        <v>21.0</v>
      </c>
      <c r="D1097" s="35">
        <v>63.0</v>
      </c>
      <c r="E1097" s="35">
        <v>46027.0</v>
      </c>
      <c r="F1097" s="35">
        <v>0.0</v>
      </c>
      <c r="G1097" s="35">
        <v>2.0</v>
      </c>
      <c r="H1097" s="35">
        <v>0.0</v>
      </c>
      <c r="I1097" s="35">
        <v>0.0</v>
      </c>
      <c r="J1097" s="35"/>
      <c r="K1097" s="35">
        <v>0.0</v>
      </c>
    </row>
    <row r="1098" ht="15.75" customHeight="1">
      <c r="A1098" s="35" t="s">
        <v>5200</v>
      </c>
      <c r="B1098" s="35"/>
      <c r="C1098" s="35">
        <v>21.0</v>
      </c>
      <c r="D1098" s="35">
        <v>772.0</v>
      </c>
      <c r="E1098" s="35">
        <v>46027.0</v>
      </c>
      <c r="F1098" s="35">
        <v>0.0</v>
      </c>
      <c r="G1098" s="35">
        <v>6.0</v>
      </c>
      <c r="H1098" s="35">
        <v>0.0</v>
      </c>
      <c r="I1098" s="35">
        <v>0.0</v>
      </c>
      <c r="J1098" s="35"/>
      <c r="K1098" s="35">
        <v>0.0</v>
      </c>
    </row>
    <row r="1099" ht="15.75" customHeight="1">
      <c r="A1099" s="35" t="s">
        <v>5201</v>
      </c>
      <c r="B1099" s="35"/>
      <c r="C1099" s="35">
        <v>21.0</v>
      </c>
      <c r="D1099" s="35" t="s">
        <v>4635</v>
      </c>
      <c r="E1099" s="35">
        <v>46027.0</v>
      </c>
      <c r="F1099" s="35">
        <v>0.0</v>
      </c>
      <c r="G1099" s="35">
        <v>1.0</v>
      </c>
      <c r="H1099" s="35">
        <v>0.0</v>
      </c>
      <c r="I1099" s="35">
        <v>0.0</v>
      </c>
      <c r="J1099" s="35"/>
      <c r="K1099" s="35">
        <v>0.0</v>
      </c>
    </row>
    <row r="1100" ht="15.75" customHeight="1">
      <c r="A1100" s="35" t="s">
        <v>5203</v>
      </c>
      <c r="B1100" s="35"/>
      <c r="C1100" s="35">
        <v>21.0</v>
      </c>
      <c r="D1100" s="35">
        <v>304.0</v>
      </c>
      <c r="E1100" s="35">
        <v>46027.0</v>
      </c>
      <c r="F1100" s="35">
        <v>0.0</v>
      </c>
      <c r="G1100" s="35">
        <v>0.0</v>
      </c>
      <c r="H1100" s="35">
        <v>1.0</v>
      </c>
      <c r="I1100" s="35">
        <v>0.0</v>
      </c>
      <c r="J1100" s="35"/>
      <c r="K1100" s="35">
        <v>0.0</v>
      </c>
    </row>
    <row r="1101" ht="15.75" customHeight="1">
      <c r="A1101" s="35" t="s">
        <v>5204</v>
      </c>
      <c r="B1101" s="35"/>
      <c r="C1101" s="35">
        <v>21.0</v>
      </c>
      <c r="D1101" s="35">
        <v>400.0</v>
      </c>
      <c r="E1101" s="35">
        <v>46027.0</v>
      </c>
      <c r="F1101" s="35">
        <v>0.0</v>
      </c>
      <c r="G1101" s="35">
        <v>2.0</v>
      </c>
      <c r="H1101" s="35">
        <v>0.0</v>
      </c>
      <c r="I1101" s="35">
        <v>0.0</v>
      </c>
      <c r="J1101" s="35"/>
      <c r="K1101" s="35">
        <v>0.0</v>
      </c>
    </row>
    <row r="1102" ht="15.75" customHeight="1">
      <c r="A1102" s="35" t="s">
        <v>5206</v>
      </c>
      <c r="B1102" s="35"/>
      <c r="C1102" s="35">
        <v>21.0</v>
      </c>
      <c r="D1102" s="35" t="s">
        <v>4183</v>
      </c>
      <c r="E1102" s="35">
        <v>46027.0</v>
      </c>
      <c r="F1102" s="35">
        <v>0.0</v>
      </c>
      <c r="G1102" s="35">
        <v>1.0</v>
      </c>
      <c r="H1102" s="35">
        <v>0.0</v>
      </c>
      <c r="I1102" s="35">
        <v>0.0</v>
      </c>
      <c r="J1102" s="35"/>
      <c r="K1102" s="35">
        <v>0.0</v>
      </c>
    </row>
    <row r="1103" ht="15.75" customHeight="1">
      <c r="A1103" s="35" t="s">
        <v>5207</v>
      </c>
      <c r="B1103" s="35"/>
      <c r="C1103" s="35">
        <v>21.0</v>
      </c>
      <c r="D1103" s="35" t="s">
        <v>4303</v>
      </c>
      <c r="E1103" s="35">
        <v>46027.0</v>
      </c>
      <c r="F1103" s="35">
        <v>0.0</v>
      </c>
      <c r="G1103" s="35">
        <v>0.0</v>
      </c>
      <c r="H1103" s="35">
        <v>2.0</v>
      </c>
      <c r="I1103" s="35">
        <v>0.0</v>
      </c>
      <c r="J1103" s="35"/>
      <c r="K1103" s="35">
        <v>0.0</v>
      </c>
    </row>
    <row r="1104" ht="15.75" customHeight="1">
      <c r="A1104" s="35" t="s">
        <v>1352</v>
      </c>
      <c r="B1104" s="35"/>
      <c r="C1104" s="35">
        <v>20.0</v>
      </c>
      <c r="D1104" s="35">
        <v>578.0</v>
      </c>
      <c r="E1104" s="35">
        <v>46027.0</v>
      </c>
      <c r="F1104" s="35">
        <v>0.0</v>
      </c>
      <c r="G1104" s="35">
        <v>1.0</v>
      </c>
      <c r="H1104" s="35">
        <v>0.0</v>
      </c>
      <c r="I1104" s="35">
        <v>0.0</v>
      </c>
      <c r="J1104" s="35"/>
      <c r="K1104" s="35">
        <v>0.0</v>
      </c>
    </row>
    <row r="1105" ht="15.75" customHeight="1">
      <c r="A1105" s="35" t="s">
        <v>5209</v>
      </c>
      <c r="B1105" s="35"/>
      <c r="C1105" s="35">
        <v>20.0</v>
      </c>
      <c r="D1105" s="35" t="s">
        <v>5210</v>
      </c>
      <c r="E1105" s="35">
        <v>46027.0</v>
      </c>
      <c r="F1105" s="35">
        <v>0.0</v>
      </c>
      <c r="G1105" s="35">
        <v>1.0</v>
      </c>
      <c r="H1105" s="35">
        <v>0.0</v>
      </c>
      <c r="I1105" s="35">
        <v>0.0</v>
      </c>
      <c r="J1105" s="35"/>
      <c r="K1105" s="35">
        <v>0.0</v>
      </c>
    </row>
    <row r="1106" ht="15.75" customHeight="1">
      <c r="A1106" s="35" t="s">
        <v>5212</v>
      </c>
      <c r="B1106" s="35"/>
      <c r="C1106" s="35">
        <v>20.0</v>
      </c>
      <c r="D1106" s="35">
        <v>634.0</v>
      </c>
      <c r="E1106" s="35">
        <v>46027.0</v>
      </c>
      <c r="F1106" s="35">
        <v>0.0</v>
      </c>
      <c r="G1106" s="35">
        <v>1.0</v>
      </c>
      <c r="H1106" s="35">
        <v>0.0</v>
      </c>
      <c r="I1106" s="35">
        <v>0.0</v>
      </c>
      <c r="J1106" s="35"/>
      <c r="K1106" s="35">
        <v>0.0</v>
      </c>
    </row>
    <row r="1107" ht="15.75" customHeight="1">
      <c r="A1107" s="35" t="s">
        <v>5213</v>
      </c>
      <c r="B1107" s="35"/>
      <c r="C1107" s="35">
        <v>20.0</v>
      </c>
      <c r="D1107" s="35" t="s">
        <v>5214</v>
      </c>
      <c r="E1107" s="35">
        <v>46027.0</v>
      </c>
      <c r="F1107" s="35">
        <v>0.0</v>
      </c>
      <c r="G1107" s="35">
        <v>0.0</v>
      </c>
      <c r="H1107" s="35">
        <v>2.0</v>
      </c>
      <c r="I1107" s="35">
        <v>0.0</v>
      </c>
      <c r="J1107" s="35"/>
      <c r="K1107" s="35">
        <v>0.0</v>
      </c>
    </row>
    <row r="1108" ht="15.75" customHeight="1">
      <c r="A1108" s="35" t="s">
        <v>5216</v>
      </c>
      <c r="B1108" s="35"/>
      <c r="C1108" s="35">
        <v>20.0</v>
      </c>
      <c r="D1108" s="35" t="s">
        <v>2065</v>
      </c>
      <c r="E1108" s="35">
        <v>46027.0</v>
      </c>
      <c r="F1108" s="35">
        <v>0.0</v>
      </c>
      <c r="G1108" s="35">
        <v>0.0</v>
      </c>
      <c r="H1108" s="35">
        <v>1.0</v>
      </c>
      <c r="I1108" s="35">
        <v>0.0</v>
      </c>
      <c r="J1108" s="35"/>
      <c r="K1108" s="35">
        <v>0.0</v>
      </c>
    </row>
    <row r="1109" ht="15.75" customHeight="1">
      <c r="A1109" s="35" t="s">
        <v>5217</v>
      </c>
      <c r="B1109" s="35"/>
      <c r="C1109" s="35">
        <v>20.0</v>
      </c>
      <c r="D1109" s="35" t="s">
        <v>2021</v>
      </c>
      <c r="E1109" s="35">
        <v>46027.0</v>
      </c>
      <c r="F1109" s="35">
        <v>0.0</v>
      </c>
      <c r="G1109" s="35">
        <v>0.0</v>
      </c>
      <c r="H1109" s="35">
        <v>4.0</v>
      </c>
      <c r="I1109" s="35">
        <v>0.0</v>
      </c>
      <c r="J1109" s="35"/>
      <c r="K1109" s="35">
        <v>0.0</v>
      </c>
    </row>
    <row r="1110" ht="15.75" customHeight="1">
      <c r="A1110" s="35" t="s">
        <v>1364</v>
      </c>
      <c r="B1110" s="35"/>
      <c r="C1110" s="35">
        <v>20.0</v>
      </c>
      <c r="D1110" s="35">
        <v>660.0</v>
      </c>
      <c r="E1110" s="35">
        <v>46027.0</v>
      </c>
      <c r="F1110" s="35">
        <v>0.0</v>
      </c>
      <c r="G1110" s="35">
        <v>0.0</v>
      </c>
      <c r="H1110" s="35">
        <v>0.0</v>
      </c>
      <c r="I1110" s="35">
        <v>0.0</v>
      </c>
      <c r="J1110" s="35"/>
      <c r="K1110" s="35">
        <v>2.0</v>
      </c>
    </row>
    <row r="1111" ht="15.75" customHeight="1">
      <c r="A1111" s="35" t="s">
        <v>5219</v>
      </c>
      <c r="B1111" s="35"/>
      <c r="C1111" s="35">
        <v>20.0</v>
      </c>
      <c r="D1111" s="35" t="s">
        <v>2019</v>
      </c>
      <c r="E1111" s="35">
        <v>46027.0</v>
      </c>
      <c r="F1111" s="35">
        <v>0.0</v>
      </c>
      <c r="G1111" s="35">
        <v>1.0</v>
      </c>
      <c r="H1111" s="35">
        <v>0.0</v>
      </c>
      <c r="I1111" s="35">
        <v>0.0</v>
      </c>
      <c r="J1111" s="35"/>
      <c r="K1111" s="35">
        <v>0.0</v>
      </c>
    </row>
    <row r="1112" ht="15.75" customHeight="1">
      <c r="A1112" s="35" t="s">
        <v>5220</v>
      </c>
      <c r="B1112" s="35"/>
      <c r="C1112" s="35">
        <v>20.0</v>
      </c>
      <c r="D1112" s="35" t="s">
        <v>4386</v>
      </c>
      <c r="E1112" s="35">
        <v>46027.0</v>
      </c>
      <c r="F1112" s="35">
        <v>0.0</v>
      </c>
      <c r="G1112" s="35">
        <v>1.0</v>
      </c>
      <c r="H1112" s="35">
        <v>0.0</v>
      </c>
      <c r="I1112" s="35">
        <v>0.0</v>
      </c>
      <c r="J1112" s="35"/>
      <c r="K1112" s="35">
        <v>0.0</v>
      </c>
    </row>
    <row r="1113" ht="15.75" customHeight="1">
      <c r="A1113" s="35" t="s">
        <v>5222</v>
      </c>
      <c r="B1113" s="35"/>
      <c r="C1113" s="35">
        <v>20.0</v>
      </c>
      <c r="D1113" s="35" t="s">
        <v>4489</v>
      </c>
      <c r="E1113" s="35">
        <v>46027.0</v>
      </c>
      <c r="F1113" s="35">
        <v>0.0</v>
      </c>
      <c r="G1113" s="35">
        <v>0.0</v>
      </c>
      <c r="H1113" s="35">
        <v>1.0</v>
      </c>
      <c r="I1113" s="35">
        <v>0.0</v>
      </c>
      <c r="J1113" s="35"/>
      <c r="K1113" s="35">
        <v>0.0</v>
      </c>
    </row>
    <row r="1114" ht="15.75" customHeight="1">
      <c r="A1114" s="35" t="s">
        <v>5223</v>
      </c>
      <c r="B1114" s="35"/>
      <c r="C1114" s="35">
        <v>20.0</v>
      </c>
      <c r="D1114" s="35" t="s">
        <v>4461</v>
      </c>
      <c r="E1114" s="35">
        <v>46027.0</v>
      </c>
      <c r="F1114" s="35">
        <v>0.0</v>
      </c>
      <c r="G1114" s="35">
        <v>1.0</v>
      </c>
      <c r="H1114" s="35">
        <v>0.0</v>
      </c>
      <c r="I1114" s="35">
        <v>0.0</v>
      </c>
      <c r="J1114" s="35"/>
      <c r="K1114" s="35">
        <v>0.0</v>
      </c>
    </row>
    <row r="1115" ht="15.75" customHeight="1">
      <c r="A1115" s="35" t="s">
        <v>1377</v>
      </c>
      <c r="B1115" s="35"/>
      <c r="C1115" s="35">
        <v>20.0</v>
      </c>
      <c r="D1115" s="35">
        <v>143.0</v>
      </c>
      <c r="E1115" s="35">
        <v>46027.0</v>
      </c>
      <c r="F1115" s="35">
        <v>0.0</v>
      </c>
      <c r="G1115" s="35">
        <v>0.0</v>
      </c>
      <c r="H1115" s="35">
        <v>0.0</v>
      </c>
      <c r="I1115" s="35">
        <v>2.0</v>
      </c>
      <c r="J1115" s="35"/>
      <c r="K1115" s="35">
        <v>0.0</v>
      </c>
    </row>
    <row r="1116" ht="15.75" customHeight="1">
      <c r="A1116" s="35" t="s">
        <v>5225</v>
      </c>
      <c r="B1116" s="35"/>
      <c r="C1116" s="35">
        <v>20.0</v>
      </c>
      <c r="D1116" s="35">
        <v>317.0</v>
      </c>
      <c r="E1116" s="35">
        <v>46027.0</v>
      </c>
      <c r="F1116" s="35">
        <v>0.0</v>
      </c>
      <c r="G1116" s="35">
        <v>0.0</v>
      </c>
      <c r="H1116" s="35">
        <v>1.0</v>
      </c>
      <c r="I1116" s="35">
        <v>0.0</v>
      </c>
      <c r="J1116" s="35"/>
      <c r="K1116" s="35">
        <v>0.0</v>
      </c>
    </row>
    <row r="1117" ht="15.75" customHeight="1">
      <c r="A1117" s="35" t="s">
        <v>1391</v>
      </c>
      <c r="B1117" s="35"/>
      <c r="C1117" s="35">
        <v>20.0</v>
      </c>
      <c r="D1117" s="35" t="s">
        <v>3948</v>
      </c>
      <c r="E1117" s="35">
        <v>46027.0</v>
      </c>
      <c r="F1117" s="35">
        <v>0.0</v>
      </c>
      <c r="G1117" s="35">
        <v>0.0</v>
      </c>
      <c r="H1117" s="35">
        <v>1.0</v>
      </c>
      <c r="I1117" s="35">
        <v>0.0</v>
      </c>
      <c r="J1117" s="35"/>
      <c r="K1117" s="35">
        <v>0.0</v>
      </c>
    </row>
    <row r="1118" ht="15.75" customHeight="1">
      <c r="A1118" s="35" t="s">
        <v>5227</v>
      </c>
      <c r="B1118" s="35"/>
      <c r="C1118" s="35">
        <v>20.0</v>
      </c>
      <c r="D1118" s="35" t="s">
        <v>2065</v>
      </c>
      <c r="E1118" s="35">
        <v>46027.0</v>
      </c>
      <c r="F1118" s="35">
        <v>0.0</v>
      </c>
      <c r="G1118" s="35">
        <v>0.0</v>
      </c>
      <c r="H1118" s="35">
        <v>1.0</v>
      </c>
      <c r="I1118" s="35">
        <v>0.0</v>
      </c>
      <c r="J1118" s="35"/>
      <c r="K1118" s="35">
        <v>0.0</v>
      </c>
    </row>
    <row r="1119" ht="15.75" customHeight="1">
      <c r="A1119" s="35" t="s">
        <v>5229</v>
      </c>
      <c r="B1119" s="35"/>
      <c r="C1119" s="35">
        <v>20.0</v>
      </c>
      <c r="D1119" s="35" t="s">
        <v>2043</v>
      </c>
      <c r="E1119" s="35">
        <v>46027.0</v>
      </c>
      <c r="F1119" s="35">
        <v>0.0</v>
      </c>
      <c r="G1119" s="35">
        <v>1.0</v>
      </c>
      <c r="H1119" s="35">
        <v>0.0</v>
      </c>
      <c r="I1119" s="35">
        <v>0.0</v>
      </c>
      <c r="J1119" s="35"/>
      <c r="K1119" s="35">
        <v>0.0</v>
      </c>
    </row>
    <row r="1120" ht="15.75" customHeight="1">
      <c r="A1120" s="35" t="s">
        <v>5230</v>
      </c>
      <c r="B1120" s="35"/>
      <c r="C1120" s="35">
        <v>20.0</v>
      </c>
      <c r="D1120" s="35" t="s">
        <v>4372</v>
      </c>
      <c r="E1120" s="35">
        <v>46027.0</v>
      </c>
      <c r="F1120" s="35">
        <v>0.0</v>
      </c>
      <c r="G1120" s="35">
        <v>1.0</v>
      </c>
      <c r="H1120" s="35">
        <v>0.0</v>
      </c>
      <c r="I1120" s="35">
        <v>0.0</v>
      </c>
      <c r="J1120" s="35"/>
      <c r="K1120" s="35">
        <v>0.0</v>
      </c>
    </row>
    <row r="1121" ht="15.75" customHeight="1">
      <c r="A1121" s="35" t="s">
        <v>5232</v>
      </c>
      <c r="B1121" s="35"/>
      <c r="C1121" s="35">
        <v>20.0</v>
      </c>
      <c r="D1121" s="35" t="s">
        <v>2159</v>
      </c>
      <c r="E1121" s="35">
        <v>46027.0</v>
      </c>
      <c r="F1121" s="35">
        <v>0.0</v>
      </c>
      <c r="G1121" s="35">
        <v>1.0</v>
      </c>
      <c r="H1121" s="35">
        <v>0.0</v>
      </c>
      <c r="I1121" s="35">
        <v>0.0</v>
      </c>
      <c r="J1121" s="35"/>
      <c r="K1121" s="35">
        <v>0.0</v>
      </c>
    </row>
    <row r="1122" ht="15.75" customHeight="1">
      <c r="A1122" s="35" t="s">
        <v>5233</v>
      </c>
      <c r="B1122" s="35"/>
      <c r="C1122" s="35">
        <v>20.0</v>
      </c>
      <c r="D1122" s="35" t="s">
        <v>4521</v>
      </c>
      <c r="E1122" s="35">
        <v>46027.0</v>
      </c>
      <c r="F1122" s="35">
        <v>0.0</v>
      </c>
      <c r="G1122" s="35">
        <v>1.0</v>
      </c>
      <c r="H1122" s="35">
        <v>0.0</v>
      </c>
      <c r="I1122" s="35">
        <v>0.0</v>
      </c>
      <c r="J1122" s="35"/>
      <c r="K1122" s="35">
        <v>0.0</v>
      </c>
    </row>
    <row r="1123" ht="15.75" customHeight="1">
      <c r="A1123" s="35" t="s">
        <v>5234</v>
      </c>
      <c r="B1123" s="35"/>
      <c r="C1123" s="35">
        <v>20.0</v>
      </c>
      <c r="D1123" s="35" t="s">
        <v>5236</v>
      </c>
      <c r="E1123" s="35">
        <v>46027.0</v>
      </c>
      <c r="F1123" s="35">
        <v>0.0</v>
      </c>
      <c r="G1123" s="35">
        <v>0.0</v>
      </c>
      <c r="H1123" s="35">
        <v>2.0</v>
      </c>
      <c r="I1123" s="35">
        <v>0.0</v>
      </c>
      <c r="J1123" s="35"/>
      <c r="K1123" s="35">
        <v>0.0</v>
      </c>
    </row>
    <row r="1124" ht="15.75" customHeight="1">
      <c r="A1124" s="35" t="s">
        <v>5237</v>
      </c>
      <c r="B1124" s="35"/>
      <c r="C1124" s="35">
        <v>20.0</v>
      </c>
      <c r="D1124" s="35">
        <v>510.0</v>
      </c>
      <c r="E1124" s="35">
        <v>46027.0</v>
      </c>
      <c r="F1124" s="35">
        <v>0.0</v>
      </c>
      <c r="G1124" s="35">
        <v>0.0</v>
      </c>
      <c r="H1124" s="35">
        <v>0.0</v>
      </c>
      <c r="I1124" s="35">
        <v>1.0</v>
      </c>
      <c r="J1124" s="35"/>
      <c r="K1124" s="35">
        <v>0.0</v>
      </c>
    </row>
    <row r="1125" ht="15.75" customHeight="1">
      <c r="A1125" s="35" t="s">
        <v>1402</v>
      </c>
      <c r="B1125" s="35"/>
      <c r="C1125" s="35">
        <v>20.0</v>
      </c>
      <c r="D1125" s="35">
        <v>423.0</v>
      </c>
      <c r="E1125" s="35">
        <v>46027.0</v>
      </c>
      <c r="F1125" s="35">
        <v>0.0</v>
      </c>
      <c r="G1125" s="35">
        <v>0.0</v>
      </c>
      <c r="H1125" s="35">
        <v>37.0</v>
      </c>
      <c r="I1125" s="35">
        <v>0.0</v>
      </c>
      <c r="J1125" s="35"/>
      <c r="K1125" s="35">
        <v>0.0</v>
      </c>
    </row>
    <row r="1126" ht="15.75" customHeight="1">
      <c r="A1126" s="35" t="s">
        <v>5239</v>
      </c>
      <c r="B1126" s="35"/>
      <c r="C1126" s="35">
        <v>20.0</v>
      </c>
      <c r="D1126" s="35">
        <v>329.0</v>
      </c>
      <c r="E1126" s="35">
        <v>46027.0</v>
      </c>
      <c r="F1126" s="35">
        <v>0.0</v>
      </c>
      <c r="G1126" s="35">
        <v>1.0</v>
      </c>
      <c r="H1126" s="35">
        <v>0.0</v>
      </c>
      <c r="I1126" s="35">
        <v>0.0</v>
      </c>
      <c r="J1126" s="35"/>
      <c r="K1126" s="35">
        <v>0.0</v>
      </c>
    </row>
    <row r="1127" ht="15.75" customHeight="1">
      <c r="A1127" s="35" t="s">
        <v>5240</v>
      </c>
      <c r="B1127" s="35"/>
      <c r="C1127" s="35">
        <v>20.0</v>
      </c>
      <c r="D1127" s="35">
        <v>929.0</v>
      </c>
      <c r="E1127" s="35">
        <v>46027.0</v>
      </c>
      <c r="F1127" s="35">
        <v>0.0</v>
      </c>
      <c r="G1127" s="35">
        <v>1.0</v>
      </c>
      <c r="H1127" s="35">
        <v>0.0</v>
      </c>
      <c r="I1127" s="35">
        <v>0.0</v>
      </c>
      <c r="J1127" s="35"/>
      <c r="K1127" s="35">
        <v>0.0</v>
      </c>
    </row>
    <row r="1128" ht="15.75" customHeight="1">
      <c r="A1128" s="35" t="s">
        <v>1410</v>
      </c>
      <c r="B1128" s="35"/>
      <c r="C1128" s="35">
        <v>20.0</v>
      </c>
      <c r="D1128" s="35">
        <v>170.0</v>
      </c>
      <c r="E1128" s="35">
        <v>46027.0</v>
      </c>
      <c r="F1128" s="35">
        <v>0.0</v>
      </c>
      <c r="G1128" s="35">
        <v>4.0</v>
      </c>
      <c r="H1128" s="35">
        <v>0.0</v>
      </c>
      <c r="I1128" s="35">
        <v>0.0</v>
      </c>
      <c r="J1128" s="35"/>
      <c r="K1128" s="35">
        <v>0.0</v>
      </c>
    </row>
    <row r="1129" ht="15.75" customHeight="1">
      <c r="A1129" s="35" t="s">
        <v>5242</v>
      </c>
      <c r="B1129" s="35"/>
      <c r="C1129" s="35">
        <v>20.0</v>
      </c>
      <c r="D1129" s="35">
        <v>64.0</v>
      </c>
      <c r="E1129" s="35">
        <v>46027.0</v>
      </c>
      <c r="F1129" s="35">
        <v>0.0</v>
      </c>
      <c r="G1129" s="35">
        <v>1.0</v>
      </c>
      <c r="H1129" s="35">
        <v>0.0</v>
      </c>
      <c r="I1129" s="35">
        <v>0.0</v>
      </c>
      <c r="J1129" s="35"/>
      <c r="K1129" s="35">
        <v>0.0</v>
      </c>
    </row>
    <row r="1130" ht="15.75" customHeight="1">
      <c r="A1130" s="35" t="s">
        <v>5244</v>
      </c>
      <c r="B1130" s="35"/>
      <c r="C1130" s="35">
        <v>20.0</v>
      </c>
      <c r="D1130" s="35">
        <v>216.0</v>
      </c>
      <c r="E1130" s="35">
        <v>46027.0</v>
      </c>
      <c r="F1130" s="35">
        <v>0.0</v>
      </c>
      <c r="G1130" s="35">
        <v>1.0</v>
      </c>
      <c r="H1130" s="35">
        <v>0.0</v>
      </c>
      <c r="I1130" s="35">
        <v>0.0</v>
      </c>
      <c r="J1130" s="35"/>
      <c r="K1130" s="35">
        <v>0.0</v>
      </c>
    </row>
    <row r="1131" ht="15.75" customHeight="1">
      <c r="A1131" s="35" t="s">
        <v>5245</v>
      </c>
      <c r="B1131" s="35"/>
      <c r="C1131" s="35">
        <v>20.0</v>
      </c>
      <c r="D1131" s="35" t="s">
        <v>4635</v>
      </c>
      <c r="E1131" s="35">
        <v>46027.0</v>
      </c>
      <c r="F1131" s="35">
        <v>0.0</v>
      </c>
      <c r="G1131" s="35">
        <v>2.0</v>
      </c>
      <c r="H1131" s="35">
        <v>0.0</v>
      </c>
      <c r="I1131" s="35">
        <v>0.0</v>
      </c>
      <c r="J1131" s="35"/>
      <c r="K1131" s="35">
        <v>0.0</v>
      </c>
    </row>
    <row r="1132" ht="15.75" customHeight="1">
      <c r="A1132" s="35" t="s">
        <v>5246</v>
      </c>
      <c r="B1132" s="35"/>
      <c r="C1132" s="35">
        <v>20.0</v>
      </c>
      <c r="D1132" s="35">
        <v>449.0</v>
      </c>
      <c r="E1132" s="35">
        <v>46027.0</v>
      </c>
      <c r="F1132" s="35">
        <v>0.0</v>
      </c>
      <c r="G1132" s="35">
        <v>2.0</v>
      </c>
      <c r="H1132" s="35">
        <v>0.0</v>
      </c>
      <c r="I1132" s="35">
        <v>0.0</v>
      </c>
      <c r="J1132" s="35"/>
      <c r="K1132" s="35">
        <v>0.0</v>
      </c>
    </row>
    <row r="1133" ht="15.75" customHeight="1">
      <c r="A1133" s="35" t="s">
        <v>5248</v>
      </c>
      <c r="B1133" s="35"/>
      <c r="C1133" s="35">
        <v>20.0</v>
      </c>
      <c r="D1133" s="35" t="s">
        <v>2043</v>
      </c>
      <c r="E1133" s="35">
        <v>46027.0</v>
      </c>
      <c r="F1133" s="35">
        <v>0.0</v>
      </c>
      <c r="G1133" s="35">
        <v>24.0</v>
      </c>
      <c r="H1133" s="35">
        <v>0.0</v>
      </c>
      <c r="I1133" s="35">
        <v>0.0</v>
      </c>
      <c r="J1133" s="35"/>
      <c r="K1133" s="35">
        <v>0.0</v>
      </c>
    </row>
    <row r="1134" ht="15.75" customHeight="1">
      <c r="A1134" s="35" t="s">
        <v>5249</v>
      </c>
      <c r="B1134" s="35"/>
      <c r="C1134" s="35">
        <v>20.0</v>
      </c>
      <c r="D1134" s="35">
        <v>629.0</v>
      </c>
      <c r="E1134" s="35">
        <v>46027.0</v>
      </c>
      <c r="F1134" s="35">
        <v>0.0</v>
      </c>
      <c r="G1134" s="35">
        <v>4.0</v>
      </c>
      <c r="H1134" s="35">
        <v>0.0</v>
      </c>
      <c r="I1134" s="35">
        <v>0.0</v>
      </c>
      <c r="J1134" s="35"/>
      <c r="K1134" s="35">
        <v>0.0</v>
      </c>
    </row>
    <row r="1135" ht="15.75" customHeight="1">
      <c r="A1135" s="35" t="s">
        <v>5251</v>
      </c>
      <c r="B1135" s="35"/>
      <c r="C1135" s="35">
        <v>20.0</v>
      </c>
      <c r="D1135" s="35" t="s">
        <v>3201</v>
      </c>
      <c r="E1135" s="35">
        <v>46027.0</v>
      </c>
      <c r="F1135" s="35">
        <v>0.0</v>
      </c>
      <c r="G1135" s="35">
        <v>0.0</v>
      </c>
      <c r="H1135" s="35">
        <v>1701.0</v>
      </c>
      <c r="I1135" s="35">
        <v>0.0</v>
      </c>
      <c r="J1135" s="35"/>
      <c r="K1135" s="35">
        <v>0.0</v>
      </c>
    </row>
    <row r="1136" ht="15.75" customHeight="1">
      <c r="A1136" s="35" t="s">
        <v>5252</v>
      </c>
      <c r="B1136" s="35"/>
      <c r="C1136" s="35">
        <v>20.0</v>
      </c>
      <c r="D1136" s="35" t="s">
        <v>2065</v>
      </c>
      <c r="E1136" s="35">
        <v>46027.0</v>
      </c>
      <c r="F1136" s="35">
        <v>0.0</v>
      </c>
      <c r="G1136" s="35">
        <v>0.0</v>
      </c>
      <c r="H1136" s="35">
        <v>1.0</v>
      </c>
      <c r="I1136" s="35">
        <v>0.0</v>
      </c>
      <c r="J1136" s="35"/>
      <c r="K1136" s="35">
        <v>0.0</v>
      </c>
    </row>
    <row r="1137" ht="15.75" customHeight="1">
      <c r="A1137" s="35" t="s">
        <v>5254</v>
      </c>
      <c r="B1137" s="35"/>
      <c r="C1137" s="35">
        <v>20.0</v>
      </c>
      <c r="D1137" s="35" t="s">
        <v>5255</v>
      </c>
      <c r="E1137" s="35">
        <v>46027.0</v>
      </c>
      <c r="F1137" s="35">
        <v>0.0</v>
      </c>
      <c r="G1137" s="35">
        <v>0.0</v>
      </c>
      <c r="H1137" s="35">
        <v>1.0</v>
      </c>
      <c r="I1137" s="35">
        <v>0.0</v>
      </c>
      <c r="J1137" s="35"/>
      <c r="K1137" s="35">
        <v>0.0</v>
      </c>
    </row>
    <row r="1138" ht="15.75" customHeight="1">
      <c r="A1138" s="35" t="s">
        <v>5256</v>
      </c>
      <c r="B1138" s="35"/>
      <c r="C1138" s="35">
        <v>20.0</v>
      </c>
      <c r="D1138" s="35" t="s">
        <v>4538</v>
      </c>
      <c r="E1138" s="35">
        <v>46027.0</v>
      </c>
      <c r="F1138" s="35">
        <v>0.0</v>
      </c>
      <c r="G1138" s="35">
        <v>1.0</v>
      </c>
      <c r="H1138" s="35">
        <v>0.0</v>
      </c>
      <c r="I1138" s="35">
        <v>0.0</v>
      </c>
      <c r="J1138" s="35"/>
      <c r="K1138" s="35">
        <v>0.0</v>
      </c>
    </row>
    <row r="1139" ht="15.75" customHeight="1">
      <c r="A1139" s="35" t="s">
        <v>5258</v>
      </c>
      <c r="B1139" s="35"/>
      <c r="C1139" s="35">
        <v>20.0</v>
      </c>
      <c r="D1139" s="35" t="s">
        <v>4197</v>
      </c>
      <c r="E1139" s="35">
        <v>46027.0</v>
      </c>
      <c r="F1139" s="35">
        <v>0.0</v>
      </c>
      <c r="G1139" s="35">
        <v>2.0</v>
      </c>
      <c r="H1139" s="35">
        <v>0.0</v>
      </c>
      <c r="I1139" s="35">
        <v>0.0</v>
      </c>
      <c r="J1139" s="35"/>
      <c r="K1139" s="35">
        <v>0.0</v>
      </c>
    </row>
    <row r="1140" ht="15.75" customHeight="1">
      <c r="A1140" s="35" t="s">
        <v>5259</v>
      </c>
      <c r="B1140" s="35"/>
      <c r="C1140" s="35">
        <v>20.0</v>
      </c>
      <c r="D1140" s="35">
        <v>963.0</v>
      </c>
      <c r="E1140" s="35">
        <v>46027.0</v>
      </c>
      <c r="F1140" s="35">
        <v>0.0</v>
      </c>
      <c r="G1140" s="35">
        <v>1.0</v>
      </c>
      <c r="H1140" s="35">
        <v>0.0</v>
      </c>
      <c r="I1140" s="35">
        <v>0.0</v>
      </c>
      <c r="J1140" s="35"/>
      <c r="K1140" s="35">
        <v>0.0</v>
      </c>
    </row>
    <row r="1141" ht="15.75" customHeight="1">
      <c r="A1141" s="35" t="s">
        <v>5261</v>
      </c>
      <c r="B1141" s="35"/>
      <c r="C1141" s="35">
        <v>20.0</v>
      </c>
      <c r="D1141" s="35" t="s">
        <v>2010</v>
      </c>
      <c r="E1141" s="35">
        <v>46027.0</v>
      </c>
      <c r="F1141" s="35">
        <v>0.0</v>
      </c>
      <c r="G1141" s="35">
        <v>1.0</v>
      </c>
      <c r="H1141" s="35">
        <v>0.0</v>
      </c>
      <c r="I1141" s="35">
        <v>0.0</v>
      </c>
      <c r="J1141" s="35"/>
      <c r="K1141" s="35">
        <v>0.0</v>
      </c>
    </row>
    <row r="1142" ht="15.75" customHeight="1">
      <c r="A1142" s="35" t="s">
        <v>5262</v>
      </c>
      <c r="B1142" s="35"/>
      <c r="C1142" s="35">
        <v>20.0</v>
      </c>
      <c r="D1142" s="35">
        <v>918.0</v>
      </c>
      <c r="E1142" s="35">
        <v>46027.0</v>
      </c>
      <c r="F1142" s="35">
        <v>0.0</v>
      </c>
      <c r="G1142" s="35">
        <v>1.0</v>
      </c>
      <c r="H1142" s="35">
        <v>0.0</v>
      </c>
      <c r="I1142" s="35">
        <v>0.0</v>
      </c>
      <c r="J1142" s="35"/>
      <c r="K1142" s="35">
        <v>0.0</v>
      </c>
    </row>
    <row r="1143" ht="15.75" customHeight="1">
      <c r="A1143" s="35" t="s">
        <v>5264</v>
      </c>
      <c r="B1143" s="35"/>
      <c r="C1143" s="35">
        <v>20.0</v>
      </c>
      <c r="D1143" s="35" t="s">
        <v>4692</v>
      </c>
      <c r="E1143" s="35">
        <v>46027.0</v>
      </c>
      <c r="F1143" s="35">
        <v>0.0</v>
      </c>
      <c r="G1143" s="35">
        <v>4.0</v>
      </c>
      <c r="H1143" s="35">
        <v>0.0</v>
      </c>
      <c r="I1143" s="35">
        <v>0.0</v>
      </c>
      <c r="J1143" s="35"/>
      <c r="K1143" s="35">
        <v>0.0</v>
      </c>
    </row>
    <row r="1144" ht="15.75" customHeight="1">
      <c r="A1144" s="35" t="s">
        <v>5265</v>
      </c>
      <c r="B1144" s="35"/>
      <c r="C1144" s="35">
        <v>20.0</v>
      </c>
      <c r="D1144" s="35" t="s">
        <v>5266</v>
      </c>
      <c r="E1144" s="35">
        <v>46027.0</v>
      </c>
      <c r="F1144" s="35">
        <v>0.0</v>
      </c>
      <c r="G1144" s="35">
        <v>9.0</v>
      </c>
      <c r="H1144" s="35">
        <v>0.0</v>
      </c>
      <c r="I1144" s="35">
        <v>0.0</v>
      </c>
      <c r="J1144" s="35"/>
      <c r="K1144" s="35">
        <v>0.0</v>
      </c>
    </row>
    <row r="1145" ht="15.75" customHeight="1">
      <c r="A1145" s="35" t="s">
        <v>5268</v>
      </c>
      <c r="B1145" s="35"/>
      <c r="C1145" s="35">
        <v>20.0</v>
      </c>
      <c r="D1145" s="35" t="s">
        <v>2144</v>
      </c>
      <c r="E1145" s="35">
        <v>46027.0</v>
      </c>
      <c r="F1145" s="35">
        <v>0.0</v>
      </c>
      <c r="G1145" s="35">
        <v>1.0</v>
      </c>
      <c r="H1145" s="35">
        <v>0.0</v>
      </c>
      <c r="I1145" s="35">
        <v>0.0</v>
      </c>
      <c r="J1145" s="35"/>
      <c r="K1145" s="35">
        <v>0.0</v>
      </c>
    </row>
    <row r="1146" ht="15.75" customHeight="1">
      <c r="A1146" s="35" t="s">
        <v>5269</v>
      </c>
      <c r="B1146" s="35"/>
      <c r="C1146" s="35">
        <v>20.0</v>
      </c>
      <c r="D1146" s="35">
        <v>630.0</v>
      </c>
      <c r="E1146" s="35">
        <v>46027.0</v>
      </c>
      <c r="F1146" s="35">
        <v>0.0</v>
      </c>
      <c r="G1146" s="35">
        <v>1.0</v>
      </c>
      <c r="H1146" s="35">
        <v>0.0</v>
      </c>
      <c r="I1146" s="35">
        <v>0.0</v>
      </c>
      <c r="J1146" s="35"/>
      <c r="K1146" s="35">
        <v>0.0</v>
      </c>
    </row>
    <row r="1147" ht="15.75" customHeight="1">
      <c r="A1147" s="35" t="s">
        <v>5270</v>
      </c>
      <c r="B1147" s="35"/>
      <c r="C1147" s="35">
        <v>20.0</v>
      </c>
      <c r="D1147" s="35" t="s">
        <v>4284</v>
      </c>
      <c r="E1147" s="35">
        <v>46027.0</v>
      </c>
      <c r="F1147" s="35">
        <v>0.0</v>
      </c>
      <c r="G1147" s="35">
        <v>1.0</v>
      </c>
      <c r="H1147" s="35">
        <v>0.0</v>
      </c>
      <c r="I1147" s="35">
        <v>0.0</v>
      </c>
      <c r="J1147" s="35"/>
      <c r="K1147" s="35">
        <v>0.0</v>
      </c>
    </row>
    <row r="1148" ht="15.75" customHeight="1">
      <c r="A1148" s="35" t="s">
        <v>5272</v>
      </c>
      <c r="B1148" s="35"/>
      <c r="C1148" s="35">
        <v>20.0</v>
      </c>
      <c r="D1148" s="35" t="s">
        <v>4635</v>
      </c>
      <c r="E1148" s="35">
        <v>46027.0</v>
      </c>
      <c r="F1148" s="35">
        <v>0.0</v>
      </c>
      <c r="G1148" s="35">
        <v>2.0</v>
      </c>
      <c r="H1148" s="35">
        <v>0.0</v>
      </c>
      <c r="I1148" s="35">
        <v>0.0</v>
      </c>
      <c r="J1148" s="35"/>
      <c r="K1148" s="35">
        <v>0.0</v>
      </c>
    </row>
    <row r="1149" ht="15.75" customHeight="1">
      <c r="A1149" s="35" t="s">
        <v>5273</v>
      </c>
      <c r="B1149" s="35"/>
      <c r="C1149" s="35">
        <v>20.0</v>
      </c>
      <c r="D1149" s="35" t="s">
        <v>4963</v>
      </c>
      <c r="E1149" s="35">
        <v>46027.0</v>
      </c>
      <c r="F1149" s="35">
        <v>0.0</v>
      </c>
      <c r="G1149" s="35">
        <v>1.0</v>
      </c>
      <c r="H1149" s="35">
        <v>0.0</v>
      </c>
      <c r="I1149" s="35">
        <v>0.0</v>
      </c>
      <c r="J1149" s="35"/>
      <c r="K1149" s="35">
        <v>0.0</v>
      </c>
    </row>
    <row r="1150" ht="15.75" customHeight="1">
      <c r="A1150" s="35" t="s">
        <v>5275</v>
      </c>
      <c r="B1150" s="35"/>
      <c r="C1150" s="35">
        <v>19.0</v>
      </c>
      <c r="D1150" s="35" t="s">
        <v>4552</v>
      </c>
      <c r="E1150" s="35">
        <v>46086.0</v>
      </c>
      <c r="F1150" s="35">
        <v>0.0</v>
      </c>
      <c r="G1150" s="35">
        <v>9.0</v>
      </c>
      <c r="H1150" s="35">
        <v>1.0</v>
      </c>
      <c r="I1150" s="35">
        <v>1.0</v>
      </c>
      <c r="J1150" s="35"/>
      <c r="K1150" s="35">
        <v>0.0</v>
      </c>
    </row>
    <row r="1151" ht="15.75" customHeight="1">
      <c r="A1151" s="35" t="s">
        <v>5276</v>
      </c>
      <c r="B1151" s="35"/>
      <c r="C1151" s="35">
        <v>19.0</v>
      </c>
      <c r="D1151" s="35" t="s">
        <v>5277</v>
      </c>
      <c r="E1151" s="35">
        <v>46058.0</v>
      </c>
      <c r="F1151" s="35">
        <v>0.0</v>
      </c>
      <c r="G1151" s="35">
        <v>4.0</v>
      </c>
      <c r="H1151" s="35">
        <v>4.0</v>
      </c>
      <c r="I1151" s="35">
        <v>0.0</v>
      </c>
      <c r="J1151" s="35"/>
      <c r="K1151" s="35">
        <v>0.0</v>
      </c>
    </row>
    <row r="1152" ht="15.75" customHeight="1">
      <c r="A1152" s="35" t="s">
        <v>5279</v>
      </c>
      <c r="B1152" s="35"/>
      <c r="C1152" s="35">
        <v>19.0</v>
      </c>
      <c r="D1152" s="35" t="s">
        <v>4841</v>
      </c>
      <c r="E1152" s="35">
        <v>46027.0</v>
      </c>
      <c r="F1152" s="35">
        <v>0.0</v>
      </c>
      <c r="G1152" s="35">
        <v>2.0</v>
      </c>
      <c r="H1152" s="35">
        <v>0.0</v>
      </c>
      <c r="I1152" s="35">
        <v>0.0</v>
      </c>
      <c r="J1152" s="35"/>
      <c r="K1152" s="35">
        <v>0.0</v>
      </c>
    </row>
    <row r="1153" ht="15.75" customHeight="1">
      <c r="A1153" s="35" t="s">
        <v>5280</v>
      </c>
      <c r="B1153" s="35"/>
      <c r="C1153" s="35">
        <v>19.0</v>
      </c>
      <c r="D1153" s="35" t="s">
        <v>2055</v>
      </c>
      <c r="E1153" s="35">
        <v>46027.0</v>
      </c>
      <c r="F1153" s="35">
        <v>0.0</v>
      </c>
      <c r="G1153" s="35">
        <v>1.0</v>
      </c>
      <c r="H1153" s="35">
        <v>0.0</v>
      </c>
      <c r="I1153" s="35">
        <v>0.0</v>
      </c>
      <c r="J1153" s="35"/>
      <c r="K1153" s="35">
        <v>0.0</v>
      </c>
    </row>
    <row r="1154" ht="15.75" customHeight="1">
      <c r="A1154" s="35" t="s">
        <v>5282</v>
      </c>
      <c r="B1154" s="35"/>
      <c r="C1154" s="35">
        <v>19.0</v>
      </c>
      <c r="D1154" s="35" t="s">
        <v>4231</v>
      </c>
      <c r="E1154" s="35">
        <v>46027.0</v>
      </c>
      <c r="F1154" s="35">
        <v>0.0</v>
      </c>
      <c r="G1154" s="35">
        <v>0.0</v>
      </c>
      <c r="H1154" s="35">
        <v>0.0</v>
      </c>
      <c r="I1154" s="35">
        <v>1.0</v>
      </c>
      <c r="J1154" s="35"/>
      <c r="K1154" s="35">
        <v>0.0</v>
      </c>
    </row>
    <row r="1155" ht="15.75" customHeight="1">
      <c r="A1155" s="35" t="s">
        <v>5283</v>
      </c>
      <c r="B1155" s="35"/>
      <c r="C1155" s="35">
        <v>19.0</v>
      </c>
      <c r="D1155" s="35" t="s">
        <v>3285</v>
      </c>
      <c r="E1155" s="35">
        <v>46027.0</v>
      </c>
      <c r="F1155" s="35">
        <v>0.0</v>
      </c>
      <c r="G1155" s="35">
        <v>8.0</v>
      </c>
      <c r="H1155" s="35">
        <v>0.0</v>
      </c>
      <c r="I1155" s="35">
        <v>0.0</v>
      </c>
      <c r="J1155" s="35"/>
      <c r="K1155" s="35">
        <v>0.0</v>
      </c>
    </row>
    <row r="1156" ht="15.75" customHeight="1">
      <c r="A1156" s="35" t="s">
        <v>1421</v>
      </c>
      <c r="B1156" s="35"/>
      <c r="C1156" s="35">
        <v>19.0</v>
      </c>
      <c r="D1156" s="35" t="s">
        <v>4635</v>
      </c>
      <c r="E1156" s="35">
        <v>46027.0</v>
      </c>
      <c r="F1156" s="35">
        <v>0.0</v>
      </c>
      <c r="G1156" s="35">
        <v>1.0</v>
      </c>
      <c r="H1156" s="35">
        <v>0.0</v>
      </c>
      <c r="I1156" s="35">
        <v>0.0</v>
      </c>
      <c r="J1156" s="35"/>
      <c r="K1156" s="35">
        <v>0.0</v>
      </c>
    </row>
    <row r="1157" ht="15.75" customHeight="1">
      <c r="A1157" s="35" t="s">
        <v>5285</v>
      </c>
      <c r="B1157" s="35"/>
      <c r="C1157" s="35">
        <v>19.0</v>
      </c>
      <c r="D1157" s="35" t="s">
        <v>5286</v>
      </c>
      <c r="E1157" s="35">
        <v>46027.0</v>
      </c>
      <c r="F1157" s="35">
        <v>0.0</v>
      </c>
      <c r="G1157" s="35">
        <v>3.0</v>
      </c>
      <c r="H1157" s="35">
        <v>0.0</v>
      </c>
      <c r="I1157" s="35">
        <v>0.0</v>
      </c>
      <c r="J1157" s="35"/>
      <c r="K1157" s="35">
        <v>0.0</v>
      </c>
    </row>
    <row r="1158" ht="15.75" customHeight="1">
      <c r="A1158" s="35" t="s">
        <v>5287</v>
      </c>
      <c r="B1158" s="35"/>
      <c r="C1158" s="35">
        <v>19.0</v>
      </c>
      <c r="D1158" s="35">
        <v>657.0</v>
      </c>
      <c r="E1158" s="35">
        <v>46027.0</v>
      </c>
      <c r="F1158" s="35">
        <v>0.0</v>
      </c>
      <c r="G1158" s="35">
        <v>1.0</v>
      </c>
      <c r="H1158" s="35">
        <v>0.0</v>
      </c>
      <c r="I1158" s="35">
        <v>0.0</v>
      </c>
      <c r="J1158" s="35"/>
      <c r="K1158" s="35">
        <v>0.0</v>
      </c>
    </row>
    <row r="1159" ht="15.75" customHeight="1">
      <c r="A1159" s="35" t="s">
        <v>5289</v>
      </c>
      <c r="B1159" s="35"/>
      <c r="C1159" s="35">
        <v>19.0</v>
      </c>
      <c r="D1159" s="35">
        <v>158.0</v>
      </c>
      <c r="E1159" s="35">
        <v>46027.0</v>
      </c>
      <c r="F1159" s="35">
        <v>0.0</v>
      </c>
      <c r="G1159" s="35">
        <v>1.0</v>
      </c>
      <c r="H1159" s="35">
        <v>0.0</v>
      </c>
      <c r="I1159" s="35">
        <v>0.0</v>
      </c>
      <c r="J1159" s="35"/>
      <c r="K1159" s="35">
        <v>0.0</v>
      </c>
    </row>
    <row r="1160" ht="15.75" customHeight="1">
      <c r="A1160" s="35" t="s">
        <v>5290</v>
      </c>
      <c r="B1160" s="35"/>
      <c r="C1160" s="35">
        <v>19.0</v>
      </c>
      <c r="D1160" s="35" t="s">
        <v>5291</v>
      </c>
      <c r="E1160" s="35">
        <v>46027.0</v>
      </c>
      <c r="F1160" s="35">
        <v>0.0</v>
      </c>
      <c r="G1160" s="35">
        <v>0.0</v>
      </c>
      <c r="H1160" s="35">
        <v>5.0</v>
      </c>
      <c r="I1160" s="35">
        <v>0.0</v>
      </c>
      <c r="J1160" s="35"/>
      <c r="K1160" s="35">
        <v>0.0</v>
      </c>
    </row>
    <row r="1161" ht="15.75" customHeight="1">
      <c r="A1161" s="35" t="s">
        <v>5293</v>
      </c>
      <c r="B1161" s="35"/>
      <c r="C1161" s="35">
        <v>19.0</v>
      </c>
      <c r="D1161" s="35">
        <v>551.0</v>
      </c>
      <c r="E1161" s="35">
        <v>46027.0</v>
      </c>
      <c r="F1161" s="35">
        <v>0.0</v>
      </c>
      <c r="G1161" s="35">
        <v>3.0</v>
      </c>
      <c r="H1161" s="35">
        <v>0.0</v>
      </c>
      <c r="I1161" s="35">
        <v>0.0</v>
      </c>
      <c r="J1161" s="35"/>
      <c r="K1161" s="35">
        <v>0.0</v>
      </c>
    </row>
    <row r="1162" ht="15.75" customHeight="1">
      <c r="A1162" s="35" t="s">
        <v>5294</v>
      </c>
      <c r="B1162" s="35"/>
      <c r="C1162" s="35">
        <v>19.0</v>
      </c>
      <c r="D1162" s="35" t="s">
        <v>4521</v>
      </c>
      <c r="E1162" s="35">
        <v>46027.0</v>
      </c>
      <c r="F1162" s="35">
        <v>0.0</v>
      </c>
      <c r="G1162" s="35">
        <v>1.0</v>
      </c>
      <c r="H1162" s="35">
        <v>0.0</v>
      </c>
      <c r="I1162" s="35">
        <v>0.0</v>
      </c>
      <c r="J1162" s="35"/>
      <c r="K1162" s="35">
        <v>0.0</v>
      </c>
    </row>
    <row r="1163" ht="15.75" customHeight="1">
      <c r="A1163" s="35" t="s">
        <v>5296</v>
      </c>
      <c r="B1163" s="35"/>
      <c r="C1163" s="35">
        <v>19.0</v>
      </c>
      <c r="D1163" s="35" t="s">
        <v>4538</v>
      </c>
      <c r="E1163" s="35">
        <v>46027.0</v>
      </c>
      <c r="F1163" s="35">
        <v>0.0</v>
      </c>
      <c r="G1163" s="35">
        <v>1.0</v>
      </c>
      <c r="H1163" s="35">
        <v>0.0</v>
      </c>
      <c r="I1163" s="35">
        <v>0.0</v>
      </c>
      <c r="J1163" s="35"/>
      <c r="K1163" s="35">
        <v>0.0</v>
      </c>
    </row>
    <row r="1164" ht="15.75" customHeight="1">
      <c r="A1164" s="35" t="s">
        <v>5297</v>
      </c>
      <c r="B1164" s="35"/>
      <c r="C1164" s="35">
        <v>19.0</v>
      </c>
      <c r="D1164" s="35">
        <v>166.0</v>
      </c>
      <c r="E1164" s="35">
        <v>46027.0</v>
      </c>
      <c r="F1164" s="35">
        <v>0.0</v>
      </c>
      <c r="G1164" s="35">
        <v>1.0</v>
      </c>
      <c r="H1164" s="35">
        <v>0.0</v>
      </c>
      <c r="I1164" s="35">
        <v>0.0</v>
      </c>
      <c r="J1164" s="35"/>
      <c r="K1164" s="35">
        <v>0.0</v>
      </c>
    </row>
    <row r="1165" ht="15.75" customHeight="1">
      <c r="A1165" s="35" t="s">
        <v>1430</v>
      </c>
      <c r="B1165" s="35"/>
      <c r="C1165" s="35">
        <v>19.0</v>
      </c>
      <c r="D1165" s="35" t="s">
        <v>4635</v>
      </c>
      <c r="E1165" s="35">
        <v>46027.0</v>
      </c>
      <c r="F1165" s="35">
        <v>0.0</v>
      </c>
      <c r="G1165" s="35">
        <v>1.0</v>
      </c>
      <c r="H1165" s="35">
        <v>0.0</v>
      </c>
      <c r="I1165" s="35">
        <v>0.0</v>
      </c>
      <c r="J1165" s="35"/>
      <c r="K1165" s="35">
        <v>0.0</v>
      </c>
    </row>
    <row r="1166" ht="15.75" customHeight="1">
      <c r="A1166" s="35" t="s">
        <v>5299</v>
      </c>
      <c r="B1166" s="35"/>
      <c r="C1166" s="35">
        <v>19.0</v>
      </c>
      <c r="D1166" s="35" t="s">
        <v>2032</v>
      </c>
      <c r="E1166" s="35">
        <v>46027.0</v>
      </c>
      <c r="F1166" s="35">
        <v>0.0</v>
      </c>
      <c r="G1166" s="35">
        <v>1.0</v>
      </c>
      <c r="H1166" s="35">
        <v>0.0</v>
      </c>
      <c r="I1166" s="35">
        <v>0.0</v>
      </c>
      <c r="J1166" s="35"/>
      <c r="K1166" s="35">
        <v>0.0</v>
      </c>
    </row>
    <row r="1167" ht="15.75" customHeight="1">
      <c r="A1167" s="35" t="s">
        <v>5300</v>
      </c>
      <c r="B1167" s="35"/>
      <c r="C1167" s="35">
        <v>19.0</v>
      </c>
      <c r="D1167" s="35" t="s">
        <v>4241</v>
      </c>
      <c r="E1167" s="35">
        <v>46027.0</v>
      </c>
      <c r="F1167" s="35">
        <v>0.0</v>
      </c>
      <c r="G1167" s="35">
        <v>1.0</v>
      </c>
      <c r="H1167" s="35">
        <v>0.0</v>
      </c>
      <c r="I1167" s="35">
        <v>0.0</v>
      </c>
      <c r="J1167" s="35"/>
      <c r="K1167" s="35">
        <v>0.0</v>
      </c>
    </row>
    <row r="1168" ht="15.75" customHeight="1">
      <c r="A1168" s="35" t="s">
        <v>5302</v>
      </c>
      <c r="B1168" s="35"/>
      <c r="C1168" s="35">
        <v>19.0</v>
      </c>
      <c r="D1168" s="35" t="s">
        <v>5303</v>
      </c>
      <c r="E1168" s="35">
        <v>46027.0</v>
      </c>
      <c r="F1168" s="35">
        <v>0.0</v>
      </c>
      <c r="G1168" s="35">
        <v>42.0</v>
      </c>
      <c r="H1168" s="35">
        <v>0.0</v>
      </c>
      <c r="I1168" s="35">
        <v>0.0</v>
      </c>
      <c r="J1168" s="35"/>
      <c r="K1168" s="35">
        <v>0.0</v>
      </c>
    </row>
    <row r="1169" ht="15.75" customHeight="1">
      <c r="A1169" s="35" t="s">
        <v>5304</v>
      </c>
      <c r="B1169" s="35"/>
      <c r="C1169" s="35">
        <v>19.0</v>
      </c>
      <c r="D1169" s="35">
        <v>533.0</v>
      </c>
      <c r="E1169" s="35">
        <v>46027.0</v>
      </c>
      <c r="F1169" s="35">
        <v>0.0</v>
      </c>
      <c r="G1169" s="35">
        <v>1.0</v>
      </c>
      <c r="H1169" s="35">
        <v>0.0</v>
      </c>
      <c r="I1169" s="35">
        <v>0.0</v>
      </c>
      <c r="J1169" s="35"/>
      <c r="K1169" s="35">
        <v>0.0</v>
      </c>
    </row>
    <row r="1170" ht="15.75" customHeight="1">
      <c r="A1170" s="35" t="s">
        <v>5306</v>
      </c>
      <c r="B1170" s="35"/>
      <c r="C1170" s="35">
        <v>19.0</v>
      </c>
      <c r="D1170" s="35" t="s">
        <v>5307</v>
      </c>
      <c r="E1170" s="35">
        <v>46027.0</v>
      </c>
      <c r="F1170" s="35">
        <v>0.0</v>
      </c>
      <c r="G1170" s="35">
        <v>0.0</v>
      </c>
      <c r="H1170" s="35">
        <v>1.0</v>
      </c>
      <c r="I1170" s="35">
        <v>0.0</v>
      </c>
      <c r="J1170" s="35"/>
      <c r="K1170" s="35">
        <v>0.0</v>
      </c>
    </row>
    <row r="1171" ht="15.75" customHeight="1">
      <c r="A1171" s="35" t="s">
        <v>5308</v>
      </c>
      <c r="B1171" s="35"/>
      <c r="C1171" s="35">
        <v>19.0</v>
      </c>
      <c r="D1171" s="35" t="s">
        <v>3688</v>
      </c>
      <c r="E1171" s="35">
        <v>46027.0</v>
      </c>
      <c r="F1171" s="35">
        <v>0.0</v>
      </c>
      <c r="G1171" s="35">
        <v>4.0</v>
      </c>
      <c r="H1171" s="35">
        <v>0.0</v>
      </c>
      <c r="I1171" s="35">
        <v>0.0</v>
      </c>
      <c r="J1171" s="35"/>
      <c r="K1171" s="35">
        <v>0.0</v>
      </c>
    </row>
    <row r="1172" ht="15.75" customHeight="1">
      <c r="A1172" s="35" t="s">
        <v>5310</v>
      </c>
      <c r="B1172" s="35"/>
      <c r="C1172" s="35">
        <v>19.0</v>
      </c>
      <c r="D1172" s="35" t="s">
        <v>4546</v>
      </c>
      <c r="E1172" s="35">
        <v>46027.0</v>
      </c>
      <c r="F1172" s="35">
        <v>0.0</v>
      </c>
      <c r="G1172" s="35">
        <v>1.0</v>
      </c>
      <c r="H1172" s="35">
        <v>0.0</v>
      </c>
      <c r="I1172" s="35">
        <v>0.0</v>
      </c>
      <c r="J1172" s="35"/>
      <c r="K1172" s="35">
        <v>0.0</v>
      </c>
    </row>
    <row r="1173" ht="15.75" customHeight="1">
      <c r="A1173" s="35" t="s">
        <v>5311</v>
      </c>
      <c r="B1173" s="35"/>
      <c r="C1173" s="35">
        <v>19.0</v>
      </c>
      <c r="D1173" s="35" t="s">
        <v>2065</v>
      </c>
      <c r="E1173" s="35">
        <v>46027.0</v>
      </c>
      <c r="F1173" s="35">
        <v>0.0</v>
      </c>
      <c r="G1173" s="35">
        <v>0.0</v>
      </c>
      <c r="H1173" s="35">
        <v>1.0</v>
      </c>
      <c r="I1173" s="35">
        <v>0.0</v>
      </c>
      <c r="J1173" s="35"/>
      <c r="K1173" s="35">
        <v>0.0</v>
      </c>
    </row>
    <row r="1174" ht="15.75" customHeight="1">
      <c r="A1174" s="35" t="s">
        <v>5313</v>
      </c>
      <c r="B1174" s="35"/>
      <c r="C1174" s="35">
        <v>19.0</v>
      </c>
      <c r="D1174" s="35">
        <v>932.0</v>
      </c>
      <c r="E1174" s="35">
        <v>46027.0</v>
      </c>
      <c r="F1174" s="35">
        <v>0.0</v>
      </c>
      <c r="G1174" s="35">
        <v>2.0</v>
      </c>
      <c r="H1174" s="35">
        <v>0.0</v>
      </c>
      <c r="I1174" s="35">
        <v>0.0</v>
      </c>
      <c r="J1174" s="35"/>
      <c r="K1174" s="35">
        <v>0.0</v>
      </c>
    </row>
    <row r="1175" ht="15.75" customHeight="1">
      <c r="A1175" s="35" t="s">
        <v>5314</v>
      </c>
      <c r="B1175" s="35"/>
      <c r="C1175" s="35">
        <v>19.0</v>
      </c>
      <c r="D1175" s="35" t="s">
        <v>2010</v>
      </c>
      <c r="E1175" s="35">
        <v>46027.0</v>
      </c>
      <c r="F1175" s="35">
        <v>0.0</v>
      </c>
      <c r="G1175" s="35">
        <v>1.0</v>
      </c>
      <c r="H1175" s="35">
        <v>0.0</v>
      </c>
      <c r="I1175" s="35">
        <v>0.0</v>
      </c>
      <c r="J1175" s="35"/>
      <c r="K1175" s="35">
        <v>0.0</v>
      </c>
    </row>
    <row r="1176" ht="15.75" customHeight="1">
      <c r="A1176" s="35" t="s">
        <v>1439</v>
      </c>
      <c r="B1176" s="35"/>
      <c r="C1176" s="35">
        <v>19.0</v>
      </c>
      <c r="D1176" s="35" t="s">
        <v>5316</v>
      </c>
      <c r="E1176" s="35">
        <v>46027.0</v>
      </c>
      <c r="F1176" s="35">
        <v>0.0</v>
      </c>
      <c r="G1176" s="35">
        <v>1.0</v>
      </c>
      <c r="H1176" s="35">
        <v>0.0</v>
      </c>
      <c r="I1176" s="35">
        <v>0.0</v>
      </c>
      <c r="J1176" s="35"/>
      <c r="K1176" s="35">
        <v>0.0</v>
      </c>
    </row>
    <row r="1177" ht="15.75" customHeight="1">
      <c r="A1177" s="35" t="s">
        <v>5317</v>
      </c>
      <c r="B1177" s="35"/>
      <c r="C1177" s="35">
        <v>19.0</v>
      </c>
      <c r="D1177" s="35" t="s">
        <v>5318</v>
      </c>
      <c r="E1177" s="35">
        <v>46027.0</v>
      </c>
      <c r="F1177" s="35">
        <v>0.0</v>
      </c>
      <c r="G1177" s="35">
        <v>2.0</v>
      </c>
      <c r="H1177" s="35">
        <v>0.0</v>
      </c>
      <c r="I1177" s="35">
        <v>0.0</v>
      </c>
      <c r="J1177" s="35"/>
      <c r="K1177" s="35">
        <v>0.0</v>
      </c>
    </row>
    <row r="1178" ht="15.75" customHeight="1">
      <c r="A1178" s="35" t="s">
        <v>5320</v>
      </c>
      <c r="B1178" s="35"/>
      <c r="C1178" s="35">
        <v>19.0</v>
      </c>
      <c r="D1178" s="35">
        <v>664.0</v>
      </c>
      <c r="E1178" s="35">
        <v>46027.0</v>
      </c>
      <c r="F1178" s="35">
        <v>0.0</v>
      </c>
      <c r="G1178" s="35">
        <v>1.0</v>
      </c>
      <c r="H1178" s="35">
        <v>0.0</v>
      </c>
      <c r="I1178" s="35">
        <v>0.0</v>
      </c>
      <c r="J1178" s="35"/>
      <c r="K1178" s="35">
        <v>0.0</v>
      </c>
    </row>
    <row r="1179" ht="15.75" customHeight="1">
      <c r="A1179" s="35" t="s">
        <v>5321</v>
      </c>
      <c r="B1179" s="35"/>
      <c r="C1179" s="35">
        <v>19.0</v>
      </c>
      <c r="D1179" s="35">
        <v>307.0</v>
      </c>
      <c r="E1179" s="35">
        <v>46027.0</v>
      </c>
      <c r="F1179" s="35">
        <v>0.0</v>
      </c>
      <c r="G1179" s="35">
        <v>1.0</v>
      </c>
      <c r="H1179" s="35">
        <v>0.0</v>
      </c>
      <c r="I1179" s="35">
        <v>0.0</v>
      </c>
      <c r="J1179" s="35"/>
      <c r="K1179" s="35">
        <v>0.0</v>
      </c>
    </row>
    <row r="1180" ht="15.75" customHeight="1">
      <c r="A1180" s="35" t="s">
        <v>5322</v>
      </c>
      <c r="B1180" s="35"/>
      <c r="C1180" s="35">
        <v>19.0</v>
      </c>
      <c r="D1180" s="35" t="s">
        <v>4372</v>
      </c>
      <c r="E1180" s="35">
        <v>46027.0</v>
      </c>
      <c r="F1180" s="35">
        <v>0.0</v>
      </c>
      <c r="G1180" s="35">
        <v>7.0</v>
      </c>
      <c r="H1180" s="35">
        <v>0.0</v>
      </c>
      <c r="I1180" s="35">
        <v>0.0</v>
      </c>
      <c r="J1180" s="35"/>
      <c r="K1180" s="35">
        <v>0.0</v>
      </c>
    </row>
    <row r="1181" ht="15.75" customHeight="1">
      <c r="A1181" s="35" t="s">
        <v>5324</v>
      </c>
      <c r="B1181" s="35"/>
      <c r="C1181" s="35">
        <v>19.0</v>
      </c>
      <c r="D1181" s="35">
        <v>219.0</v>
      </c>
      <c r="E1181" s="35">
        <v>46027.0</v>
      </c>
      <c r="F1181" s="35">
        <v>0.0</v>
      </c>
      <c r="G1181" s="35">
        <v>1.0</v>
      </c>
      <c r="H1181" s="35">
        <v>0.0</v>
      </c>
      <c r="I1181" s="35">
        <v>0.0</v>
      </c>
      <c r="J1181" s="35"/>
      <c r="K1181" s="35">
        <v>0.0</v>
      </c>
    </row>
    <row r="1182" ht="15.75" customHeight="1">
      <c r="A1182" s="35" t="s">
        <v>5325</v>
      </c>
      <c r="B1182" s="35"/>
      <c r="C1182" s="35">
        <v>19.0</v>
      </c>
      <c r="D1182" s="35" t="s">
        <v>4154</v>
      </c>
      <c r="E1182" s="35">
        <v>46027.0</v>
      </c>
      <c r="F1182" s="35">
        <v>0.0</v>
      </c>
      <c r="G1182" s="35">
        <v>0.0</v>
      </c>
      <c r="H1182" s="35">
        <v>0.0</v>
      </c>
      <c r="I1182" s="35">
        <v>1.0</v>
      </c>
      <c r="J1182" s="35"/>
      <c r="K1182" s="35">
        <v>0.0</v>
      </c>
    </row>
    <row r="1183" ht="15.75" customHeight="1">
      <c r="A1183" s="35" t="s">
        <v>5327</v>
      </c>
      <c r="B1183" s="35"/>
      <c r="C1183" s="35">
        <v>19.0</v>
      </c>
      <c r="D1183" s="35" t="s">
        <v>5328</v>
      </c>
      <c r="E1183" s="35">
        <v>46027.0</v>
      </c>
      <c r="F1183" s="35">
        <v>0.0</v>
      </c>
      <c r="G1183" s="35">
        <v>7.0</v>
      </c>
      <c r="H1183" s="35">
        <v>0.0</v>
      </c>
      <c r="I1183" s="35">
        <v>0.0</v>
      </c>
      <c r="J1183" s="35"/>
      <c r="K1183" s="35">
        <v>0.0</v>
      </c>
    </row>
    <row r="1184" ht="15.75" customHeight="1">
      <c r="A1184" s="35" t="s">
        <v>5329</v>
      </c>
      <c r="B1184" s="35"/>
      <c r="C1184" s="35">
        <v>18.0</v>
      </c>
      <c r="D1184" s="35" t="s">
        <v>5330</v>
      </c>
      <c r="E1184" s="35">
        <v>46058.0</v>
      </c>
      <c r="F1184" s="35">
        <v>0.0</v>
      </c>
      <c r="G1184" s="35">
        <v>2.0</v>
      </c>
      <c r="H1184" s="35">
        <v>0.0</v>
      </c>
      <c r="I1184" s="35">
        <v>5.0</v>
      </c>
      <c r="J1184" s="35"/>
      <c r="K1184" s="35">
        <v>0.0</v>
      </c>
    </row>
    <row r="1185" ht="15.75" customHeight="1">
      <c r="A1185" s="35" t="s">
        <v>5332</v>
      </c>
      <c r="B1185" s="35"/>
      <c r="C1185" s="35">
        <v>18.0</v>
      </c>
      <c r="D1185" s="35" t="s">
        <v>5159</v>
      </c>
      <c r="E1185" s="35">
        <v>46027.0</v>
      </c>
      <c r="F1185" s="35">
        <v>0.0</v>
      </c>
      <c r="G1185" s="35">
        <v>1.0</v>
      </c>
      <c r="H1185" s="35">
        <v>0.0</v>
      </c>
      <c r="I1185" s="35">
        <v>0.0</v>
      </c>
      <c r="J1185" s="35"/>
      <c r="K1185" s="35">
        <v>0.0</v>
      </c>
    </row>
    <row r="1186" ht="15.75" customHeight="1">
      <c r="A1186" s="35" t="s">
        <v>5334</v>
      </c>
      <c r="B1186" s="35"/>
      <c r="C1186" s="35">
        <v>18.0</v>
      </c>
      <c r="D1186" s="35" t="s">
        <v>4635</v>
      </c>
      <c r="E1186" s="35">
        <v>46027.0</v>
      </c>
      <c r="F1186" s="35">
        <v>0.0</v>
      </c>
      <c r="G1186" s="35">
        <v>1.0</v>
      </c>
      <c r="H1186" s="35">
        <v>0.0</v>
      </c>
      <c r="I1186" s="35">
        <v>0.0</v>
      </c>
      <c r="J1186" s="35"/>
      <c r="K1186" s="35">
        <v>0.0</v>
      </c>
    </row>
    <row r="1187" ht="15.75" customHeight="1">
      <c r="A1187" s="35" t="s">
        <v>5335</v>
      </c>
      <c r="B1187" s="35"/>
      <c r="C1187" s="35">
        <v>18.0</v>
      </c>
      <c r="D1187" s="35" t="s">
        <v>5336</v>
      </c>
      <c r="E1187" s="35">
        <v>46027.0</v>
      </c>
      <c r="F1187" s="35">
        <v>0.0</v>
      </c>
      <c r="G1187" s="35">
        <v>2.0</v>
      </c>
      <c r="H1187" s="35">
        <v>0.0</v>
      </c>
      <c r="I1187" s="35">
        <v>0.0</v>
      </c>
      <c r="J1187" s="35"/>
      <c r="K1187" s="35">
        <v>0.0</v>
      </c>
    </row>
    <row r="1188" ht="15.75" customHeight="1">
      <c r="A1188" s="35" t="s">
        <v>5337</v>
      </c>
      <c r="B1188" s="35"/>
      <c r="C1188" s="35">
        <v>18.0</v>
      </c>
      <c r="D1188" s="35" t="s">
        <v>2065</v>
      </c>
      <c r="E1188" s="35">
        <v>46027.0</v>
      </c>
      <c r="F1188" s="35">
        <v>0.0</v>
      </c>
      <c r="G1188" s="35">
        <v>0.0</v>
      </c>
      <c r="H1188" s="35">
        <v>1.0</v>
      </c>
      <c r="I1188" s="35">
        <v>0.0</v>
      </c>
      <c r="J1188" s="35"/>
      <c r="K1188" s="35">
        <v>0.0</v>
      </c>
    </row>
    <row r="1189" ht="15.75" customHeight="1">
      <c r="A1189" s="35" t="s">
        <v>1450</v>
      </c>
      <c r="B1189" s="35"/>
      <c r="C1189" s="35">
        <v>18.0</v>
      </c>
      <c r="D1189" s="35" t="s">
        <v>3390</v>
      </c>
      <c r="E1189" s="35">
        <v>46027.0</v>
      </c>
      <c r="F1189" s="35">
        <v>0.0</v>
      </c>
      <c r="G1189" s="35">
        <v>4.0</v>
      </c>
      <c r="H1189" s="35">
        <v>0.0</v>
      </c>
      <c r="I1189" s="35">
        <v>0.0</v>
      </c>
      <c r="J1189" s="35"/>
      <c r="K1189" s="35">
        <v>0.0</v>
      </c>
    </row>
    <row r="1190" ht="15.75" customHeight="1">
      <c r="A1190" s="35" t="s">
        <v>5339</v>
      </c>
      <c r="B1190" s="35"/>
      <c r="C1190" s="35">
        <v>18.0</v>
      </c>
      <c r="D1190" s="35" t="s">
        <v>4791</v>
      </c>
      <c r="E1190" s="35">
        <v>46027.0</v>
      </c>
      <c r="F1190" s="35">
        <v>0.0</v>
      </c>
      <c r="G1190" s="35">
        <v>14.0</v>
      </c>
      <c r="H1190" s="35">
        <v>0.0</v>
      </c>
      <c r="I1190" s="35">
        <v>0.0</v>
      </c>
      <c r="J1190" s="35"/>
      <c r="K1190" s="35">
        <v>0.0</v>
      </c>
    </row>
    <row r="1191" ht="15.75" customHeight="1">
      <c r="A1191" s="35" t="s">
        <v>1461</v>
      </c>
      <c r="B1191" s="35"/>
      <c r="C1191" s="35">
        <v>18.0</v>
      </c>
      <c r="D1191" s="35">
        <v>856.0</v>
      </c>
      <c r="E1191" s="35">
        <v>46027.0</v>
      </c>
      <c r="F1191" s="35">
        <v>0.0</v>
      </c>
      <c r="G1191" s="35">
        <v>1.0</v>
      </c>
      <c r="H1191" s="35">
        <v>0.0</v>
      </c>
      <c r="I1191" s="35">
        <v>0.0</v>
      </c>
      <c r="J1191" s="35"/>
      <c r="K1191" s="35">
        <v>0.0</v>
      </c>
    </row>
    <row r="1192" ht="15.75" customHeight="1">
      <c r="A1192" s="35" t="s">
        <v>5341</v>
      </c>
      <c r="B1192" s="35"/>
      <c r="C1192" s="35">
        <v>18.0</v>
      </c>
      <c r="D1192" s="35" t="s">
        <v>2039</v>
      </c>
      <c r="E1192" s="35">
        <v>46027.0</v>
      </c>
      <c r="F1192" s="35">
        <v>0.0</v>
      </c>
      <c r="G1192" s="35">
        <v>0.0</v>
      </c>
      <c r="H1192" s="35">
        <v>4.0</v>
      </c>
      <c r="I1192" s="35">
        <v>0.0</v>
      </c>
      <c r="J1192" s="35"/>
      <c r="K1192" s="35">
        <v>0.0</v>
      </c>
    </row>
    <row r="1193" ht="15.75" customHeight="1">
      <c r="A1193" s="35" t="s">
        <v>5343</v>
      </c>
      <c r="B1193" s="35"/>
      <c r="C1193" s="35">
        <v>18.0</v>
      </c>
      <c r="D1193" s="35">
        <v>732.0</v>
      </c>
      <c r="E1193" s="35">
        <v>46027.0</v>
      </c>
      <c r="F1193" s="35">
        <v>0.0</v>
      </c>
      <c r="G1193" s="35">
        <v>1.0</v>
      </c>
      <c r="H1193" s="35">
        <v>0.0</v>
      </c>
      <c r="I1193" s="35">
        <v>0.0</v>
      </c>
      <c r="J1193" s="35"/>
      <c r="K1193" s="35">
        <v>0.0</v>
      </c>
    </row>
    <row r="1194" ht="15.75" customHeight="1">
      <c r="A1194" s="35" t="s">
        <v>5344</v>
      </c>
      <c r="B1194" s="35"/>
      <c r="C1194" s="35">
        <v>18.0</v>
      </c>
      <c r="D1194" s="35">
        <v>210.0</v>
      </c>
      <c r="E1194" s="35">
        <v>46027.0</v>
      </c>
      <c r="F1194" s="35">
        <v>0.0</v>
      </c>
      <c r="G1194" s="35">
        <v>2.0</v>
      </c>
      <c r="H1194" s="35">
        <v>0.0</v>
      </c>
      <c r="I1194" s="35">
        <v>0.0</v>
      </c>
      <c r="J1194" s="35"/>
      <c r="K1194" s="35">
        <v>0.0</v>
      </c>
    </row>
    <row r="1195" ht="15.75" customHeight="1">
      <c r="A1195" s="35" t="s">
        <v>5346</v>
      </c>
      <c r="B1195" s="35"/>
      <c r="C1195" s="35">
        <v>18.0</v>
      </c>
      <c r="D1195" s="35" t="s">
        <v>2144</v>
      </c>
      <c r="E1195" s="35">
        <v>46027.0</v>
      </c>
      <c r="F1195" s="35">
        <v>0.0</v>
      </c>
      <c r="G1195" s="35">
        <v>0.0</v>
      </c>
      <c r="H1195" s="35">
        <v>0.0</v>
      </c>
      <c r="I1195" s="35">
        <v>2.0</v>
      </c>
      <c r="J1195" s="35"/>
      <c r="K1195" s="35">
        <v>0.0</v>
      </c>
    </row>
    <row r="1196" ht="15.75" customHeight="1">
      <c r="A1196" s="35" t="s">
        <v>5347</v>
      </c>
      <c r="B1196" s="35"/>
      <c r="C1196" s="35">
        <v>18.0</v>
      </c>
      <c r="D1196" s="35">
        <v>193.0</v>
      </c>
      <c r="E1196" s="35">
        <v>46027.0</v>
      </c>
      <c r="F1196" s="35">
        <v>0.0</v>
      </c>
      <c r="G1196" s="35">
        <v>1.0</v>
      </c>
      <c r="H1196" s="35">
        <v>0.0</v>
      </c>
      <c r="I1196" s="35">
        <v>0.0</v>
      </c>
      <c r="J1196" s="35"/>
      <c r="K1196" s="35">
        <v>0.0</v>
      </c>
    </row>
    <row r="1197" ht="15.75" customHeight="1">
      <c r="A1197" s="35" t="s">
        <v>5349</v>
      </c>
      <c r="B1197" s="35"/>
      <c r="C1197" s="35">
        <v>18.0</v>
      </c>
      <c r="D1197" s="35" t="s">
        <v>4380</v>
      </c>
      <c r="E1197" s="35">
        <v>46027.0</v>
      </c>
      <c r="F1197" s="35">
        <v>0.0</v>
      </c>
      <c r="G1197" s="35">
        <v>0.0</v>
      </c>
      <c r="H1197" s="35">
        <v>2.0</v>
      </c>
      <c r="I1197" s="35">
        <v>0.0</v>
      </c>
      <c r="J1197" s="35"/>
      <c r="K1197" s="35">
        <v>0.0</v>
      </c>
    </row>
    <row r="1198" ht="15.75" customHeight="1">
      <c r="A1198" s="35" t="s">
        <v>1470</v>
      </c>
      <c r="B1198" s="35"/>
      <c r="C1198" s="35">
        <v>18.0</v>
      </c>
      <c r="D1198" s="35" t="s">
        <v>4635</v>
      </c>
      <c r="E1198" s="35">
        <v>46027.0</v>
      </c>
      <c r="F1198" s="35">
        <v>0.0</v>
      </c>
      <c r="G1198" s="35">
        <v>1.0</v>
      </c>
      <c r="H1198" s="35">
        <v>0.0</v>
      </c>
      <c r="I1198" s="35">
        <v>0.0</v>
      </c>
      <c r="J1198" s="35"/>
      <c r="K1198" s="35">
        <v>0.0</v>
      </c>
    </row>
    <row r="1199" ht="15.75" customHeight="1">
      <c r="A1199" s="35" t="s">
        <v>5350</v>
      </c>
      <c r="B1199" s="35"/>
      <c r="C1199" s="35">
        <v>18.0</v>
      </c>
      <c r="D1199" s="35" t="s">
        <v>5352</v>
      </c>
      <c r="E1199" s="35">
        <v>46027.0</v>
      </c>
      <c r="F1199" s="35">
        <v>0.0</v>
      </c>
      <c r="G1199" s="35">
        <v>3.0</v>
      </c>
      <c r="H1199" s="35">
        <v>0.0</v>
      </c>
      <c r="I1199" s="35">
        <v>0.0</v>
      </c>
      <c r="J1199" s="35"/>
      <c r="K1199" s="35">
        <v>0.0</v>
      </c>
    </row>
    <row r="1200" ht="15.75" customHeight="1">
      <c r="A1200" s="35" t="s">
        <v>5353</v>
      </c>
      <c r="B1200" s="35"/>
      <c r="C1200" s="35">
        <v>18.0</v>
      </c>
      <c r="D1200" s="35" t="s">
        <v>4882</v>
      </c>
      <c r="E1200" s="35">
        <v>46027.0</v>
      </c>
      <c r="F1200" s="35">
        <v>0.0</v>
      </c>
      <c r="G1200" s="35">
        <v>2.0</v>
      </c>
      <c r="H1200" s="35">
        <v>0.0</v>
      </c>
      <c r="I1200" s="35">
        <v>0.0</v>
      </c>
      <c r="J1200" s="35"/>
      <c r="K1200" s="35">
        <v>0.0</v>
      </c>
    </row>
    <row r="1201" ht="15.75" customHeight="1">
      <c r="A1201" s="35" t="s">
        <v>5355</v>
      </c>
      <c r="B1201" s="35"/>
      <c r="C1201" s="35">
        <v>18.0</v>
      </c>
      <c r="D1201" s="35" t="s">
        <v>2164</v>
      </c>
      <c r="E1201" s="35">
        <v>46027.0</v>
      </c>
      <c r="F1201" s="35">
        <v>0.0</v>
      </c>
      <c r="G1201" s="35">
        <v>2.0</v>
      </c>
      <c r="H1201" s="35">
        <v>0.0</v>
      </c>
      <c r="I1201" s="35">
        <v>0.0</v>
      </c>
      <c r="J1201" s="35"/>
      <c r="K1201" s="35">
        <v>0.0</v>
      </c>
    </row>
    <row r="1202" ht="15.75" customHeight="1">
      <c r="A1202" s="35" t="s">
        <v>5356</v>
      </c>
      <c r="B1202" s="35"/>
      <c r="C1202" s="35">
        <v>18.0</v>
      </c>
      <c r="D1202" s="35">
        <v>832.0</v>
      </c>
      <c r="E1202" s="35">
        <v>46027.0</v>
      </c>
      <c r="F1202" s="35">
        <v>0.0</v>
      </c>
      <c r="G1202" s="35">
        <v>0.0</v>
      </c>
      <c r="H1202" s="35">
        <v>1.0</v>
      </c>
      <c r="I1202" s="35">
        <v>0.0</v>
      </c>
      <c r="J1202" s="35"/>
      <c r="K1202" s="35">
        <v>0.0</v>
      </c>
    </row>
    <row r="1203" ht="15.75" customHeight="1">
      <c r="A1203" s="35" t="s">
        <v>5357</v>
      </c>
      <c r="B1203" s="35"/>
      <c r="C1203" s="35">
        <v>18.0</v>
      </c>
      <c r="D1203" s="35">
        <v>588.0</v>
      </c>
      <c r="E1203" s="35">
        <v>46027.0</v>
      </c>
      <c r="F1203" s="35">
        <v>0.0</v>
      </c>
      <c r="G1203" s="35">
        <v>1.0</v>
      </c>
      <c r="H1203" s="35">
        <v>0.0</v>
      </c>
      <c r="I1203" s="35">
        <v>0.0</v>
      </c>
      <c r="J1203" s="35"/>
      <c r="K1203" s="35">
        <v>0.0</v>
      </c>
    </row>
    <row r="1204" ht="15.75" customHeight="1">
      <c r="A1204" s="35" t="s">
        <v>5359</v>
      </c>
      <c r="B1204" s="35"/>
      <c r="C1204" s="35">
        <v>18.0</v>
      </c>
      <c r="D1204" s="35">
        <v>331.0</v>
      </c>
      <c r="E1204" s="35">
        <v>46027.0</v>
      </c>
      <c r="F1204" s="35">
        <v>0.0</v>
      </c>
      <c r="G1204" s="35">
        <v>0.0</v>
      </c>
      <c r="H1204" s="35">
        <v>0.0</v>
      </c>
      <c r="I1204" s="35">
        <v>2.0</v>
      </c>
      <c r="J1204" s="35"/>
      <c r="K1204" s="35">
        <v>0.0</v>
      </c>
    </row>
    <row r="1205" ht="15.75" customHeight="1">
      <c r="A1205" s="35" t="s">
        <v>5360</v>
      </c>
      <c r="B1205" s="35"/>
      <c r="C1205" s="35">
        <v>18.0</v>
      </c>
      <c r="D1205" s="35" t="s">
        <v>2019</v>
      </c>
      <c r="E1205" s="35">
        <v>46027.0</v>
      </c>
      <c r="F1205" s="35">
        <v>0.0</v>
      </c>
      <c r="G1205" s="35">
        <v>1.0</v>
      </c>
      <c r="H1205" s="35">
        <v>0.0</v>
      </c>
      <c r="I1205" s="35">
        <v>0.0</v>
      </c>
      <c r="J1205" s="35"/>
      <c r="K1205" s="35">
        <v>0.0</v>
      </c>
    </row>
    <row r="1206" ht="15.75" customHeight="1">
      <c r="A1206" s="35" t="s">
        <v>5362</v>
      </c>
      <c r="B1206" s="35"/>
      <c r="C1206" s="35">
        <v>18.0</v>
      </c>
      <c r="D1206" s="35" t="s">
        <v>4523</v>
      </c>
      <c r="E1206" s="35">
        <v>46027.0</v>
      </c>
      <c r="F1206" s="35">
        <v>0.0</v>
      </c>
      <c r="G1206" s="35">
        <v>4.0</v>
      </c>
      <c r="H1206" s="35">
        <v>0.0</v>
      </c>
      <c r="I1206" s="35">
        <v>0.0</v>
      </c>
      <c r="J1206" s="35"/>
      <c r="K1206" s="35">
        <v>0.0</v>
      </c>
    </row>
    <row r="1207" ht="15.75" customHeight="1">
      <c r="A1207" s="35" t="s">
        <v>5363</v>
      </c>
      <c r="B1207" s="35"/>
      <c r="C1207" s="35">
        <v>18.0</v>
      </c>
      <c r="D1207" s="35">
        <v>256.0</v>
      </c>
      <c r="E1207" s="35">
        <v>46027.0</v>
      </c>
      <c r="F1207" s="35">
        <v>0.0</v>
      </c>
      <c r="G1207" s="35">
        <v>1.0</v>
      </c>
      <c r="H1207" s="35">
        <v>0.0</v>
      </c>
      <c r="I1207" s="35">
        <v>0.0</v>
      </c>
      <c r="J1207" s="35"/>
      <c r="K1207" s="35">
        <v>0.0</v>
      </c>
    </row>
    <row r="1208" ht="15.75" customHeight="1">
      <c r="A1208" s="35" t="s">
        <v>5365</v>
      </c>
      <c r="B1208" s="35"/>
      <c r="C1208" s="35">
        <v>18.0</v>
      </c>
      <c r="D1208" s="35">
        <v>10.0</v>
      </c>
      <c r="E1208" s="35">
        <v>46027.0</v>
      </c>
      <c r="F1208" s="35">
        <v>0.0</v>
      </c>
      <c r="G1208" s="35">
        <v>3.0</v>
      </c>
      <c r="H1208" s="35">
        <v>0.0</v>
      </c>
      <c r="I1208" s="35">
        <v>0.0</v>
      </c>
      <c r="J1208" s="35"/>
      <c r="K1208" s="35">
        <v>0.0</v>
      </c>
    </row>
    <row r="1209" ht="15.75" customHeight="1">
      <c r="A1209" s="35" t="s">
        <v>5366</v>
      </c>
      <c r="B1209" s="35"/>
      <c r="C1209" s="35">
        <v>18.0</v>
      </c>
      <c r="D1209" s="35" t="s">
        <v>2018</v>
      </c>
      <c r="E1209" s="35">
        <v>46027.0</v>
      </c>
      <c r="F1209" s="35">
        <v>0.0</v>
      </c>
      <c r="G1209" s="35">
        <v>1.0</v>
      </c>
      <c r="H1209" s="35">
        <v>0.0</v>
      </c>
      <c r="I1209" s="35">
        <v>0.0</v>
      </c>
      <c r="J1209" s="35"/>
      <c r="K1209" s="35">
        <v>0.0</v>
      </c>
    </row>
    <row r="1210" ht="15.75" customHeight="1">
      <c r="A1210" s="35" t="s">
        <v>5368</v>
      </c>
      <c r="B1210" s="35"/>
      <c r="C1210" s="35">
        <v>18.0</v>
      </c>
      <c r="D1210" s="35">
        <v>750.0</v>
      </c>
      <c r="E1210" s="35">
        <v>46027.0</v>
      </c>
      <c r="F1210" s="35">
        <v>0.0</v>
      </c>
      <c r="G1210" s="35">
        <v>0.0</v>
      </c>
      <c r="H1210" s="35">
        <v>0.0</v>
      </c>
      <c r="I1210" s="35">
        <v>2.0</v>
      </c>
      <c r="J1210" s="35"/>
      <c r="K1210" s="35">
        <v>0.0</v>
      </c>
    </row>
    <row r="1211" ht="15.75" customHeight="1">
      <c r="A1211" s="35" t="s">
        <v>5369</v>
      </c>
      <c r="B1211" s="35"/>
      <c r="C1211" s="35">
        <v>18.0</v>
      </c>
      <c r="D1211" s="35">
        <v>408.0</v>
      </c>
      <c r="E1211" s="35">
        <v>46027.0</v>
      </c>
      <c r="F1211" s="35">
        <v>0.0</v>
      </c>
      <c r="G1211" s="35">
        <v>10.0</v>
      </c>
      <c r="H1211" s="35">
        <v>0.0</v>
      </c>
      <c r="I1211" s="35">
        <v>0.0</v>
      </c>
      <c r="J1211" s="35"/>
      <c r="K1211" s="35">
        <v>0.0</v>
      </c>
    </row>
    <row r="1212" ht="15.75" customHeight="1">
      <c r="A1212" s="35" t="s">
        <v>5370</v>
      </c>
      <c r="B1212" s="35"/>
      <c r="C1212" s="35">
        <v>18.0</v>
      </c>
      <c r="D1212" s="35" t="s">
        <v>4635</v>
      </c>
      <c r="E1212" s="35">
        <v>46027.0</v>
      </c>
      <c r="F1212" s="35">
        <v>0.0</v>
      </c>
      <c r="G1212" s="35">
        <v>0.0</v>
      </c>
      <c r="H1212" s="35">
        <v>0.0</v>
      </c>
      <c r="I1212" s="35">
        <v>0.0</v>
      </c>
      <c r="J1212" s="35"/>
      <c r="K1212" s="35">
        <v>2.0</v>
      </c>
    </row>
    <row r="1213" ht="15.75" customHeight="1">
      <c r="A1213" s="35" t="s">
        <v>5372</v>
      </c>
      <c r="B1213" s="35"/>
      <c r="C1213" s="35">
        <v>18.0</v>
      </c>
      <c r="D1213" s="35">
        <v>369.0</v>
      </c>
      <c r="E1213" s="35">
        <v>46027.0</v>
      </c>
      <c r="F1213" s="35">
        <v>0.0</v>
      </c>
      <c r="G1213" s="35">
        <v>2.0</v>
      </c>
      <c r="H1213" s="35">
        <v>0.0</v>
      </c>
      <c r="I1213" s="35">
        <v>0.0</v>
      </c>
      <c r="J1213" s="35"/>
      <c r="K1213" s="35">
        <v>0.0</v>
      </c>
    </row>
    <row r="1214" ht="15.75" customHeight="1">
      <c r="A1214" s="35" t="s">
        <v>5373</v>
      </c>
      <c r="B1214" s="35"/>
      <c r="C1214" s="35">
        <v>18.0</v>
      </c>
      <c r="D1214" s="35" t="s">
        <v>4635</v>
      </c>
      <c r="E1214" s="35">
        <v>46027.0</v>
      </c>
      <c r="F1214" s="35">
        <v>0.0</v>
      </c>
      <c r="G1214" s="35">
        <v>2.0</v>
      </c>
      <c r="H1214" s="35">
        <v>0.0</v>
      </c>
      <c r="I1214" s="35">
        <v>0.0</v>
      </c>
      <c r="J1214" s="35"/>
      <c r="K1214" s="35">
        <v>0.0</v>
      </c>
    </row>
    <row r="1215" ht="15.75" customHeight="1">
      <c r="A1215" s="35" t="s">
        <v>5375</v>
      </c>
      <c r="B1215" s="35"/>
      <c r="C1215" s="35">
        <v>18.0</v>
      </c>
      <c r="D1215" s="35" t="s">
        <v>2004</v>
      </c>
      <c r="E1215" s="35">
        <v>46027.0</v>
      </c>
      <c r="F1215" s="35">
        <v>0.0</v>
      </c>
      <c r="G1215" s="35">
        <v>3.0</v>
      </c>
      <c r="H1215" s="35">
        <v>0.0</v>
      </c>
      <c r="I1215" s="35">
        <v>0.0</v>
      </c>
      <c r="J1215" s="35"/>
      <c r="K1215" s="35">
        <v>0.0</v>
      </c>
    </row>
    <row r="1216" ht="15.75" customHeight="1">
      <c r="A1216" s="35" t="s">
        <v>5376</v>
      </c>
      <c r="B1216" s="35"/>
      <c r="C1216" s="35">
        <v>18.0</v>
      </c>
      <c r="D1216" s="35" t="s">
        <v>4780</v>
      </c>
      <c r="E1216" s="35">
        <v>46027.0</v>
      </c>
      <c r="F1216" s="35">
        <v>0.0</v>
      </c>
      <c r="G1216" s="35">
        <v>1.0</v>
      </c>
      <c r="H1216" s="35">
        <v>0.0</v>
      </c>
      <c r="I1216" s="35">
        <v>0.0</v>
      </c>
      <c r="J1216" s="35"/>
      <c r="K1216" s="35">
        <v>0.0</v>
      </c>
    </row>
    <row r="1217" ht="15.75" customHeight="1">
      <c r="A1217" s="35" t="s">
        <v>1481</v>
      </c>
      <c r="B1217" s="35"/>
      <c r="C1217" s="35">
        <v>18.0</v>
      </c>
      <c r="D1217" s="35" t="s">
        <v>4635</v>
      </c>
      <c r="E1217" s="35">
        <v>46027.0</v>
      </c>
      <c r="F1217" s="35">
        <v>0.0</v>
      </c>
      <c r="G1217" s="35">
        <v>1.0</v>
      </c>
      <c r="H1217" s="35">
        <v>0.0</v>
      </c>
      <c r="I1217" s="35">
        <v>0.0</v>
      </c>
      <c r="J1217" s="35"/>
      <c r="K1217" s="35">
        <v>0.0</v>
      </c>
    </row>
    <row r="1218" ht="15.75" customHeight="1">
      <c r="A1218" s="35" t="s">
        <v>5378</v>
      </c>
      <c r="B1218" s="35"/>
      <c r="C1218" s="35">
        <v>18.0</v>
      </c>
      <c r="D1218" s="35">
        <v>597.0</v>
      </c>
      <c r="E1218" s="35">
        <v>46027.0</v>
      </c>
      <c r="F1218" s="35">
        <v>0.0</v>
      </c>
      <c r="G1218" s="35">
        <v>0.0</v>
      </c>
      <c r="H1218" s="35">
        <v>1.0</v>
      </c>
      <c r="I1218" s="35">
        <v>0.0</v>
      </c>
      <c r="J1218" s="35"/>
      <c r="K1218" s="35">
        <v>0.0</v>
      </c>
    </row>
    <row r="1219" ht="15.75" customHeight="1">
      <c r="A1219" s="35" t="s">
        <v>5380</v>
      </c>
      <c r="B1219" s="35"/>
      <c r="C1219" s="35">
        <v>18.0</v>
      </c>
      <c r="D1219" s="35">
        <v>163.0</v>
      </c>
      <c r="E1219" s="35">
        <v>46027.0</v>
      </c>
      <c r="F1219" s="35">
        <v>0.0</v>
      </c>
      <c r="G1219" s="35">
        <v>1.0</v>
      </c>
      <c r="H1219" s="35">
        <v>0.0</v>
      </c>
      <c r="I1219" s="35">
        <v>0.0</v>
      </c>
      <c r="J1219" s="35"/>
      <c r="K1219" s="35">
        <v>0.0</v>
      </c>
    </row>
    <row r="1220" ht="15.75" customHeight="1">
      <c r="A1220" s="35" t="s">
        <v>5381</v>
      </c>
      <c r="B1220" s="35"/>
      <c r="C1220" s="35">
        <v>18.0</v>
      </c>
      <c r="D1220" s="35">
        <v>104.0</v>
      </c>
      <c r="E1220" s="35">
        <v>46027.0</v>
      </c>
      <c r="F1220" s="35">
        <v>0.0</v>
      </c>
      <c r="G1220" s="35">
        <v>3.0</v>
      </c>
      <c r="H1220" s="35">
        <v>0.0</v>
      </c>
      <c r="I1220" s="35">
        <v>0.0</v>
      </c>
      <c r="J1220" s="35"/>
      <c r="K1220" s="35">
        <v>0.0</v>
      </c>
    </row>
    <row r="1221" ht="15.75" customHeight="1">
      <c r="A1221" s="35" t="s">
        <v>5383</v>
      </c>
      <c r="B1221" s="35"/>
      <c r="C1221" s="35">
        <v>18.0</v>
      </c>
      <c r="D1221" s="35" t="s">
        <v>3931</v>
      </c>
      <c r="E1221" s="35">
        <v>46027.0</v>
      </c>
      <c r="F1221" s="35">
        <v>0.0</v>
      </c>
      <c r="G1221" s="35">
        <v>2.0</v>
      </c>
      <c r="H1221" s="35">
        <v>0.0</v>
      </c>
      <c r="I1221" s="35">
        <v>0.0</v>
      </c>
      <c r="J1221" s="35"/>
      <c r="K1221" s="35">
        <v>0.0</v>
      </c>
    </row>
    <row r="1222" ht="15.75" customHeight="1">
      <c r="A1222" s="35" t="s">
        <v>5385</v>
      </c>
      <c r="B1222" s="35"/>
      <c r="C1222" s="35">
        <v>18.0</v>
      </c>
      <c r="D1222" s="35" t="s">
        <v>4521</v>
      </c>
      <c r="E1222" s="35">
        <v>46027.0</v>
      </c>
      <c r="F1222" s="35">
        <v>0.0</v>
      </c>
      <c r="G1222" s="35">
        <v>3.0</v>
      </c>
      <c r="H1222" s="35">
        <v>0.0</v>
      </c>
      <c r="I1222" s="35">
        <v>0.0</v>
      </c>
      <c r="J1222" s="35"/>
      <c r="K1222" s="35">
        <v>0.0</v>
      </c>
    </row>
    <row r="1223" ht="15.75" customHeight="1">
      <c r="A1223" s="35" t="s">
        <v>5386</v>
      </c>
      <c r="B1223" s="35"/>
      <c r="C1223" s="35">
        <v>18.0</v>
      </c>
      <c r="D1223" s="35">
        <v>450.0</v>
      </c>
      <c r="E1223" s="35">
        <v>46027.0</v>
      </c>
      <c r="F1223" s="35">
        <v>0.0</v>
      </c>
      <c r="G1223" s="35">
        <v>2.0</v>
      </c>
      <c r="H1223" s="35">
        <v>0.0</v>
      </c>
      <c r="I1223" s="35">
        <v>0.0</v>
      </c>
      <c r="J1223" s="35"/>
      <c r="K1223" s="35">
        <v>0.0</v>
      </c>
    </row>
    <row r="1224" ht="15.75" customHeight="1">
      <c r="A1224" s="35" t="s">
        <v>5387</v>
      </c>
      <c r="B1224" s="35"/>
      <c r="C1224" s="35">
        <v>17.0</v>
      </c>
      <c r="D1224" s="35" t="s">
        <v>5389</v>
      </c>
      <c r="E1224" s="35">
        <v>46086.0</v>
      </c>
      <c r="F1224" s="35">
        <v>0.0</v>
      </c>
      <c r="G1224" s="35">
        <v>9.0</v>
      </c>
      <c r="H1224" s="35">
        <v>1.0</v>
      </c>
      <c r="I1224" s="35">
        <v>0.0</v>
      </c>
      <c r="J1224" s="35"/>
      <c r="K1224" s="35">
        <v>1.0</v>
      </c>
    </row>
    <row r="1225" ht="15.75" customHeight="1">
      <c r="A1225" s="35" t="s">
        <v>5390</v>
      </c>
      <c r="B1225" s="35"/>
      <c r="C1225" s="35">
        <v>17.0</v>
      </c>
      <c r="D1225" s="35" t="s">
        <v>5131</v>
      </c>
      <c r="E1225" s="35">
        <v>46058.0</v>
      </c>
      <c r="F1225" s="35">
        <v>0.0</v>
      </c>
      <c r="G1225" s="35">
        <v>8.0</v>
      </c>
      <c r="H1225" s="35">
        <v>0.0</v>
      </c>
      <c r="I1225" s="35">
        <v>0.0</v>
      </c>
      <c r="J1225" s="35"/>
      <c r="K1225" s="35">
        <v>1.0</v>
      </c>
    </row>
    <row r="1226" ht="15.75" customHeight="1">
      <c r="A1226" s="35" t="s">
        <v>5391</v>
      </c>
      <c r="B1226" s="35"/>
      <c r="C1226" s="35">
        <v>17.0</v>
      </c>
      <c r="D1226" s="35" t="s">
        <v>4241</v>
      </c>
      <c r="E1226" s="35">
        <v>46058.0</v>
      </c>
      <c r="F1226" s="35">
        <v>0.0</v>
      </c>
      <c r="G1226" s="35">
        <v>1.0</v>
      </c>
      <c r="H1226" s="35">
        <v>0.0</v>
      </c>
      <c r="I1226" s="35">
        <v>1.0</v>
      </c>
      <c r="J1226" s="35"/>
      <c r="K1226" s="35">
        <v>0.0</v>
      </c>
    </row>
    <row r="1227" ht="15.75" customHeight="1">
      <c r="A1227" s="35" t="s">
        <v>5393</v>
      </c>
      <c r="B1227" s="35"/>
      <c r="C1227" s="35">
        <v>17.0</v>
      </c>
      <c r="D1227" s="35" t="s">
        <v>4256</v>
      </c>
      <c r="E1227" s="35">
        <v>46027.0</v>
      </c>
      <c r="F1227" s="35">
        <v>0.0</v>
      </c>
      <c r="G1227" s="35">
        <v>0.0</v>
      </c>
      <c r="H1227" s="35">
        <v>4.0</v>
      </c>
      <c r="I1227" s="35">
        <v>0.0</v>
      </c>
      <c r="J1227" s="35"/>
      <c r="K1227" s="35">
        <v>0.0</v>
      </c>
    </row>
    <row r="1228" ht="15.75" customHeight="1">
      <c r="A1228" s="35" t="s">
        <v>5394</v>
      </c>
      <c r="B1228" s="35"/>
      <c r="C1228" s="35">
        <v>17.0</v>
      </c>
      <c r="D1228" s="35" t="s">
        <v>2019</v>
      </c>
      <c r="E1228" s="35">
        <v>46027.0</v>
      </c>
      <c r="F1228" s="35">
        <v>0.0</v>
      </c>
      <c r="G1228" s="35">
        <v>1.0</v>
      </c>
      <c r="H1228" s="35">
        <v>0.0</v>
      </c>
      <c r="I1228" s="35">
        <v>0.0</v>
      </c>
      <c r="J1228" s="35"/>
      <c r="K1228" s="35">
        <v>0.0</v>
      </c>
    </row>
    <row r="1229" ht="15.75" customHeight="1">
      <c r="A1229" s="35" t="s">
        <v>5396</v>
      </c>
      <c r="B1229" s="35"/>
      <c r="C1229" s="35">
        <v>17.0</v>
      </c>
      <c r="D1229" s="35" t="s">
        <v>2060</v>
      </c>
      <c r="E1229" s="35">
        <v>46027.0</v>
      </c>
      <c r="F1229" s="35">
        <v>0.0</v>
      </c>
      <c r="G1229" s="35">
        <v>2.0</v>
      </c>
      <c r="H1229" s="35">
        <v>0.0</v>
      </c>
      <c r="I1229" s="35">
        <v>0.0</v>
      </c>
      <c r="J1229" s="35"/>
      <c r="K1229" s="35">
        <v>0.0</v>
      </c>
    </row>
    <row r="1230" ht="15.75" customHeight="1">
      <c r="A1230" s="35" t="s">
        <v>5397</v>
      </c>
      <c r="B1230" s="35"/>
      <c r="C1230" s="35">
        <v>17.0</v>
      </c>
      <c r="D1230" s="35">
        <v>11.0</v>
      </c>
      <c r="E1230" s="35">
        <v>46027.0</v>
      </c>
      <c r="F1230" s="35">
        <v>0.0</v>
      </c>
      <c r="G1230" s="35">
        <v>1.0</v>
      </c>
      <c r="H1230" s="35">
        <v>0.0</v>
      </c>
      <c r="I1230" s="35">
        <v>0.0</v>
      </c>
      <c r="J1230" s="35"/>
      <c r="K1230" s="35">
        <v>0.0</v>
      </c>
    </row>
    <row r="1231" ht="15.75" customHeight="1">
      <c r="A1231" s="35" t="s">
        <v>5398</v>
      </c>
      <c r="B1231" s="35"/>
      <c r="C1231" s="35">
        <v>17.0</v>
      </c>
      <c r="D1231" s="35">
        <v>110.0</v>
      </c>
      <c r="E1231" s="35">
        <v>46027.0</v>
      </c>
      <c r="F1231" s="35">
        <v>0.0</v>
      </c>
      <c r="G1231" s="35">
        <v>1.0</v>
      </c>
      <c r="H1231" s="35">
        <v>0.0</v>
      </c>
      <c r="I1231" s="35">
        <v>0.0</v>
      </c>
      <c r="J1231" s="35"/>
      <c r="K1231" s="35">
        <v>0.0</v>
      </c>
    </row>
    <row r="1232" ht="15.75" customHeight="1">
      <c r="A1232" s="35" t="s">
        <v>5400</v>
      </c>
      <c r="B1232" s="35"/>
      <c r="C1232" s="35">
        <v>17.0</v>
      </c>
      <c r="D1232" s="35" t="s">
        <v>5401</v>
      </c>
      <c r="E1232" s="35">
        <v>46027.0</v>
      </c>
      <c r="F1232" s="35">
        <v>0.0</v>
      </c>
      <c r="G1232" s="35">
        <v>0.0</v>
      </c>
      <c r="H1232" s="35">
        <v>3.0</v>
      </c>
      <c r="I1232" s="35">
        <v>0.0</v>
      </c>
      <c r="J1232" s="35"/>
      <c r="K1232" s="35">
        <v>0.0</v>
      </c>
    </row>
    <row r="1233" ht="15.75" customHeight="1">
      <c r="A1233" s="35" t="s">
        <v>5402</v>
      </c>
      <c r="B1233" s="35"/>
      <c r="C1233" s="35">
        <v>17.0</v>
      </c>
      <c r="D1233" s="35" t="s">
        <v>2019</v>
      </c>
      <c r="E1233" s="35">
        <v>46027.0</v>
      </c>
      <c r="F1233" s="35">
        <v>0.0</v>
      </c>
      <c r="G1233" s="35">
        <v>15.0</v>
      </c>
      <c r="H1233" s="35">
        <v>0.0</v>
      </c>
      <c r="I1233" s="35">
        <v>0.0</v>
      </c>
      <c r="J1233" s="35"/>
      <c r="K1233" s="35">
        <v>0.0</v>
      </c>
    </row>
    <row r="1234" ht="15.75" customHeight="1">
      <c r="A1234" s="35" t="s">
        <v>5404</v>
      </c>
      <c r="B1234" s="35"/>
      <c r="C1234" s="35">
        <v>17.0</v>
      </c>
      <c r="D1234" s="35" t="s">
        <v>4965</v>
      </c>
      <c r="E1234" s="35">
        <v>46027.0</v>
      </c>
      <c r="F1234" s="35">
        <v>0.0</v>
      </c>
      <c r="G1234" s="35">
        <v>21.0</v>
      </c>
      <c r="H1234" s="35">
        <v>0.0</v>
      </c>
      <c r="I1234" s="35">
        <v>0.0</v>
      </c>
      <c r="J1234" s="35"/>
      <c r="K1234" s="35">
        <v>0.0</v>
      </c>
    </row>
    <row r="1235" ht="15.75" customHeight="1">
      <c r="A1235" s="35" t="s">
        <v>1493</v>
      </c>
      <c r="B1235" s="35"/>
      <c r="C1235" s="35">
        <v>17.0</v>
      </c>
      <c r="D1235" s="35" t="s">
        <v>4284</v>
      </c>
      <c r="E1235" s="35">
        <v>46027.0</v>
      </c>
      <c r="F1235" s="35">
        <v>0.0</v>
      </c>
      <c r="G1235" s="35">
        <v>1.0</v>
      </c>
      <c r="H1235" s="35">
        <v>0.0</v>
      </c>
      <c r="I1235" s="35">
        <v>0.0</v>
      </c>
      <c r="J1235" s="35"/>
      <c r="K1235" s="35">
        <v>0.0</v>
      </c>
    </row>
    <row r="1236" ht="15.75" customHeight="1">
      <c r="A1236" s="35" t="s">
        <v>1501</v>
      </c>
      <c r="B1236" s="35"/>
      <c r="C1236" s="35">
        <v>17.0</v>
      </c>
      <c r="D1236" s="35" t="s">
        <v>5406</v>
      </c>
      <c r="E1236" s="35">
        <v>46027.0</v>
      </c>
      <c r="F1236" s="35">
        <v>0.0</v>
      </c>
      <c r="G1236" s="35">
        <v>1.0</v>
      </c>
      <c r="H1236" s="35">
        <v>0.0</v>
      </c>
      <c r="I1236" s="35">
        <v>0.0</v>
      </c>
      <c r="J1236" s="35"/>
      <c r="K1236" s="35">
        <v>0.0</v>
      </c>
    </row>
    <row r="1237" ht="15.75" customHeight="1">
      <c r="A1237" s="35" t="s">
        <v>5407</v>
      </c>
      <c r="B1237" s="35"/>
      <c r="C1237" s="35">
        <v>17.0</v>
      </c>
      <c r="D1237" s="35" t="s">
        <v>3665</v>
      </c>
      <c r="E1237" s="35">
        <v>46027.0</v>
      </c>
      <c r="F1237" s="35">
        <v>0.0</v>
      </c>
      <c r="G1237" s="35">
        <v>1.0</v>
      </c>
      <c r="H1237" s="35">
        <v>0.0</v>
      </c>
      <c r="I1237" s="35">
        <v>0.0</v>
      </c>
      <c r="J1237" s="35"/>
      <c r="K1237" s="35">
        <v>0.0</v>
      </c>
    </row>
    <row r="1238" ht="15.75" customHeight="1">
      <c r="A1238" s="35" t="s">
        <v>5408</v>
      </c>
      <c r="B1238" s="35"/>
      <c r="C1238" s="35">
        <v>17.0</v>
      </c>
      <c r="D1238" s="35" t="s">
        <v>4692</v>
      </c>
      <c r="E1238" s="35">
        <v>46027.0</v>
      </c>
      <c r="F1238" s="35">
        <v>0.0</v>
      </c>
      <c r="G1238" s="35">
        <v>1.0</v>
      </c>
      <c r="H1238" s="35">
        <v>0.0</v>
      </c>
      <c r="I1238" s="35">
        <v>0.0</v>
      </c>
      <c r="J1238" s="35"/>
      <c r="K1238" s="35">
        <v>0.0</v>
      </c>
    </row>
    <row r="1239" ht="15.75" customHeight="1">
      <c r="A1239" s="35" t="s">
        <v>5410</v>
      </c>
      <c r="B1239" s="35"/>
      <c r="C1239" s="35">
        <v>17.0</v>
      </c>
      <c r="D1239" s="35" t="s">
        <v>4521</v>
      </c>
      <c r="E1239" s="35">
        <v>46027.0</v>
      </c>
      <c r="F1239" s="35">
        <v>0.0</v>
      </c>
      <c r="G1239" s="35">
        <v>0.0</v>
      </c>
      <c r="H1239" s="35">
        <v>1.0</v>
      </c>
      <c r="I1239" s="35">
        <v>0.0</v>
      </c>
      <c r="J1239" s="35"/>
      <c r="K1239" s="35">
        <v>0.0</v>
      </c>
    </row>
    <row r="1240" ht="15.75" customHeight="1">
      <c r="A1240" s="35" t="s">
        <v>5411</v>
      </c>
      <c r="B1240" s="35"/>
      <c r="C1240" s="35">
        <v>17.0</v>
      </c>
      <c r="D1240" s="35" t="s">
        <v>4635</v>
      </c>
      <c r="E1240" s="35">
        <v>46027.0</v>
      </c>
      <c r="F1240" s="35">
        <v>0.0</v>
      </c>
      <c r="G1240" s="35">
        <v>1.0</v>
      </c>
      <c r="H1240" s="35">
        <v>0.0</v>
      </c>
      <c r="I1240" s="35">
        <v>0.0</v>
      </c>
      <c r="J1240" s="35"/>
      <c r="K1240" s="35">
        <v>0.0</v>
      </c>
    </row>
    <row r="1241" ht="15.75" customHeight="1">
      <c r="A1241" s="35" t="s">
        <v>5413</v>
      </c>
      <c r="B1241" s="35"/>
      <c r="C1241" s="35">
        <v>17.0</v>
      </c>
      <c r="D1241" s="35" t="s">
        <v>4635</v>
      </c>
      <c r="E1241" s="35">
        <v>46027.0</v>
      </c>
      <c r="F1241" s="35">
        <v>0.0</v>
      </c>
      <c r="G1241" s="35">
        <v>3.0</v>
      </c>
      <c r="H1241" s="35">
        <v>0.0</v>
      </c>
      <c r="I1241" s="35">
        <v>0.0</v>
      </c>
      <c r="J1241" s="35"/>
      <c r="K1241" s="35">
        <v>0.0</v>
      </c>
    </row>
    <row r="1242" ht="15.75" customHeight="1">
      <c r="A1242" s="35" t="s">
        <v>5414</v>
      </c>
      <c r="B1242" s="35"/>
      <c r="C1242" s="35">
        <v>17.0</v>
      </c>
      <c r="D1242" s="35" t="s">
        <v>4931</v>
      </c>
      <c r="E1242" s="35">
        <v>46027.0</v>
      </c>
      <c r="F1242" s="35">
        <v>0.0</v>
      </c>
      <c r="G1242" s="35">
        <v>1.0</v>
      </c>
      <c r="H1242" s="35">
        <v>0.0</v>
      </c>
      <c r="I1242" s="35">
        <v>0.0</v>
      </c>
      <c r="J1242" s="35"/>
      <c r="K1242" s="35">
        <v>0.0</v>
      </c>
    </row>
    <row r="1243" ht="15.75" customHeight="1">
      <c r="A1243" s="35" t="s">
        <v>5416</v>
      </c>
      <c r="B1243" s="35"/>
      <c r="C1243" s="35">
        <v>17.0</v>
      </c>
      <c r="D1243" s="35">
        <v>384.0</v>
      </c>
      <c r="E1243" s="35">
        <v>46027.0</v>
      </c>
      <c r="F1243" s="35">
        <v>0.0</v>
      </c>
      <c r="G1243" s="35">
        <v>20.0</v>
      </c>
      <c r="H1243" s="35">
        <v>0.0</v>
      </c>
      <c r="I1243" s="35">
        <v>0.0</v>
      </c>
      <c r="J1243" s="35"/>
      <c r="K1243" s="35">
        <v>0.0</v>
      </c>
    </row>
    <row r="1244" ht="15.75" customHeight="1">
      <c r="A1244" s="35" t="s">
        <v>5417</v>
      </c>
      <c r="B1244" s="35"/>
      <c r="C1244" s="35">
        <v>17.0</v>
      </c>
      <c r="D1244" s="35" t="s">
        <v>5418</v>
      </c>
      <c r="E1244" s="35">
        <v>46027.0</v>
      </c>
      <c r="F1244" s="35">
        <v>0.0</v>
      </c>
      <c r="G1244" s="35">
        <v>1.0</v>
      </c>
      <c r="H1244" s="35">
        <v>0.0</v>
      </c>
      <c r="I1244" s="35">
        <v>0.0</v>
      </c>
      <c r="J1244" s="35"/>
      <c r="K1244" s="35">
        <v>0.0</v>
      </c>
    </row>
    <row r="1245" ht="15.75" customHeight="1">
      <c r="A1245" s="35" t="s">
        <v>1504</v>
      </c>
      <c r="B1245" s="35"/>
      <c r="C1245" s="35">
        <v>17.0</v>
      </c>
      <c r="D1245" s="35" t="s">
        <v>4635</v>
      </c>
      <c r="E1245" s="35">
        <v>46027.0</v>
      </c>
      <c r="F1245" s="35">
        <v>0.0</v>
      </c>
      <c r="G1245" s="35">
        <v>49.0</v>
      </c>
      <c r="H1245" s="35">
        <v>0.0</v>
      </c>
      <c r="I1245" s="35">
        <v>0.0</v>
      </c>
      <c r="J1245" s="35"/>
      <c r="K1245" s="35">
        <v>0.0</v>
      </c>
    </row>
    <row r="1246" ht="15.75" customHeight="1">
      <c r="A1246" s="35" t="s">
        <v>5419</v>
      </c>
      <c r="B1246" s="35"/>
      <c r="C1246" s="35">
        <v>17.0</v>
      </c>
      <c r="D1246" s="35" t="s">
        <v>3332</v>
      </c>
      <c r="E1246" s="35">
        <v>46027.0</v>
      </c>
      <c r="F1246" s="35">
        <v>0.0</v>
      </c>
      <c r="G1246" s="35">
        <v>0.0</v>
      </c>
      <c r="H1246" s="35">
        <v>1.0</v>
      </c>
      <c r="I1246" s="35">
        <v>0.0</v>
      </c>
      <c r="J1246" s="35"/>
      <c r="K1246" s="35">
        <v>0.0</v>
      </c>
    </row>
    <row r="1247" ht="15.75" customHeight="1">
      <c r="A1247" s="35" t="s">
        <v>5420</v>
      </c>
      <c r="B1247" s="35"/>
      <c r="C1247" s="35">
        <v>17.0</v>
      </c>
      <c r="D1247" s="35">
        <v>680.0</v>
      </c>
      <c r="E1247" s="35">
        <v>46027.0</v>
      </c>
      <c r="F1247" s="35">
        <v>0.0</v>
      </c>
      <c r="G1247" s="35">
        <v>2.0</v>
      </c>
      <c r="H1247" s="35">
        <v>0.0</v>
      </c>
      <c r="I1247" s="35">
        <v>0.0</v>
      </c>
      <c r="J1247" s="35"/>
      <c r="K1247" s="35">
        <v>0.0</v>
      </c>
    </row>
    <row r="1248" ht="15.75" customHeight="1">
      <c r="A1248" s="35" t="s">
        <v>5422</v>
      </c>
      <c r="B1248" s="35"/>
      <c r="C1248" s="35">
        <v>17.0</v>
      </c>
      <c r="D1248" s="35" t="s">
        <v>2004</v>
      </c>
      <c r="E1248" s="35">
        <v>46027.0</v>
      </c>
      <c r="F1248" s="35">
        <v>0.0</v>
      </c>
      <c r="G1248" s="35">
        <v>4.0</v>
      </c>
      <c r="H1248" s="35">
        <v>0.0</v>
      </c>
      <c r="I1248" s="35">
        <v>0.0</v>
      </c>
      <c r="J1248" s="35"/>
      <c r="K1248" s="35">
        <v>0.0</v>
      </c>
    </row>
    <row r="1249" ht="15.75" customHeight="1">
      <c r="A1249" s="35" t="s">
        <v>5423</v>
      </c>
      <c r="B1249" s="35"/>
      <c r="C1249" s="35">
        <v>17.0</v>
      </c>
      <c r="D1249" s="35" t="s">
        <v>2039</v>
      </c>
      <c r="E1249" s="35">
        <v>46027.0</v>
      </c>
      <c r="F1249" s="35">
        <v>0.0</v>
      </c>
      <c r="G1249" s="35">
        <v>1.0</v>
      </c>
      <c r="H1249" s="35">
        <v>0.0</v>
      </c>
      <c r="I1249" s="35">
        <v>0.0</v>
      </c>
      <c r="J1249" s="35"/>
      <c r="K1249" s="35">
        <v>0.0</v>
      </c>
    </row>
    <row r="1250" ht="15.75" customHeight="1">
      <c r="A1250" s="35" t="s">
        <v>5425</v>
      </c>
      <c r="B1250" s="35"/>
      <c r="C1250" s="35">
        <v>17.0</v>
      </c>
      <c r="D1250" s="35">
        <v>294.0</v>
      </c>
      <c r="E1250" s="35">
        <v>46027.0</v>
      </c>
      <c r="F1250" s="35">
        <v>0.0</v>
      </c>
      <c r="G1250" s="35">
        <v>4.0</v>
      </c>
      <c r="H1250" s="35">
        <v>0.0</v>
      </c>
      <c r="I1250" s="35">
        <v>0.0</v>
      </c>
      <c r="J1250" s="35"/>
      <c r="K1250" s="35">
        <v>0.0</v>
      </c>
    </row>
    <row r="1251" ht="15.75" customHeight="1">
      <c r="A1251" s="35" t="s">
        <v>5426</v>
      </c>
      <c r="B1251" s="35"/>
      <c r="C1251" s="35">
        <v>17.0</v>
      </c>
      <c r="D1251" s="35" t="s">
        <v>4430</v>
      </c>
      <c r="E1251" s="35">
        <v>46027.0</v>
      </c>
      <c r="F1251" s="35">
        <v>0.0</v>
      </c>
      <c r="G1251" s="35">
        <v>2.0</v>
      </c>
      <c r="H1251" s="35">
        <v>0.0</v>
      </c>
      <c r="I1251" s="35">
        <v>0.0</v>
      </c>
      <c r="J1251" s="35"/>
      <c r="K1251" s="35">
        <v>0.0</v>
      </c>
    </row>
    <row r="1252" ht="15.75" customHeight="1">
      <c r="A1252" s="35" t="s">
        <v>5428</v>
      </c>
      <c r="B1252" s="35"/>
      <c r="C1252" s="35">
        <v>17.0</v>
      </c>
      <c r="D1252" s="35">
        <v>863.0</v>
      </c>
      <c r="E1252" s="35">
        <v>46027.0</v>
      </c>
      <c r="F1252" s="35">
        <v>0.0</v>
      </c>
      <c r="G1252" s="35">
        <v>6.0</v>
      </c>
      <c r="H1252" s="35">
        <v>0.0</v>
      </c>
      <c r="I1252" s="35">
        <v>0.0</v>
      </c>
      <c r="J1252" s="35"/>
      <c r="K1252" s="35">
        <v>0.0</v>
      </c>
    </row>
    <row r="1253" ht="15.75" customHeight="1">
      <c r="A1253" s="35" t="s">
        <v>5429</v>
      </c>
      <c r="B1253" s="35"/>
      <c r="C1253" s="35">
        <v>17.0</v>
      </c>
      <c r="D1253" s="35" t="s">
        <v>2039</v>
      </c>
      <c r="E1253" s="35">
        <v>46027.0</v>
      </c>
      <c r="F1253" s="35">
        <v>0.0</v>
      </c>
      <c r="G1253" s="35">
        <v>1.0</v>
      </c>
      <c r="H1253" s="35">
        <v>0.0</v>
      </c>
      <c r="I1253" s="35">
        <v>0.0</v>
      </c>
      <c r="J1253" s="35"/>
      <c r="K1253" s="35">
        <v>0.0</v>
      </c>
    </row>
    <row r="1254" ht="15.75" customHeight="1">
      <c r="A1254" s="35" t="s">
        <v>1508</v>
      </c>
      <c r="B1254" s="35"/>
      <c r="C1254" s="35">
        <v>17.0</v>
      </c>
      <c r="D1254" s="35" t="s">
        <v>5214</v>
      </c>
      <c r="E1254" s="35">
        <v>46027.0</v>
      </c>
      <c r="F1254" s="35">
        <v>0.0</v>
      </c>
      <c r="G1254" s="35">
        <v>1.0</v>
      </c>
      <c r="H1254" s="35">
        <v>0.0</v>
      </c>
      <c r="I1254" s="35">
        <v>0.0</v>
      </c>
      <c r="J1254" s="35"/>
      <c r="K1254" s="35">
        <v>0.0</v>
      </c>
    </row>
    <row r="1255" ht="15.75" customHeight="1">
      <c r="A1255" s="35" t="s">
        <v>1512</v>
      </c>
      <c r="B1255" s="35"/>
      <c r="C1255" s="35">
        <v>17.0</v>
      </c>
      <c r="D1255" s="35" t="s">
        <v>4722</v>
      </c>
      <c r="E1255" s="35">
        <v>46027.0</v>
      </c>
      <c r="F1255" s="35">
        <v>0.0</v>
      </c>
      <c r="G1255" s="35">
        <v>2.0</v>
      </c>
      <c r="H1255" s="35">
        <v>0.0</v>
      </c>
      <c r="I1255" s="35">
        <v>0.0</v>
      </c>
      <c r="J1255" s="35"/>
      <c r="K1255" s="35">
        <v>0.0</v>
      </c>
    </row>
    <row r="1256" ht="15.75" customHeight="1">
      <c r="A1256" s="35" t="s">
        <v>5431</v>
      </c>
      <c r="B1256" s="35"/>
      <c r="C1256" s="35">
        <v>17.0</v>
      </c>
      <c r="D1256" s="35" t="s">
        <v>2016</v>
      </c>
      <c r="E1256" s="35">
        <v>46027.0</v>
      </c>
      <c r="F1256" s="35">
        <v>0.0</v>
      </c>
      <c r="G1256" s="35">
        <v>8.0</v>
      </c>
      <c r="H1256" s="35">
        <v>0.0</v>
      </c>
      <c r="I1256" s="35">
        <v>0.0</v>
      </c>
      <c r="J1256" s="35"/>
      <c r="K1256" s="35">
        <v>0.0</v>
      </c>
    </row>
    <row r="1257" ht="15.75" customHeight="1">
      <c r="A1257" s="35" t="s">
        <v>5433</v>
      </c>
      <c r="B1257" s="35"/>
      <c r="C1257" s="35">
        <v>17.0</v>
      </c>
      <c r="D1257" s="35" t="s">
        <v>4692</v>
      </c>
      <c r="E1257" s="35">
        <v>46027.0</v>
      </c>
      <c r="F1257" s="35">
        <v>0.0</v>
      </c>
      <c r="G1257" s="35">
        <v>1.0</v>
      </c>
      <c r="H1257" s="35">
        <v>0.0</v>
      </c>
      <c r="I1257" s="35">
        <v>0.0</v>
      </c>
      <c r="J1257" s="35"/>
      <c r="K1257" s="35">
        <v>0.0</v>
      </c>
    </row>
    <row r="1258" ht="15.75" customHeight="1">
      <c r="A1258" s="35" t="s">
        <v>5434</v>
      </c>
      <c r="B1258" s="35"/>
      <c r="C1258" s="35">
        <v>17.0</v>
      </c>
      <c r="D1258" s="35" t="s">
        <v>5435</v>
      </c>
      <c r="E1258" s="35">
        <v>46027.0</v>
      </c>
      <c r="F1258" s="35">
        <v>0.0</v>
      </c>
      <c r="G1258" s="35">
        <v>0.0</v>
      </c>
      <c r="H1258" s="35">
        <v>1.0</v>
      </c>
      <c r="I1258" s="35">
        <v>0.0</v>
      </c>
      <c r="J1258" s="35"/>
      <c r="K1258" s="35">
        <v>0.0</v>
      </c>
    </row>
    <row r="1259" ht="15.75" customHeight="1">
      <c r="A1259" s="35" t="s">
        <v>1516</v>
      </c>
      <c r="B1259" s="35"/>
      <c r="C1259" s="35">
        <v>16.0</v>
      </c>
      <c r="D1259" s="35">
        <v>23.0</v>
      </c>
      <c r="E1259" s="35">
        <v>46058.0</v>
      </c>
      <c r="F1259" s="35">
        <v>0.0</v>
      </c>
      <c r="G1259" s="35">
        <v>0.0</v>
      </c>
      <c r="H1259" s="35">
        <v>2.0</v>
      </c>
      <c r="I1259" s="35">
        <v>2.0</v>
      </c>
      <c r="J1259" s="35"/>
      <c r="K1259" s="35">
        <v>0.0</v>
      </c>
    </row>
    <row r="1260" ht="15.75" customHeight="1">
      <c r="A1260" s="35" t="s">
        <v>5437</v>
      </c>
      <c r="B1260" s="35"/>
      <c r="C1260" s="35">
        <v>16.0</v>
      </c>
      <c r="D1260" s="35" t="s">
        <v>4694</v>
      </c>
      <c r="E1260" s="35">
        <v>46058.0</v>
      </c>
      <c r="F1260" s="35">
        <v>0.0</v>
      </c>
      <c r="G1260" s="35">
        <v>32.0</v>
      </c>
      <c r="H1260" s="35">
        <v>0.0</v>
      </c>
      <c r="I1260" s="35">
        <v>6.0</v>
      </c>
      <c r="J1260" s="35"/>
      <c r="K1260" s="35">
        <v>0.0</v>
      </c>
    </row>
    <row r="1261" ht="15.75" customHeight="1">
      <c r="A1261" s="35" t="s">
        <v>5439</v>
      </c>
      <c r="B1261" s="35"/>
      <c r="C1261" s="35">
        <v>16.0</v>
      </c>
      <c r="D1261" s="35">
        <v>266.0</v>
      </c>
      <c r="E1261" s="35">
        <v>46027.0</v>
      </c>
      <c r="F1261" s="35">
        <v>0.0</v>
      </c>
      <c r="G1261" s="35">
        <v>3.0</v>
      </c>
      <c r="H1261" s="35">
        <v>0.0</v>
      </c>
      <c r="I1261" s="35">
        <v>0.0</v>
      </c>
      <c r="J1261" s="35"/>
      <c r="K1261" s="35">
        <v>0.0</v>
      </c>
    </row>
    <row r="1262" ht="15.75" customHeight="1">
      <c r="A1262" s="35" t="s">
        <v>5440</v>
      </c>
      <c r="B1262" s="35"/>
      <c r="C1262" s="35">
        <v>16.0</v>
      </c>
      <c r="D1262" s="35" t="s">
        <v>2039</v>
      </c>
      <c r="E1262" s="35">
        <v>46027.0</v>
      </c>
      <c r="F1262" s="35">
        <v>0.0</v>
      </c>
      <c r="G1262" s="35">
        <v>1.0</v>
      </c>
      <c r="H1262" s="35">
        <v>0.0</v>
      </c>
      <c r="I1262" s="35">
        <v>0.0</v>
      </c>
      <c r="J1262" s="35"/>
      <c r="K1262" s="35">
        <v>0.0</v>
      </c>
    </row>
    <row r="1263" ht="15.75" customHeight="1">
      <c r="A1263" s="35" t="s">
        <v>5442</v>
      </c>
      <c r="B1263" s="35"/>
      <c r="C1263" s="35">
        <v>16.0</v>
      </c>
      <c r="D1263" s="35" t="s">
        <v>4635</v>
      </c>
      <c r="E1263" s="35">
        <v>46027.0</v>
      </c>
      <c r="F1263" s="35">
        <v>0.0</v>
      </c>
      <c r="G1263" s="35">
        <v>2.0</v>
      </c>
      <c r="H1263" s="35">
        <v>0.0</v>
      </c>
      <c r="I1263" s="35">
        <v>0.0</v>
      </c>
      <c r="J1263" s="35"/>
      <c r="K1263" s="35">
        <v>0.0</v>
      </c>
    </row>
    <row r="1264" ht="15.75" customHeight="1">
      <c r="A1264" s="35" t="s">
        <v>5443</v>
      </c>
      <c r="B1264" s="35"/>
      <c r="C1264" s="35">
        <v>16.0</v>
      </c>
      <c r="D1264" s="35" t="s">
        <v>5444</v>
      </c>
      <c r="E1264" s="35">
        <v>46027.0</v>
      </c>
      <c r="F1264" s="35">
        <v>0.0</v>
      </c>
      <c r="G1264" s="35">
        <v>6.0</v>
      </c>
      <c r="H1264" s="35">
        <v>0.0</v>
      </c>
      <c r="I1264" s="35">
        <v>0.0</v>
      </c>
      <c r="J1264" s="35"/>
      <c r="K1264" s="35">
        <v>0.0</v>
      </c>
    </row>
    <row r="1265" ht="15.75" customHeight="1">
      <c r="A1265" s="35" t="s">
        <v>5445</v>
      </c>
      <c r="B1265" s="35"/>
      <c r="C1265" s="35">
        <v>16.0</v>
      </c>
      <c r="D1265" s="35" t="s">
        <v>5447</v>
      </c>
      <c r="E1265" s="35">
        <v>46027.0</v>
      </c>
      <c r="F1265" s="35">
        <v>0.0</v>
      </c>
      <c r="G1265" s="35">
        <v>10.0</v>
      </c>
      <c r="H1265" s="35">
        <v>0.0</v>
      </c>
      <c r="I1265" s="35">
        <v>0.0</v>
      </c>
      <c r="J1265" s="35"/>
      <c r="K1265" s="35">
        <v>0.0</v>
      </c>
    </row>
    <row r="1266" ht="15.75" customHeight="1">
      <c r="A1266" s="35" t="s">
        <v>5448</v>
      </c>
      <c r="B1266" s="35"/>
      <c r="C1266" s="35">
        <v>16.0</v>
      </c>
      <c r="D1266" s="35" t="s">
        <v>4635</v>
      </c>
      <c r="E1266" s="35">
        <v>46027.0</v>
      </c>
      <c r="F1266" s="35">
        <v>0.0</v>
      </c>
      <c r="G1266" s="35">
        <v>185.0</v>
      </c>
      <c r="H1266" s="35">
        <v>0.0</v>
      </c>
      <c r="I1266" s="35">
        <v>0.0</v>
      </c>
      <c r="J1266" s="35"/>
      <c r="K1266" s="35">
        <v>0.0</v>
      </c>
    </row>
    <row r="1267" ht="15.75" customHeight="1">
      <c r="A1267" s="35" t="s">
        <v>5449</v>
      </c>
      <c r="B1267" s="35"/>
      <c r="C1267" s="35">
        <v>16.0</v>
      </c>
      <c r="D1267" s="35">
        <v>201.0</v>
      </c>
      <c r="E1267" s="35">
        <v>46027.0</v>
      </c>
      <c r="F1267" s="35">
        <v>0.0</v>
      </c>
      <c r="G1267" s="35">
        <v>1.0</v>
      </c>
      <c r="H1267" s="35">
        <v>0.0</v>
      </c>
      <c r="I1267" s="35">
        <v>0.0</v>
      </c>
      <c r="J1267" s="35"/>
      <c r="K1267" s="35">
        <v>0.0</v>
      </c>
    </row>
    <row r="1268" ht="15.75" customHeight="1">
      <c r="A1268" s="35" t="s">
        <v>1520</v>
      </c>
      <c r="B1268" s="35"/>
      <c r="C1268" s="35">
        <v>16.0</v>
      </c>
      <c r="D1268" s="35" t="s">
        <v>3946</v>
      </c>
      <c r="E1268" s="35">
        <v>46027.0</v>
      </c>
      <c r="F1268" s="35">
        <v>0.0</v>
      </c>
      <c r="G1268" s="35">
        <v>2.0</v>
      </c>
      <c r="H1268" s="35">
        <v>0.0</v>
      </c>
      <c r="I1268" s="35">
        <v>0.0</v>
      </c>
      <c r="J1268" s="35"/>
      <c r="K1268" s="35">
        <v>0.0</v>
      </c>
    </row>
    <row r="1269" ht="15.75" customHeight="1">
      <c r="A1269" s="35" t="s">
        <v>5450</v>
      </c>
      <c r="B1269" s="35"/>
      <c r="C1269" s="35">
        <v>16.0</v>
      </c>
      <c r="D1269" s="35" t="s">
        <v>5451</v>
      </c>
      <c r="E1269" s="35">
        <v>46027.0</v>
      </c>
      <c r="F1269" s="35">
        <v>0.0</v>
      </c>
      <c r="G1269" s="35">
        <v>0.0</v>
      </c>
      <c r="H1269" s="35">
        <v>855.0</v>
      </c>
      <c r="I1269" s="35">
        <v>0.0</v>
      </c>
      <c r="J1269" s="35"/>
      <c r="K1269" s="35">
        <v>0.0</v>
      </c>
    </row>
    <row r="1270" ht="15.75" customHeight="1">
      <c r="A1270" s="35" t="s">
        <v>5453</v>
      </c>
      <c r="B1270" s="35"/>
      <c r="C1270" s="35">
        <v>16.0</v>
      </c>
      <c r="D1270" s="35">
        <v>78.0</v>
      </c>
      <c r="E1270" s="35">
        <v>46027.0</v>
      </c>
      <c r="F1270" s="35">
        <v>0.0</v>
      </c>
      <c r="G1270" s="35">
        <v>1.0</v>
      </c>
      <c r="H1270" s="35">
        <v>0.0</v>
      </c>
      <c r="I1270" s="35">
        <v>0.0</v>
      </c>
      <c r="J1270" s="35"/>
      <c r="K1270" s="35">
        <v>0.0</v>
      </c>
    </row>
    <row r="1271" ht="15.75" customHeight="1">
      <c r="A1271" s="35" t="s">
        <v>5454</v>
      </c>
      <c r="B1271" s="35"/>
      <c r="C1271" s="35">
        <v>16.0</v>
      </c>
      <c r="D1271" s="35" t="s">
        <v>5455</v>
      </c>
      <c r="E1271" s="35">
        <v>46027.0</v>
      </c>
      <c r="F1271" s="35">
        <v>0.0</v>
      </c>
      <c r="G1271" s="35">
        <v>0.0</v>
      </c>
      <c r="H1271" s="35">
        <v>1.0</v>
      </c>
      <c r="I1271" s="35">
        <v>0.0</v>
      </c>
      <c r="J1271" s="35"/>
      <c r="K1271" s="35">
        <v>0.0</v>
      </c>
    </row>
    <row r="1272" ht="15.75" customHeight="1">
      <c r="A1272" s="35" t="s">
        <v>5457</v>
      </c>
      <c r="B1272" s="35"/>
      <c r="C1272" s="35">
        <v>16.0</v>
      </c>
      <c r="D1272" s="35" t="s">
        <v>4794</v>
      </c>
      <c r="E1272" s="35">
        <v>46027.0</v>
      </c>
      <c r="F1272" s="35">
        <v>0.0</v>
      </c>
      <c r="G1272" s="35">
        <v>1.0</v>
      </c>
      <c r="H1272" s="35">
        <v>0.0</v>
      </c>
      <c r="I1272" s="35">
        <v>0.0</v>
      </c>
      <c r="J1272" s="35"/>
      <c r="K1272" s="35">
        <v>0.0</v>
      </c>
    </row>
    <row r="1273" ht="15.75" customHeight="1">
      <c r="A1273" s="35" t="s">
        <v>5458</v>
      </c>
      <c r="B1273" s="35"/>
      <c r="C1273" s="35">
        <v>16.0</v>
      </c>
      <c r="D1273" s="35" t="s">
        <v>2032</v>
      </c>
      <c r="E1273" s="35">
        <v>46027.0</v>
      </c>
      <c r="F1273" s="35">
        <v>0.0</v>
      </c>
      <c r="G1273" s="35">
        <v>0.0</v>
      </c>
      <c r="H1273" s="35">
        <v>1.0</v>
      </c>
      <c r="I1273" s="35">
        <v>0.0</v>
      </c>
      <c r="J1273" s="35"/>
      <c r="K1273" s="35">
        <v>0.0</v>
      </c>
    </row>
    <row r="1274" ht="15.75" customHeight="1">
      <c r="A1274" s="35" t="s">
        <v>5459</v>
      </c>
      <c r="B1274" s="35"/>
      <c r="C1274" s="35">
        <v>16.0</v>
      </c>
      <c r="D1274" s="35" t="s">
        <v>4343</v>
      </c>
      <c r="E1274" s="35">
        <v>46027.0</v>
      </c>
      <c r="F1274" s="35">
        <v>0.0</v>
      </c>
      <c r="G1274" s="35">
        <v>0.0</v>
      </c>
      <c r="H1274" s="35">
        <v>0.0</v>
      </c>
      <c r="I1274" s="35">
        <v>1.0</v>
      </c>
      <c r="J1274" s="35"/>
      <c r="K1274" s="35">
        <v>0.0</v>
      </c>
    </row>
    <row r="1275" ht="15.75" customHeight="1">
      <c r="A1275" s="35" t="s">
        <v>5461</v>
      </c>
      <c r="B1275" s="35"/>
      <c r="C1275" s="35">
        <v>16.0</v>
      </c>
      <c r="D1275" s="35">
        <v>67.0</v>
      </c>
      <c r="E1275" s="35">
        <v>46027.0</v>
      </c>
      <c r="F1275" s="35">
        <v>0.0</v>
      </c>
      <c r="G1275" s="35">
        <v>1.0</v>
      </c>
      <c r="H1275" s="35">
        <v>0.0</v>
      </c>
      <c r="I1275" s="35">
        <v>0.0</v>
      </c>
      <c r="J1275" s="35"/>
      <c r="K1275" s="35">
        <v>0.0</v>
      </c>
    </row>
    <row r="1276" ht="15.75" customHeight="1">
      <c r="A1276" s="35" t="s">
        <v>5462</v>
      </c>
      <c r="B1276" s="35"/>
      <c r="C1276" s="35">
        <v>16.0</v>
      </c>
      <c r="D1276" s="35" t="s">
        <v>3605</v>
      </c>
      <c r="E1276" s="35">
        <v>46027.0</v>
      </c>
      <c r="F1276" s="35">
        <v>0.0</v>
      </c>
      <c r="G1276" s="35">
        <v>1.0</v>
      </c>
      <c r="H1276" s="35">
        <v>0.0</v>
      </c>
      <c r="I1276" s="35">
        <v>0.0</v>
      </c>
      <c r="J1276" s="35"/>
      <c r="K1276" s="35">
        <v>0.0</v>
      </c>
    </row>
    <row r="1277" ht="15.75" customHeight="1">
      <c r="A1277" s="35" t="s">
        <v>5464</v>
      </c>
      <c r="B1277" s="35"/>
      <c r="C1277" s="35">
        <v>16.0</v>
      </c>
      <c r="D1277" s="35" t="s">
        <v>3270</v>
      </c>
      <c r="E1277" s="35">
        <v>46027.0</v>
      </c>
      <c r="F1277" s="35">
        <v>0.0</v>
      </c>
      <c r="G1277" s="35">
        <v>0.0</v>
      </c>
      <c r="H1277" s="35">
        <v>4.0</v>
      </c>
      <c r="I1277" s="35">
        <v>0.0</v>
      </c>
      <c r="J1277" s="35"/>
      <c r="K1277" s="35">
        <v>0.0</v>
      </c>
    </row>
    <row r="1278" ht="15.75" customHeight="1">
      <c r="A1278" s="35" t="s">
        <v>1524</v>
      </c>
      <c r="B1278" s="35"/>
      <c r="C1278" s="35">
        <v>16.0</v>
      </c>
      <c r="D1278" s="35">
        <v>588.0</v>
      </c>
      <c r="E1278" s="35">
        <v>46027.0</v>
      </c>
      <c r="F1278" s="35">
        <v>0.0</v>
      </c>
      <c r="G1278" s="35">
        <v>1.0</v>
      </c>
      <c r="H1278" s="35">
        <v>0.0</v>
      </c>
      <c r="I1278" s="35">
        <v>0.0</v>
      </c>
      <c r="J1278" s="35"/>
      <c r="K1278" s="35">
        <v>0.0</v>
      </c>
    </row>
    <row r="1279" ht="15.75" customHeight="1">
      <c r="A1279" s="35" t="s">
        <v>5466</v>
      </c>
      <c r="B1279" s="35"/>
      <c r="C1279" s="35">
        <v>16.0</v>
      </c>
      <c r="D1279" s="35" t="s">
        <v>4635</v>
      </c>
      <c r="E1279" s="35">
        <v>46027.0</v>
      </c>
      <c r="F1279" s="35">
        <v>0.0</v>
      </c>
      <c r="G1279" s="35">
        <v>2.0</v>
      </c>
      <c r="H1279" s="35">
        <v>0.0</v>
      </c>
      <c r="I1279" s="35">
        <v>0.0</v>
      </c>
      <c r="J1279" s="35"/>
      <c r="K1279" s="35">
        <v>0.0</v>
      </c>
    </row>
    <row r="1280" ht="15.75" customHeight="1">
      <c r="A1280" s="35" t="s">
        <v>5467</v>
      </c>
      <c r="B1280" s="35"/>
      <c r="C1280" s="35">
        <v>16.0</v>
      </c>
      <c r="D1280" s="35">
        <v>230.0</v>
      </c>
      <c r="E1280" s="35">
        <v>46027.0</v>
      </c>
      <c r="F1280" s="35">
        <v>0.0</v>
      </c>
      <c r="G1280" s="35">
        <v>0.0</v>
      </c>
      <c r="H1280" s="35">
        <v>0.0</v>
      </c>
      <c r="I1280" s="35">
        <v>0.0</v>
      </c>
      <c r="J1280" s="35"/>
      <c r="K1280" s="35">
        <v>3.0</v>
      </c>
    </row>
    <row r="1281" ht="15.75" customHeight="1">
      <c r="A1281" s="35" t="s">
        <v>5469</v>
      </c>
      <c r="B1281" s="35"/>
      <c r="C1281" s="35">
        <v>16.0</v>
      </c>
      <c r="D1281" s="35" t="s">
        <v>2032</v>
      </c>
      <c r="E1281" s="35">
        <v>46027.0</v>
      </c>
      <c r="F1281" s="35">
        <v>0.0</v>
      </c>
      <c r="G1281" s="35">
        <v>0.0</v>
      </c>
      <c r="H1281" s="35">
        <v>1.0</v>
      </c>
      <c r="I1281" s="35">
        <v>0.0</v>
      </c>
      <c r="J1281" s="35"/>
      <c r="K1281" s="35">
        <v>0.0</v>
      </c>
    </row>
    <row r="1282" ht="15.75" customHeight="1">
      <c r="A1282" s="35" t="s">
        <v>5470</v>
      </c>
      <c r="B1282" s="35"/>
      <c r="C1282" s="35">
        <v>16.0</v>
      </c>
      <c r="D1282" s="35">
        <v>481.0</v>
      </c>
      <c r="E1282" s="35">
        <v>46027.0</v>
      </c>
      <c r="F1282" s="35">
        <v>0.0</v>
      </c>
      <c r="G1282" s="35">
        <v>9.0</v>
      </c>
      <c r="H1282" s="35">
        <v>0.0</v>
      </c>
      <c r="I1282" s="35">
        <v>0.0</v>
      </c>
      <c r="J1282" s="35"/>
      <c r="K1282" s="35">
        <v>0.0</v>
      </c>
    </row>
    <row r="1283" ht="15.75" customHeight="1">
      <c r="A1283" s="35" t="s">
        <v>5471</v>
      </c>
      <c r="B1283" s="35"/>
      <c r="C1283" s="35">
        <v>16.0</v>
      </c>
      <c r="D1283" s="35" t="s">
        <v>4780</v>
      </c>
      <c r="E1283" s="35">
        <v>46027.0</v>
      </c>
      <c r="F1283" s="35">
        <v>0.0</v>
      </c>
      <c r="G1283" s="35">
        <v>2.0</v>
      </c>
      <c r="H1283" s="35">
        <v>0.0</v>
      </c>
      <c r="I1283" s="35">
        <v>0.0</v>
      </c>
      <c r="J1283" s="35"/>
      <c r="K1283" s="35">
        <v>0.0</v>
      </c>
    </row>
    <row r="1284" ht="15.75" customHeight="1">
      <c r="A1284" s="35" t="s">
        <v>5473</v>
      </c>
      <c r="B1284" s="35"/>
      <c r="C1284" s="35">
        <v>16.0</v>
      </c>
      <c r="D1284" s="35" t="s">
        <v>5474</v>
      </c>
      <c r="E1284" s="35">
        <v>46027.0</v>
      </c>
      <c r="F1284" s="35">
        <v>0.0</v>
      </c>
      <c r="G1284" s="35">
        <v>0.0</v>
      </c>
      <c r="H1284" s="35">
        <v>0.0</v>
      </c>
      <c r="I1284" s="35">
        <v>1.0</v>
      </c>
      <c r="J1284" s="35"/>
      <c r="K1284" s="35">
        <v>0.0</v>
      </c>
    </row>
    <row r="1285" ht="15.75" customHeight="1">
      <c r="A1285" s="35" t="s">
        <v>5475</v>
      </c>
      <c r="B1285" s="35"/>
      <c r="C1285" s="35">
        <v>16.0</v>
      </c>
      <c r="D1285" s="35">
        <v>346.0</v>
      </c>
      <c r="E1285" s="35">
        <v>46027.0</v>
      </c>
      <c r="F1285" s="35">
        <v>0.0</v>
      </c>
      <c r="G1285" s="35">
        <v>2.0</v>
      </c>
      <c r="H1285" s="35">
        <v>0.0</v>
      </c>
      <c r="I1285" s="35">
        <v>0.0</v>
      </c>
      <c r="J1285" s="35"/>
      <c r="K1285" s="35">
        <v>0.0</v>
      </c>
    </row>
    <row r="1286" ht="15.75" customHeight="1">
      <c r="A1286" s="35" t="s">
        <v>5477</v>
      </c>
      <c r="B1286" s="35"/>
      <c r="C1286" s="35">
        <v>16.0</v>
      </c>
      <c r="D1286" s="35">
        <v>562.0</v>
      </c>
      <c r="E1286" s="35">
        <v>46027.0</v>
      </c>
      <c r="F1286" s="35">
        <v>0.0</v>
      </c>
      <c r="G1286" s="35">
        <v>0.0</v>
      </c>
      <c r="H1286" s="35">
        <v>1.0</v>
      </c>
      <c r="I1286" s="35">
        <v>0.0</v>
      </c>
      <c r="J1286" s="35"/>
      <c r="K1286" s="35">
        <v>0.0</v>
      </c>
    </row>
    <row r="1287" ht="15.75" customHeight="1">
      <c r="A1287" s="35" t="s">
        <v>5478</v>
      </c>
      <c r="B1287" s="35"/>
      <c r="C1287" s="35">
        <v>16.0</v>
      </c>
      <c r="D1287" s="35" t="s">
        <v>4312</v>
      </c>
      <c r="E1287" s="35">
        <v>46027.0</v>
      </c>
      <c r="F1287" s="35">
        <v>0.0</v>
      </c>
      <c r="G1287" s="35">
        <v>0.0</v>
      </c>
      <c r="H1287" s="35">
        <v>0.0</v>
      </c>
      <c r="I1287" s="35">
        <v>36.0</v>
      </c>
      <c r="J1287" s="35"/>
      <c r="K1287" s="35">
        <v>0.0</v>
      </c>
    </row>
    <row r="1288" ht="15.75" customHeight="1">
      <c r="A1288" s="35" t="s">
        <v>1527</v>
      </c>
      <c r="B1288" s="35"/>
      <c r="C1288" s="35">
        <v>16.0</v>
      </c>
      <c r="D1288" s="35">
        <v>360.0</v>
      </c>
      <c r="E1288" s="35">
        <v>46027.0</v>
      </c>
      <c r="F1288" s="35">
        <v>0.0</v>
      </c>
      <c r="G1288" s="35">
        <v>1.0</v>
      </c>
      <c r="H1288" s="35">
        <v>0.0</v>
      </c>
      <c r="I1288" s="35">
        <v>0.0</v>
      </c>
      <c r="J1288" s="35"/>
      <c r="K1288" s="35">
        <v>0.0</v>
      </c>
    </row>
    <row r="1289" ht="15.75" customHeight="1">
      <c r="A1289" s="35" t="s">
        <v>1531</v>
      </c>
      <c r="B1289" s="35"/>
      <c r="C1289" s="35">
        <v>16.0</v>
      </c>
      <c r="D1289" s="35" t="s">
        <v>2065</v>
      </c>
      <c r="E1289" s="35">
        <v>46027.0</v>
      </c>
      <c r="F1289" s="35">
        <v>0.0</v>
      </c>
      <c r="G1289" s="35">
        <v>0.0</v>
      </c>
      <c r="H1289" s="35">
        <v>2.0</v>
      </c>
      <c r="I1289" s="35">
        <v>0.0</v>
      </c>
      <c r="J1289" s="35"/>
      <c r="K1289" s="35">
        <v>0.0</v>
      </c>
    </row>
    <row r="1290" ht="15.75" customHeight="1">
      <c r="A1290" s="35" t="s">
        <v>5481</v>
      </c>
      <c r="B1290" s="35"/>
      <c r="C1290" s="35">
        <v>16.0</v>
      </c>
      <c r="D1290" s="35">
        <v>337.0</v>
      </c>
      <c r="E1290" s="35">
        <v>46027.0</v>
      </c>
      <c r="F1290" s="35">
        <v>0.0</v>
      </c>
      <c r="G1290" s="35">
        <v>0.0</v>
      </c>
      <c r="H1290" s="35">
        <v>1.0</v>
      </c>
      <c r="I1290" s="35">
        <v>0.0</v>
      </c>
      <c r="J1290" s="35"/>
      <c r="K1290" s="35">
        <v>0.0</v>
      </c>
    </row>
    <row r="1291" ht="15.75" customHeight="1">
      <c r="A1291" s="35" t="s">
        <v>5482</v>
      </c>
      <c r="B1291" s="35"/>
      <c r="C1291" s="35">
        <v>16.0</v>
      </c>
      <c r="D1291" s="35">
        <v>47.0</v>
      </c>
      <c r="E1291" s="35">
        <v>46027.0</v>
      </c>
      <c r="F1291" s="35">
        <v>0.0</v>
      </c>
      <c r="G1291" s="35">
        <v>1.0</v>
      </c>
      <c r="H1291" s="35">
        <v>0.0</v>
      </c>
      <c r="I1291" s="35">
        <v>0.0</v>
      </c>
      <c r="J1291" s="35"/>
      <c r="K1291" s="35">
        <v>0.0</v>
      </c>
    </row>
    <row r="1292" ht="15.75" customHeight="1">
      <c r="A1292" s="35" t="s">
        <v>5483</v>
      </c>
      <c r="B1292" s="35"/>
      <c r="C1292" s="35">
        <v>16.0</v>
      </c>
      <c r="D1292" s="35">
        <v>50.0</v>
      </c>
      <c r="E1292" s="35">
        <v>46027.0</v>
      </c>
      <c r="F1292" s="35">
        <v>0.0</v>
      </c>
      <c r="G1292" s="35">
        <v>2.0</v>
      </c>
      <c r="H1292" s="35">
        <v>0.0</v>
      </c>
      <c r="I1292" s="35">
        <v>0.0</v>
      </c>
      <c r="J1292" s="35"/>
      <c r="K1292" s="35">
        <v>0.0</v>
      </c>
    </row>
    <row r="1293" ht="15.75" customHeight="1">
      <c r="A1293" s="35" t="s">
        <v>5485</v>
      </c>
      <c r="B1293" s="35"/>
      <c r="C1293" s="35">
        <v>16.0</v>
      </c>
      <c r="D1293" s="35" t="s">
        <v>5486</v>
      </c>
      <c r="E1293" s="35">
        <v>46027.0</v>
      </c>
      <c r="F1293" s="35">
        <v>0.0</v>
      </c>
      <c r="G1293" s="35">
        <v>2.0</v>
      </c>
      <c r="H1293" s="35">
        <v>0.0</v>
      </c>
      <c r="I1293" s="35">
        <v>0.0</v>
      </c>
      <c r="J1293" s="35"/>
      <c r="K1293" s="35">
        <v>0.0</v>
      </c>
    </row>
    <row r="1294" ht="15.75" customHeight="1">
      <c r="A1294" s="35" t="s">
        <v>5487</v>
      </c>
      <c r="B1294" s="35"/>
      <c r="C1294" s="35">
        <v>16.0</v>
      </c>
      <c r="D1294" s="35">
        <v>91.0</v>
      </c>
      <c r="E1294" s="35">
        <v>46027.0</v>
      </c>
      <c r="F1294" s="35">
        <v>0.0</v>
      </c>
      <c r="G1294" s="35">
        <v>1.0</v>
      </c>
      <c r="H1294" s="35">
        <v>0.0</v>
      </c>
      <c r="I1294" s="35">
        <v>0.0</v>
      </c>
      <c r="J1294" s="35"/>
      <c r="K1294" s="35">
        <v>0.0</v>
      </c>
    </row>
    <row r="1295" ht="15.75" customHeight="1">
      <c r="A1295" s="35" t="s">
        <v>5489</v>
      </c>
      <c r="B1295" s="35"/>
      <c r="C1295" s="35">
        <v>16.0</v>
      </c>
      <c r="D1295" s="35">
        <v>713.0</v>
      </c>
      <c r="E1295" s="35">
        <v>46027.0</v>
      </c>
      <c r="F1295" s="35">
        <v>0.0</v>
      </c>
      <c r="G1295" s="35">
        <v>0.0</v>
      </c>
      <c r="H1295" s="35">
        <v>1.0</v>
      </c>
      <c r="I1295" s="35">
        <v>0.0</v>
      </c>
      <c r="J1295" s="35"/>
      <c r="K1295" s="35">
        <v>0.0</v>
      </c>
    </row>
    <row r="1296" ht="15.75" customHeight="1">
      <c r="A1296" s="35" t="s">
        <v>5490</v>
      </c>
      <c r="B1296" s="35"/>
      <c r="C1296" s="35">
        <v>15.0</v>
      </c>
      <c r="D1296" s="35">
        <v>440.0</v>
      </c>
      <c r="E1296" s="35">
        <v>46027.0</v>
      </c>
      <c r="F1296" s="35">
        <v>0.0</v>
      </c>
      <c r="G1296" s="35">
        <v>3.0</v>
      </c>
      <c r="H1296" s="35">
        <v>0.0</v>
      </c>
      <c r="I1296" s="35">
        <v>0.0</v>
      </c>
      <c r="J1296" s="35"/>
      <c r="K1296" s="35">
        <v>0.0</v>
      </c>
    </row>
    <row r="1297" ht="15.75" customHeight="1">
      <c r="A1297" s="35" t="s">
        <v>5492</v>
      </c>
      <c r="B1297" s="35"/>
      <c r="C1297" s="35">
        <v>15.0</v>
      </c>
      <c r="D1297" s="35">
        <v>347.0</v>
      </c>
      <c r="E1297" s="35">
        <v>46027.0</v>
      </c>
      <c r="F1297" s="35">
        <v>0.0</v>
      </c>
      <c r="G1297" s="35">
        <v>1.0</v>
      </c>
      <c r="H1297" s="35">
        <v>0.0</v>
      </c>
      <c r="I1297" s="35">
        <v>0.0</v>
      </c>
      <c r="J1297" s="35"/>
      <c r="K1297" s="35">
        <v>0.0</v>
      </c>
    </row>
    <row r="1298" ht="15.75" customHeight="1">
      <c r="A1298" s="35" t="s">
        <v>5493</v>
      </c>
      <c r="B1298" s="35"/>
      <c r="C1298" s="35">
        <v>15.0</v>
      </c>
      <c r="D1298" s="35">
        <v>61.0</v>
      </c>
      <c r="E1298" s="35">
        <v>46027.0</v>
      </c>
      <c r="F1298" s="35">
        <v>0.0</v>
      </c>
      <c r="G1298" s="35">
        <v>0.0</v>
      </c>
      <c r="H1298" s="35">
        <v>1.0</v>
      </c>
      <c r="I1298" s="35">
        <v>0.0</v>
      </c>
      <c r="J1298" s="35"/>
      <c r="K1298" s="35">
        <v>0.0</v>
      </c>
    </row>
    <row r="1299" ht="15.75" customHeight="1">
      <c r="A1299" s="35" t="s">
        <v>5495</v>
      </c>
      <c r="B1299" s="35"/>
      <c r="C1299" s="35">
        <v>15.0</v>
      </c>
      <c r="D1299" s="35">
        <v>72.0</v>
      </c>
      <c r="E1299" s="35">
        <v>46027.0</v>
      </c>
      <c r="F1299" s="35">
        <v>0.0</v>
      </c>
      <c r="G1299" s="35">
        <v>1.0</v>
      </c>
      <c r="H1299" s="35">
        <v>0.0</v>
      </c>
      <c r="I1299" s="35">
        <v>0.0</v>
      </c>
      <c r="J1299" s="35"/>
      <c r="K1299" s="35">
        <v>0.0</v>
      </c>
    </row>
    <row r="1300" ht="15.75" customHeight="1">
      <c r="A1300" s="35" t="s">
        <v>5496</v>
      </c>
      <c r="B1300" s="35"/>
      <c r="C1300" s="35">
        <v>15.0</v>
      </c>
      <c r="D1300" s="35">
        <v>74.0</v>
      </c>
      <c r="E1300" s="35">
        <v>46027.0</v>
      </c>
      <c r="F1300" s="35">
        <v>0.0</v>
      </c>
      <c r="G1300" s="35">
        <v>1.0</v>
      </c>
      <c r="H1300" s="35">
        <v>0.0</v>
      </c>
      <c r="I1300" s="35">
        <v>0.0</v>
      </c>
      <c r="J1300" s="35"/>
      <c r="K1300" s="35">
        <v>0.0</v>
      </c>
    </row>
    <row r="1301" ht="15.75" customHeight="1">
      <c r="A1301" s="35" t="s">
        <v>5497</v>
      </c>
      <c r="B1301" s="35"/>
      <c r="C1301" s="35">
        <v>15.0</v>
      </c>
      <c r="D1301" s="35" t="s">
        <v>2049</v>
      </c>
      <c r="E1301" s="35">
        <v>46027.0</v>
      </c>
      <c r="F1301" s="35">
        <v>0.0</v>
      </c>
      <c r="G1301" s="35">
        <v>6.0</v>
      </c>
      <c r="H1301" s="35">
        <v>0.0</v>
      </c>
      <c r="I1301" s="35">
        <v>0.0</v>
      </c>
      <c r="J1301" s="35"/>
      <c r="K1301" s="35">
        <v>0.0</v>
      </c>
    </row>
    <row r="1302" ht="15.75" customHeight="1">
      <c r="A1302" s="35" t="s">
        <v>5499</v>
      </c>
      <c r="B1302" s="35"/>
      <c r="C1302" s="35">
        <v>15.0</v>
      </c>
      <c r="D1302" s="35" t="s">
        <v>5500</v>
      </c>
      <c r="E1302" s="35">
        <v>46027.0</v>
      </c>
      <c r="F1302" s="35">
        <v>0.0</v>
      </c>
      <c r="G1302" s="35">
        <v>0.0</v>
      </c>
      <c r="H1302" s="35">
        <v>2.0</v>
      </c>
      <c r="I1302" s="35">
        <v>0.0</v>
      </c>
      <c r="J1302" s="35"/>
      <c r="K1302" s="35">
        <v>0.0</v>
      </c>
    </row>
    <row r="1303" ht="15.75" customHeight="1">
      <c r="A1303" s="35" t="s">
        <v>1536</v>
      </c>
      <c r="B1303" s="35"/>
      <c r="C1303" s="35">
        <v>15.0</v>
      </c>
      <c r="D1303" s="35" t="s">
        <v>4635</v>
      </c>
      <c r="E1303" s="35">
        <v>46027.0</v>
      </c>
      <c r="F1303" s="35">
        <v>0.0</v>
      </c>
      <c r="G1303" s="35">
        <v>1.0</v>
      </c>
      <c r="H1303" s="35">
        <v>0.0</v>
      </c>
      <c r="I1303" s="35">
        <v>0.0</v>
      </c>
      <c r="J1303" s="35"/>
      <c r="K1303" s="35">
        <v>0.0</v>
      </c>
    </row>
    <row r="1304" ht="15.75" customHeight="1">
      <c r="A1304" s="35" t="s">
        <v>5502</v>
      </c>
      <c r="B1304" s="35"/>
      <c r="C1304" s="35">
        <v>15.0</v>
      </c>
      <c r="D1304" s="35" t="s">
        <v>2005</v>
      </c>
      <c r="E1304" s="35">
        <v>46027.0</v>
      </c>
      <c r="F1304" s="35">
        <v>0.0</v>
      </c>
      <c r="G1304" s="35">
        <v>1.0</v>
      </c>
      <c r="H1304" s="35">
        <v>0.0</v>
      </c>
      <c r="I1304" s="35">
        <v>0.0</v>
      </c>
      <c r="J1304" s="35"/>
      <c r="K1304" s="35">
        <v>0.0</v>
      </c>
    </row>
    <row r="1305" ht="15.75" customHeight="1">
      <c r="A1305" s="35" t="s">
        <v>5503</v>
      </c>
      <c r="B1305" s="35"/>
      <c r="C1305" s="35">
        <v>15.0</v>
      </c>
      <c r="D1305" s="35" t="s">
        <v>4197</v>
      </c>
      <c r="E1305" s="35">
        <v>46027.0</v>
      </c>
      <c r="F1305" s="35">
        <v>0.0</v>
      </c>
      <c r="G1305" s="35">
        <v>12.0</v>
      </c>
      <c r="H1305" s="35">
        <v>0.0</v>
      </c>
      <c r="I1305" s="35">
        <v>0.0</v>
      </c>
      <c r="J1305" s="35"/>
      <c r="K1305" s="35">
        <v>0.0</v>
      </c>
    </row>
    <row r="1306" ht="15.75" customHeight="1">
      <c r="A1306" s="35" t="s">
        <v>5505</v>
      </c>
      <c r="B1306" s="35"/>
      <c r="C1306" s="35">
        <v>15.0</v>
      </c>
      <c r="D1306" s="35" t="s">
        <v>3858</v>
      </c>
      <c r="E1306" s="35">
        <v>46027.0</v>
      </c>
      <c r="F1306" s="35">
        <v>0.0</v>
      </c>
      <c r="G1306" s="35">
        <v>1.0</v>
      </c>
      <c r="H1306" s="35">
        <v>0.0</v>
      </c>
      <c r="I1306" s="35">
        <v>0.0</v>
      </c>
      <c r="J1306" s="35"/>
      <c r="K1306" s="35">
        <v>0.0</v>
      </c>
    </row>
    <row r="1307" ht="15.75" customHeight="1">
      <c r="A1307" s="35" t="s">
        <v>5506</v>
      </c>
      <c r="B1307" s="35"/>
      <c r="C1307" s="35">
        <v>15.0</v>
      </c>
      <c r="D1307" s="35">
        <v>207.0</v>
      </c>
      <c r="E1307" s="35">
        <v>46027.0</v>
      </c>
      <c r="F1307" s="35">
        <v>0.0</v>
      </c>
      <c r="G1307" s="35">
        <v>1.0</v>
      </c>
      <c r="H1307" s="35">
        <v>0.0</v>
      </c>
      <c r="I1307" s="35">
        <v>0.0</v>
      </c>
      <c r="J1307" s="35"/>
      <c r="K1307" s="35">
        <v>0.0</v>
      </c>
    </row>
    <row r="1308" ht="15.75" customHeight="1">
      <c r="A1308" s="35" t="s">
        <v>5508</v>
      </c>
      <c r="B1308" s="35"/>
      <c r="C1308" s="35">
        <v>15.0</v>
      </c>
      <c r="D1308" s="35">
        <v>124.0</v>
      </c>
      <c r="E1308" s="35">
        <v>46027.0</v>
      </c>
      <c r="F1308" s="35">
        <v>0.0</v>
      </c>
      <c r="G1308" s="35">
        <v>1.0</v>
      </c>
      <c r="H1308" s="35">
        <v>0.0</v>
      </c>
      <c r="I1308" s="35">
        <v>0.0</v>
      </c>
      <c r="J1308" s="35"/>
      <c r="K1308" s="35">
        <v>0.0</v>
      </c>
    </row>
    <row r="1309" ht="15.75" customHeight="1">
      <c r="A1309" s="35" t="s">
        <v>1539</v>
      </c>
      <c r="B1309" s="35"/>
      <c r="C1309" s="35">
        <v>15.0</v>
      </c>
      <c r="D1309" s="35" t="s">
        <v>2032</v>
      </c>
      <c r="E1309" s="35">
        <v>46027.0</v>
      </c>
      <c r="F1309" s="35">
        <v>0.0</v>
      </c>
      <c r="G1309" s="35">
        <v>1.0</v>
      </c>
      <c r="H1309" s="35">
        <v>0.0</v>
      </c>
      <c r="I1309" s="35">
        <v>0.0</v>
      </c>
      <c r="J1309" s="35"/>
      <c r="K1309" s="35">
        <v>0.0</v>
      </c>
    </row>
    <row r="1310" ht="15.75" customHeight="1">
      <c r="A1310" s="35" t="s">
        <v>5510</v>
      </c>
      <c r="B1310" s="35"/>
      <c r="C1310" s="35">
        <v>15.0</v>
      </c>
      <c r="D1310" s="35" t="s">
        <v>2019</v>
      </c>
      <c r="E1310" s="35">
        <v>46027.0</v>
      </c>
      <c r="F1310" s="35">
        <v>0.0</v>
      </c>
      <c r="G1310" s="35">
        <v>1.0</v>
      </c>
      <c r="H1310" s="35">
        <v>0.0</v>
      </c>
      <c r="I1310" s="35">
        <v>0.0</v>
      </c>
      <c r="J1310" s="35"/>
      <c r="K1310" s="35">
        <v>0.0</v>
      </c>
    </row>
    <row r="1311" ht="15.75" customHeight="1">
      <c r="A1311" s="35" t="s">
        <v>5511</v>
      </c>
      <c r="B1311" s="35"/>
      <c r="C1311" s="35">
        <v>15.0</v>
      </c>
      <c r="D1311" s="35">
        <v>55.0</v>
      </c>
      <c r="E1311" s="35">
        <v>46027.0</v>
      </c>
      <c r="F1311" s="35">
        <v>0.0</v>
      </c>
      <c r="G1311" s="35">
        <v>1.0</v>
      </c>
      <c r="H1311" s="35">
        <v>0.0</v>
      </c>
      <c r="I1311" s="35">
        <v>0.0</v>
      </c>
      <c r="J1311" s="35"/>
      <c r="K1311" s="35">
        <v>0.0</v>
      </c>
    </row>
    <row r="1312" ht="15.75" customHeight="1">
      <c r="A1312" s="35" t="s">
        <v>5512</v>
      </c>
      <c r="B1312" s="35"/>
      <c r="C1312" s="35">
        <v>15.0</v>
      </c>
      <c r="D1312" s="35">
        <v>498.0</v>
      </c>
      <c r="E1312" s="35">
        <v>46027.0</v>
      </c>
      <c r="F1312" s="35">
        <v>0.0</v>
      </c>
      <c r="G1312" s="35">
        <v>3.0</v>
      </c>
      <c r="H1312" s="35">
        <v>0.0</v>
      </c>
      <c r="I1312" s="35">
        <v>0.0</v>
      </c>
      <c r="J1312" s="35"/>
      <c r="K1312" s="35">
        <v>0.0</v>
      </c>
    </row>
    <row r="1313" ht="15.75" customHeight="1">
      <c r="A1313" s="35" t="s">
        <v>5514</v>
      </c>
      <c r="B1313" s="35"/>
      <c r="C1313" s="35">
        <v>15.0</v>
      </c>
      <c r="D1313" s="35" t="s">
        <v>4985</v>
      </c>
      <c r="E1313" s="35">
        <v>46027.0</v>
      </c>
      <c r="F1313" s="35">
        <v>0.0</v>
      </c>
      <c r="G1313" s="35">
        <v>0.0</v>
      </c>
      <c r="H1313" s="35">
        <v>0.0</v>
      </c>
      <c r="I1313" s="35">
        <v>2.0</v>
      </c>
      <c r="J1313" s="35"/>
      <c r="K1313" s="35">
        <v>0.0</v>
      </c>
    </row>
    <row r="1314" ht="15.75" customHeight="1">
      <c r="A1314" s="35" t="s">
        <v>5515</v>
      </c>
      <c r="B1314" s="35"/>
      <c r="C1314" s="35">
        <v>15.0</v>
      </c>
      <c r="D1314" s="35" t="s">
        <v>5516</v>
      </c>
      <c r="E1314" s="35">
        <v>46027.0</v>
      </c>
      <c r="F1314" s="35">
        <v>0.0</v>
      </c>
      <c r="G1314" s="35">
        <v>0.0</v>
      </c>
      <c r="H1314" s="35">
        <v>11.0</v>
      </c>
      <c r="I1314" s="35">
        <v>0.0</v>
      </c>
      <c r="J1314" s="35"/>
      <c r="K1314" s="35">
        <v>0.0</v>
      </c>
    </row>
    <row r="1315" ht="15.75" customHeight="1">
      <c r="A1315" s="35" t="s">
        <v>5517</v>
      </c>
      <c r="B1315" s="35"/>
      <c r="C1315" s="35">
        <v>15.0</v>
      </c>
      <c r="D1315" s="35" t="s">
        <v>2033</v>
      </c>
      <c r="E1315" s="35">
        <v>46027.0</v>
      </c>
      <c r="F1315" s="35">
        <v>0.0</v>
      </c>
      <c r="G1315" s="35">
        <v>40.0</v>
      </c>
      <c r="H1315" s="35">
        <v>0.0</v>
      </c>
      <c r="I1315" s="35">
        <v>0.0</v>
      </c>
      <c r="J1315" s="35"/>
      <c r="K1315" s="35">
        <v>0.0</v>
      </c>
    </row>
    <row r="1316" ht="15.75" customHeight="1">
      <c r="A1316" s="35" t="s">
        <v>5518</v>
      </c>
      <c r="B1316" s="35"/>
      <c r="C1316" s="35">
        <v>15.0</v>
      </c>
      <c r="D1316" s="35" t="s">
        <v>2006</v>
      </c>
      <c r="E1316" s="35">
        <v>46027.0</v>
      </c>
      <c r="F1316" s="35">
        <v>0.0</v>
      </c>
      <c r="G1316" s="35">
        <v>7.0</v>
      </c>
      <c r="H1316" s="35">
        <v>0.0</v>
      </c>
      <c r="I1316" s="35">
        <v>0.0</v>
      </c>
      <c r="J1316" s="35"/>
      <c r="K1316" s="35">
        <v>0.0</v>
      </c>
    </row>
    <row r="1317" ht="15.75" customHeight="1">
      <c r="A1317" s="35" t="s">
        <v>5519</v>
      </c>
      <c r="B1317" s="35"/>
      <c r="C1317" s="35">
        <v>15.0</v>
      </c>
      <c r="D1317" s="35">
        <v>732.0</v>
      </c>
      <c r="E1317" s="35">
        <v>46027.0</v>
      </c>
      <c r="F1317" s="35">
        <v>0.0</v>
      </c>
      <c r="G1317" s="35">
        <v>2.0</v>
      </c>
      <c r="H1317" s="35">
        <v>0.0</v>
      </c>
      <c r="I1317" s="35">
        <v>0.0</v>
      </c>
      <c r="J1317" s="35"/>
      <c r="K1317" s="35">
        <v>0.0</v>
      </c>
    </row>
    <row r="1318" ht="15.75" customHeight="1">
      <c r="A1318" s="35" t="s">
        <v>5520</v>
      </c>
      <c r="B1318" s="35"/>
      <c r="C1318" s="35">
        <v>15.0</v>
      </c>
      <c r="D1318" s="35" t="s">
        <v>4197</v>
      </c>
      <c r="E1318" s="35">
        <v>46027.0</v>
      </c>
      <c r="F1318" s="35">
        <v>0.0</v>
      </c>
      <c r="G1318" s="35">
        <v>12.0</v>
      </c>
      <c r="H1318" s="35">
        <v>0.0</v>
      </c>
      <c r="I1318" s="35">
        <v>0.0</v>
      </c>
      <c r="J1318" s="35"/>
      <c r="K1318" s="35">
        <v>0.0</v>
      </c>
    </row>
    <row r="1319" ht="15.75" customHeight="1">
      <c r="A1319" s="35" t="s">
        <v>5521</v>
      </c>
      <c r="B1319" s="35"/>
      <c r="C1319" s="35">
        <v>15.0</v>
      </c>
      <c r="D1319" s="35" t="s">
        <v>5522</v>
      </c>
      <c r="E1319" s="35">
        <v>46027.0</v>
      </c>
      <c r="F1319" s="35">
        <v>0.0</v>
      </c>
      <c r="G1319" s="35">
        <v>0.0</v>
      </c>
      <c r="H1319" s="35">
        <v>10.0</v>
      </c>
      <c r="I1319" s="35">
        <v>0.0</v>
      </c>
      <c r="J1319" s="35"/>
      <c r="K1319" s="35">
        <v>0.0</v>
      </c>
    </row>
    <row r="1320" ht="15.75" customHeight="1">
      <c r="A1320" s="35" t="s">
        <v>5523</v>
      </c>
      <c r="B1320" s="35"/>
      <c r="C1320" s="35">
        <v>15.0</v>
      </c>
      <c r="D1320" s="35">
        <v>259.0</v>
      </c>
      <c r="E1320" s="35">
        <v>46027.0</v>
      </c>
      <c r="F1320" s="35">
        <v>0.0</v>
      </c>
      <c r="G1320" s="35">
        <v>6.0</v>
      </c>
      <c r="H1320" s="35">
        <v>0.0</v>
      </c>
      <c r="I1320" s="35">
        <v>0.0</v>
      </c>
      <c r="J1320" s="35"/>
      <c r="K1320" s="35">
        <v>0.0</v>
      </c>
    </row>
    <row r="1321" ht="15.75" customHeight="1">
      <c r="A1321" s="35" t="s">
        <v>5525</v>
      </c>
      <c r="B1321" s="35"/>
      <c r="C1321" s="35">
        <v>15.0</v>
      </c>
      <c r="D1321" s="35">
        <v>157.0</v>
      </c>
      <c r="E1321" s="35">
        <v>46027.0</v>
      </c>
      <c r="F1321" s="35">
        <v>0.0</v>
      </c>
      <c r="G1321" s="35">
        <v>2.0</v>
      </c>
      <c r="H1321" s="35">
        <v>0.0</v>
      </c>
      <c r="I1321" s="35">
        <v>0.0</v>
      </c>
      <c r="J1321" s="35"/>
      <c r="K1321" s="35">
        <v>0.0</v>
      </c>
    </row>
    <row r="1322" ht="15.75" customHeight="1">
      <c r="A1322" s="35" t="s">
        <v>5526</v>
      </c>
      <c r="B1322" s="35"/>
      <c r="C1322" s="35">
        <v>15.0</v>
      </c>
      <c r="D1322" s="35">
        <v>45.0</v>
      </c>
      <c r="E1322" s="35">
        <v>46027.0</v>
      </c>
      <c r="F1322" s="35">
        <v>0.0</v>
      </c>
      <c r="G1322" s="35">
        <v>0.0</v>
      </c>
      <c r="H1322" s="35">
        <v>1.0</v>
      </c>
      <c r="I1322" s="35">
        <v>0.0</v>
      </c>
      <c r="J1322" s="35"/>
      <c r="K1322" s="35">
        <v>0.0</v>
      </c>
    </row>
    <row r="1323" ht="15.75" customHeight="1">
      <c r="A1323" s="35" t="s">
        <v>5528</v>
      </c>
      <c r="B1323" s="35"/>
      <c r="C1323" s="35">
        <v>15.0</v>
      </c>
      <c r="D1323" s="35">
        <v>404.0</v>
      </c>
      <c r="E1323" s="35">
        <v>46027.0</v>
      </c>
      <c r="F1323" s="35">
        <v>0.0</v>
      </c>
      <c r="G1323" s="35">
        <v>0.0</v>
      </c>
      <c r="H1323" s="35">
        <v>0.0</v>
      </c>
      <c r="I1323" s="35">
        <v>1.0</v>
      </c>
      <c r="J1323" s="35"/>
      <c r="K1323" s="35">
        <v>0.0</v>
      </c>
    </row>
    <row r="1324" ht="15.75" customHeight="1">
      <c r="A1324" s="35" t="s">
        <v>5529</v>
      </c>
      <c r="B1324" s="35"/>
      <c r="C1324" s="35">
        <v>14.0</v>
      </c>
      <c r="D1324" s="35" t="s">
        <v>2046</v>
      </c>
      <c r="E1324" s="35">
        <v>46058.0</v>
      </c>
      <c r="F1324" s="35">
        <v>0.0</v>
      </c>
      <c r="G1324" s="35">
        <v>7.0</v>
      </c>
      <c r="H1324" s="35">
        <v>2.0</v>
      </c>
      <c r="I1324" s="35">
        <v>0.0</v>
      </c>
      <c r="J1324" s="35"/>
      <c r="K1324" s="35">
        <v>0.0</v>
      </c>
    </row>
    <row r="1325" ht="15.75" customHeight="1">
      <c r="A1325" s="35" t="s">
        <v>5531</v>
      </c>
      <c r="B1325" s="35"/>
      <c r="C1325" s="35">
        <v>14.0</v>
      </c>
      <c r="D1325" s="35" t="s">
        <v>2016</v>
      </c>
      <c r="E1325" s="35">
        <v>46027.0</v>
      </c>
      <c r="F1325" s="35">
        <v>0.0</v>
      </c>
      <c r="G1325" s="35">
        <v>0.0</v>
      </c>
      <c r="H1325" s="35">
        <v>1.0</v>
      </c>
      <c r="I1325" s="35">
        <v>0.0</v>
      </c>
      <c r="J1325" s="35"/>
      <c r="K1325" s="35">
        <v>0.0</v>
      </c>
    </row>
    <row r="1326" ht="15.75" customHeight="1">
      <c r="A1326" s="35" t="s">
        <v>5532</v>
      </c>
      <c r="B1326" s="35"/>
      <c r="C1326" s="35">
        <v>14.0</v>
      </c>
      <c r="D1326" s="35" t="s">
        <v>4635</v>
      </c>
      <c r="E1326" s="35">
        <v>46027.0</v>
      </c>
      <c r="F1326" s="35">
        <v>0.0</v>
      </c>
      <c r="G1326" s="35">
        <v>4.0</v>
      </c>
      <c r="H1326" s="35">
        <v>0.0</v>
      </c>
      <c r="I1326" s="35">
        <v>0.0</v>
      </c>
      <c r="J1326" s="35"/>
      <c r="K1326" s="35">
        <v>0.0</v>
      </c>
    </row>
    <row r="1327" ht="15.75" customHeight="1">
      <c r="A1327" s="35" t="s">
        <v>5534</v>
      </c>
      <c r="B1327" s="35"/>
      <c r="C1327" s="35">
        <v>14.0</v>
      </c>
      <c r="D1327" s="35" t="s">
        <v>5535</v>
      </c>
      <c r="E1327" s="35">
        <v>46027.0</v>
      </c>
      <c r="F1327" s="35">
        <v>0.0</v>
      </c>
      <c r="G1327" s="35">
        <v>0.0</v>
      </c>
      <c r="H1327" s="35">
        <v>119.0</v>
      </c>
      <c r="I1327" s="35">
        <v>0.0</v>
      </c>
      <c r="J1327" s="35"/>
      <c r="K1327" s="35">
        <v>0.0</v>
      </c>
    </row>
    <row r="1328" ht="15.75" customHeight="1">
      <c r="A1328" s="35" t="s">
        <v>5536</v>
      </c>
      <c r="B1328" s="35"/>
      <c r="C1328" s="35">
        <v>14.0</v>
      </c>
      <c r="D1328" s="35">
        <v>179.0</v>
      </c>
      <c r="E1328" s="35">
        <v>46027.0</v>
      </c>
      <c r="F1328" s="35">
        <v>0.0</v>
      </c>
      <c r="G1328" s="35">
        <v>12.0</v>
      </c>
      <c r="H1328" s="35">
        <v>0.0</v>
      </c>
      <c r="I1328" s="35">
        <v>0.0</v>
      </c>
      <c r="J1328" s="35"/>
      <c r="K1328" s="35">
        <v>0.0</v>
      </c>
    </row>
    <row r="1329" ht="15.75" customHeight="1">
      <c r="A1329" s="35" t="s">
        <v>5538</v>
      </c>
      <c r="B1329" s="35"/>
      <c r="C1329" s="35">
        <v>14.0</v>
      </c>
      <c r="D1329" s="35" t="s">
        <v>4635</v>
      </c>
      <c r="E1329" s="35">
        <v>46027.0</v>
      </c>
      <c r="F1329" s="35">
        <v>0.0</v>
      </c>
      <c r="G1329" s="35">
        <v>3.0</v>
      </c>
      <c r="H1329" s="35">
        <v>0.0</v>
      </c>
      <c r="I1329" s="35">
        <v>0.0</v>
      </c>
      <c r="J1329" s="35"/>
      <c r="K1329" s="35">
        <v>0.0</v>
      </c>
    </row>
    <row r="1330" ht="15.75" customHeight="1">
      <c r="A1330" s="35" t="s">
        <v>5539</v>
      </c>
      <c r="B1330" s="35"/>
      <c r="C1330" s="35">
        <v>14.0</v>
      </c>
      <c r="D1330" s="35">
        <v>307.0</v>
      </c>
      <c r="E1330" s="35">
        <v>46027.0</v>
      </c>
      <c r="F1330" s="35">
        <v>0.0</v>
      </c>
      <c r="G1330" s="35">
        <v>1.0</v>
      </c>
      <c r="H1330" s="35">
        <v>0.0</v>
      </c>
      <c r="I1330" s="35">
        <v>0.0</v>
      </c>
      <c r="J1330" s="35"/>
      <c r="K1330" s="35">
        <v>0.0</v>
      </c>
    </row>
    <row r="1331" ht="15.75" customHeight="1">
      <c r="A1331" s="35" t="s">
        <v>5541</v>
      </c>
      <c r="B1331" s="35"/>
      <c r="C1331" s="35">
        <v>14.0</v>
      </c>
      <c r="D1331" s="35" t="s">
        <v>2022</v>
      </c>
      <c r="E1331" s="35">
        <v>46027.0</v>
      </c>
      <c r="F1331" s="35">
        <v>0.0</v>
      </c>
      <c r="G1331" s="35">
        <v>3.0</v>
      </c>
      <c r="H1331" s="35">
        <v>0.0</v>
      </c>
      <c r="I1331" s="35">
        <v>0.0</v>
      </c>
      <c r="J1331" s="35"/>
      <c r="K1331" s="35">
        <v>0.0</v>
      </c>
    </row>
    <row r="1332" ht="15.75" customHeight="1">
      <c r="A1332" s="35" t="s">
        <v>1543</v>
      </c>
      <c r="B1332" s="35"/>
      <c r="C1332" s="35">
        <v>14.0</v>
      </c>
      <c r="D1332" s="35">
        <v>259.0</v>
      </c>
      <c r="E1332" s="35">
        <v>46027.0</v>
      </c>
      <c r="F1332" s="35">
        <v>0.0</v>
      </c>
      <c r="G1332" s="35">
        <v>2.0</v>
      </c>
      <c r="H1332" s="35">
        <v>0.0</v>
      </c>
      <c r="I1332" s="35">
        <v>0.0</v>
      </c>
      <c r="J1332" s="35"/>
      <c r="K1332" s="35">
        <v>0.0</v>
      </c>
    </row>
    <row r="1333" ht="15.75" customHeight="1">
      <c r="A1333" s="35" t="s">
        <v>5543</v>
      </c>
      <c r="B1333" s="35"/>
      <c r="C1333" s="35">
        <v>14.0</v>
      </c>
      <c r="D1333" s="35">
        <v>785.0</v>
      </c>
      <c r="E1333" s="35">
        <v>46027.0</v>
      </c>
      <c r="F1333" s="35">
        <v>0.0</v>
      </c>
      <c r="G1333" s="35">
        <v>1.0</v>
      </c>
      <c r="H1333" s="35">
        <v>0.0</v>
      </c>
      <c r="I1333" s="35">
        <v>0.0</v>
      </c>
      <c r="J1333" s="35"/>
      <c r="K1333" s="35">
        <v>0.0</v>
      </c>
    </row>
    <row r="1334" ht="15.75" customHeight="1">
      <c r="A1334" s="35" t="s">
        <v>5544</v>
      </c>
      <c r="B1334" s="35"/>
      <c r="C1334" s="35">
        <v>14.0</v>
      </c>
      <c r="D1334" s="35">
        <v>68.0</v>
      </c>
      <c r="E1334" s="35">
        <v>46027.0</v>
      </c>
      <c r="F1334" s="35">
        <v>0.0</v>
      </c>
      <c r="G1334" s="35">
        <v>2.0</v>
      </c>
      <c r="H1334" s="35">
        <v>0.0</v>
      </c>
      <c r="I1334" s="35">
        <v>0.0</v>
      </c>
      <c r="J1334" s="35"/>
      <c r="K1334" s="35">
        <v>0.0</v>
      </c>
    </row>
    <row r="1335" ht="15.75" customHeight="1">
      <c r="A1335" s="35" t="s">
        <v>5545</v>
      </c>
      <c r="B1335" s="35"/>
      <c r="C1335" s="35">
        <v>14.0</v>
      </c>
      <c r="D1335" s="35" t="s">
        <v>3644</v>
      </c>
      <c r="E1335" s="35">
        <v>46027.0</v>
      </c>
      <c r="F1335" s="35">
        <v>0.0</v>
      </c>
      <c r="G1335" s="35">
        <v>14.0</v>
      </c>
      <c r="H1335" s="35">
        <v>0.0</v>
      </c>
      <c r="I1335" s="35">
        <v>0.0</v>
      </c>
      <c r="J1335" s="35"/>
      <c r="K1335" s="35">
        <v>0.0</v>
      </c>
    </row>
    <row r="1336" ht="15.75" customHeight="1">
      <c r="A1336" s="35" t="s">
        <v>5547</v>
      </c>
      <c r="B1336" s="35"/>
      <c r="C1336" s="35">
        <v>14.0</v>
      </c>
      <c r="D1336" s="35" t="s">
        <v>4963</v>
      </c>
      <c r="E1336" s="35">
        <v>46027.0</v>
      </c>
      <c r="F1336" s="35">
        <v>0.0</v>
      </c>
      <c r="G1336" s="35">
        <v>1.0</v>
      </c>
      <c r="H1336" s="35">
        <v>0.0</v>
      </c>
      <c r="I1336" s="35">
        <v>0.0</v>
      </c>
      <c r="J1336" s="35"/>
      <c r="K1336" s="35">
        <v>0.0</v>
      </c>
    </row>
    <row r="1337" ht="15.75" customHeight="1">
      <c r="A1337" s="35" t="s">
        <v>1550</v>
      </c>
      <c r="B1337" s="35"/>
      <c r="C1337" s="35">
        <v>14.0</v>
      </c>
      <c r="D1337" s="35" t="s">
        <v>4343</v>
      </c>
      <c r="E1337" s="35">
        <v>46027.0</v>
      </c>
      <c r="F1337" s="35">
        <v>0.0</v>
      </c>
      <c r="G1337" s="35">
        <v>5.0</v>
      </c>
      <c r="H1337" s="35">
        <v>0.0</v>
      </c>
      <c r="I1337" s="35">
        <v>0.0</v>
      </c>
      <c r="J1337" s="35"/>
      <c r="K1337" s="35">
        <v>0.0</v>
      </c>
    </row>
    <row r="1338" ht="15.75" customHeight="1">
      <c r="A1338" s="35" t="s">
        <v>5549</v>
      </c>
      <c r="B1338" s="35"/>
      <c r="C1338" s="35">
        <v>14.0</v>
      </c>
      <c r="D1338" s="35" t="s">
        <v>5550</v>
      </c>
      <c r="E1338" s="35">
        <v>46027.0</v>
      </c>
      <c r="F1338" s="35">
        <v>0.0</v>
      </c>
      <c r="G1338" s="35">
        <v>5.0</v>
      </c>
      <c r="H1338" s="35">
        <v>0.0</v>
      </c>
      <c r="I1338" s="35">
        <v>0.0</v>
      </c>
      <c r="J1338" s="35"/>
      <c r="K1338" s="35">
        <v>0.0</v>
      </c>
    </row>
    <row r="1339" ht="15.75" customHeight="1">
      <c r="A1339" s="35" t="s">
        <v>5551</v>
      </c>
      <c r="B1339" s="35"/>
      <c r="C1339" s="35">
        <v>14.0</v>
      </c>
      <c r="D1339" s="35" t="s">
        <v>4635</v>
      </c>
      <c r="E1339" s="35">
        <v>46027.0</v>
      </c>
      <c r="F1339" s="35">
        <v>0.0</v>
      </c>
      <c r="G1339" s="35">
        <v>3.0</v>
      </c>
      <c r="H1339" s="35">
        <v>0.0</v>
      </c>
      <c r="I1339" s="35">
        <v>0.0</v>
      </c>
      <c r="J1339" s="35"/>
      <c r="K1339" s="35">
        <v>0.0</v>
      </c>
    </row>
    <row r="1340" ht="15.75" customHeight="1">
      <c r="A1340" s="35" t="s">
        <v>5553</v>
      </c>
      <c r="B1340" s="35"/>
      <c r="C1340" s="35">
        <v>14.0</v>
      </c>
      <c r="D1340" s="35" t="s">
        <v>2019</v>
      </c>
      <c r="E1340" s="35">
        <v>46027.0</v>
      </c>
      <c r="F1340" s="35">
        <v>0.0</v>
      </c>
      <c r="G1340" s="35">
        <v>1.0</v>
      </c>
      <c r="H1340" s="35">
        <v>0.0</v>
      </c>
      <c r="I1340" s="35">
        <v>0.0</v>
      </c>
      <c r="J1340" s="35"/>
      <c r="K1340" s="35">
        <v>0.0</v>
      </c>
    </row>
    <row r="1341" ht="15.75" customHeight="1">
      <c r="A1341" s="35" t="s">
        <v>1563</v>
      </c>
      <c r="B1341" s="35"/>
      <c r="C1341" s="35">
        <v>14.0</v>
      </c>
      <c r="D1341" s="35" t="s">
        <v>4635</v>
      </c>
      <c r="E1341" s="35">
        <v>46027.0</v>
      </c>
      <c r="F1341" s="35">
        <v>0.0</v>
      </c>
      <c r="G1341" s="35">
        <v>1.0</v>
      </c>
      <c r="H1341" s="35">
        <v>0.0</v>
      </c>
      <c r="I1341" s="35">
        <v>0.0</v>
      </c>
      <c r="J1341" s="35"/>
      <c r="K1341" s="35">
        <v>0.0</v>
      </c>
    </row>
    <row r="1342" ht="15.75" customHeight="1">
      <c r="A1342" s="35" t="s">
        <v>5555</v>
      </c>
      <c r="B1342" s="35"/>
      <c r="C1342" s="35">
        <v>14.0</v>
      </c>
      <c r="D1342" s="35" t="s">
        <v>4189</v>
      </c>
      <c r="E1342" s="35">
        <v>46027.0</v>
      </c>
      <c r="F1342" s="35">
        <v>0.0</v>
      </c>
      <c r="G1342" s="35">
        <v>8.0</v>
      </c>
      <c r="H1342" s="35">
        <v>0.0</v>
      </c>
      <c r="I1342" s="35">
        <v>0.0</v>
      </c>
      <c r="J1342" s="35"/>
      <c r="K1342" s="35">
        <v>0.0</v>
      </c>
    </row>
    <row r="1343" ht="15.75" customHeight="1">
      <c r="A1343" s="35" t="s">
        <v>5556</v>
      </c>
      <c r="B1343" s="35"/>
      <c r="C1343" s="35">
        <v>14.0</v>
      </c>
      <c r="D1343" s="35">
        <v>258.0</v>
      </c>
      <c r="E1343" s="35">
        <v>46027.0</v>
      </c>
      <c r="F1343" s="35">
        <v>0.0</v>
      </c>
      <c r="G1343" s="35">
        <v>1.0</v>
      </c>
      <c r="H1343" s="35">
        <v>0.0</v>
      </c>
      <c r="I1343" s="35">
        <v>0.0</v>
      </c>
      <c r="J1343" s="35"/>
      <c r="K1343" s="35">
        <v>0.0</v>
      </c>
    </row>
    <row r="1344" ht="15.75" customHeight="1">
      <c r="A1344" s="35" t="s">
        <v>5557</v>
      </c>
      <c r="B1344" s="35"/>
      <c r="C1344" s="35">
        <v>14.0</v>
      </c>
      <c r="D1344" s="35" t="s">
        <v>4143</v>
      </c>
      <c r="E1344" s="35">
        <v>46027.0</v>
      </c>
      <c r="F1344" s="35">
        <v>0.0</v>
      </c>
      <c r="G1344" s="35">
        <v>5.0</v>
      </c>
      <c r="H1344" s="35">
        <v>0.0</v>
      </c>
      <c r="I1344" s="35">
        <v>0.0</v>
      </c>
      <c r="J1344" s="35"/>
      <c r="K1344" s="35">
        <v>0.0</v>
      </c>
    </row>
    <row r="1345" ht="15.75" customHeight="1">
      <c r="A1345" s="35" t="s">
        <v>1579</v>
      </c>
      <c r="B1345" s="35"/>
      <c r="C1345" s="35">
        <v>14.0</v>
      </c>
      <c r="D1345" s="35" t="s">
        <v>4546</v>
      </c>
      <c r="E1345" s="35">
        <v>46027.0</v>
      </c>
      <c r="F1345" s="35">
        <v>0.0</v>
      </c>
      <c r="G1345" s="35">
        <v>5.0</v>
      </c>
      <c r="H1345" s="35">
        <v>0.0</v>
      </c>
      <c r="I1345" s="35">
        <v>0.0</v>
      </c>
      <c r="J1345" s="35"/>
      <c r="K1345" s="35">
        <v>0.0</v>
      </c>
    </row>
    <row r="1346" ht="15.75" customHeight="1">
      <c r="A1346" s="35" t="s">
        <v>5559</v>
      </c>
      <c r="B1346" s="35"/>
      <c r="C1346" s="35">
        <v>14.0</v>
      </c>
      <c r="D1346" s="35" t="s">
        <v>2018</v>
      </c>
      <c r="E1346" s="35">
        <v>46027.0</v>
      </c>
      <c r="F1346" s="35">
        <v>0.0</v>
      </c>
      <c r="G1346" s="35">
        <v>1.0</v>
      </c>
      <c r="H1346" s="35">
        <v>0.0</v>
      </c>
      <c r="I1346" s="35">
        <v>0.0</v>
      </c>
      <c r="J1346" s="35"/>
      <c r="K1346" s="35">
        <v>0.0</v>
      </c>
    </row>
    <row r="1347" ht="15.75" customHeight="1">
      <c r="A1347" s="35" t="s">
        <v>5561</v>
      </c>
      <c r="B1347" s="35"/>
      <c r="C1347" s="35">
        <v>14.0</v>
      </c>
      <c r="D1347" s="35" t="s">
        <v>5562</v>
      </c>
      <c r="E1347" s="35">
        <v>46027.0</v>
      </c>
      <c r="F1347" s="35">
        <v>0.0</v>
      </c>
      <c r="G1347" s="35">
        <v>0.0</v>
      </c>
      <c r="H1347" s="35">
        <v>1.0</v>
      </c>
      <c r="I1347" s="35">
        <v>0.0</v>
      </c>
      <c r="J1347" s="35"/>
      <c r="K1347" s="35">
        <v>0.0</v>
      </c>
    </row>
    <row r="1348" ht="15.75" customHeight="1">
      <c r="A1348" s="35" t="s">
        <v>1584</v>
      </c>
      <c r="B1348" s="35"/>
      <c r="C1348" s="35">
        <v>14.0</v>
      </c>
      <c r="D1348" s="35" t="s">
        <v>4642</v>
      </c>
      <c r="E1348" s="35">
        <v>46027.0</v>
      </c>
      <c r="F1348" s="35">
        <v>0.0</v>
      </c>
      <c r="G1348" s="35">
        <v>2.0</v>
      </c>
      <c r="H1348" s="35">
        <v>0.0</v>
      </c>
      <c r="I1348" s="35">
        <v>0.0</v>
      </c>
      <c r="J1348" s="35"/>
      <c r="K1348" s="35">
        <v>0.0</v>
      </c>
    </row>
    <row r="1349" ht="15.75" customHeight="1">
      <c r="A1349" s="35" t="s">
        <v>5564</v>
      </c>
      <c r="B1349" s="35"/>
      <c r="C1349" s="35">
        <v>14.0</v>
      </c>
      <c r="D1349" s="35">
        <v>178.0</v>
      </c>
      <c r="E1349" s="35">
        <v>46027.0</v>
      </c>
      <c r="F1349" s="35">
        <v>0.0</v>
      </c>
      <c r="G1349" s="35">
        <v>2.0</v>
      </c>
      <c r="H1349" s="35">
        <v>0.0</v>
      </c>
      <c r="I1349" s="35">
        <v>0.0</v>
      </c>
      <c r="J1349" s="35"/>
      <c r="K1349" s="35">
        <v>0.0</v>
      </c>
    </row>
    <row r="1350" ht="15.75" customHeight="1">
      <c r="A1350" s="35" t="s">
        <v>5565</v>
      </c>
      <c r="B1350" s="35"/>
      <c r="C1350" s="35">
        <v>14.0</v>
      </c>
      <c r="D1350" s="35">
        <v>124.0</v>
      </c>
      <c r="E1350" s="35">
        <v>46027.0</v>
      </c>
      <c r="F1350" s="35">
        <v>0.0</v>
      </c>
      <c r="G1350" s="35">
        <v>6.0</v>
      </c>
      <c r="H1350" s="35">
        <v>0.0</v>
      </c>
      <c r="I1350" s="35">
        <v>0.0</v>
      </c>
      <c r="J1350" s="35"/>
      <c r="K1350" s="35">
        <v>0.0</v>
      </c>
    </row>
    <row r="1351" ht="15.75" customHeight="1">
      <c r="A1351" s="35" t="s">
        <v>5567</v>
      </c>
      <c r="B1351" s="35"/>
      <c r="C1351" s="35">
        <v>14.0</v>
      </c>
      <c r="D1351" s="35">
        <v>100.0</v>
      </c>
      <c r="E1351" s="35">
        <v>46027.0</v>
      </c>
      <c r="F1351" s="35">
        <v>0.0</v>
      </c>
      <c r="G1351" s="35">
        <v>1.0</v>
      </c>
      <c r="H1351" s="35">
        <v>0.0</v>
      </c>
      <c r="I1351" s="35">
        <v>0.0</v>
      </c>
      <c r="J1351" s="35"/>
      <c r="K1351" s="35">
        <v>0.0</v>
      </c>
    </row>
    <row r="1352" ht="15.75" customHeight="1">
      <c r="A1352" s="35" t="s">
        <v>5568</v>
      </c>
      <c r="B1352" s="35"/>
      <c r="C1352" s="35">
        <v>14.0</v>
      </c>
      <c r="D1352" s="35">
        <v>466.0</v>
      </c>
      <c r="E1352" s="35">
        <v>46027.0</v>
      </c>
      <c r="F1352" s="35">
        <v>0.0</v>
      </c>
      <c r="G1352" s="35">
        <v>1.0</v>
      </c>
      <c r="H1352" s="35">
        <v>0.0</v>
      </c>
      <c r="I1352" s="35">
        <v>0.0</v>
      </c>
      <c r="J1352" s="35"/>
      <c r="K1352" s="35">
        <v>0.0</v>
      </c>
    </row>
    <row r="1353" ht="15.75" customHeight="1">
      <c r="A1353" s="35" t="s">
        <v>5569</v>
      </c>
      <c r="B1353" s="35"/>
      <c r="C1353" s="35">
        <v>14.0</v>
      </c>
      <c r="D1353" s="35" t="s">
        <v>4635</v>
      </c>
      <c r="E1353" s="35">
        <v>46027.0</v>
      </c>
      <c r="F1353" s="35">
        <v>0.0</v>
      </c>
      <c r="G1353" s="35">
        <v>14.0</v>
      </c>
      <c r="H1353" s="35">
        <v>0.0</v>
      </c>
      <c r="I1353" s="35">
        <v>0.0</v>
      </c>
      <c r="J1353" s="35"/>
      <c r="K1353" s="35">
        <v>0.0</v>
      </c>
    </row>
    <row r="1354" ht="15.75" customHeight="1">
      <c r="A1354" s="35" t="s">
        <v>5571</v>
      </c>
      <c r="B1354" s="35"/>
      <c r="C1354" s="35">
        <v>14.0</v>
      </c>
      <c r="D1354" s="35">
        <v>677.0</v>
      </c>
      <c r="E1354" s="35">
        <v>46027.0</v>
      </c>
      <c r="F1354" s="35">
        <v>0.0</v>
      </c>
      <c r="G1354" s="35">
        <v>2.0</v>
      </c>
      <c r="H1354" s="35">
        <v>0.0</v>
      </c>
      <c r="I1354" s="35">
        <v>0.0</v>
      </c>
      <c r="J1354" s="35"/>
      <c r="K1354" s="35">
        <v>0.0</v>
      </c>
    </row>
    <row r="1355" ht="15.75" customHeight="1">
      <c r="A1355" s="35" t="s">
        <v>5572</v>
      </c>
      <c r="B1355" s="35"/>
      <c r="C1355" s="35">
        <v>14.0</v>
      </c>
      <c r="D1355" s="35" t="s">
        <v>4635</v>
      </c>
      <c r="E1355" s="35">
        <v>46027.0</v>
      </c>
      <c r="F1355" s="35">
        <v>0.0</v>
      </c>
      <c r="G1355" s="35">
        <v>3.0</v>
      </c>
      <c r="H1355" s="35">
        <v>0.0</v>
      </c>
      <c r="I1355" s="35">
        <v>0.0</v>
      </c>
      <c r="J1355" s="35"/>
      <c r="K1355" s="35">
        <v>0.0</v>
      </c>
    </row>
    <row r="1356" ht="15.75" customHeight="1">
      <c r="A1356" s="35" t="s">
        <v>5574</v>
      </c>
      <c r="B1356" s="35"/>
      <c r="C1356" s="35">
        <v>14.0</v>
      </c>
      <c r="D1356" s="35" t="s">
        <v>2032</v>
      </c>
      <c r="E1356" s="35">
        <v>46027.0</v>
      </c>
      <c r="F1356" s="35">
        <v>0.0</v>
      </c>
      <c r="G1356" s="35">
        <v>1.0</v>
      </c>
      <c r="H1356" s="35">
        <v>0.0</v>
      </c>
      <c r="I1356" s="35">
        <v>0.0</v>
      </c>
      <c r="J1356" s="35"/>
      <c r="K1356" s="35">
        <v>0.0</v>
      </c>
    </row>
    <row r="1357" ht="15.75" customHeight="1">
      <c r="A1357" s="35" t="s">
        <v>5575</v>
      </c>
      <c r="B1357" s="35"/>
      <c r="C1357" s="35">
        <v>14.0</v>
      </c>
      <c r="D1357" s="35">
        <v>683.0</v>
      </c>
      <c r="E1357" s="35">
        <v>46027.0</v>
      </c>
      <c r="F1357" s="35">
        <v>0.0</v>
      </c>
      <c r="G1357" s="35">
        <v>2.0</v>
      </c>
      <c r="H1357" s="35">
        <v>0.0</v>
      </c>
      <c r="I1357" s="35">
        <v>0.0</v>
      </c>
      <c r="J1357" s="35"/>
      <c r="K1357" s="35">
        <v>0.0</v>
      </c>
    </row>
    <row r="1358" ht="15.75" customHeight="1">
      <c r="A1358" s="35" t="s">
        <v>5577</v>
      </c>
      <c r="B1358" s="35"/>
      <c r="C1358" s="35">
        <v>14.0</v>
      </c>
      <c r="D1358" s="35" t="s">
        <v>5578</v>
      </c>
      <c r="E1358" s="35">
        <v>46027.0</v>
      </c>
      <c r="F1358" s="35">
        <v>0.0</v>
      </c>
      <c r="G1358" s="35">
        <v>4.0</v>
      </c>
      <c r="H1358" s="35">
        <v>0.0</v>
      </c>
      <c r="I1358" s="35">
        <v>0.0</v>
      </c>
      <c r="J1358" s="35"/>
      <c r="K1358" s="35">
        <v>0.0</v>
      </c>
    </row>
    <row r="1359" ht="15.75" customHeight="1">
      <c r="A1359" s="35" t="s">
        <v>5579</v>
      </c>
      <c r="B1359" s="35"/>
      <c r="C1359" s="35">
        <v>14.0</v>
      </c>
      <c r="D1359" s="35">
        <v>520.0</v>
      </c>
      <c r="E1359" s="35">
        <v>46027.0</v>
      </c>
      <c r="F1359" s="35">
        <v>0.0</v>
      </c>
      <c r="G1359" s="35">
        <v>1.0</v>
      </c>
      <c r="H1359" s="35">
        <v>0.0</v>
      </c>
      <c r="I1359" s="35">
        <v>0.0</v>
      </c>
      <c r="J1359" s="35"/>
      <c r="K1359" s="35">
        <v>0.0</v>
      </c>
    </row>
    <row r="1360" ht="15.75" customHeight="1">
      <c r="A1360" s="35" t="s">
        <v>5581</v>
      </c>
      <c r="B1360" s="35"/>
      <c r="C1360" s="35">
        <v>14.0</v>
      </c>
      <c r="D1360" s="35">
        <v>388.0</v>
      </c>
      <c r="E1360" s="35">
        <v>46027.0</v>
      </c>
      <c r="F1360" s="35">
        <v>0.0</v>
      </c>
      <c r="G1360" s="35">
        <v>9.0</v>
      </c>
      <c r="H1360" s="35">
        <v>0.0</v>
      </c>
      <c r="I1360" s="35">
        <v>0.0</v>
      </c>
      <c r="J1360" s="35"/>
      <c r="K1360" s="35">
        <v>0.0</v>
      </c>
    </row>
    <row r="1361" ht="15.75" customHeight="1">
      <c r="A1361" s="35" t="s">
        <v>5582</v>
      </c>
      <c r="B1361" s="35"/>
      <c r="C1361" s="35">
        <v>14.0</v>
      </c>
      <c r="D1361" s="35" t="s">
        <v>4343</v>
      </c>
      <c r="E1361" s="35">
        <v>46027.0</v>
      </c>
      <c r="F1361" s="35">
        <v>0.0</v>
      </c>
      <c r="G1361" s="35">
        <v>2.0</v>
      </c>
      <c r="H1361" s="35">
        <v>0.0</v>
      </c>
      <c r="I1361" s="35">
        <v>0.0</v>
      </c>
      <c r="J1361" s="35"/>
      <c r="K1361" s="35">
        <v>0.0</v>
      </c>
    </row>
    <row r="1362" ht="15.75" customHeight="1">
      <c r="A1362" s="35" t="s">
        <v>5583</v>
      </c>
      <c r="B1362" s="35"/>
      <c r="C1362" s="35">
        <v>14.0</v>
      </c>
      <c r="D1362" s="35" t="s">
        <v>2043</v>
      </c>
      <c r="E1362" s="35">
        <v>46027.0</v>
      </c>
      <c r="F1362" s="35">
        <v>0.0</v>
      </c>
      <c r="G1362" s="35">
        <v>0.0</v>
      </c>
      <c r="H1362" s="35">
        <v>1.0</v>
      </c>
      <c r="I1362" s="35">
        <v>0.0</v>
      </c>
      <c r="J1362" s="35"/>
      <c r="K1362" s="35">
        <v>0.0</v>
      </c>
    </row>
    <row r="1363" ht="15.75" customHeight="1">
      <c r="A1363" s="35" t="s">
        <v>5585</v>
      </c>
      <c r="B1363" s="35"/>
      <c r="C1363" s="35">
        <v>14.0</v>
      </c>
      <c r="D1363" s="35" t="s">
        <v>5586</v>
      </c>
      <c r="E1363" s="35">
        <v>46027.0</v>
      </c>
      <c r="F1363" s="35">
        <v>0.0</v>
      </c>
      <c r="G1363" s="35">
        <v>6.0</v>
      </c>
      <c r="H1363" s="35">
        <v>0.0</v>
      </c>
      <c r="I1363" s="35">
        <v>0.0</v>
      </c>
      <c r="J1363" s="35"/>
      <c r="K1363" s="35">
        <v>0.0</v>
      </c>
    </row>
    <row r="1364" ht="15.75" customHeight="1">
      <c r="A1364" s="35" t="s">
        <v>5587</v>
      </c>
      <c r="B1364" s="35"/>
      <c r="C1364" s="35">
        <v>13.0</v>
      </c>
      <c r="D1364" s="35" t="s">
        <v>2049</v>
      </c>
      <c r="E1364" s="35">
        <v>46058.0</v>
      </c>
      <c r="F1364" s="35">
        <v>0.0</v>
      </c>
      <c r="G1364" s="35">
        <v>4.0</v>
      </c>
      <c r="H1364" s="35">
        <v>1.0</v>
      </c>
      <c r="I1364" s="35">
        <v>0.0</v>
      </c>
      <c r="J1364" s="35"/>
      <c r="K1364" s="35">
        <v>0.0</v>
      </c>
    </row>
    <row r="1365" ht="15.75" customHeight="1">
      <c r="A1365" s="35" t="s">
        <v>5589</v>
      </c>
      <c r="B1365" s="35"/>
      <c r="C1365" s="35">
        <v>13.0</v>
      </c>
      <c r="D1365" s="35" t="s">
        <v>4635</v>
      </c>
      <c r="E1365" s="35">
        <v>46058.0</v>
      </c>
      <c r="F1365" s="35">
        <v>0.0</v>
      </c>
      <c r="G1365" s="35">
        <v>4.0</v>
      </c>
      <c r="H1365" s="35">
        <v>0.0</v>
      </c>
      <c r="I1365" s="35">
        <v>3.0</v>
      </c>
      <c r="J1365" s="35"/>
      <c r="K1365" s="35">
        <v>0.0</v>
      </c>
    </row>
    <row r="1366" ht="15.75" customHeight="1">
      <c r="A1366" s="35" t="s">
        <v>5590</v>
      </c>
      <c r="B1366" s="35"/>
      <c r="C1366" s="35">
        <v>13.0</v>
      </c>
      <c r="D1366" s="35" t="s">
        <v>5591</v>
      </c>
      <c r="E1366" s="35">
        <v>46058.0</v>
      </c>
      <c r="F1366" s="35">
        <v>0.0</v>
      </c>
      <c r="G1366" s="35">
        <v>9.0</v>
      </c>
      <c r="H1366" s="35">
        <v>16.0</v>
      </c>
      <c r="I1366" s="35">
        <v>0.0</v>
      </c>
      <c r="J1366" s="35"/>
      <c r="K1366" s="35">
        <v>0.0</v>
      </c>
    </row>
    <row r="1367" ht="15.75" customHeight="1">
      <c r="A1367" s="35" t="s">
        <v>5593</v>
      </c>
      <c r="B1367" s="35"/>
      <c r="C1367" s="35">
        <v>13.0</v>
      </c>
      <c r="D1367" s="35" t="s">
        <v>4778</v>
      </c>
      <c r="E1367" s="35">
        <v>46027.0</v>
      </c>
      <c r="F1367" s="35">
        <v>0.0</v>
      </c>
      <c r="G1367" s="35">
        <v>1.0</v>
      </c>
      <c r="H1367" s="35">
        <v>0.0</v>
      </c>
      <c r="I1367" s="35">
        <v>0.0</v>
      </c>
      <c r="J1367" s="35"/>
      <c r="K1367" s="35">
        <v>0.0</v>
      </c>
    </row>
    <row r="1368" ht="15.75" customHeight="1">
      <c r="A1368" s="35" t="s">
        <v>5594</v>
      </c>
      <c r="B1368" s="35"/>
      <c r="C1368" s="35">
        <v>13.0</v>
      </c>
      <c r="D1368" s="35" t="s">
        <v>4489</v>
      </c>
      <c r="E1368" s="35">
        <v>46027.0</v>
      </c>
      <c r="F1368" s="35">
        <v>0.0</v>
      </c>
      <c r="G1368" s="35">
        <v>2.0</v>
      </c>
      <c r="H1368" s="35">
        <v>0.0</v>
      </c>
      <c r="I1368" s="35">
        <v>0.0</v>
      </c>
      <c r="J1368" s="35"/>
      <c r="K1368" s="35">
        <v>0.0</v>
      </c>
    </row>
    <row r="1369" ht="15.75" customHeight="1">
      <c r="A1369" s="35" t="s">
        <v>5595</v>
      </c>
      <c r="B1369" s="35"/>
      <c r="C1369" s="35">
        <v>13.0</v>
      </c>
      <c r="D1369" s="35" t="s">
        <v>4635</v>
      </c>
      <c r="E1369" s="35">
        <v>46027.0</v>
      </c>
      <c r="F1369" s="35">
        <v>0.0</v>
      </c>
      <c r="G1369" s="35">
        <v>1.0</v>
      </c>
      <c r="H1369" s="35">
        <v>0.0</v>
      </c>
      <c r="I1369" s="35">
        <v>0.0</v>
      </c>
      <c r="J1369" s="35"/>
      <c r="K1369" s="35">
        <v>0.0</v>
      </c>
    </row>
    <row r="1370" ht="15.75" customHeight="1">
      <c r="A1370" s="35" t="s">
        <v>5597</v>
      </c>
      <c r="B1370" s="35"/>
      <c r="C1370" s="35">
        <v>13.0</v>
      </c>
      <c r="D1370" s="35" t="s">
        <v>2049</v>
      </c>
      <c r="E1370" s="35">
        <v>46027.0</v>
      </c>
      <c r="F1370" s="35">
        <v>0.0</v>
      </c>
      <c r="G1370" s="35">
        <v>1.0</v>
      </c>
      <c r="H1370" s="35">
        <v>0.0</v>
      </c>
      <c r="I1370" s="35">
        <v>0.0</v>
      </c>
      <c r="J1370" s="35"/>
      <c r="K1370" s="35">
        <v>0.0</v>
      </c>
    </row>
    <row r="1371" ht="15.75" customHeight="1">
      <c r="A1371" s="35" t="s">
        <v>5598</v>
      </c>
      <c r="B1371" s="35"/>
      <c r="C1371" s="35">
        <v>13.0</v>
      </c>
      <c r="D1371" s="35" t="s">
        <v>5599</v>
      </c>
      <c r="E1371" s="35">
        <v>46027.0</v>
      </c>
      <c r="F1371" s="35">
        <v>0.0</v>
      </c>
      <c r="G1371" s="35">
        <v>1.0</v>
      </c>
      <c r="H1371" s="35">
        <v>0.0</v>
      </c>
      <c r="I1371" s="35">
        <v>0.0</v>
      </c>
      <c r="J1371" s="35"/>
      <c r="K1371" s="35">
        <v>0.0</v>
      </c>
    </row>
    <row r="1372" ht="15.75" customHeight="1">
      <c r="A1372" s="35" t="s">
        <v>1590</v>
      </c>
      <c r="B1372" s="35"/>
      <c r="C1372" s="35">
        <v>13.0</v>
      </c>
      <c r="D1372" s="35" t="s">
        <v>3600</v>
      </c>
      <c r="E1372" s="35">
        <v>46027.0</v>
      </c>
      <c r="F1372" s="35">
        <v>0.0</v>
      </c>
      <c r="G1372" s="35">
        <v>6.0</v>
      </c>
      <c r="H1372" s="35">
        <v>0.0</v>
      </c>
      <c r="I1372" s="35">
        <v>0.0</v>
      </c>
      <c r="J1372" s="35"/>
      <c r="K1372" s="35">
        <v>0.0</v>
      </c>
    </row>
    <row r="1373" ht="15.75" customHeight="1">
      <c r="A1373" s="35" t="s">
        <v>5601</v>
      </c>
      <c r="B1373" s="35"/>
      <c r="C1373" s="35">
        <v>13.0</v>
      </c>
      <c r="D1373" s="35">
        <v>362.0</v>
      </c>
      <c r="E1373" s="35">
        <v>46027.0</v>
      </c>
      <c r="F1373" s="35">
        <v>0.0</v>
      </c>
      <c r="G1373" s="35">
        <v>4.0</v>
      </c>
      <c r="H1373" s="35">
        <v>0.0</v>
      </c>
      <c r="I1373" s="35">
        <v>0.0</v>
      </c>
      <c r="J1373" s="35"/>
      <c r="K1373" s="35">
        <v>0.0</v>
      </c>
    </row>
    <row r="1374" ht="15.75" customHeight="1">
      <c r="A1374" s="35" t="s">
        <v>1598</v>
      </c>
      <c r="B1374" s="35"/>
      <c r="C1374" s="35">
        <v>13.0</v>
      </c>
      <c r="D1374" s="35" t="s">
        <v>4635</v>
      </c>
      <c r="E1374" s="35">
        <v>46027.0</v>
      </c>
      <c r="F1374" s="35">
        <v>0.0</v>
      </c>
      <c r="G1374" s="35">
        <v>0.0</v>
      </c>
      <c r="H1374" s="35">
        <v>0.0</v>
      </c>
      <c r="I1374" s="35">
        <v>4.0</v>
      </c>
      <c r="J1374" s="35"/>
      <c r="K1374" s="35">
        <v>0.0</v>
      </c>
    </row>
    <row r="1375" ht="15.75" customHeight="1">
      <c r="A1375" s="35" t="s">
        <v>5603</v>
      </c>
      <c r="B1375" s="35"/>
      <c r="C1375" s="35">
        <v>13.0</v>
      </c>
      <c r="D1375" s="35" t="s">
        <v>4635</v>
      </c>
      <c r="E1375" s="35">
        <v>46027.0</v>
      </c>
      <c r="F1375" s="35">
        <v>0.0</v>
      </c>
      <c r="G1375" s="35">
        <v>3.0</v>
      </c>
      <c r="H1375" s="35">
        <v>0.0</v>
      </c>
      <c r="I1375" s="35">
        <v>0.0</v>
      </c>
      <c r="J1375" s="35"/>
      <c r="K1375" s="35">
        <v>0.0</v>
      </c>
    </row>
    <row r="1376" ht="15.75" customHeight="1">
      <c r="A1376" s="35" t="s">
        <v>5605</v>
      </c>
      <c r="B1376" s="35"/>
      <c r="C1376" s="35">
        <v>13.0</v>
      </c>
      <c r="D1376" s="35" t="s">
        <v>3086</v>
      </c>
      <c r="E1376" s="35">
        <v>46027.0</v>
      </c>
      <c r="F1376" s="35">
        <v>0.0</v>
      </c>
      <c r="G1376" s="35">
        <v>0.0</v>
      </c>
      <c r="H1376" s="35">
        <v>18.0</v>
      </c>
      <c r="I1376" s="35">
        <v>0.0</v>
      </c>
      <c r="J1376" s="35"/>
      <c r="K1376" s="35">
        <v>0.0</v>
      </c>
    </row>
    <row r="1377" ht="15.75" customHeight="1">
      <c r="A1377" s="35" t="s">
        <v>5606</v>
      </c>
      <c r="B1377" s="35"/>
      <c r="C1377" s="35">
        <v>13.0</v>
      </c>
      <c r="D1377" s="35" t="s">
        <v>4635</v>
      </c>
      <c r="E1377" s="35">
        <v>46027.0</v>
      </c>
      <c r="F1377" s="35">
        <v>0.0</v>
      </c>
      <c r="G1377" s="35">
        <v>138.0</v>
      </c>
      <c r="H1377" s="35">
        <v>0.0</v>
      </c>
      <c r="I1377" s="35">
        <v>0.0</v>
      </c>
      <c r="J1377" s="35"/>
      <c r="K1377" s="35">
        <v>0.0</v>
      </c>
    </row>
    <row r="1378" ht="15.75" customHeight="1">
      <c r="A1378" s="35" t="s">
        <v>5607</v>
      </c>
      <c r="B1378" s="35"/>
      <c r="C1378" s="35">
        <v>13.0</v>
      </c>
      <c r="D1378" s="35" t="s">
        <v>2021</v>
      </c>
      <c r="E1378" s="35">
        <v>46027.0</v>
      </c>
      <c r="F1378" s="35">
        <v>0.0</v>
      </c>
      <c r="G1378" s="35">
        <v>6.0</v>
      </c>
      <c r="H1378" s="35">
        <v>0.0</v>
      </c>
      <c r="I1378" s="35">
        <v>0.0</v>
      </c>
      <c r="J1378" s="35"/>
      <c r="K1378" s="35">
        <v>0.0</v>
      </c>
    </row>
    <row r="1379" ht="15.75" customHeight="1">
      <c r="A1379" s="35" t="s">
        <v>5609</v>
      </c>
      <c r="B1379" s="35"/>
      <c r="C1379" s="35">
        <v>13.0</v>
      </c>
      <c r="D1379" s="35" t="s">
        <v>4692</v>
      </c>
      <c r="E1379" s="35">
        <v>46027.0</v>
      </c>
      <c r="F1379" s="35">
        <v>0.0</v>
      </c>
      <c r="G1379" s="35">
        <v>13.0</v>
      </c>
      <c r="H1379" s="35">
        <v>0.0</v>
      </c>
      <c r="I1379" s="35">
        <v>0.0</v>
      </c>
      <c r="J1379" s="35"/>
      <c r="K1379" s="35">
        <v>0.0</v>
      </c>
    </row>
    <row r="1380" ht="15.75" customHeight="1">
      <c r="A1380" s="35" t="s">
        <v>5610</v>
      </c>
      <c r="B1380" s="35"/>
      <c r="C1380" s="35">
        <v>13.0</v>
      </c>
      <c r="D1380" s="35" t="s">
        <v>4635</v>
      </c>
      <c r="E1380" s="35">
        <v>46027.0</v>
      </c>
      <c r="F1380" s="35">
        <v>0.0</v>
      </c>
      <c r="G1380" s="35">
        <v>1.0</v>
      </c>
      <c r="H1380" s="35">
        <v>0.0</v>
      </c>
      <c r="I1380" s="35">
        <v>0.0</v>
      </c>
      <c r="J1380" s="35"/>
      <c r="K1380" s="35">
        <v>0.0</v>
      </c>
    </row>
    <row r="1381" ht="15.75" customHeight="1">
      <c r="A1381" s="35" t="s">
        <v>5612</v>
      </c>
      <c r="B1381" s="35"/>
      <c r="C1381" s="35">
        <v>13.0</v>
      </c>
      <c r="D1381" s="35" t="s">
        <v>4193</v>
      </c>
      <c r="E1381" s="35">
        <v>46027.0</v>
      </c>
      <c r="F1381" s="35">
        <v>0.0</v>
      </c>
      <c r="G1381" s="35">
        <v>1.0</v>
      </c>
      <c r="H1381" s="35">
        <v>0.0</v>
      </c>
      <c r="I1381" s="35">
        <v>0.0</v>
      </c>
      <c r="J1381" s="35"/>
      <c r="K1381" s="35">
        <v>0.0</v>
      </c>
    </row>
    <row r="1382" ht="15.75" customHeight="1">
      <c r="A1382" s="35" t="s">
        <v>5613</v>
      </c>
      <c r="B1382" s="35"/>
      <c r="C1382" s="35">
        <v>13.0</v>
      </c>
      <c r="D1382" s="35">
        <v>255.0</v>
      </c>
      <c r="E1382" s="35">
        <v>46027.0</v>
      </c>
      <c r="F1382" s="35">
        <v>0.0</v>
      </c>
      <c r="G1382" s="35">
        <v>0.0</v>
      </c>
      <c r="H1382" s="35">
        <v>0.0</v>
      </c>
      <c r="I1382" s="35">
        <v>0.0</v>
      </c>
      <c r="J1382" s="35"/>
      <c r="K1382" s="35">
        <v>2.0</v>
      </c>
    </row>
    <row r="1383" ht="15.75" customHeight="1">
      <c r="A1383" s="35" t="s">
        <v>5615</v>
      </c>
      <c r="B1383" s="35"/>
      <c r="C1383" s="35">
        <v>13.0</v>
      </c>
      <c r="D1383" s="35" t="s">
        <v>5616</v>
      </c>
      <c r="E1383" s="35">
        <v>46027.0</v>
      </c>
      <c r="F1383" s="35">
        <v>0.0</v>
      </c>
      <c r="G1383" s="35">
        <v>8.0</v>
      </c>
      <c r="H1383" s="35">
        <v>0.0</v>
      </c>
      <c r="I1383" s="35">
        <v>0.0</v>
      </c>
      <c r="J1383" s="35"/>
      <c r="K1383" s="35">
        <v>0.0</v>
      </c>
    </row>
    <row r="1384" ht="15.75" customHeight="1">
      <c r="A1384" s="35" t="s">
        <v>5617</v>
      </c>
      <c r="B1384" s="35"/>
      <c r="C1384" s="35">
        <v>13.0</v>
      </c>
      <c r="D1384" s="35" t="s">
        <v>4985</v>
      </c>
      <c r="E1384" s="35">
        <v>46027.0</v>
      </c>
      <c r="F1384" s="35">
        <v>0.0</v>
      </c>
      <c r="G1384" s="35">
        <v>2.0</v>
      </c>
      <c r="H1384" s="35">
        <v>0.0</v>
      </c>
      <c r="I1384" s="35">
        <v>0.0</v>
      </c>
      <c r="J1384" s="35"/>
      <c r="K1384" s="35">
        <v>0.0</v>
      </c>
    </row>
    <row r="1385" ht="15.75" customHeight="1">
      <c r="A1385" s="35" t="s">
        <v>5619</v>
      </c>
      <c r="B1385" s="35"/>
      <c r="C1385" s="35">
        <v>13.0</v>
      </c>
      <c r="D1385" s="35" t="s">
        <v>4006</v>
      </c>
      <c r="E1385" s="35">
        <v>46027.0</v>
      </c>
      <c r="F1385" s="35">
        <v>0.0</v>
      </c>
      <c r="G1385" s="35">
        <v>16.0</v>
      </c>
      <c r="H1385" s="35">
        <v>0.0</v>
      </c>
      <c r="I1385" s="35">
        <v>0.0</v>
      </c>
      <c r="J1385" s="35"/>
      <c r="K1385" s="35">
        <v>0.0</v>
      </c>
    </row>
    <row r="1386" ht="15.75" customHeight="1">
      <c r="A1386" s="35" t="s">
        <v>5620</v>
      </c>
      <c r="B1386" s="35"/>
      <c r="C1386" s="35">
        <v>13.0</v>
      </c>
      <c r="D1386" s="35" t="s">
        <v>2023</v>
      </c>
      <c r="E1386" s="35">
        <v>46027.0</v>
      </c>
      <c r="F1386" s="35">
        <v>0.0</v>
      </c>
      <c r="G1386" s="35">
        <v>1.0</v>
      </c>
      <c r="H1386" s="35">
        <v>0.0</v>
      </c>
      <c r="I1386" s="35">
        <v>0.0</v>
      </c>
      <c r="J1386" s="35"/>
      <c r="K1386" s="35">
        <v>0.0</v>
      </c>
    </row>
    <row r="1387" ht="15.75" customHeight="1">
      <c r="A1387" s="35" t="s">
        <v>5621</v>
      </c>
      <c r="B1387" s="35"/>
      <c r="C1387" s="35">
        <v>13.0</v>
      </c>
      <c r="D1387" s="35">
        <v>677.0</v>
      </c>
      <c r="E1387" s="35">
        <v>46027.0</v>
      </c>
      <c r="F1387" s="35">
        <v>0.0</v>
      </c>
      <c r="G1387" s="35">
        <v>0.0</v>
      </c>
      <c r="H1387" s="35">
        <v>0.0</v>
      </c>
      <c r="I1387" s="35">
        <v>1.0</v>
      </c>
      <c r="J1387" s="35"/>
      <c r="K1387" s="35">
        <v>0.0</v>
      </c>
    </row>
    <row r="1388" ht="15.75" customHeight="1">
      <c r="A1388" s="35" t="s">
        <v>5623</v>
      </c>
      <c r="B1388" s="35"/>
      <c r="C1388" s="35">
        <v>13.0</v>
      </c>
      <c r="D1388" s="35" t="s">
        <v>2046</v>
      </c>
      <c r="E1388" s="35">
        <v>46027.0</v>
      </c>
      <c r="F1388" s="35">
        <v>0.0</v>
      </c>
      <c r="G1388" s="35">
        <v>40.0</v>
      </c>
      <c r="H1388" s="35">
        <v>0.0</v>
      </c>
      <c r="I1388" s="35">
        <v>0.0</v>
      </c>
      <c r="J1388" s="35"/>
      <c r="K1388" s="35">
        <v>0.0</v>
      </c>
    </row>
    <row r="1389" ht="15.75" customHeight="1">
      <c r="A1389" s="35" t="s">
        <v>5624</v>
      </c>
      <c r="B1389" s="35"/>
      <c r="C1389" s="35">
        <v>13.0</v>
      </c>
      <c r="D1389" s="35" t="s">
        <v>2055</v>
      </c>
      <c r="E1389" s="35">
        <v>46027.0</v>
      </c>
      <c r="F1389" s="35">
        <v>0.0</v>
      </c>
      <c r="G1389" s="35">
        <v>4.0</v>
      </c>
      <c r="H1389" s="35">
        <v>0.0</v>
      </c>
      <c r="I1389" s="35">
        <v>0.0</v>
      </c>
      <c r="J1389" s="35"/>
      <c r="K1389" s="35">
        <v>0.0</v>
      </c>
    </row>
    <row r="1390" ht="15.75" customHeight="1">
      <c r="A1390" s="35" t="s">
        <v>5626</v>
      </c>
      <c r="B1390" s="35"/>
      <c r="C1390" s="35">
        <v>13.0</v>
      </c>
      <c r="D1390" s="35" t="s">
        <v>4635</v>
      </c>
      <c r="E1390" s="35">
        <v>46027.0</v>
      </c>
      <c r="F1390" s="35">
        <v>0.0</v>
      </c>
      <c r="G1390" s="35">
        <v>3.0</v>
      </c>
      <c r="H1390" s="35">
        <v>0.0</v>
      </c>
      <c r="I1390" s="35">
        <v>0.0</v>
      </c>
      <c r="J1390" s="35"/>
      <c r="K1390" s="35">
        <v>0.0</v>
      </c>
    </row>
    <row r="1391" ht="15.75" customHeight="1">
      <c r="A1391" s="35" t="s">
        <v>5627</v>
      </c>
      <c r="B1391" s="35"/>
      <c r="C1391" s="35">
        <v>13.0</v>
      </c>
      <c r="D1391" s="35">
        <v>254.0</v>
      </c>
      <c r="E1391" s="35">
        <v>46027.0</v>
      </c>
      <c r="F1391" s="35">
        <v>0.0</v>
      </c>
      <c r="G1391" s="35">
        <v>12.0</v>
      </c>
      <c r="H1391" s="35">
        <v>0.0</v>
      </c>
      <c r="I1391" s="35">
        <v>0.0</v>
      </c>
      <c r="J1391" s="35"/>
      <c r="K1391" s="35">
        <v>0.0</v>
      </c>
    </row>
    <row r="1392" ht="15.75" customHeight="1">
      <c r="A1392" s="35" t="s">
        <v>5629</v>
      </c>
      <c r="B1392" s="35"/>
      <c r="C1392" s="35">
        <v>13.0</v>
      </c>
      <c r="D1392" s="35" t="s">
        <v>4635</v>
      </c>
      <c r="E1392" s="35">
        <v>46027.0</v>
      </c>
      <c r="F1392" s="35">
        <v>0.0</v>
      </c>
      <c r="G1392" s="35">
        <v>3.0</v>
      </c>
      <c r="H1392" s="35">
        <v>0.0</v>
      </c>
      <c r="I1392" s="35">
        <v>0.0</v>
      </c>
      <c r="J1392" s="35"/>
      <c r="K1392" s="35">
        <v>0.0</v>
      </c>
    </row>
    <row r="1393" ht="15.75" customHeight="1">
      <c r="A1393" s="35" t="s">
        <v>5630</v>
      </c>
      <c r="B1393" s="35"/>
      <c r="C1393" s="35">
        <v>13.0</v>
      </c>
      <c r="D1393" s="35" t="s">
        <v>4635</v>
      </c>
      <c r="E1393" s="35">
        <v>46027.0</v>
      </c>
      <c r="F1393" s="35">
        <v>0.0</v>
      </c>
      <c r="G1393" s="35">
        <v>1.0</v>
      </c>
      <c r="H1393" s="35">
        <v>0.0</v>
      </c>
      <c r="I1393" s="35">
        <v>0.0</v>
      </c>
      <c r="J1393" s="35"/>
      <c r="K1393" s="35">
        <v>0.0</v>
      </c>
    </row>
    <row r="1394" ht="15.75" customHeight="1">
      <c r="A1394" s="35" t="s">
        <v>5632</v>
      </c>
      <c r="B1394" s="35"/>
      <c r="C1394" s="35">
        <v>13.0</v>
      </c>
      <c r="D1394" s="35" t="s">
        <v>4521</v>
      </c>
      <c r="E1394" s="35">
        <v>46027.0</v>
      </c>
      <c r="F1394" s="35">
        <v>0.0</v>
      </c>
      <c r="G1394" s="35">
        <v>0.0</v>
      </c>
      <c r="H1394" s="35">
        <v>4.0</v>
      </c>
      <c r="I1394" s="35">
        <v>0.0</v>
      </c>
      <c r="J1394" s="35"/>
      <c r="K1394" s="35">
        <v>0.0</v>
      </c>
    </row>
    <row r="1395" ht="15.75" customHeight="1">
      <c r="A1395" s="35" t="s">
        <v>5633</v>
      </c>
      <c r="B1395" s="35"/>
      <c r="C1395" s="35">
        <v>13.0</v>
      </c>
      <c r="D1395" s="35" t="s">
        <v>4546</v>
      </c>
      <c r="E1395" s="35">
        <v>46027.0</v>
      </c>
      <c r="F1395" s="35">
        <v>0.0</v>
      </c>
      <c r="G1395" s="35">
        <v>1.0</v>
      </c>
      <c r="H1395" s="35">
        <v>0.0</v>
      </c>
      <c r="I1395" s="35">
        <v>0.0</v>
      </c>
      <c r="J1395" s="35"/>
      <c r="K1395" s="35">
        <v>0.0</v>
      </c>
    </row>
    <row r="1396" ht="15.75" customHeight="1">
      <c r="A1396" s="35" t="s">
        <v>5634</v>
      </c>
      <c r="B1396" s="35"/>
      <c r="C1396" s="35">
        <v>12.0</v>
      </c>
      <c r="D1396" s="35" t="s">
        <v>4272</v>
      </c>
      <c r="E1396" s="35">
        <v>46086.0</v>
      </c>
      <c r="F1396" s="35">
        <v>0.0</v>
      </c>
      <c r="G1396" s="35">
        <v>15.0</v>
      </c>
      <c r="H1396" s="35">
        <v>2.0</v>
      </c>
      <c r="I1396" s="35">
        <v>2.0</v>
      </c>
      <c r="J1396" s="35"/>
      <c r="K1396" s="35">
        <v>0.0</v>
      </c>
    </row>
    <row r="1397" ht="15.75" customHeight="1">
      <c r="A1397" s="35" t="s">
        <v>5636</v>
      </c>
      <c r="B1397" s="35"/>
      <c r="C1397" s="35">
        <v>12.0</v>
      </c>
      <c r="D1397" s="35" t="s">
        <v>4787</v>
      </c>
      <c r="E1397" s="35">
        <v>46058.0</v>
      </c>
      <c r="F1397" s="35">
        <v>0.0</v>
      </c>
      <c r="G1397" s="35">
        <v>5.0</v>
      </c>
      <c r="H1397" s="35">
        <v>1.0</v>
      </c>
      <c r="I1397" s="35">
        <v>0.0</v>
      </c>
      <c r="J1397" s="35"/>
      <c r="K1397" s="35">
        <v>0.0</v>
      </c>
    </row>
    <row r="1398" ht="15.75" customHeight="1">
      <c r="A1398" s="35" t="s">
        <v>5637</v>
      </c>
      <c r="B1398" s="35"/>
      <c r="C1398" s="35">
        <v>12.0</v>
      </c>
      <c r="D1398" s="35" t="s">
        <v>5639</v>
      </c>
      <c r="E1398" s="35">
        <v>46027.0</v>
      </c>
      <c r="F1398" s="35">
        <v>0.0</v>
      </c>
      <c r="G1398" s="35">
        <v>32.0</v>
      </c>
      <c r="H1398" s="35">
        <v>0.0</v>
      </c>
      <c r="I1398" s="35">
        <v>0.0</v>
      </c>
      <c r="J1398" s="35"/>
      <c r="K1398" s="35">
        <v>0.0</v>
      </c>
    </row>
    <row r="1399" ht="15.75" customHeight="1">
      <c r="A1399" s="35" t="s">
        <v>5640</v>
      </c>
      <c r="B1399" s="35"/>
      <c r="C1399" s="35">
        <v>12.0</v>
      </c>
      <c r="D1399" s="35" t="s">
        <v>4274</v>
      </c>
      <c r="E1399" s="35">
        <v>46027.0</v>
      </c>
      <c r="F1399" s="35">
        <v>0.0</v>
      </c>
      <c r="G1399" s="35">
        <v>0.0</v>
      </c>
      <c r="H1399" s="35">
        <v>1.0</v>
      </c>
      <c r="I1399" s="35">
        <v>0.0</v>
      </c>
      <c r="J1399" s="35"/>
      <c r="K1399" s="35">
        <v>0.0</v>
      </c>
    </row>
    <row r="1400" ht="15.75" customHeight="1">
      <c r="A1400" s="35" t="s">
        <v>5641</v>
      </c>
      <c r="B1400" s="35"/>
      <c r="C1400" s="35">
        <v>12.0</v>
      </c>
      <c r="D1400" s="35" t="s">
        <v>4044</v>
      </c>
      <c r="E1400" s="35">
        <v>46027.0</v>
      </c>
      <c r="F1400" s="35">
        <v>0.0</v>
      </c>
      <c r="G1400" s="35">
        <v>0.0</v>
      </c>
      <c r="H1400" s="35">
        <v>1.0</v>
      </c>
      <c r="I1400" s="35">
        <v>0.0</v>
      </c>
      <c r="J1400" s="35"/>
      <c r="K1400" s="35">
        <v>0.0</v>
      </c>
    </row>
    <row r="1401" ht="15.75" customHeight="1">
      <c r="A1401" s="35" t="s">
        <v>5643</v>
      </c>
      <c r="B1401" s="35"/>
      <c r="C1401" s="35">
        <v>12.0</v>
      </c>
      <c r="D1401" s="35" t="s">
        <v>4635</v>
      </c>
      <c r="E1401" s="35">
        <v>46027.0</v>
      </c>
      <c r="F1401" s="35">
        <v>0.0</v>
      </c>
      <c r="G1401" s="35">
        <v>45.0</v>
      </c>
      <c r="H1401" s="35">
        <v>0.0</v>
      </c>
      <c r="I1401" s="35">
        <v>0.0</v>
      </c>
      <c r="J1401" s="35"/>
      <c r="K1401" s="35">
        <v>0.0</v>
      </c>
    </row>
    <row r="1402" ht="15.75" customHeight="1">
      <c r="A1402" s="35" t="s">
        <v>1606</v>
      </c>
      <c r="B1402" s="35"/>
      <c r="C1402" s="35">
        <v>12.0</v>
      </c>
      <c r="D1402" s="35" t="s">
        <v>4197</v>
      </c>
      <c r="E1402" s="35">
        <v>46027.0</v>
      </c>
      <c r="F1402" s="35">
        <v>0.0</v>
      </c>
      <c r="G1402" s="35">
        <v>6.0</v>
      </c>
      <c r="H1402" s="35">
        <v>0.0</v>
      </c>
      <c r="I1402" s="35">
        <v>0.0</v>
      </c>
      <c r="J1402" s="35"/>
      <c r="K1402" s="35">
        <v>0.0</v>
      </c>
    </row>
    <row r="1403" ht="15.75" customHeight="1">
      <c r="A1403" s="35" t="s">
        <v>1611</v>
      </c>
      <c r="B1403" s="35"/>
      <c r="C1403" s="35">
        <v>12.0</v>
      </c>
      <c r="D1403" s="35" t="s">
        <v>4066</v>
      </c>
      <c r="E1403" s="35">
        <v>46027.0</v>
      </c>
      <c r="F1403" s="35">
        <v>0.0</v>
      </c>
      <c r="G1403" s="35">
        <v>0.0</v>
      </c>
      <c r="H1403" s="35">
        <v>1.0</v>
      </c>
      <c r="I1403" s="35">
        <v>0.0</v>
      </c>
      <c r="J1403" s="35"/>
      <c r="K1403" s="35">
        <v>0.0</v>
      </c>
    </row>
    <row r="1404" ht="15.75" customHeight="1">
      <c r="A1404" s="35" t="s">
        <v>5645</v>
      </c>
      <c r="B1404" s="35"/>
      <c r="C1404" s="35">
        <v>12.0</v>
      </c>
      <c r="D1404" s="35">
        <v>189.0</v>
      </c>
      <c r="E1404" s="35">
        <v>46027.0</v>
      </c>
      <c r="F1404" s="35">
        <v>0.0</v>
      </c>
      <c r="G1404" s="35">
        <v>2.0</v>
      </c>
      <c r="H1404" s="35">
        <v>0.0</v>
      </c>
      <c r="I1404" s="35">
        <v>0.0</v>
      </c>
      <c r="J1404" s="35"/>
      <c r="K1404" s="35">
        <v>0.0</v>
      </c>
    </row>
    <row r="1405" ht="15.75" customHeight="1">
      <c r="A1405" s="35" t="s">
        <v>5647</v>
      </c>
      <c r="B1405" s="35"/>
      <c r="C1405" s="35">
        <v>12.0</v>
      </c>
      <c r="D1405" s="35">
        <v>331.0</v>
      </c>
      <c r="E1405" s="35">
        <v>46027.0</v>
      </c>
      <c r="F1405" s="35">
        <v>0.0</v>
      </c>
      <c r="G1405" s="35">
        <v>4.0</v>
      </c>
      <c r="H1405" s="35">
        <v>0.0</v>
      </c>
      <c r="I1405" s="35">
        <v>0.0</v>
      </c>
      <c r="J1405" s="35"/>
      <c r="K1405" s="35">
        <v>0.0</v>
      </c>
    </row>
    <row r="1406" ht="15.75" customHeight="1">
      <c r="A1406" s="35" t="s">
        <v>1618</v>
      </c>
      <c r="B1406" s="35"/>
      <c r="C1406" s="35">
        <v>12.0</v>
      </c>
      <c r="D1406" s="35" t="s">
        <v>4635</v>
      </c>
      <c r="E1406" s="35">
        <v>46027.0</v>
      </c>
      <c r="F1406" s="35">
        <v>0.0</v>
      </c>
      <c r="G1406" s="35">
        <v>1.0</v>
      </c>
      <c r="H1406" s="35">
        <v>0.0</v>
      </c>
      <c r="I1406" s="35">
        <v>0.0</v>
      </c>
      <c r="J1406" s="35"/>
      <c r="K1406" s="35">
        <v>0.0</v>
      </c>
    </row>
    <row r="1407" ht="15.75" customHeight="1">
      <c r="A1407" s="35" t="s">
        <v>5649</v>
      </c>
      <c r="B1407" s="35"/>
      <c r="C1407" s="35">
        <v>12.0</v>
      </c>
      <c r="D1407" s="35">
        <v>746.0</v>
      </c>
      <c r="E1407" s="35">
        <v>46027.0</v>
      </c>
      <c r="F1407" s="35">
        <v>0.0</v>
      </c>
      <c r="G1407" s="35">
        <v>0.0</v>
      </c>
      <c r="H1407" s="35">
        <v>1.0</v>
      </c>
      <c r="I1407" s="35">
        <v>0.0</v>
      </c>
      <c r="J1407" s="35"/>
      <c r="K1407" s="35">
        <v>0.0</v>
      </c>
    </row>
    <row r="1408" ht="15.75" customHeight="1">
      <c r="A1408" s="35" t="s">
        <v>5650</v>
      </c>
      <c r="B1408" s="35"/>
      <c r="C1408" s="35">
        <v>12.0</v>
      </c>
      <c r="D1408" s="35">
        <v>54.0</v>
      </c>
      <c r="E1408" s="35">
        <v>46027.0</v>
      </c>
      <c r="F1408" s="35">
        <v>0.0</v>
      </c>
      <c r="G1408" s="35">
        <v>2.0</v>
      </c>
      <c r="H1408" s="35">
        <v>0.0</v>
      </c>
      <c r="I1408" s="35">
        <v>0.0</v>
      </c>
      <c r="J1408" s="35"/>
      <c r="K1408" s="35">
        <v>0.0</v>
      </c>
    </row>
    <row r="1409" ht="15.75" customHeight="1">
      <c r="A1409" s="35" t="s">
        <v>5651</v>
      </c>
      <c r="B1409" s="35"/>
      <c r="C1409" s="35">
        <v>12.0</v>
      </c>
      <c r="D1409" s="35" t="s">
        <v>4154</v>
      </c>
      <c r="E1409" s="35">
        <v>46027.0</v>
      </c>
      <c r="F1409" s="35">
        <v>0.0</v>
      </c>
      <c r="G1409" s="35">
        <v>7.0</v>
      </c>
      <c r="H1409" s="35">
        <v>0.0</v>
      </c>
      <c r="I1409" s="35">
        <v>0.0</v>
      </c>
      <c r="J1409" s="35"/>
      <c r="K1409" s="35">
        <v>0.0</v>
      </c>
    </row>
    <row r="1410" ht="15.75" customHeight="1">
      <c r="A1410" s="35" t="s">
        <v>1625</v>
      </c>
      <c r="B1410" s="35"/>
      <c r="C1410" s="35">
        <v>12.0</v>
      </c>
      <c r="D1410" s="35">
        <v>984.0</v>
      </c>
      <c r="E1410" s="35">
        <v>46027.0</v>
      </c>
      <c r="F1410" s="35">
        <v>0.0</v>
      </c>
      <c r="G1410" s="35">
        <v>0.0</v>
      </c>
      <c r="H1410" s="35">
        <v>21.0</v>
      </c>
      <c r="I1410" s="35">
        <v>0.0</v>
      </c>
      <c r="J1410" s="35"/>
      <c r="K1410" s="35">
        <v>0.0</v>
      </c>
    </row>
    <row r="1411" ht="15.75" customHeight="1">
      <c r="A1411" s="35" t="s">
        <v>1633</v>
      </c>
      <c r="B1411" s="35"/>
      <c r="C1411" s="35">
        <v>12.0</v>
      </c>
      <c r="D1411" s="35" t="s">
        <v>5653</v>
      </c>
      <c r="E1411" s="35">
        <v>46027.0</v>
      </c>
      <c r="F1411" s="35">
        <v>0.0</v>
      </c>
      <c r="G1411" s="35">
        <v>11.0</v>
      </c>
      <c r="H1411" s="35">
        <v>0.0</v>
      </c>
      <c r="I1411" s="35">
        <v>0.0</v>
      </c>
      <c r="J1411" s="35"/>
      <c r="K1411" s="35">
        <v>0.0</v>
      </c>
    </row>
    <row r="1412" ht="15.75" customHeight="1">
      <c r="A1412" s="35" t="s">
        <v>5655</v>
      </c>
      <c r="B1412" s="35"/>
      <c r="C1412" s="35">
        <v>12.0</v>
      </c>
      <c r="D1412" s="35">
        <v>818.0</v>
      </c>
      <c r="E1412" s="35">
        <v>46027.0</v>
      </c>
      <c r="F1412" s="35">
        <v>0.0</v>
      </c>
      <c r="G1412" s="35">
        <v>1.0</v>
      </c>
      <c r="H1412" s="35">
        <v>0.0</v>
      </c>
      <c r="I1412" s="35">
        <v>0.0</v>
      </c>
      <c r="J1412" s="35"/>
      <c r="K1412" s="35">
        <v>0.0</v>
      </c>
    </row>
    <row r="1413" ht="15.75" customHeight="1">
      <c r="A1413" s="35" t="s">
        <v>5656</v>
      </c>
      <c r="B1413" s="35"/>
      <c r="C1413" s="35">
        <v>12.0</v>
      </c>
      <c r="D1413" s="35" t="s">
        <v>2049</v>
      </c>
      <c r="E1413" s="35">
        <v>46027.0</v>
      </c>
      <c r="F1413" s="35">
        <v>0.0</v>
      </c>
      <c r="G1413" s="35">
        <v>1.0</v>
      </c>
      <c r="H1413" s="35">
        <v>0.0</v>
      </c>
      <c r="I1413" s="35">
        <v>0.0</v>
      </c>
      <c r="J1413" s="35"/>
      <c r="K1413" s="35">
        <v>0.0</v>
      </c>
    </row>
    <row r="1414" ht="15.75" customHeight="1">
      <c r="A1414" s="35" t="s">
        <v>5658</v>
      </c>
      <c r="B1414" s="35"/>
      <c r="C1414" s="35">
        <v>12.0</v>
      </c>
      <c r="D1414" s="35" t="s">
        <v>4990</v>
      </c>
      <c r="E1414" s="35">
        <v>46027.0</v>
      </c>
      <c r="F1414" s="35">
        <v>0.0</v>
      </c>
      <c r="G1414" s="35">
        <v>3.0</v>
      </c>
      <c r="H1414" s="35">
        <v>0.0</v>
      </c>
      <c r="I1414" s="35">
        <v>0.0</v>
      </c>
      <c r="J1414" s="35"/>
      <c r="K1414" s="35">
        <v>0.0</v>
      </c>
    </row>
    <row r="1415" ht="15.75" customHeight="1">
      <c r="A1415" s="35" t="s">
        <v>5659</v>
      </c>
      <c r="B1415" s="35"/>
      <c r="C1415" s="35">
        <v>12.0</v>
      </c>
      <c r="D1415" s="35" t="s">
        <v>4635</v>
      </c>
      <c r="E1415" s="35">
        <v>46027.0</v>
      </c>
      <c r="F1415" s="35">
        <v>0.0</v>
      </c>
      <c r="G1415" s="35">
        <v>1.0</v>
      </c>
      <c r="H1415" s="35">
        <v>0.0</v>
      </c>
      <c r="I1415" s="35">
        <v>0.0</v>
      </c>
      <c r="J1415" s="35"/>
      <c r="K1415" s="35">
        <v>0.0</v>
      </c>
    </row>
    <row r="1416" ht="15.75" customHeight="1">
      <c r="A1416" s="35" t="s">
        <v>5661</v>
      </c>
      <c r="B1416" s="35"/>
      <c r="C1416" s="35">
        <v>12.0</v>
      </c>
      <c r="D1416" s="35" t="s">
        <v>2046</v>
      </c>
      <c r="E1416" s="35">
        <v>46027.0</v>
      </c>
      <c r="F1416" s="35">
        <v>0.0</v>
      </c>
      <c r="G1416" s="35">
        <v>1.0</v>
      </c>
      <c r="H1416" s="35">
        <v>0.0</v>
      </c>
      <c r="I1416" s="35">
        <v>0.0</v>
      </c>
      <c r="J1416" s="35"/>
      <c r="K1416" s="35">
        <v>0.0</v>
      </c>
    </row>
    <row r="1417" ht="15.75" customHeight="1">
      <c r="A1417" s="35" t="s">
        <v>5662</v>
      </c>
      <c r="B1417" s="35"/>
      <c r="C1417" s="35">
        <v>12.0</v>
      </c>
      <c r="D1417" s="35" t="s">
        <v>2004</v>
      </c>
      <c r="E1417" s="35">
        <v>46027.0</v>
      </c>
      <c r="F1417" s="35">
        <v>0.0</v>
      </c>
      <c r="G1417" s="35">
        <v>0.0</v>
      </c>
      <c r="H1417" s="35">
        <v>2.0</v>
      </c>
      <c r="I1417" s="35">
        <v>0.0</v>
      </c>
      <c r="J1417" s="35"/>
      <c r="K1417" s="35">
        <v>0.0</v>
      </c>
    </row>
    <row r="1418" ht="15.75" customHeight="1">
      <c r="A1418" s="35" t="s">
        <v>5663</v>
      </c>
      <c r="B1418" s="35"/>
      <c r="C1418" s="35">
        <v>12.0</v>
      </c>
      <c r="D1418" s="35" t="s">
        <v>4640</v>
      </c>
      <c r="E1418" s="35">
        <v>46027.0</v>
      </c>
      <c r="F1418" s="35">
        <v>0.0</v>
      </c>
      <c r="G1418" s="35">
        <v>0.0</v>
      </c>
      <c r="H1418" s="35">
        <v>1.0</v>
      </c>
      <c r="I1418" s="35">
        <v>0.0</v>
      </c>
      <c r="J1418" s="35"/>
      <c r="K1418" s="35">
        <v>0.0</v>
      </c>
    </row>
    <row r="1419" ht="15.75" customHeight="1">
      <c r="A1419" s="35" t="s">
        <v>1636</v>
      </c>
      <c r="B1419" s="35"/>
      <c r="C1419" s="35">
        <v>12.0</v>
      </c>
      <c r="D1419" s="35" t="s">
        <v>4635</v>
      </c>
      <c r="E1419" s="35">
        <v>46027.0</v>
      </c>
      <c r="F1419" s="35">
        <v>0.0</v>
      </c>
      <c r="G1419" s="35">
        <v>1.0</v>
      </c>
      <c r="H1419" s="35">
        <v>0.0</v>
      </c>
      <c r="I1419" s="35">
        <v>0.0</v>
      </c>
      <c r="J1419" s="35"/>
      <c r="K1419" s="35">
        <v>0.0</v>
      </c>
    </row>
    <row r="1420" ht="15.75" customHeight="1">
      <c r="A1420" s="35" t="s">
        <v>1643</v>
      </c>
      <c r="B1420" s="35"/>
      <c r="C1420" s="35">
        <v>12.0</v>
      </c>
      <c r="D1420" s="35" t="s">
        <v>2049</v>
      </c>
      <c r="E1420" s="35">
        <v>46027.0</v>
      </c>
      <c r="F1420" s="35">
        <v>0.0</v>
      </c>
      <c r="G1420" s="35">
        <v>4.0</v>
      </c>
      <c r="H1420" s="35">
        <v>0.0</v>
      </c>
      <c r="I1420" s="35">
        <v>0.0</v>
      </c>
      <c r="J1420" s="35"/>
      <c r="K1420" s="35">
        <v>0.0</v>
      </c>
    </row>
    <row r="1421" ht="15.75" customHeight="1">
      <c r="A1421" s="35" t="s">
        <v>5666</v>
      </c>
      <c r="B1421" s="35"/>
      <c r="C1421" s="35">
        <v>12.0</v>
      </c>
      <c r="D1421" s="35">
        <v>754.0</v>
      </c>
      <c r="E1421" s="35">
        <v>46027.0</v>
      </c>
      <c r="F1421" s="35">
        <v>0.0</v>
      </c>
      <c r="G1421" s="35">
        <v>0.0</v>
      </c>
      <c r="H1421" s="35">
        <v>1.0</v>
      </c>
      <c r="I1421" s="35">
        <v>0.0</v>
      </c>
      <c r="J1421" s="35"/>
      <c r="K1421" s="35">
        <v>0.0</v>
      </c>
    </row>
    <row r="1422" ht="15.75" customHeight="1">
      <c r="A1422" s="35" t="s">
        <v>5667</v>
      </c>
      <c r="B1422" s="35"/>
      <c r="C1422" s="35">
        <v>12.0</v>
      </c>
      <c r="D1422" s="35">
        <v>716.0</v>
      </c>
      <c r="E1422" s="35">
        <v>46027.0</v>
      </c>
      <c r="F1422" s="35">
        <v>0.0</v>
      </c>
      <c r="G1422" s="35">
        <v>5.0</v>
      </c>
      <c r="H1422" s="35">
        <v>0.0</v>
      </c>
      <c r="I1422" s="35">
        <v>0.0</v>
      </c>
      <c r="J1422" s="35"/>
      <c r="K1422" s="35">
        <v>0.0</v>
      </c>
    </row>
    <row r="1423" ht="15.75" customHeight="1">
      <c r="A1423" s="35" t="s">
        <v>5669</v>
      </c>
      <c r="B1423" s="35"/>
      <c r="C1423" s="35">
        <v>12.0</v>
      </c>
      <c r="D1423" s="35">
        <v>925.0</v>
      </c>
      <c r="E1423" s="35">
        <v>46027.0</v>
      </c>
      <c r="F1423" s="35">
        <v>0.0</v>
      </c>
      <c r="G1423" s="35">
        <v>4.0</v>
      </c>
      <c r="H1423" s="35">
        <v>0.0</v>
      </c>
      <c r="I1423" s="35">
        <v>0.0</v>
      </c>
      <c r="J1423" s="35"/>
      <c r="K1423" s="35">
        <v>0.0</v>
      </c>
    </row>
    <row r="1424" ht="15.75" customHeight="1">
      <c r="A1424" s="35" t="s">
        <v>5670</v>
      </c>
      <c r="B1424" s="35"/>
      <c r="C1424" s="35">
        <v>12.0</v>
      </c>
      <c r="D1424" s="35" t="s">
        <v>4635</v>
      </c>
      <c r="E1424" s="35">
        <v>46027.0</v>
      </c>
      <c r="F1424" s="35">
        <v>0.0</v>
      </c>
      <c r="G1424" s="35">
        <v>21.0</v>
      </c>
      <c r="H1424" s="35">
        <v>0.0</v>
      </c>
      <c r="I1424" s="35">
        <v>0.0</v>
      </c>
      <c r="J1424" s="35"/>
      <c r="K1424" s="35">
        <v>0.0</v>
      </c>
    </row>
    <row r="1425" ht="15.75" customHeight="1">
      <c r="A1425" s="35" t="s">
        <v>5672</v>
      </c>
      <c r="B1425" s="35"/>
      <c r="C1425" s="35">
        <v>12.0</v>
      </c>
      <c r="D1425" s="35" t="s">
        <v>4635</v>
      </c>
      <c r="E1425" s="35">
        <v>46027.0</v>
      </c>
      <c r="F1425" s="35">
        <v>0.0</v>
      </c>
      <c r="G1425" s="35">
        <v>3.0</v>
      </c>
      <c r="H1425" s="35">
        <v>0.0</v>
      </c>
      <c r="I1425" s="35">
        <v>0.0</v>
      </c>
      <c r="J1425" s="35"/>
      <c r="K1425" s="35">
        <v>0.0</v>
      </c>
    </row>
    <row r="1426" ht="15.75" customHeight="1">
      <c r="A1426" s="35" t="s">
        <v>5673</v>
      </c>
      <c r="B1426" s="35"/>
      <c r="C1426" s="35">
        <v>12.0</v>
      </c>
      <c r="D1426" s="35">
        <v>107.0</v>
      </c>
      <c r="E1426" s="35">
        <v>46027.0</v>
      </c>
      <c r="F1426" s="35">
        <v>0.0</v>
      </c>
      <c r="G1426" s="35">
        <v>2.0</v>
      </c>
      <c r="H1426" s="35">
        <v>0.0</v>
      </c>
      <c r="I1426" s="35">
        <v>0.0</v>
      </c>
      <c r="J1426" s="35"/>
      <c r="K1426" s="35">
        <v>0.0</v>
      </c>
    </row>
    <row r="1427" ht="15.75" customHeight="1">
      <c r="A1427" s="35" t="s">
        <v>5675</v>
      </c>
      <c r="B1427" s="35"/>
      <c r="C1427" s="35">
        <v>12.0</v>
      </c>
      <c r="D1427" s="35" t="s">
        <v>4635</v>
      </c>
      <c r="E1427" s="35">
        <v>46027.0</v>
      </c>
      <c r="F1427" s="35">
        <v>0.0</v>
      </c>
      <c r="G1427" s="35">
        <v>2.0</v>
      </c>
      <c r="H1427" s="35">
        <v>0.0</v>
      </c>
      <c r="I1427" s="35">
        <v>0.0</v>
      </c>
      <c r="J1427" s="35"/>
      <c r="K1427" s="35">
        <v>0.0</v>
      </c>
    </row>
    <row r="1428" ht="15.75" customHeight="1">
      <c r="A1428" s="35" t="s">
        <v>5676</v>
      </c>
      <c r="B1428" s="35"/>
      <c r="C1428" s="35">
        <v>12.0</v>
      </c>
      <c r="D1428" s="35">
        <v>341.0</v>
      </c>
      <c r="E1428" s="35">
        <v>46027.0</v>
      </c>
      <c r="F1428" s="35">
        <v>0.0</v>
      </c>
      <c r="G1428" s="35">
        <v>2.0</v>
      </c>
      <c r="H1428" s="35">
        <v>0.0</v>
      </c>
      <c r="I1428" s="35">
        <v>0.0</v>
      </c>
      <c r="J1428" s="35"/>
      <c r="K1428" s="35">
        <v>0.0</v>
      </c>
    </row>
    <row r="1429" ht="15.75" customHeight="1">
      <c r="A1429" s="35" t="s">
        <v>5678</v>
      </c>
      <c r="B1429" s="35"/>
      <c r="C1429" s="35">
        <v>12.0</v>
      </c>
      <c r="D1429" s="35" t="s">
        <v>4635</v>
      </c>
      <c r="E1429" s="35">
        <v>46027.0</v>
      </c>
      <c r="F1429" s="35">
        <v>0.0</v>
      </c>
      <c r="G1429" s="35">
        <v>1.0</v>
      </c>
      <c r="H1429" s="35">
        <v>0.0</v>
      </c>
      <c r="I1429" s="35">
        <v>0.0</v>
      </c>
      <c r="J1429" s="35"/>
      <c r="K1429" s="35">
        <v>0.0</v>
      </c>
    </row>
    <row r="1430" ht="15.75" customHeight="1">
      <c r="A1430" s="35" t="s">
        <v>5679</v>
      </c>
      <c r="B1430" s="35"/>
      <c r="C1430" s="35">
        <v>12.0</v>
      </c>
      <c r="D1430" s="35" t="s">
        <v>4635</v>
      </c>
      <c r="E1430" s="35">
        <v>46027.0</v>
      </c>
      <c r="F1430" s="35">
        <v>0.0</v>
      </c>
      <c r="G1430" s="35">
        <v>1.0</v>
      </c>
      <c r="H1430" s="35">
        <v>0.0</v>
      </c>
      <c r="I1430" s="35">
        <v>0.0</v>
      </c>
      <c r="J1430" s="35"/>
      <c r="K1430" s="35">
        <v>0.0</v>
      </c>
    </row>
    <row r="1431" ht="15.75" customHeight="1">
      <c r="A1431" s="35" t="s">
        <v>5680</v>
      </c>
      <c r="B1431" s="35"/>
      <c r="C1431" s="35">
        <v>12.0</v>
      </c>
      <c r="D1431" s="35" t="s">
        <v>4635</v>
      </c>
      <c r="E1431" s="35">
        <v>46027.0</v>
      </c>
      <c r="F1431" s="35">
        <v>0.0</v>
      </c>
      <c r="G1431" s="35">
        <v>1.0</v>
      </c>
      <c r="H1431" s="35">
        <v>0.0</v>
      </c>
      <c r="I1431" s="35">
        <v>0.0</v>
      </c>
      <c r="J1431" s="35"/>
      <c r="K1431" s="35">
        <v>0.0</v>
      </c>
    </row>
    <row r="1432" ht="15.75" customHeight="1">
      <c r="A1432" s="35" t="s">
        <v>5682</v>
      </c>
      <c r="B1432" s="35"/>
      <c r="C1432" s="35">
        <v>12.0</v>
      </c>
      <c r="D1432" s="35">
        <v>487.0</v>
      </c>
      <c r="E1432" s="35">
        <v>46027.0</v>
      </c>
      <c r="F1432" s="35">
        <v>0.0</v>
      </c>
      <c r="G1432" s="35">
        <v>1.0</v>
      </c>
      <c r="H1432" s="35">
        <v>0.0</v>
      </c>
      <c r="I1432" s="35">
        <v>0.0</v>
      </c>
      <c r="J1432" s="35"/>
      <c r="K1432" s="35">
        <v>0.0</v>
      </c>
    </row>
    <row r="1433" ht="15.75" customHeight="1">
      <c r="A1433" s="35" t="s">
        <v>5683</v>
      </c>
      <c r="B1433" s="35"/>
      <c r="C1433" s="35">
        <v>12.0</v>
      </c>
      <c r="D1433" s="35">
        <v>129.0</v>
      </c>
      <c r="E1433" s="35">
        <v>46027.0</v>
      </c>
      <c r="F1433" s="35">
        <v>0.0</v>
      </c>
      <c r="G1433" s="35">
        <v>0.0</v>
      </c>
      <c r="H1433" s="35">
        <v>1.0</v>
      </c>
      <c r="I1433" s="35">
        <v>0.0</v>
      </c>
      <c r="J1433" s="35"/>
      <c r="K1433" s="35">
        <v>0.0</v>
      </c>
    </row>
    <row r="1434" ht="15.75" customHeight="1">
      <c r="A1434" s="35" t="s">
        <v>5685</v>
      </c>
      <c r="B1434" s="35"/>
      <c r="C1434" s="35">
        <v>12.0</v>
      </c>
      <c r="D1434" s="35">
        <v>109.0</v>
      </c>
      <c r="E1434" s="35">
        <v>46027.0</v>
      </c>
      <c r="F1434" s="35">
        <v>0.0</v>
      </c>
      <c r="G1434" s="35">
        <v>4.0</v>
      </c>
      <c r="H1434" s="35">
        <v>0.0</v>
      </c>
      <c r="I1434" s="35">
        <v>0.0</v>
      </c>
      <c r="J1434" s="35"/>
      <c r="K1434" s="35">
        <v>0.0</v>
      </c>
    </row>
    <row r="1435" ht="15.75" customHeight="1">
      <c r="A1435" s="35" t="s">
        <v>5686</v>
      </c>
      <c r="B1435" s="35"/>
      <c r="C1435" s="35">
        <v>12.0</v>
      </c>
      <c r="D1435" s="35" t="s">
        <v>4602</v>
      </c>
      <c r="E1435" s="35">
        <v>46027.0</v>
      </c>
      <c r="F1435" s="35">
        <v>0.0</v>
      </c>
      <c r="G1435" s="35">
        <v>1.0</v>
      </c>
      <c r="H1435" s="35">
        <v>0.0</v>
      </c>
      <c r="I1435" s="35">
        <v>0.0</v>
      </c>
      <c r="J1435" s="35"/>
      <c r="K1435" s="35">
        <v>0.0</v>
      </c>
    </row>
    <row r="1436" ht="15.75" customHeight="1">
      <c r="A1436" s="35" t="s">
        <v>1651</v>
      </c>
      <c r="B1436" s="35"/>
      <c r="C1436" s="35">
        <v>12.0</v>
      </c>
      <c r="D1436" s="35">
        <v>691.0</v>
      </c>
      <c r="E1436" s="35">
        <v>46027.0</v>
      </c>
      <c r="F1436" s="35">
        <v>0.0</v>
      </c>
      <c r="G1436" s="35">
        <v>3.0</v>
      </c>
      <c r="H1436" s="35">
        <v>0.0</v>
      </c>
      <c r="I1436" s="35">
        <v>0.0</v>
      </c>
      <c r="J1436" s="35"/>
      <c r="K1436" s="35">
        <v>0.0</v>
      </c>
    </row>
    <row r="1437" ht="15.75" customHeight="1">
      <c r="A1437" s="35" t="s">
        <v>5688</v>
      </c>
      <c r="B1437" s="35"/>
      <c r="C1437" s="35">
        <v>12.0</v>
      </c>
      <c r="D1437" s="35" t="s">
        <v>4298</v>
      </c>
      <c r="E1437" s="35">
        <v>46027.0</v>
      </c>
      <c r="F1437" s="35">
        <v>0.0</v>
      </c>
      <c r="G1437" s="35">
        <v>0.0</v>
      </c>
      <c r="H1437" s="35">
        <v>14.0</v>
      </c>
      <c r="I1437" s="35">
        <v>0.0</v>
      </c>
      <c r="J1437" s="35"/>
      <c r="K1437" s="35">
        <v>0.0</v>
      </c>
    </row>
    <row r="1438" ht="15.75" customHeight="1">
      <c r="A1438" s="35" t="s">
        <v>5690</v>
      </c>
      <c r="B1438" s="35"/>
      <c r="C1438" s="35">
        <v>12.0</v>
      </c>
      <c r="D1438" s="35" t="s">
        <v>5691</v>
      </c>
      <c r="E1438" s="35">
        <v>46027.0</v>
      </c>
      <c r="F1438" s="35">
        <v>0.0</v>
      </c>
      <c r="G1438" s="35">
        <v>0.0</v>
      </c>
      <c r="H1438" s="35">
        <v>2.0</v>
      </c>
      <c r="I1438" s="35">
        <v>0.0</v>
      </c>
      <c r="J1438" s="35"/>
      <c r="K1438" s="35">
        <v>0.0</v>
      </c>
    </row>
    <row r="1439" ht="15.75" customHeight="1">
      <c r="A1439" s="35" t="s">
        <v>5692</v>
      </c>
      <c r="B1439" s="35"/>
      <c r="C1439" s="35">
        <v>12.0</v>
      </c>
      <c r="D1439" s="35" t="s">
        <v>4774</v>
      </c>
      <c r="E1439" s="35">
        <v>46027.0</v>
      </c>
      <c r="F1439" s="35">
        <v>0.0</v>
      </c>
      <c r="G1439" s="35">
        <v>1.0</v>
      </c>
      <c r="H1439" s="35">
        <v>0.0</v>
      </c>
      <c r="I1439" s="35">
        <v>0.0</v>
      </c>
      <c r="J1439" s="35"/>
      <c r="K1439" s="35">
        <v>0.0</v>
      </c>
    </row>
    <row r="1440" ht="15.75" customHeight="1">
      <c r="A1440" s="35" t="s">
        <v>5694</v>
      </c>
      <c r="B1440" s="35"/>
      <c r="C1440" s="35">
        <v>12.0</v>
      </c>
      <c r="D1440" s="35">
        <v>91.0</v>
      </c>
      <c r="E1440" s="35">
        <v>46027.0</v>
      </c>
      <c r="F1440" s="35">
        <v>0.0</v>
      </c>
      <c r="G1440" s="35">
        <v>11.0</v>
      </c>
      <c r="H1440" s="35">
        <v>0.0</v>
      </c>
      <c r="I1440" s="35">
        <v>0.0</v>
      </c>
      <c r="J1440" s="35"/>
      <c r="K1440" s="35">
        <v>0.0</v>
      </c>
    </row>
    <row r="1441" ht="15.75" customHeight="1">
      <c r="A1441" s="35" t="s">
        <v>5695</v>
      </c>
      <c r="B1441" s="35"/>
      <c r="C1441" s="35">
        <v>12.0</v>
      </c>
      <c r="D1441" s="35" t="s">
        <v>3891</v>
      </c>
      <c r="E1441" s="35">
        <v>46027.0</v>
      </c>
      <c r="F1441" s="35">
        <v>0.0</v>
      </c>
      <c r="G1441" s="35">
        <v>0.0</v>
      </c>
      <c r="H1441" s="35">
        <v>1.0</v>
      </c>
      <c r="I1441" s="35">
        <v>0.0</v>
      </c>
      <c r="J1441" s="35"/>
      <c r="K1441" s="35">
        <v>0.0</v>
      </c>
    </row>
    <row r="1442" ht="15.75" customHeight="1">
      <c r="A1442" s="35" t="s">
        <v>5697</v>
      </c>
      <c r="B1442" s="35"/>
      <c r="C1442" s="35">
        <v>12.0</v>
      </c>
      <c r="D1442" s="35" t="s">
        <v>4635</v>
      </c>
      <c r="E1442" s="35">
        <v>46027.0</v>
      </c>
      <c r="F1442" s="35">
        <v>0.0</v>
      </c>
      <c r="G1442" s="35">
        <v>2.0</v>
      </c>
      <c r="H1442" s="35">
        <v>0.0</v>
      </c>
      <c r="I1442" s="35">
        <v>0.0</v>
      </c>
      <c r="J1442" s="35"/>
      <c r="K1442" s="35">
        <v>0.0</v>
      </c>
    </row>
    <row r="1443" ht="15.75" customHeight="1">
      <c r="A1443" s="35" t="s">
        <v>5698</v>
      </c>
      <c r="B1443" s="35"/>
      <c r="C1443" s="35">
        <v>12.0</v>
      </c>
      <c r="D1443" s="35" t="s">
        <v>4394</v>
      </c>
      <c r="E1443" s="35">
        <v>46027.0</v>
      </c>
      <c r="F1443" s="35">
        <v>0.0</v>
      </c>
      <c r="G1443" s="35">
        <v>571.0</v>
      </c>
      <c r="H1443" s="35">
        <v>0.0</v>
      </c>
      <c r="I1443" s="35">
        <v>0.0</v>
      </c>
      <c r="J1443" s="35"/>
      <c r="K1443" s="35">
        <v>0.0</v>
      </c>
    </row>
    <row r="1444" ht="15.75" customHeight="1">
      <c r="A1444" s="35" t="s">
        <v>5699</v>
      </c>
      <c r="B1444" s="35"/>
      <c r="C1444" s="35">
        <v>12.0</v>
      </c>
      <c r="D1444" s="35" t="s">
        <v>5700</v>
      </c>
      <c r="E1444" s="35">
        <v>46027.0</v>
      </c>
      <c r="F1444" s="35">
        <v>0.0</v>
      </c>
      <c r="G1444" s="35">
        <v>1.0</v>
      </c>
      <c r="H1444" s="35">
        <v>0.0</v>
      </c>
      <c r="I1444" s="35">
        <v>0.0</v>
      </c>
      <c r="J1444" s="35"/>
      <c r="K1444" s="35">
        <v>0.0</v>
      </c>
    </row>
    <row r="1445" ht="15.75" customHeight="1">
      <c r="A1445" s="35" t="s">
        <v>5702</v>
      </c>
      <c r="B1445" s="35"/>
      <c r="C1445" s="35">
        <v>11.0</v>
      </c>
      <c r="D1445" s="35" t="s">
        <v>4588</v>
      </c>
      <c r="E1445" s="35">
        <v>46058.0</v>
      </c>
      <c r="F1445" s="35">
        <v>0.0</v>
      </c>
      <c r="G1445" s="35">
        <v>2.0</v>
      </c>
      <c r="H1445" s="35">
        <v>15.0</v>
      </c>
      <c r="I1445" s="35">
        <v>0.0</v>
      </c>
      <c r="J1445" s="35"/>
      <c r="K1445" s="35">
        <v>0.0</v>
      </c>
    </row>
    <row r="1446" ht="15.75" customHeight="1">
      <c r="A1446" s="35" t="s">
        <v>5703</v>
      </c>
      <c r="B1446" s="35"/>
      <c r="C1446" s="35">
        <v>11.0</v>
      </c>
      <c r="D1446" s="35" t="s">
        <v>5704</v>
      </c>
      <c r="E1446" s="35">
        <v>46027.0</v>
      </c>
      <c r="F1446" s="35">
        <v>0.0</v>
      </c>
      <c r="G1446" s="35">
        <v>6.0</v>
      </c>
      <c r="H1446" s="35">
        <v>0.0</v>
      </c>
      <c r="I1446" s="35">
        <v>0.0</v>
      </c>
      <c r="J1446" s="35"/>
      <c r="K1446" s="35">
        <v>0.0</v>
      </c>
    </row>
    <row r="1447" ht="15.75" customHeight="1">
      <c r="A1447" s="35" t="s">
        <v>5706</v>
      </c>
      <c r="B1447" s="35"/>
      <c r="C1447" s="35">
        <v>11.0</v>
      </c>
      <c r="D1447" s="35">
        <v>271.0</v>
      </c>
      <c r="E1447" s="35">
        <v>46027.0</v>
      </c>
      <c r="F1447" s="35">
        <v>0.0</v>
      </c>
      <c r="G1447" s="35">
        <v>0.0</v>
      </c>
      <c r="H1447" s="35">
        <v>1.0</v>
      </c>
      <c r="I1447" s="35">
        <v>0.0</v>
      </c>
      <c r="J1447" s="35"/>
      <c r="K1447" s="35">
        <v>0.0</v>
      </c>
    </row>
    <row r="1448" ht="15.75" customHeight="1">
      <c r="A1448" s="35" t="s">
        <v>5707</v>
      </c>
      <c r="B1448" s="35"/>
      <c r="C1448" s="35">
        <v>11.0</v>
      </c>
      <c r="D1448" s="35">
        <v>240.0</v>
      </c>
      <c r="E1448" s="35">
        <v>46027.0</v>
      </c>
      <c r="F1448" s="35">
        <v>0.0</v>
      </c>
      <c r="G1448" s="35">
        <v>1.0</v>
      </c>
      <c r="H1448" s="35">
        <v>0.0</v>
      </c>
      <c r="I1448" s="35">
        <v>0.0</v>
      </c>
      <c r="J1448" s="35"/>
      <c r="K1448" s="35">
        <v>0.0</v>
      </c>
    </row>
    <row r="1449" ht="15.75" customHeight="1">
      <c r="A1449" s="35" t="s">
        <v>5709</v>
      </c>
      <c r="B1449" s="35"/>
      <c r="C1449" s="35">
        <v>11.0</v>
      </c>
      <c r="D1449" s="35" t="s">
        <v>4635</v>
      </c>
      <c r="E1449" s="35">
        <v>46027.0</v>
      </c>
      <c r="F1449" s="35">
        <v>0.0</v>
      </c>
      <c r="G1449" s="35">
        <v>1.0</v>
      </c>
      <c r="H1449" s="35">
        <v>0.0</v>
      </c>
      <c r="I1449" s="35">
        <v>0.0</v>
      </c>
      <c r="J1449" s="35"/>
      <c r="K1449" s="35">
        <v>0.0</v>
      </c>
    </row>
    <row r="1450" ht="15.75" customHeight="1">
      <c r="A1450" s="35" t="s">
        <v>5710</v>
      </c>
      <c r="B1450" s="35"/>
      <c r="C1450" s="35">
        <v>11.0</v>
      </c>
      <c r="D1450" s="35">
        <v>597.0</v>
      </c>
      <c r="E1450" s="35">
        <v>46027.0</v>
      </c>
      <c r="F1450" s="35">
        <v>0.0</v>
      </c>
      <c r="G1450" s="35">
        <v>0.0</v>
      </c>
      <c r="H1450" s="35">
        <v>4.0</v>
      </c>
      <c r="I1450" s="35">
        <v>0.0</v>
      </c>
      <c r="J1450" s="35"/>
      <c r="K1450" s="35">
        <v>0.0</v>
      </c>
    </row>
    <row r="1451" ht="15.75" customHeight="1">
      <c r="A1451" s="35" t="s">
        <v>5712</v>
      </c>
      <c r="B1451" s="35"/>
      <c r="C1451" s="35">
        <v>11.0</v>
      </c>
      <c r="D1451" s="35" t="s">
        <v>4635</v>
      </c>
      <c r="E1451" s="35">
        <v>46027.0</v>
      </c>
      <c r="F1451" s="35">
        <v>0.0</v>
      </c>
      <c r="G1451" s="35">
        <v>2.0</v>
      </c>
      <c r="H1451" s="35">
        <v>0.0</v>
      </c>
      <c r="I1451" s="35">
        <v>0.0</v>
      </c>
      <c r="J1451" s="35"/>
      <c r="K1451" s="35">
        <v>0.0</v>
      </c>
    </row>
    <row r="1452" ht="15.75" customHeight="1">
      <c r="A1452" s="35" t="s">
        <v>5713</v>
      </c>
      <c r="B1452" s="35"/>
      <c r="C1452" s="35">
        <v>11.0</v>
      </c>
      <c r="D1452" s="35" t="s">
        <v>4635</v>
      </c>
      <c r="E1452" s="35">
        <v>46027.0</v>
      </c>
      <c r="F1452" s="35">
        <v>0.0</v>
      </c>
      <c r="G1452" s="35">
        <v>1.0</v>
      </c>
      <c r="H1452" s="35">
        <v>0.0</v>
      </c>
      <c r="I1452" s="35">
        <v>0.0</v>
      </c>
      <c r="J1452" s="35"/>
      <c r="K1452" s="35">
        <v>0.0</v>
      </c>
    </row>
    <row r="1453" ht="15.75" customHeight="1">
      <c r="A1453" s="35" t="s">
        <v>5714</v>
      </c>
      <c r="B1453" s="35"/>
      <c r="C1453" s="35">
        <v>11.0</v>
      </c>
      <c r="D1453" s="35" t="s">
        <v>5286</v>
      </c>
      <c r="E1453" s="35">
        <v>46027.0</v>
      </c>
      <c r="F1453" s="35">
        <v>0.0</v>
      </c>
      <c r="G1453" s="35">
        <v>0.0</v>
      </c>
      <c r="H1453" s="35">
        <v>23.0</v>
      </c>
      <c r="I1453" s="35">
        <v>0.0</v>
      </c>
      <c r="J1453" s="35"/>
      <c r="K1453" s="35">
        <v>0.0</v>
      </c>
    </row>
    <row r="1454" ht="15.75" customHeight="1">
      <c r="A1454" s="35" t="s">
        <v>1660</v>
      </c>
      <c r="B1454" s="35"/>
      <c r="C1454" s="35">
        <v>11.0</v>
      </c>
      <c r="D1454" s="35" t="s">
        <v>5716</v>
      </c>
      <c r="E1454" s="35">
        <v>46027.0</v>
      </c>
      <c r="F1454" s="35">
        <v>0.0</v>
      </c>
      <c r="G1454" s="35">
        <v>2.0</v>
      </c>
      <c r="H1454" s="35">
        <v>0.0</v>
      </c>
      <c r="I1454" s="35">
        <v>0.0</v>
      </c>
      <c r="J1454" s="35"/>
      <c r="K1454" s="35">
        <v>0.0</v>
      </c>
    </row>
    <row r="1455" ht="15.75" customHeight="1">
      <c r="A1455" s="35" t="s">
        <v>5717</v>
      </c>
      <c r="B1455" s="35"/>
      <c r="C1455" s="35">
        <v>11.0</v>
      </c>
      <c r="D1455" s="35" t="s">
        <v>4635</v>
      </c>
      <c r="E1455" s="35">
        <v>46027.0</v>
      </c>
      <c r="F1455" s="35">
        <v>0.0</v>
      </c>
      <c r="G1455" s="35">
        <v>3.0</v>
      </c>
      <c r="H1455" s="35">
        <v>0.0</v>
      </c>
      <c r="I1455" s="35">
        <v>0.0</v>
      </c>
      <c r="J1455" s="35"/>
      <c r="K1455" s="35">
        <v>0.0</v>
      </c>
    </row>
    <row r="1456" ht="15.75" customHeight="1">
      <c r="A1456" s="35" t="s">
        <v>5719</v>
      </c>
      <c r="B1456" s="35"/>
      <c r="C1456" s="35">
        <v>11.0</v>
      </c>
      <c r="D1456" s="35">
        <v>67.0</v>
      </c>
      <c r="E1456" s="35">
        <v>46027.0</v>
      </c>
      <c r="F1456" s="35">
        <v>0.0</v>
      </c>
      <c r="G1456" s="35">
        <v>2.0</v>
      </c>
      <c r="H1456" s="35">
        <v>0.0</v>
      </c>
      <c r="I1456" s="35">
        <v>0.0</v>
      </c>
      <c r="J1456" s="35"/>
      <c r="K1456" s="35">
        <v>0.0</v>
      </c>
    </row>
    <row r="1457" ht="15.75" customHeight="1">
      <c r="A1457" s="35" t="s">
        <v>5720</v>
      </c>
      <c r="B1457" s="35"/>
      <c r="C1457" s="35">
        <v>11.0</v>
      </c>
      <c r="D1457" s="35">
        <v>144.0</v>
      </c>
      <c r="E1457" s="35">
        <v>46027.0</v>
      </c>
      <c r="F1457" s="35">
        <v>0.0</v>
      </c>
      <c r="G1457" s="35">
        <v>1.0</v>
      </c>
      <c r="H1457" s="35">
        <v>0.0</v>
      </c>
      <c r="I1457" s="35">
        <v>0.0</v>
      </c>
      <c r="J1457" s="35"/>
      <c r="K1457" s="35">
        <v>0.0</v>
      </c>
    </row>
    <row r="1458" ht="15.75" customHeight="1">
      <c r="A1458" s="35" t="s">
        <v>5722</v>
      </c>
      <c r="B1458" s="35"/>
      <c r="C1458" s="35">
        <v>11.0</v>
      </c>
      <c r="D1458" s="35">
        <v>285.0</v>
      </c>
      <c r="E1458" s="35">
        <v>46027.0</v>
      </c>
      <c r="F1458" s="35">
        <v>0.0</v>
      </c>
      <c r="G1458" s="35">
        <v>10.0</v>
      </c>
      <c r="H1458" s="35">
        <v>0.0</v>
      </c>
      <c r="I1458" s="35">
        <v>0.0</v>
      </c>
      <c r="J1458" s="35"/>
      <c r="K1458" s="35">
        <v>0.0</v>
      </c>
    </row>
    <row r="1459" ht="15.75" customHeight="1">
      <c r="A1459" s="35" t="s">
        <v>5723</v>
      </c>
      <c r="B1459" s="35"/>
      <c r="C1459" s="35">
        <v>11.0</v>
      </c>
      <c r="D1459" s="35">
        <v>172.0</v>
      </c>
      <c r="E1459" s="35">
        <v>46027.0</v>
      </c>
      <c r="F1459" s="35">
        <v>0.0</v>
      </c>
      <c r="G1459" s="35">
        <v>0.0</v>
      </c>
      <c r="H1459" s="35">
        <v>1.0</v>
      </c>
      <c r="I1459" s="35">
        <v>0.0</v>
      </c>
      <c r="J1459" s="35"/>
      <c r="K1459" s="35">
        <v>0.0</v>
      </c>
    </row>
    <row r="1460" ht="15.75" customHeight="1">
      <c r="A1460" s="35" t="s">
        <v>5725</v>
      </c>
      <c r="B1460" s="35"/>
      <c r="C1460" s="35">
        <v>11.0</v>
      </c>
      <c r="D1460" s="35" t="s">
        <v>5726</v>
      </c>
      <c r="E1460" s="35">
        <v>46027.0</v>
      </c>
      <c r="F1460" s="35">
        <v>0.0</v>
      </c>
      <c r="G1460" s="35">
        <v>4.0</v>
      </c>
      <c r="H1460" s="35">
        <v>0.0</v>
      </c>
      <c r="I1460" s="35">
        <v>0.0</v>
      </c>
      <c r="J1460" s="35"/>
      <c r="K1460" s="35">
        <v>0.0</v>
      </c>
    </row>
    <row r="1461" ht="15.75" customHeight="1">
      <c r="A1461" s="35" t="s">
        <v>5727</v>
      </c>
      <c r="B1461" s="35"/>
      <c r="C1461" s="35">
        <v>11.0</v>
      </c>
      <c r="D1461" s="35" t="s">
        <v>2043</v>
      </c>
      <c r="E1461" s="35">
        <v>46027.0</v>
      </c>
      <c r="F1461" s="35">
        <v>0.0</v>
      </c>
      <c r="G1461" s="35">
        <v>0.0</v>
      </c>
      <c r="H1461" s="35">
        <v>3.0</v>
      </c>
      <c r="I1461" s="35">
        <v>0.0</v>
      </c>
      <c r="J1461" s="35"/>
      <c r="K1461" s="35">
        <v>0.0</v>
      </c>
    </row>
    <row r="1462" ht="15.75" customHeight="1">
      <c r="A1462" s="35" t="s">
        <v>1670</v>
      </c>
      <c r="B1462" s="35"/>
      <c r="C1462" s="35">
        <v>11.0</v>
      </c>
      <c r="D1462" s="35">
        <v>301.0</v>
      </c>
      <c r="E1462" s="35">
        <v>46027.0</v>
      </c>
      <c r="F1462" s="35">
        <v>0.0</v>
      </c>
      <c r="G1462" s="35">
        <v>0.0</v>
      </c>
      <c r="H1462" s="35">
        <v>0.0</v>
      </c>
      <c r="I1462" s="35">
        <v>1.0</v>
      </c>
      <c r="J1462" s="35"/>
      <c r="K1462" s="35">
        <v>0.0</v>
      </c>
    </row>
    <row r="1463" ht="15.75" customHeight="1">
      <c r="A1463" s="35" t="s">
        <v>5729</v>
      </c>
      <c r="B1463" s="35"/>
      <c r="C1463" s="35">
        <v>11.0</v>
      </c>
      <c r="D1463" s="35" t="s">
        <v>4635</v>
      </c>
      <c r="E1463" s="35">
        <v>46027.0</v>
      </c>
      <c r="F1463" s="35">
        <v>0.0</v>
      </c>
      <c r="G1463" s="35">
        <v>3.0</v>
      </c>
      <c r="H1463" s="35">
        <v>0.0</v>
      </c>
      <c r="I1463" s="35">
        <v>0.0</v>
      </c>
      <c r="J1463" s="35"/>
      <c r="K1463" s="35">
        <v>0.0</v>
      </c>
    </row>
    <row r="1464" ht="15.75" customHeight="1">
      <c r="A1464" s="35" t="s">
        <v>5730</v>
      </c>
      <c r="B1464" s="35"/>
      <c r="C1464" s="35">
        <v>11.0</v>
      </c>
      <c r="D1464" s="35">
        <v>234.0</v>
      </c>
      <c r="E1464" s="35">
        <v>46027.0</v>
      </c>
      <c r="F1464" s="35">
        <v>0.0</v>
      </c>
      <c r="G1464" s="35">
        <v>1.0</v>
      </c>
      <c r="H1464" s="35">
        <v>0.0</v>
      </c>
      <c r="I1464" s="35">
        <v>0.0</v>
      </c>
      <c r="J1464" s="35"/>
      <c r="K1464" s="35">
        <v>0.0</v>
      </c>
    </row>
    <row r="1465" ht="15.75" customHeight="1">
      <c r="A1465" s="35" t="s">
        <v>5732</v>
      </c>
      <c r="B1465" s="35"/>
      <c r="C1465" s="35">
        <v>11.0</v>
      </c>
      <c r="D1465" s="35" t="s">
        <v>2033</v>
      </c>
      <c r="E1465" s="35">
        <v>46027.0</v>
      </c>
      <c r="F1465" s="35">
        <v>0.0</v>
      </c>
      <c r="G1465" s="35">
        <v>1.0</v>
      </c>
      <c r="H1465" s="35">
        <v>0.0</v>
      </c>
      <c r="I1465" s="35">
        <v>0.0</v>
      </c>
      <c r="J1465" s="35"/>
      <c r="K1465" s="35">
        <v>0.0</v>
      </c>
    </row>
    <row r="1466" ht="15.75" customHeight="1">
      <c r="A1466" s="35" t="s">
        <v>5733</v>
      </c>
      <c r="B1466" s="35"/>
      <c r="C1466" s="35">
        <v>11.0</v>
      </c>
      <c r="D1466" s="35" t="s">
        <v>2033</v>
      </c>
      <c r="E1466" s="35">
        <v>46027.0</v>
      </c>
      <c r="F1466" s="35">
        <v>0.0</v>
      </c>
      <c r="G1466" s="35">
        <v>0.0</v>
      </c>
      <c r="H1466" s="35">
        <v>3.0</v>
      </c>
      <c r="I1466" s="35">
        <v>0.0</v>
      </c>
      <c r="J1466" s="35"/>
      <c r="K1466" s="35">
        <v>0.0</v>
      </c>
    </row>
    <row r="1467" ht="15.75" customHeight="1">
      <c r="A1467" s="35" t="s">
        <v>5735</v>
      </c>
      <c r="B1467" s="35"/>
      <c r="C1467" s="35">
        <v>11.0</v>
      </c>
      <c r="D1467" s="35" t="s">
        <v>4456</v>
      </c>
      <c r="E1467" s="35">
        <v>46027.0</v>
      </c>
      <c r="F1467" s="35">
        <v>0.0</v>
      </c>
      <c r="G1467" s="35">
        <v>2.0</v>
      </c>
      <c r="H1467" s="35">
        <v>0.0</v>
      </c>
      <c r="I1467" s="35">
        <v>0.0</v>
      </c>
      <c r="J1467" s="35"/>
      <c r="K1467" s="35">
        <v>0.0</v>
      </c>
    </row>
    <row r="1468" ht="15.75" customHeight="1">
      <c r="A1468" s="35" t="s">
        <v>5736</v>
      </c>
      <c r="B1468" s="35"/>
      <c r="C1468" s="35">
        <v>11.0</v>
      </c>
      <c r="D1468" s="35" t="s">
        <v>4635</v>
      </c>
      <c r="E1468" s="35">
        <v>46027.0</v>
      </c>
      <c r="F1468" s="35">
        <v>0.0</v>
      </c>
      <c r="G1468" s="35">
        <v>1.0</v>
      </c>
      <c r="H1468" s="35">
        <v>0.0</v>
      </c>
      <c r="I1468" s="35">
        <v>0.0</v>
      </c>
      <c r="J1468" s="35"/>
      <c r="K1468" s="35">
        <v>0.0</v>
      </c>
    </row>
    <row r="1469" ht="15.75" customHeight="1">
      <c r="A1469" s="35" t="s">
        <v>5738</v>
      </c>
      <c r="B1469" s="35"/>
      <c r="C1469" s="35">
        <v>11.0</v>
      </c>
      <c r="D1469" s="35">
        <v>605.0</v>
      </c>
      <c r="E1469" s="35">
        <v>46027.0</v>
      </c>
      <c r="F1469" s="35">
        <v>0.0</v>
      </c>
      <c r="G1469" s="35">
        <v>0.0</v>
      </c>
      <c r="H1469" s="35">
        <v>2.0</v>
      </c>
      <c r="I1469" s="35">
        <v>0.0</v>
      </c>
      <c r="J1469" s="35"/>
      <c r="K1469" s="35">
        <v>0.0</v>
      </c>
    </row>
    <row r="1470" ht="15.75" customHeight="1">
      <c r="A1470" s="35" t="s">
        <v>5739</v>
      </c>
      <c r="B1470" s="35"/>
      <c r="C1470" s="35">
        <v>11.0</v>
      </c>
      <c r="D1470" s="35">
        <v>647.0</v>
      </c>
      <c r="E1470" s="35">
        <v>46027.0</v>
      </c>
      <c r="F1470" s="35">
        <v>0.0</v>
      </c>
      <c r="G1470" s="35">
        <v>0.0</v>
      </c>
      <c r="H1470" s="35">
        <v>2.0</v>
      </c>
      <c r="I1470" s="35">
        <v>0.0</v>
      </c>
      <c r="J1470" s="35"/>
      <c r="K1470" s="35">
        <v>0.0</v>
      </c>
    </row>
    <row r="1471" ht="15.75" customHeight="1">
      <c r="A1471" s="35" t="s">
        <v>1673</v>
      </c>
      <c r="B1471" s="35"/>
      <c r="C1471" s="35">
        <v>11.0</v>
      </c>
      <c r="D1471" s="35" t="s">
        <v>4635</v>
      </c>
      <c r="E1471" s="35">
        <v>46027.0</v>
      </c>
      <c r="F1471" s="35">
        <v>0.0</v>
      </c>
      <c r="G1471" s="35">
        <v>2.0</v>
      </c>
      <c r="H1471" s="35">
        <v>0.0</v>
      </c>
      <c r="I1471" s="35">
        <v>0.0</v>
      </c>
      <c r="J1471" s="35"/>
      <c r="K1471" s="35">
        <v>0.0</v>
      </c>
    </row>
    <row r="1472" ht="15.75" customHeight="1">
      <c r="A1472" s="35" t="s">
        <v>5741</v>
      </c>
      <c r="B1472" s="35"/>
      <c r="C1472" s="35">
        <v>11.0</v>
      </c>
      <c r="D1472" s="35">
        <v>112.0</v>
      </c>
      <c r="E1472" s="35">
        <v>46027.0</v>
      </c>
      <c r="F1472" s="35">
        <v>0.0</v>
      </c>
      <c r="G1472" s="35">
        <v>1.0</v>
      </c>
      <c r="H1472" s="35">
        <v>0.0</v>
      </c>
      <c r="I1472" s="35">
        <v>0.0</v>
      </c>
      <c r="J1472" s="35"/>
      <c r="K1472" s="35">
        <v>0.0</v>
      </c>
    </row>
    <row r="1473" ht="15.75" customHeight="1">
      <c r="A1473" s="35" t="s">
        <v>5742</v>
      </c>
      <c r="B1473" s="35"/>
      <c r="C1473" s="35">
        <v>11.0</v>
      </c>
      <c r="D1473" s="35" t="s">
        <v>4635</v>
      </c>
      <c r="E1473" s="35">
        <v>46027.0</v>
      </c>
      <c r="F1473" s="35">
        <v>0.0</v>
      </c>
      <c r="G1473" s="35">
        <v>0.0</v>
      </c>
      <c r="H1473" s="35">
        <v>1.0</v>
      </c>
      <c r="I1473" s="35">
        <v>0.0</v>
      </c>
      <c r="J1473" s="35"/>
      <c r="K1473" s="35">
        <v>0.0</v>
      </c>
    </row>
    <row r="1474" ht="15.75" customHeight="1">
      <c r="A1474" s="35" t="s">
        <v>5744</v>
      </c>
      <c r="B1474" s="35"/>
      <c r="C1474" s="35">
        <v>11.0</v>
      </c>
      <c r="D1474" s="35">
        <v>88.0</v>
      </c>
      <c r="E1474" s="35">
        <v>46027.0</v>
      </c>
      <c r="F1474" s="35">
        <v>0.0</v>
      </c>
      <c r="G1474" s="35">
        <v>2.0</v>
      </c>
      <c r="H1474" s="35">
        <v>0.0</v>
      </c>
      <c r="I1474" s="35">
        <v>0.0</v>
      </c>
      <c r="J1474" s="35"/>
      <c r="K1474" s="35">
        <v>0.0</v>
      </c>
    </row>
    <row r="1475" ht="15.75" customHeight="1">
      <c r="A1475" s="35" t="s">
        <v>5745</v>
      </c>
      <c r="B1475" s="35"/>
      <c r="C1475" s="35">
        <v>11.0</v>
      </c>
      <c r="D1475" s="35">
        <v>617.0</v>
      </c>
      <c r="E1475" s="35">
        <v>46027.0</v>
      </c>
      <c r="F1475" s="35">
        <v>0.0</v>
      </c>
      <c r="G1475" s="35">
        <v>1.0</v>
      </c>
      <c r="H1475" s="35">
        <v>0.0</v>
      </c>
      <c r="I1475" s="35">
        <v>0.0</v>
      </c>
      <c r="J1475" s="35"/>
      <c r="K1475" s="35">
        <v>0.0</v>
      </c>
    </row>
    <row r="1476" ht="15.75" customHeight="1">
      <c r="A1476" s="35" t="s">
        <v>5747</v>
      </c>
      <c r="B1476" s="35"/>
      <c r="C1476" s="35">
        <v>11.0</v>
      </c>
      <c r="D1476" s="35">
        <v>564.0</v>
      </c>
      <c r="E1476" s="35">
        <v>46027.0</v>
      </c>
      <c r="F1476" s="35">
        <v>0.0</v>
      </c>
      <c r="G1476" s="35">
        <v>0.0</v>
      </c>
      <c r="H1476" s="35">
        <v>7.0</v>
      </c>
      <c r="I1476" s="35">
        <v>0.0</v>
      </c>
      <c r="J1476" s="35"/>
      <c r="K1476" s="35">
        <v>0.0</v>
      </c>
    </row>
    <row r="1477" ht="15.75" customHeight="1">
      <c r="A1477" s="35" t="s">
        <v>5748</v>
      </c>
      <c r="B1477" s="35"/>
      <c r="C1477" s="35">
        <v>11.0</v>
      </c>
      <c r="D1477" s="35">
        <v>407.0</v>
      </c>
      <c r="E1477" s="35">
        <v>46027.0</v>
      </c>
      <c r="F1477" s="35">
        <v>0.0</v>
      </c>
      <c r="G1477" s="35">
        <v>2.0</v>
      </c>
      <c r="H1477" s="35">
        <v>0.0</v>
      </c>
      <c r="I1477" s="35">
        <v>0.0</v>
      </c>
      <c r="J1477" s="35"/>
      <c r="K1477" s="35">
        <v>0.0</v>
      </c>
    </row>
    <row r="1478" ht="15.75" customHeight="1">
      <c r="A1478" s="35" t="s">
        <v>5749</v>
      </c>
      <c r="B1478" s="35"/>
      <c r="C1478" s="35">
        <v>11.0</v>
      </c>
      <c r="D1478" s="35">
        <v>144.0</v>
      </c>
      <c r="E1478" s="35">
        <v>46027.0</v>
      </c>
      <c r="F1478" s="35">
        <v>0.0</v>
      </c>
      <c r="G1478" s="35">
        <v>1.0</v>
      </c>
      <c r="H1478" s="35">
        <v>0.0</v>
      </c>
      <c r="I1478" s="35">
        <v>0.0</v>
      </c>
      <c r="J1478" s="35"/>
      <c r="K1478" s="35">
        <v>0.0</v>
      </c>
    </row>
    <row r="1479" ht="15.75" customHeight="1">
      <c r="A1479" s="35" t="s">
        <v>5753</v>
      </c>
      <c r="B1479" s="35"/>
      <c r="C1479" s="35">
        <v>11.0</v>
      </c>
      <c r="D1479" s="35" t="s">
        <v>5691</v>
      </c>
      <c r="E1479" s="35">
        <v>46027.0</v>
      </c>
      <c r="F1479" s="35">
        <v>0.0</v>
      </c>
      <c r="G1479" s="35">
        <v>0.0</v>
      </c>
      <c r="H1479" s="35">
        <v>1.0</v>
      </c>
      <c r="I1479" s="35">
        <v>0.0</v>
      </c>
      <c r="J1479" s="35"/>
      <c r="K1479" s="35">
        <v>0.0</v>
      </c>
    </row>
    <row r="1480" ht="15.75" customHeight="1">
      <c r="A1480" s="35" t="s">
        <v>5754</v>
      </c>
      <c r="B1480" s="35"/>
      <c r="C1480" s="35">
        <v>10.0</v>
      </c>
      <c r="D1480" s="35" t="s">
        <v>2038</v>
      </c>
      <c r="E1480" s="35">
        <v>46058.0</v>
      </c>
      <c r="F1480" s="35">
        <v>0.0</v>
      </c>
      <c r="G1480" s="35">
        <v>3.0</v>
      </c>
      <c r="H1480" s="35">
        <v>17.0</v>
      </c>
      <c r="I1480" s="35">
        <v>0.0</v>
      </c>
      <c r="J1480" s="35"/>
      <c r="K1480" s="35">
        <v>0.0</v>
      </c>
    </row>
    <row r="1481" ht="15.75" customHeight="1">
      <c r="A1481" s="35" t="s">
        <v>1684</v>
      </c>
      <c r="B1481" s="35"/>
      <c r="C1481" s="35">
        <v>10.0</v>
      </c>
      <c r="D1481" s="35" t="s">
        <v>4635</v>
      </c>
      <c r="E1481" s="35">
        <v>46027.0</v>
      </c>
      <c r="F1481" s="35">
        <v>0.0</v>
      </c>
      <c r="G1481" s="35">
        <v>0.0</v>
      </c>
      <c r="H1481" s="35">
        <v>0.0</v>
      </c>
      <c r="I1481" s="35">
        <v>1.0</v>
      </c>
      <c r="J1481" s="35"/>
      <c r="K1481" s="35">
        <v>0.0</v>
      </c>
    </row>
    <row r="1482" ht="15.75" customHeight="1">
      <c r="A1482" s="35" t="s">
        <v>5756</v>
      </c>
      <c r="B1482" s="35"/>
      <c r="C1482" s="35">
        <v>10.0</v>
      </c>
      <c r="D1482" s="35" t="s">
        <v>2010</v>
      </c>
      <c r="E1482" s="35">
        <v>46027.0</v>
      </c>
      <c r="F1482" s="35">
        <v>0.0</v>
      </c>
      <c r="G1482" s="35">
        <v>2.0</v>
      </c>
      <c r="H1482" s="35">
        <v>0.0</v>
      </c>
      <c r="I1482" s="35">
        <v>0.0</v>
      </c>
      <c r="J1482" s="35"/>
      <c r="K1482" s="35">
        <v>0.0</v>
      </c>
    </row>
    <row r="1483" ht="15.75" customHeight="1">
      <c r="A1483" s="35" t="s">
        <v>5757</v>
      </c>
      <c r="B1483" s="35"/>
      <c r="C1483" s="35">
        <v>10.0</v>
      </c>
      <c r="D1483" s="35">
        <v>264.0</v>
      </c>
      <c r="E1483" s="35">
        <v>46027.0</v>
      </c>
      <c r="F1483" s="35">
        <v>0.0</v>
      </c>
      <c r="G1483" s="35">
        <v>1.0</v>
      </c>
      <c r="H1483" s="35">
        <v>0.0</v>
      </c>
      <c r="I1483" s="35">
        <v>0.0</v>
      </c>
      <c r="J1483" s="35"/>
      <c r="K1483" s="35">
        <v>0.0</v>
      </c>
    </row>
    <row r="1484" ht="15.75" customHeight="1">
      <c r="A1484" s="35" t="s">
        <v>1692</v>
      </c>
      <c r="B1484" s="35"/>
      <c r="C1484" s="35">
        <v>10.0</v>
      </c>
      <c r="D1484" s="35">
        <v>261.0</v>
      </c>
      <c r="E1484" s="35">
        <v>46027.0</v>
      </c>
      <c r="F1484" s="35">
        <v>0.0</v>
      </c>
      <c r="G1484" s="35">
        <v>12.0</v>
      </c>
      <c r="H1484" s="35">
        <v>0.0</v>
      </c>
      <c r="I1484" s="35">
        <v>0.0</v>
      </c>
      <c r="J1484" s="35"/>
      <c r="K1484" s="35">
        <v>0.0</v>
      </c>
    </row>
    <row r="1485" ht="15.75" customHeight="1">
      <c r="A1485" s="35" t="s">
        <v>5759</v>
      </c>
      <c r="B1485" s="35"/>
      <c r="C1485" s="35">
        <v>10.0</v>
      </c>
      <c r="D1485" s="35">
        <v>27.0</v>
      </c>
      <c r="E1485" s="35">
        <v>46027.0</v>
      </c>
      <c r="F1485" s="35">
        <v>0.0</v>
      </c>
      <c r="G1485" s="35">
        <v>0.0</v>
      </c>
      <c r="H1485" s="35">
        <v>0.0</v>
      </c>
      <c r="I1485" s="35">
        <v>1.0</v>
      </c>
      <c r="J1485" s="35"/>
      <c r="K1485" s="35">
        <v>0.0</v>
      </c>
    </row>
    <row r="1486" ht="15.75" customHeight="1">
      <c r="A1486" s="35" t="s">
        <v>5761</v>
      </c>
      <c r="B1486" s="35"/>
      <c r="C1486" s="35">
        <v>10.0</v>
      </c>
      <c r="D1486" s="35">
        <v>267.0</v>
      </c>
      <c r="E1486" s="35">
        <v>46027.0</v>
      </c>
      <c r="F1486" s="35">
        <v>0.0</v>
      </c>
      <c r="G1486" s="35">
        <v>4.0</v>
      </c>
      <c r="H1486" s="35">
        <v>0.0</v>
      </c>
      <c r="I1486" s="35">
        <v>0.0</v>
      </c>
      <c r="J1486" s="35"/>
      <c r="K1486" s="35">
        <v>0.0</v>
      </c>
    </row>
    <row r="1487" ht="15.75" customHeight="1">
      <c r="A1487" s="35" t="s">
        <v>5762</v>
      </c>
      <c r="B1487" s="35"/>
      <c r="C1487" s="35">
        <v>10.0</v>
      </c>
      <c r="D1487" s="35" t="s">
        <v>2065</v>
      </c>
      <c r="E1487" s="35">
        <v>46027.0</v>
      </c>
      <c r="F1487" s="35">
        <v>0.0</v>
      </c>
      <c r="G1487" s="35">
        <v>0.0</v>
      </c>
      <c r="H1487" s="35">
        <v>1.0</v>
      </c>
      <c r="I1487" s="35">
        <v>0.0</v>
      </c>
      <c r="J1487" s="35"/>
      <c r="K1487" s="35">
        <v>0.0</v>
      </c>
    </row>
    <row r="1488" ht="15.75" customHeight="1">
      <c r="A1488" s="35" t="s">
        <v>5764</v>
      </c>
      <c r="B1488" s="35"/>
      <c r="C1488" s="35">
        <v>10.0</v>
      </c>
      <c r="D1488" s="35">
        <v>398.0</v>
      </c>
      <c r="E1488" s="35">
        <v>46027.0</v>
      </c>
      <c r="F1488" s="35">
        <v>0.0</v>
      </c>
      <c r="G1488" s="35">
        <v>0.0</v>
      </c>
      <c r="H1488" s="35">
        <v>2.0</v>
      </c>
      <c r="I1488" s="35">
        <v>0.0</v>
      </c>
      <c r="J1488" s="35"/>
      <c r="K1488" s="35">
        <v>0.0</v>
      </c>
    </row>
    <row r="1489" ht="15.75" customHeight="1">
      <c r="A1489" s="35" t="s">
        <v>5765</v>
      </c>
      <c r="B1489" s="35"/>
      <c r="C1489" s="35">
        <v>10.0</v>
      </c>
      <c r="D1489" s="35" t="s">
        <v>4635</v>
      </c>
      <c r="E1489" s="35">
        <v>46027.0</v>
      </c>
      <c r="F1489" s="35">
        <v>0.0</v>
      </c>
      <c r="G1489" s="35">
        <v>1.0</v>
      </c>
      <c r="H1489" s="35">
        <v>0.0</v>
      </c>
      <c r="I1489" s="35">
        <v>0.0</v>
      </c>
      <c r="J1489" s="35"/>
      <c r="K1489" s="35">
        <v>0.0</v>
      </c>
    </row>
    <row r="1490" ht="15.75" customHeight="1">
      <c r="A1490" s="35" t="s">
        <v>5766</v>
      </c>
      <c r="B1490" s="35"/>
      <c r="C1490" s="35">
        <v>10.0</v>
      </c>
      <c r="D1490" s="35" t="s">
        <v>4722</v>
      </c>
      <c r="E1490" s="35">
        <v>46027.0</v>
      </c>
      <c r="F1490" s="35">
        <v>0.0</v>
      </c>
      <c r="G1490" s="35">
        <v>4.0</v>
      </c>
      <c r="H1490" s="35">
        <v>0.0</v>
      </c>
      <c r="I1490" s="35">
        <v>0.0</v>
      </c>
      <c r="J1490" s="35"/>
      <c r="K1490" s="35">
        <v>0.0</v>
      </c>
    </row>
    <row r="1491" ht="15.75" customHeight="1">
      <c r="A1491" s="35" t="s">
        <v>5768</v>
      </c>
      <c r="B1491" s="35"/>
      <c r="C1491" s="35">
        <v>10.0</v>
      </c>
      <c r="D1491" s="35" t="s">
        <v>5444</v>
      </c>
      <c r="E1491" s="35">
        <v>46027.0</v>
      </c>
      <c r="F1491" s="35">
        <v>0.0</v>
      </c>
      <c r="G1491" s="35">
        <v>20.0</v>
      </c>
      <c r="H1491" s="35">
        <v>0.0</v>
      </c>
      <c r="I1491" s="35">
        <v>0.0</v>
      </c>
      <c r="J1491" s="35"/>
      <c r="K1491" s="35">
        <v>0.0</v>
      </c>
    </row>
    <row r="1492" ht="15.75" customHeight="1">
      <c r="A1492" s="35" t="s">
        <v>5769</v>
      </c>
      <c r="B1492" s="35"/>
      <c r="C1492" s="35">
        <v>10.0</v>
      </c>
      <c r="D1492" s="35">
        <v>642.0</v>
      </c>
      <c r="E1492" s="35">
        <v>46027.0</v>
      </c>
      <c r="F1492" s="35">
        <v>0.0</v>
      </c>
      <c r="G1492" s="35">
        <v>1.0</v>
      </c>
      <c r="H1492" s="35">
        <v>0.0</v>
      </c>
      <c r="I1492" s="35">
        <v>0.0</v>
      </c>
      <c r="J1492" s="35"/>
      <c r="K1492" s="35">
        <v>0.0</v>
      </c>
    </row>
    <row r="1493" ht="15.75" customHeight="1">
      <c r="A1493" s="35" t="s">
        <v>5771</v>
      </c>
      <c r="B1493" s="35"/>
      <c r="C1493" s="35">
        <v>10.0</v>
      </c>
      <c r="D1493" s="35" t="s">
        <v>4635</v>
      </c>
      <c r="E1493" s="35">
        <v>46027.0</v>
      </c>
      <c r="F1493" s="35">
        <v>0.0</v>
      </c>
      <c r="G1493" s="35">
        <v>3.0</v>
      </c>
      <c r="H1493" s="35">
        <v>0.0</v>
      </c>
      <c r="I1493" s="35">
        <v>0.0</v>
      </c>
      <c r="J1493" s="35"/>
      <c r="K1493" s="35">
        <v>0.0</v>
      </c>
    </row>
    <row r="1494" ht="15.75" customHeight="1">
      <c r="A1494" s="35" t="s">
        <v>5772</v>
      </c>
      <c r="B1494" s="35"/>
      <c r="C1494" s="35">
        <v>10.0</v>
      </c>
      <c r="D1494" s="35">
        <v>512.0</v>
      </c>
      <c r="E1494" s="35">
        <v>46027.0</v>
      </c>
      <c r="F1494" s="35">
        <v>0.0</v>
      </c>
      <c r="G1494" s="35">
        <v>0.0</v>
      </c>
      <c r="H1494" s="35">
        <v>6.0</v>
      </c>
      <c r="I1494" s="35">
        <v>0.0</v>
      </c>
      <c r="J1494" s="35"/>
      <c r="K1494" s="35">
        <v>0.0</v>
      </c>
    </row>
    <row r="1495" ht="15.75" customHeight="1">
      <c r="A1495" s="35" t="s">
        <v>5774</v>
      </c>
      <c r="B1495" s="35"/>
      <c r="C1495" s="35">
        <v>10.0</v>
      </c>
      <c r="D1495" s="35" t="s">
        <v>2021</v>
      </c>
      <c r="E1495" s="35">
        <v>46027.0</v>
      </c>
      <c r="F1495" s="35">
        <v>0.0</v>
      </c>
      <c r="G1495" s="35">
        <v>1.0</v>
      </c>
      <c r="H1495" s="35">
        <v>0.0</v>
      </c>
      <c r="I1495" s="35">
        <v>0.0</v>
      </c>
      <c r="J1495" s="35"/>
      <c r="K1495" s="35">
        <v>0.0</v>
      </c>
    </row>
    <row r="1496" ht="15.75" customHeight="1">
      <c r="A1496" s="35" t="s">
        <v>5775</v>
      </c>
      <c r="B1496" s="35"/>
      <c r="C1496" s="35">
        <v>10.0</v>
      </c>
      <c r="D1496" s="35">
        <v>59.0</v>
      </c>
      <c r="E1496" s="35">
        <v>46027.0</v>
      </c>
      <c r="F1496" s="35">
        <v>0.0</v>
      </c>
      <c r="G1496" s="35">
        <v>2.0</v>
      </c>
      <c r="H1496" s="35">
        <v>0.0</v>
      </c>
      <c r="I1496" s="35">
        <v>0.0</v>
      </c>
      <c r="J1496" s="35"/>
      <c r="K1496" s="35">
        <v>0.0</v>
      </c>
    </row>
    <row r="1497" ht="15.75" customHeight="1">
      <c r="A1497" s="35" t="s">
        <v>5777</v>
      </c>
      <c r="B1497" s="35"/>
      <c r="C1497" s="35">
        <v>10.0</v>
      </c>
      <c r="D1497" s="35" t="s">
        <v>5352</v>
      </c>
      <c r="E1497" s="35">
        <v>46027.0</v>
      </c>
      <c r="F1497" s="35">
        <v>0.0</v>
      </c>
      <c r="G1497" s="35">
        <v>1.0</v>
      </c>
      <c r="H1497" s="35">
        <v>0.0</v>
      </c>
      <c r="I1497" s="35">
        <v>0.0</v>
      </c>
      <c r="J1497" s="35"/>
      <c r="K1497" s="35">
        <v>0.0</v>
      </c>
    </row>
    <row r="1498" ht="15.75" customHeight="1">
      <c r="A1498" s="35" t="s">
        <v>5778</v>
      </c>
      <c r="B1498" s="35"/>
      <c r="C1498" s="35">
        <v>10.0</v>
      </c>
      <c r="D1498" s="35">
        <v>364.0</v>
      </c>
      <c r="E1498" s="35">
        <v>46027.0</v>
      </c>
      <c r="F1498" s="35">
        <v>0.0</v>
      </c>
      <c r="G1498" s="35">
        <v>2.0</v>
      </c>
      <c r="H1498" s="35">
        <v>0.0</v>
      </c>
      <c r="I1498" s="35">
        <v>0.0</v>
      </c>
      <c r="J1498" s="35"/>
      <c r="K1498" s="35">
        <v>0.0</v>
      </c>
    </row>
    <row r="1499" ht="15.75" customHeight="1">
      <c r="A1499" s="35" t="s">
        <v>5780</v>
      </c>
      <c r="B1499" s="35"/>
      <c r="C1499" s="35">
        <v>10.0</v>
      </c>
      <c r="D1499" s="35" t="s">
        <v>2040</v>
      </c>
      <c r="E1499" s="35">
        <v>46027.0</v>
      </c>
      <c r="F1499" s="35">
        <v>0.0</v>
      </c>
      <c r="G1499" s="35">
        <v>0.0</v>
      </c>
      <c r="H1499" s="35">
        <v>2.0</v>
      </c>
      <c r="I1499" s="35">
        <v>0.0</v>
      </c>
      <c r="J1499" s="35"/>
      <c r="K1499" s="35">
        <v>0.0</v>
      </c>
    </row>
    <row r="1500" ht="15.75" customHeight="1">
      <c r="A1500" s="35" t="s">
        <v>5781</v>
      </c>
      <c r="B1500" s="35"/>
      <c r="C1500" s="35">
        <v>10.0</v>
      </c>
      <c r="D1500" s="35" t="s">
        <v>2018</v>
      </c>
      <c r="E1500" s="35">
        <v>46027.0</v>
      </c>
      <c r="F1500" s="35">
        <v>0.0</v>
      </c>
      <c r="G1500" s="35">
        <v>3.0</v>
      </c>
      <c r="H1500" s="35">
        <v>0.0</v>
      </c>
      <c r="I1500" s="35">
        <v>0.0</v>
      </c>
      <c r="J1500" s="35"/>
      <c r="K1500" s="35">
        <v>0.0</v>
      </c>
    </row>
    <row r="1501" ht="15.75" customHeight="1">
      <c r="A1501" s="35" t="s">
        <v>5783</v>
      </c>
      <c r="B1501" s="35"/>
      <c r="C1501" s="35">
        <v>10.0</v>
      </c>
      <c r="D1501" s="35" t="s">
        <v>4430</v>
      </c>
      <c r="E1501" s="35">
        <v>46027.0</v>
      </c>
      <c r="F1501" s="35">
        <v>0.0</v>
      </c>
      <c r="G1501" s="35">
        <v>0.0</v>
      </c>
      <c r="H1501" s="35">
        <v>1.0</v>
      </c>
      <c r="I1501" s="35">
        <v>0.0</v>
      </c>
      <c r="J1501" s="35"/>
      <c r="K1501" s="35">
        <v>0.0</v>
      </c>
    </row>
    <row r="1502" ht="15.75" customHeight="1">
      <c r="A1502" s="35" t="s">
        <v>5784</v>
      </c>
      <c r="B1502" s="35"/>
      <c r="C1502" s="35">
        <v>10.0</v>
      </c>
      <c r="D1502" s="35" t="s">
        <v>2004</v>
      </c>
      <c r="E1502" s="35">
        <v>46027.0</v>
      </c>
      <c r="F1502" s="35">
        <v>0.0</v>
      </c>
      <c r="G1502" s="35">
        <v>1.0</v>
      </c>
      <c r="H1502" s="35">
        <v>0.0</v>
      </c>
      <c r="I1502" s="35">
        <v>0.0</v>
      </c>
      <c r="J1502" s="35"/>
      <c r="K1502" s="35">
        <v>0.0</v>
      </c>
    </row>
    <row r="1503" ht="15.75" customHeight="1">
      <c r="A1503" s="35" t="s">
        <v>5786</v>
      </c>
      <c r="B1503" s="35"/>
      <c r="C1503" s="35">
        <v>10.0</v>
      </c>
      <c r="D1503" s="35" t="s">
        <v>4635</v>
      </c>
      <c r="E1503" s="35">
        <v>46027.0</v>
      </c>
      <c r="F1503" s="35">
        <v>0.0</v>
      </c>
      <c r="G1503" s="35">
        <v>2.0</v>
      </c>
      <c r="H1503" s="35">
        <v>0.0</v>
      </c>
      <c r="I1503" s="35">
        <v>0.0</v>
      </c>
      <c r="J1503" s="35"/>
      <c r="K1503" s="35">
        <v>0.0</v>
      </c>
    </row>
    <row r="1504" ht="15.75" customHeight="1">
      <c r="A1504" s="35" t="s">
        <v>1695</v>
      </c>
      <c r="B1504" s="35"/>
      <c r="C1504" s="35">
        <v>10.0</v>
      </c>
      <c r="D1504" s="35" t="s">
        <v>3577</v>
      </c>
      <c r="E1504" s="35">
        <v>46027.0</v>
      </c>
      <c r="F1504" s="35">
        <v>0.0</v>
      </c>
      <c r="G1504" s="35">
        <v>0.0</v>
      </c>
      <c r="H1504" s="35">
        <v>2.0</v>
      </c>
      <c r="I1504" s="35">
        <v>0.0</v>
      </c>
      <c r="J1504" s="35"/>
      <c r="K1504" s="35">
        <v>0.0</v>
      </c>
    </row>
    <row r="1505" ht="15.75" customHeight="1">
      <c r="A1505" s="35" t="s">
        <v>5788</v>
      </c>
      <c r="B1505" s="35"/>
      <c r="C1505" s="35">
        <v>10.0</v>
      </c>
      <c r="D1505" s="35" t="s">
        <v>5726</v>
      </c>
      <c r="E1505" s="35">
        <v>46027.0</v>
      </c>
      <c r="F1505" s="35">
        <v>0.0</v>
      </c>
      <c r="G1505" s="35">
        <v>3.0</v>
      </c>
      <c r="H1505" s="35">
        <v>0.0</v>
      </c>
      <c r="I1505" s="35">
        <v>0.0</v>
      </c>
      <c r="J1505" s="35"/>
      <c r="K1505" s="35">
        <v>0.0</v>
      </c>
    </row>
    <row r="1506" ht="15.75" customHeight="1">
      <c r="A1506" s="35" t="s">
        <v>5790</v>
      </c>
      <c r="B1506" s="35"/>
      <c r="C1506" s="35">
        <v>10.0</v>
      </c>
      <c r="D1506" s="35">
        <v>243.0</v>
      </c>
      <c r="E1506" s="35">
        <v>46027.0</v>
      </c>
      <c r="F1506" s="35">
        <v>0.0</v>
      </c>
      <c r="G1506" s="35">
        <v>2.0</v>
      </c>
      <c r="H1506" s="35">
        <v>0.0</v>
      </c>
      <c r="I1506" s="35">
        <v>0.0</v>
      </c>
      <c r="J1506" s="35"/>
      <c r="K1506" s="35">
        <v>0.0</v>
      </c>
    </row>
    <row r="1507" ht="15.75" customHeight="1">
      <c r="A1507" s="35" t="s">
        <v>5791</v>
      </c>
      <c r="B1507" s="35"/>
      <c r="C1507" s="35">
        <v>10.0</v>
      </c>
      <c r="D1507" s="35" t="s">
        <v>2019</v>
      </c>
      <c r="E1507" s="35">
        <v>46027.0</v>
      </c>
      <c r="F1507" s="35">
        <v>0.0</v>
      </c>
      <c r="G1507" s="35">
        <v>0.0</v>
      </c>
      <c r="H1507" s="35">
        <v>1.0</v>
      </c>
      <c r="I1507" s="35">
        <v>0.0</v>
      </c>
      <c r="J1507" s="35"/>
      <c r="K1507" s="35">
        <v>0.0</v>
      </c>
    </row>
    <row r="1508" ht="15.75" customHeight="1">
      <c r="A1508" s="35" t="s">
        <v>5792</v>
      </c>
      <c r="B1508" s="35"/>
      <c r="C1508" s="35">
        <v>10.0</v>
      </c>
      <c r="D1508" s="35">
        <v>751.0</v>
      </c>
      <c r="E1508" s="35">
        <v>46027.0</v>
      </c>
      <c r="F1508" s="35">
        <v>0.0</v>
      </c>
      <c r="G1508" s="35">
        <v>7.0</v>
      </c>
      <c r="H1508" s="35">
        <v>0.0</v>
      </c>
      <c r="I1508" s="35">
        <v>0.0</v>
      </c>
      <c r="J1508" s="35"/>
      <c r="K1508" s="35">
        <v>0.0</v>
      </c>
    </row>
    <row r="1509" ht="15.75" customHeight="1">
      <c r="A1509" s="35" t="s">
        <v>5794</v>
      </c>
      <c r="B1509" s="35"/>
      <c r="C1509" s="35">
        <v>10.0</v>
      </c>
      <c r="D1509" s="35" t="s">
        <v>4635</v>
      </c>
      <c r="E1509" s="35">
        <v>46027.0</v>
      </c>
      <c r="F1509" s="35">
        <v>0.0</v>
      </c>
      <c r="G1509" s="35">
        <v>7.0</v>
      </c>
      <c r="H1509" s="35">
        <v>0.0</v>
      </c>
      <c r="I1509" s="35">
        <v>0.0</v>
      </c>
      <c r="J1509" s="35"/>
      <c r="K1509" s="35">
        <v>0.0</v>
      </c>
    </row>
    <row r="1510" ht="15.75" customHeight="1">
      <c r="A1510" s="35" t="s">
        <v>5795</v>
      </c>
      <c r="B1510" s="35"/>
      <c r="C1510" s="35">
        <v>10.0</v>
      </c>
      <c r="D1510" s="35" t="s">
        <v>4963</v>
      </c>
      <c r="E1510" s="35">
        <v>46027.0</v>
      </c>
      <c r="F1510" s="35">
        <v>0.0</v>
      </c>
      <c r="G1510" s="35">
        <v>1.0</v>
      </c>
      <c r="H1510" s="35">
        <v>0.0</v>
      </c>
      <c r="I1510" s="35">
        <v>0.0</v>
      </c>
      <c r="J1510" s="35"/>
      <c r="K1510" s="35">
        <v>0.0</v>
      </c>
    </row>
    <row r="1511" ht="15.75" customHeight="1">
      <c r="A1511" s="35" t="s">
        <v>5797</v>
      </c>
      <c r="B1511" s="35"/>
      <c r="C1511" s="35">
        <v>10.0</v>
      </c>
      <c r="D1511" s="35">
        <v>469.0</v>
      </c>
      <c r="E1511" s="35">
        <v>46027.0</v>
      </c>
      <c r="F1511" s="35">
        <v>0.0</v>
      </c>
      <c r="G1511" s="35">
        <v>1.0</v>
      </c>
      <c r="H1511" s="35">
        <v>0.0</v>
      </c>
      <c r="I1511" s="35">
        <v>0.0</v>
      </c>
      <c r="J1511" s="35"/>
      <c r="K1511" s="35">
        <v>0.0</v>
      </c>
    </row>
    <row r="1512" ht="15.75" customHeight="1">
      <c r="A1512" s="35" t="s">
        <v>5798</v>
      </c>
      <c r="B1512" s="35"/>
      <c r="C1512" s="35">
        <v>10.0</v>
      </c>
      <c r="D1512" s="35">
        <v>44.0</v>
      </c>
      <c r="E1512" s="35">
        <v>46027.0</v>
      </c>
      <c r="F1512" s="35">
        <v>0.0</v>
      </c>
      <c r="G1512" s="35">
        <v>0.0</v>
      </c>
      <c r="H1512" s="35">
        <v>1.0</v>
      </c>
      <c r="I1512" s="35">
        <v>0.0</v>
      </c>
      <c r="J1512" s="35"/>
      <c r="K1512" s="35">
        <v>0.0</v>
      </c>
    </row>
    <row r="1513" ht="15.75" customHeight="1">
      <c r="A1513" s="35" t="s">
        <v>5800</v>
      </c>
      <c r="B1513" s="35"/>
      <c r="C1513" s="35">
        <v>9.0</v>
      </c>
      <c r="D1513" s="35" t="s">
        <v>5801</v>
      </c>
      <c r="E1513" s="35">
        <v>46058.0</v>
      </c>
      <c r="F1513" s="35">
        <v>0.0</v>
      </c>
      <c r="G1513" s="35">
        <v>15.0</v>
      </c>
      <c r="H1513" s="35">
        <v>188.0</v>
      </c>
      <c r="I1513" s="35">
        <v>0.0</v>
      </c>
      <c r="J1513" s="35"/>
      <c r="K1513" s="35">
        <v>0.0</v>
      </c>
    </row>
    <row r="1514" ht="15.75" customHeight="1">
      <c r="A1514" s="35" t="s">
        <v>5802</v>
      </c>
      <c r="B1514" s="35"/>
      <c r="C1514" s="35">
        <v>9.0</v>
      </c>
      <c r="D1514" s="35" t="s">
        <v>2144</v>
      </c>
      <c r="E1514" s="35">
        <v>46058.0</v>
      </c>
      <c r="F1514" s="35">
        <v>0.0</v>
      </c>
      <c r="G1514" s="35">
        <v>5.0</v>
      </c>
      <c r="H1514" s="35">
        <v>0.0</v>
      </c>
      <c r="I1514" s="35">
        <v>1.0</v>
      </c>
      <c r="J1514" s="35"/>
      <c r="K1514" s="35">
        <v>0.0</v>
      </c>
    </row>
    <row r="1515" ht="15.75" customHeight="1">
      <c r="A1515" s="35" t="s">
        <v>5804</v>
      </c>
      <c r="B1515" s="35"/>
      <c r="C1515" s="35">
        <v>9.0</v>
      </c>
      <c r="D1515" s="35">
        <v>74.0</v>
      </c>
      <c r="E1515" s="35">
        <v>46027.0</v>
      </c>
      <c r="F1515" s="35">
        <v>0.0</v>
      </c>
      <c r="G1515" s="35">
        <v>0.0</v>
      </c>
      <c r="H1515" s="35">
        <v>1.0</v>
      </c>
      <c r="I1515" s="35">
        <v>0.0</v>
      </c>
      <c r="J1515" s="35"/>
      <c r="K1515" s="35">
        <v>0.0</v>
      </c>
    </row>
    <row r="1516" ht="15.75" customHeight="1">
      <c r="A1516" s="35" t="s">
        <v>5805</v>
      </c>
      <c r="B1516" s="35"/>
      <c r="C1516" s="35">
        <v>9.0</v>
      </c>
      <c r="D1516" s="35" t="s">
        <v>4635</v>
      </c>
      <c r="E1516" s="35">
        <v>46027.0</v>
      </c>
      <c r="F1516" s="35">
        <v>0.0</v>
      </c>
      <c r="G1516" s="35">
        <v>1.0</v>
      </c>
      <c r="H1516" s="35">
        <v>0.0</v>
      </c>
      <c r="I1516" s="35">
        <v>0.0</v>
      </c>
      <c r="J1516" s="35"/>
      <c r="K1516" s="35">
        <v>0.0</v>
      </c>
    </row>
    <row r="1517" ht="15.75" customHeight="1">
      <c r="A1517" s="35" t="s">
        <v>5806</v>
      </c>
      <c r="B1517" s="35"/>
      <c r="C1517" s="35">
        <v>9.0</v>
      </c>
      <c r="D1517" s="35">
        <v>476.0</v>
      </c>
      <c r="E1517" s="35">
        <v>46027.0</v>
      </c>
      <c r="F1517" s="35">
        <v>0.0</v>
      </c>
      <c r="G1517" s="35">
        <v>0.0</v>
      </c>
      <c r="H1517" s="35">
        <v>1.0</v>
      </c>
      <c r="I1517" s="35">
        <v>0.0</v>
      </c>
      <c r="J1517" s="35"/>
      <c r="K1517" s="35">
        <v>0.0</v>
      </c>
    </row>
    <row r="1518" ht="15.75" customHeight="1">
      <c r="A1518" s="35" t="s">
        <v>5808</v>
      </c>
      <c r="B1518" s="35"/>
      <c r="C1518" s="35">
        <v>9.0</v>
      </c>
      <c r="D1518" s="35" t="s">
        <v>4635</v>
      </c>
      <c r="E1518" s="35">
        <v>46027.0</v>
      </c>
      <c r="F1518" s="35">
        <v>0.0</v>
      </c>
      <c r="G1518" s="35">
        <v>1.0</v>
      </c>
      <c r="H1518" s="35">
        <v>0.0</v>
      </c>
      <c r="I1518" s="35">
        <v>0.0</v>
      </c>
      <c r="J1518" s="35"/>
      <c r="K1518" s="35">
        <v>0.0</v>
      </c>
    </row>
    <row r="1519" ht="15.75" customHeight="1">
      <c r="A1519" s="35" t="s">
        <v>5809</v>
      </c>
      <c r="B1519" s="35"/>
      <c r="C1519" s="35">
        <v>9.0</v>
      </c>
      <c r="D1519" s="35" t="s">
        <v>2018</v>
      </c>
      <c r="E1519" s="35">
        <v>46027.0</v>
      </c>
      <c r="F1519" s="35">
        <v>0.0</v>
      </c>
      <c r="G1519" s="35">
        <v>4.0</v>
      </c>
      <c r="H1519" s="35">
        <v>0.0</v>
      </c>
      <c r="I1519" s="35">
        <v>0.0</v>
      </c>
      <c r="J1519" s="35"/>
      <c r="K1519" s="35">
        <v>0.0</v>
      </c>
    </row>
    <row r="1520" ht="15.75" customHeight="1">
      <c r="A1520" s="35" t="s">
        <v>5811</v>
      </c>
      <c r="B1520" s="35"/>
      <c r="C1520" s="35">
        <v>9.0</v>
      </c>
      <c r="D1520" s="35" t="s">
        <v>2004</v>
      </c>
      <c r="E1520" s="35">
        <v>46027.0</v>
      </c>
      <c r="F1520" s="35">
        <v>0.0</v>
      </c>
      <c r="G1520" s="35">
        <v>0.0</v>
      </c>
      <c r="H1520" s="35">
        <v>1.0</v>
      </c>
      <c r="I1520" s="35">
        <v>0.0</v>
      </c>
      <c r="J1520" s="35"/>
      <c r="K1520" s="35">
        <v>0.0</v>
      </c>
    </row>
    <row r="1521" ht="15.75" customHeight="1">
      <c r="A1521" s="35" t="s">
        <v>5812</v>
      </c>
      <c r="B1521" s="35"/>
      <c r="C1521" s="35">
        <v>9.0</v>
      </c>
      <c r="D1521" s="35" t="s">
        <v>5131</v>
      </c>
      <c r="E1521" s="35">
        <v>46027.0</v>
      </c>
      <c r="F1521" s="35">
        <v>0.0</v>
      </c>
      <c r="G1521" s="35">
        <v>3.0</v>
      </c>
      <c r="H1521" s="35">
        <v>0.0</v>
      </c>
      <c r="I1521" s="35">
        <v>0.0</v>
      </c>
      <c r="J1521" s="35"/>
      <c r="K1521" s="35">
        <v>0.0</v>
      </c>
    </row>
    <row r="1522" ht="15.75" customHeight="1">
      <c r="A1522" s="35" t="s">
        <v>5814</v>
      </c>
      <c r="B1522" s="35"/>
      <c r="C1522" s="35">
        <v>9.0</v>
      </c>
      <c r="D1522" s="35" t="s">
        <v>4523</v>
      </c>
      <c r="E1522" s="35">
        <v>46027.0</v>
      </c>
      <c r="F1522" s="35">
        <v>0.0</v>
      </c>
      <c r="G1522" s="35">
        <v>0.0</v>
      </c>
      <c r="H1522" s="35">
        <v>2.0</v>
      </c>
      <c r="I1522" s="35">
        <v>0.0</v>
      </c>
      <c r="J1522" s="35"/>
      <c r="K1522" s="35">
        <v>0.0</v>
      </c>
    </row>
    <row r="1523" ht="15.75" customHeight="1">
      <c r="A1523" s="35" t="s">
        <v>5815</v>
      </c>
      <c r="B1523" s="35"/>
      <c r="C1523" s="35">
        <v>9.0</v>
      </c>
      <c r="D1523" s="35" t="s">
        <v>4288</v>
      </c>
      <c r="E1523" s="35">
        <v>46027.0</v>
      </c>
      <c r="F1523" s="35">
        <v>0.0</v>
      </c>
      <c r="G1523" s="35">
        <v>0.0</v>
      </c>
      <c r="H1523" s="35">
        <v>0.0</v>
      </c>
      <c r="I1523" s="35">
        <v>1.0</v>
      </c>
      <c r="J1523" s="35"/>
      <c r="K1523" s="35">
        <v>0.0</v>
      </c>
    </row>
    <row r="1524" ht="15.75" customHeight="1">
      <c r="A1524" s="35" t="s">
        <v>5817</v>
      </c>
      <c r="B1524" s="35"/>
      <c r="C1524" s="35">
        <v>9.0</v>
      </c>
      <c r="D1524" s="35" t="s">
        <v>4635</v>
      </c>
      <c r="E1524" s="35">
        <v>46027.0</v>
      </c>
      <c r="F1524" s="35">
        <v>0.0</v>
      </c>
      <c r="G1524" s="35">
        <v>1.0</v>
      </c>
      <c r="H1524" s="35">
        <v>0.0</v>
      </c>
      <c r="I1524" s="35">
        <v>0.0</v>
      </c>
      <c r="J1524" s="35"/>
      <c r="K1524" s="35">
        <v>0.0</v>
      </c>
    </row>
    <row r="1525" ht="15.75" customHeight="1">
      <c r="A1525" s="35" t="s">
        <v>5818</v>
      </c>
      <c r="B1525" s="35"/>
      <c r="C1525" s="35">
        <v>9.0</v>
      </c>
      <c r="D1525" s="35" t="s">
        <v>2005</v>
      </c>
      <c r="E1525" s="35">
        <v>46027.0</v>
      </c>
      <c r="F1525" s="35">
        <v>0.0</v>
      </c>
      <c r="G1525" s="35">
        <v>0.0</v>
      </c>
      <c r="H1525" s="35">
        <v>1.0</v>
      </c>
      <c r="I1525" s="35">
        <v>0.0</v>
      </c>
      <c r="J1525" s="35"/>
      <c r="K1525" s="35">
        <v>0.0</v>
      </c>
    </row>
    <row r="1526" ht="15.75" customHeight="1">
      <c r="A1526" s="35" t="s">
        <v>5819</v>
      </c>
      <c r="B1526" s="35"/>
      <c r="C1526" s="35">
        <v>9.0</v>
      </c>
      <c r="D1526" s="35" t="s">
        <v>4197</v>
      </c>
      <c r="E1526" s="35">
        <v>46027.0</v>
      </c>
      <c r="F1526" s="35">
        <v>0.0</v>
      </c>
      <c r="G1526" s="35">
        <v>0.0</v>
      </c>
      <c r="H1526" s="35">
        <v>0.0</v>
      </c>
      <c r="I1526" s="35">
        <v>9.0</v>
      </c>
      <c r="J1526" s="35"/>
      <c r="K1526" s="35">
        <v>0.0</v>
      </c>
    </row>
    <row r="1527" ht="15.75" customHeight="1">
      <c r="A1527" s="35" t="s">
        <v>5821</v>
      </c>
      <c r="B1527" s="35"/>
      <c r="C1527" s="35">
        <v>9.0</v>
      </c>
      <c r="D1527" s="35" t="s">
        <v>4692</v>
      </c>
      <c r="E1527" s="35">
        <v>46027.0</v>
      </c>
      <c r="F1527" s="35">
        <v>0.0</v>
      </c>
      <c r="G1527" s="35">
        <v>2.0</v>
      </c>
      <c r="H1527" s="35">
        <v>0.0</v>
      </c>
      <c r="I1527" s="35">
        <v>0.0</v>
      </c>
      <c r="J1527" s="35"/>
      <c r="K1527" s="35">
        <v>0.0</v>
      </c>
    </row>
    <row r="1528" ht="15.75" customHeight="1">
      <c r="A1528" s="35" t="s">
        <v>5822</v>
      </c>
      <c r="B1528" s="35"/>
      <c r="C1528" s="35">
        <v>9.0</v>
      </c>
      <c r="D1528" s="35">
        <v>345.0</v>
      </c>
      <c r="E1528" s="35">
        <v>46027.0</v>
      </c>
      <c r="F1528" s="35">
        <v>0.0</v>
      </c>
      <c r="G1528" s="35">
        <v>1.0</v>
      </c>
      <c r="H1528" s="35">
        <v>0.0</v>
      </c>
      <c r="I1528" s="35">
        <v>0.0</v>
      </c>
      <c r="J1528" s="35"/>
      <c r="K1528" s="35">
        <v>0.0</v>
      </c>
    </row>
    <row r="1529" ht="15.75" customHeight="1">
      <c r="A1529" s="35" t="s">
        <v>5824</v>
      </c>
      <c r="B1529" s="35"/>
      <c r="C1529" s="35">
        <v>9.0</v>
      </c>
      <c r="D1529" s="35">
        <v>405.0</v>
      </c>
      <c r="E1529" s="35">
        <v>46027.0</v>
      </c>
      <c r="F1529" s="35">
        <v>0.0</v>
      </c>
      <c r="G1529" s="35">
        <v>22.0</v>
      </c>
      <c r="H1529" s="35">
        <v>0.0</v>
      </c>
      <c r="I1529" s="35">
        <v>0.0</v>
      </c>
      <c r="J1529" s="35"/>
      <c r="K1529" s="35">
        <v>0.0</v>
      </c>
    </row>
    <row r="1530" ht="15.75" customHeight="1">
      <c r="A1530" s="35" t="s">
        <v>5825</v>
      </c>
      <c r="B1530" s="35"/>
      <c r="C1530" s="35">
        <v>9.0</v>
      </c>
      <c r="D1530" s="35" t="s">
        <v>2018</v>
      </c>
      <c r="E1530" s="35">
        <v>46027.0</v>
      </c>
      <c r="F1530" s="35">
        <v>0.0</v>
      </c>
      <c r="G1530" s="35">
        <v>1.0</v>
      </c>
      <c r="H1530" s="35">
        <v>0.0</v>
      </c>
      <c r="I1530" s="35">
        <v>0.0</v>
      </c>
      <c r="J1530" s="35"/>
      <c r="K1530" s="35">
        <v>0.0</v>
      </c>
    </row>
    <row r="1531" ht="15.75" customHeight="1">
      <c r="A1531" s="35" t="s">
        <v>5827</v>
      </c>
      <c r="B1531" s="35"/>
      <c r="C1531" s="35">
        <v>9.0</v>
      </c>
      <c r="D1531" s="35" t="s">
        <v>4990</v>
      </c>
      <c r="E1531" s="35">
        <v>46027.0</v>
      </c>
      <c r="F1531" s="35">
        <v>0.0</v>
      </c>
      <c r="G1531" s="35">
        <v>0.0</v>
      </c>
      <c r="H1531" s="35">
        <v>1.0</v>
      </c>
      <c r="I1531" s="35">
        <v>0.0</v>
      </c>
      <c r="J1531" s="35"/>
      <c r="K1531" s="35">
        <v>0.0</v>
      </c>
    </row>
    <row r="1532" ht="15.75" customHeight="1">
      <c r="A1532" s="35" t="s">
        <v>5828</v>
      </c>
      <c r="B1532" s="35"/>
      <c r="C1532" s="35">
        <v>9.0</v>
      </c>
      <c r="D1532" s="35">
        <v>238.0</v>
      </c>
      <c r="E1532" s="35">
        <v>46027.0</v>
      </c>
      <c r="F1532" s="35">
        <v>0.0</v>
      </c>
      <c r="G1532" s="35">
        <v>1.0</v>
      </c>
      <c r="H1532" s="35">
        <v>0.0</v>
      </c>
      <c r="I1532" s="35">
        <v>0.0</v>
      </c>
      <c r="J1532" s="35"/>
      <c r="K1532" s="35">
        <v>0.0</v>
      </c>
    </row>
    <row r="1533" ht="15.75" customHeight="1">
      <c r="A1533" s="35" t="s">
        <v>5829</v>
      </c>
      <c r="B1533" s="35"/>
      <c r="C1533" s="35">
        <v>9.0</v>
      </c>
      <c r="D1533" s="35">
        <v>34.0</v>
      </c>
      <c r="E1533" s="35">
        <v>46027.0</v>
      </c>
      <c r="F1533" s="35">
        <v>0.0</v>
      </c>
      <c r="G1533" s="35">
        <v>1.0</v>
      </c>
      <c r="H1533" s="35">
        <v>0.0</v>
      </c>
      <c r="I1533" s="35">
        <v>0.0</v>
      </c>
      <c r="J1533" s="35"/>
      <c r="K1533" s="35">
        <v>0.0</v>
      </c>
    </row>
    <row r="1534" ht="15.75" customHeight="1">
      <c r="A1534" s="35" t="s">
        <v>5830</v>
      </c>
      <c r="B1534" s="35"/>
      <c r="C1534" s="35">
        <v>9.0</v>
      </c>
      <c r="D1534" s="35">
        <v>335.0</v>
      </c>
      <c r="E1534" s="35">
        <v>46027.0</v>
      </c>
      <c r="F1534" s="35">
        <v>0.0</v>
      </c>
      <c r="G1534" s="35">
        <v>0.0</v>
      </c>
      <c r="H1534" s="35">
        <v>1.0</v>
      </c>
      <c r="I1534" s="35">
        <v>0.0</v>
      </c>
      <c r="J1534" s="35"/>
      <c r="K1534" s="35">
        <v>0.0</v>
      </c>
    </row>
    <row r="1535" ht="15.75" customHeight="1">
      <c r="A1535" s="35" t="s">
        <v>5831</v>
      </c>
      <c r="B1535" s="35"/>
      <c r="C1535" s="35">
        <v>9.0</v>
      </c>
      <c r="D1535" s="35" t="s">
        <v>4538</v>
      </c>
      <c r="E1535" s="35">
        <v>46027.0</v>
      </c>
      <c r="F1535" s="35">
        <v>0.0</v>
      </c>
      <c r="G1535" s="35">
        <v>2.0</v>
      </c>
      <c r="H1535" s="35">
        <v>0.0</v>
      </c>
      <c r="I1535" s="35">
        <v>0.0</v>
      </c>
      <c r="J1535" s="35"/>
      <c r="K1535" s="35">
        <v>0.0</v>
      </c>
    </row>
    <row r="1536" ht="15.75" customHeight="1">
      <c r="A1536" s="35" t="s">
        <v>1702</v>
      </c>
      <c r="B1536" s="35"/>
      <c r="C1536" s="35">
        <v>9.0</v>
      </c>
      <c r="D1536" s="35" t="s">
        <v>3776</v>
      </c>
      <c r="E1536" s="35">
        <v>46027.0</v>
      </c>
      <c r="F1536" s="35">
        <v>0.0</v>
      </c>
      <c r="G1536" s="35">
        <v>1.0</v>
      </c>
      <c r="H1536" s="35">
        <v>0.0</v>
      </c>
      <c r="I1536" s="35">
        <v>0.0</v>
      </c>
      <c r="J1536" s="35"/>
      <c r="K1536" s="35">
        <v>0.0</v>
      </c>
    </row>
    <row r="1537" ht="15.75" customHeight="1">
      <c r="A1537" s="35" t="s">
        <v>5833</v>
      </c>
      <c r="B1537" s="35"/>
      <c r="C1537" s="35">
        <v>9.0</v>
      </c>
      <c r="D1537" s="35">
        <v>808.0</v>
      </c>
      <c r="E1537" s="35">
        <v>46027.0</v>
      </c>
      <c r="F1537" s="35">
        <v>0.0</v>
      </c>
      <c r="G1537" s="35">
        <v>1.0</v>
      </c>
      <c r="H1537" s="35">
        <v>0.0</v>
      </c>
      <c r="I1537" s="35">
        <v>0.0</v>
      </c>
      <c r="J1537" s="35"/>
      <c r="K1537" s="35">
        <v>0.0</v>
      </c>
    </row>
    <row r="1538" ht="15.75" customHeight="1">
      <c r="A1538" s="35" t="s">
        <v>5835</v>
      </c>
      <c r="B1538" s="35"/>
      <c r="C1538" s="35">
        <v>9.0</v>
      </c>
      <c r="D1538" s="35">
        <v>825.0</v>
      </c>
      <c r="E1538" s="35">
        <v>46027.0</v>
      </c>
      <c r="F1538" s="35">
        <v>0.0</v>
      </c>
      <c r="G1538" s="35">
        <v>1.0</v>
      </c>
      <c r="H1538" s="35">
        <v>0.0</v>
      </c>
      <c r="I1538" s="35">
        <v>0.0</v>
      </c>
      <c r="J1538" s="35"/>
      <c r="K1538" s="35">
        <v>0.0</v>
      </c>
    </row>
    <row r="1539" ht="15.75" customHeight="1">
      <c r="A1539" s="35" t="s">
        <v>5836</v>
      </c>
      <c r="B1539" s="35"/>
      <c r="C1539" s="35">
        <v>9.0</v>
      </c>
      <c r="D1539" s="35">
        <v>672.0</v>
      </c>
      <c r="E1539" s="35">
        <v>46027.0</v>
      </c>
      <c r="F1539" s="35">
        <v>0.0</v>
      </c>
      <c r="G1539" s="35">
        <v>2.0</v>
      </c>
      <c r="H1539" s="35">
        <v>0.0</v>
      </c>
      <c r="I1539" s="35">
        <v>0.0</v>
      </c>
      <c r="J1539" s="35"/>
      <c r="K1539" s="35">
        <v>0.0</v>
      </c>
    </row>
    <row r="1540" ht="15.75" customHeight="1">
      <c r="A1540" s="35" t="s">
        <v>5837</v>
      </c>
      <c r="B1540" s="35"/>
      <c r="C1540" s="35">
        <v>9.0</v>
      </c>
      <c r="D1540" s="35" t="s">
        <v>4538</v>
      </c>
      <c r="E1540" s="35">
        <v>46027.0</v>
      </c>
      <c r="F1540" s="35">
        <v>0.0</v>
      </c>
      <c r="G1540" s="35">
        <v>1.0</v>
      </c>
      <c r="H1540" s="35">
        <v>0.0</v>
      </c>
      <c r="I1540" s="35">
        <v>0.0</v>
      </c>
      <c r="J1540" s="35"/>
      <c r="K1540" s="35">
        <v>0.0</v>
      </c>
    </row>
    <row r="1541" ht="15.75" customHeight="1">
      <c r="A1541" s="35" t="s">
        <v>5838</v>
      </c>
      <c r="B1541" s="35"/>
      <c r="C1541" s="35">
        <v>9.0</v>
      </c>
      <c r="D1541" s="35" t="s">
        <v>4635</v>
      </c>
      <c r="E1541" s="35">
        <v>46027.0</v>
      </c>
      <c r="F1541" s="35">
        <v>0.0</v>
      </c>
      <c r="G1541" s="35">
        <v>30.0</v>
      </c>
      <c r="H1541" s="35">
        <v>0.0</v>
      </c>
      <c r="I1541" s="35">
        <v>0.0</v>
      </c>
      <c r="J1541" s="35"/>
      <c r="K1541" s="35">
        <v>0.0</v>
      </c>
    </row>
    <row r="1542" ht="15.75" customHeight="1">
      <c r="A1542" s="35" t="s">
        <v>1706</v>
      </c>
      <c r="B1542" s="35"/>
      <c r="C1542" s="35">
        <v>9.0</v>
      </c>
      <c r="D1542" s="35">
        <v>237.0</v>
      </c>
      <c r="E1542" s="35">
        <v>46027.0</v>
      </c>
      <c r="F1542" s="35">
        <v>0.0</v>
      </c>
      <c r="G1542" s="35">
        <v>2.0</v>
      </c>
      <c r="H1542" s="35">
        <v>0.0</v>
      </c>
      <c r="I1542" s="35">
        <v>0.0</v>
      </c>
      <c r="J1542" s="35"/>
      <c r="K1542" s="35">
        <v>0.0</v>
      </c>
    </row>
    <row r="1543" ht="15.75" customHeight="1">
      <c r="A1543" s="35" t="s">
        <v>1713</v>
      </c>
      <c r="B1543" s="35"/>
      <c r="C1543" s="35">
        <v>9.0</v>
      </c>
      <c r="D1543" s="35" t="s">
        <v>3117</v>
      </c>
      <c r="E1543" s="35">
        <v>46027.0</v>
      </c>
      <c r="F1543" s="35">
        <v>0.0</v>
      </c>
      <c r="G1543" s="35">
        <v>1.0</v>
      </c>
      <c r="H1543" s="35">
        <v>0.0</v>
      </c>
      <c r="I1543" s="35">
        <v>0.0</v>
      </c>
      <c r="J1543" s="35"/>
      <c r="K1543" s="35">
        <v>0.0</v>
      </c>
    </row>
    <row r="1544" ht="15.75" customHeight="1">
      <c r="A1544" s="35" t="s">
        <v>5840</v>
      </c>
      <c r="B1544" s="35"/>
      <c r="C1544" s="35">
        <v>9.0</v>
      </c>
      <c r="D1544" s="35">
        <v>174.0</v>
      </c>
      <c r="E1544" s="35">
        <v>46027.0</v>
      </c>
      <c r="F1544" s="35">
        <v>0.0</v>
      </c>
      <c r="G1544" s="35">
        <v>2.0</v>
      </c>
      <c r="H1544" s="35">
        <v>0.0</v>
      </c>
      <c r="I1544" s="35">
        <v>0.0</v>
      </c>
      <c r="J1544" s="35"/>
      <c r="K1544" s="35">
        <v>0.0</v>
      </c>
    </row>
    <row r="1545" ht="15.75" customHeight="1">
      <c r="A1545" s="35" t="s">
        <v>1724</v>
      </c>
      <c r="B1545" s="35"/>
      <c r="C1545" s="35">
        <v>9.0</v>
      </c>
      <c r="D1545" s="35" t="s">
        <v>2032</v>
      </c>
      <c r="E1545" s="35">
        <v>46027.0</v>
      </c>
      <c r="F1545" s="35">
        <v>0.0</v>
      </c>
      <c r="G1545" s="35">
        <v>1.0</v>
      </c>
      <c r="H1545" s="35">
        <v>0.0</v>
      </c>
      <c r="I1545" s="35">
        <v>0.0</v>
      </c>
      <c r="J1545" s="35"/>
      <c r="K1545" s="35">
        <v>0.0</v>
      </c>
    </row>
    <row r="1546" ht="15.75" customHeight="1">
      <c r="A1546" s="35" t="s">
        <v>5842</v>
      </c>
      <c r="B1546" s="35"/>
      <c r="C1546" s="35">
        <v>9.0</v>
      </c>
      <c r="D1546" s="35" t="s">
        <v>2018</v>
      </c>
      <c r="E1546" s="35">
        <v>46027.0</v>
      </c>
      <c r="F1546" s="35">
        <v>0.0</v>
      </c>
      <c r="G1546" s="35">
        <v>37.0</v>
      </c>
      <c r="H1546" s="35">
        <v>0.0</v>
      </c>
      <c r="I1546" s="35">
        <v>0.0</v>
      </c>
      <c r="J1546" s="35"/>
      <c r="K1546" s="35">
        <v>0.0</v>
      </c>
    </row>
    <row r="1547" ht="15.75" customHeight="1">
      <c r="A1547" s="35" t="s">
        <v>5844</v>
      </c>
      <c r="B1547" s="35"/>
      <c r="C1547" s="35">
        <v>9.0</v>
      </c>
      <c r="D1547" s="35">
        <v>727.0</v>
      </c>
      <c r="E1547" s="35">
        <v>46027.0</v>
      </c>
      <c r="F1547" s="35">
        <v>0.0</v>
      </c>
      <c r="G1547" s="35">
        <v>1.0</v>
      </c>
      <c r="H1547" s="35">
        <v>0.0</v>
      </c>
      <c r="I1547" s="35">
        <v>0.0</v>
      </c>
      <c r="J1547" s="35"/>
      <c r="K1547" s="35">
        <v>0.0</v>
      </c>
    </row>
    <row r="1548" ht="15.75" customHeight="1">
      <c r="A1548" s="35" t="s">
        <v>5845</v>
      </c>
      <c r="B1548" s="35"/>
      <c r="C1548" s="35">
        <v>9.0</v>
      </c>
      <c r="D1548" s="35">
        <v>619.0</v>
      </c>
      <c r="E1548" s="35">
        <v>46027.0</v>
      </c>
      <c r="F1548" s="35">
        <v>0.0</v>
      </c>
      <c r="G1548" s="35">
        <v>1.0</v>
      </c>
      <c r="H1548" s="35">
        <v>0.0</v>
      </c>
      <c r="I1548" s="35">
        <v>0.0</v>
      </c>
      <c r="J1548" s="35"/>
      <c r="K1548" s="35">
        <v>0.0</v>
      </c>
    </row>
    <row r="1549" ht="15.75" customHeight="1">
      <c r="A1549" s="35" t="s">
        <v>5847</v>
      </c>
      <c r="B1549" s="35"/>
      <c r="C1549" s="35">
        <v>9.0</v>
      </c>
      <c r="D1549" s="35">
        <v>51.0</v>
      </c>
      <c r="E1549" s="35">
        <v>46027.0</v>
      </c>
      <c r="F1549" s="35">
        <v>0.0</v>
      </c>
      <c r="G1549" s="35">
        <v>0.0</v>
      </c>
      <c r="H1549" s="35">
        <v>1.0</v>
      </c>
      <c r="I1549" s="35">
        <v>0.0</v>
      </c>
      <c r="J1549" s="35"/>
      <c r="K1549" s="35">
        <v>0.0</v>
      </c>
    </row>
    <row r="1550" ht="15.75" customHeight="1">
      <c r="A1550" s="35" t="s">
        <v>5848</v>
      </c>
      <c r="B1550" s="35"/>
      <c r="C1550" s="35">
        <v>9.0</v>
      </c>
      <c r="D1550" s="35" t="s">
        <v>2039</v>
      </c>
      <c r="E1550" s="35">
        <v>46027.0</v>
      </c>
      <c r="F1550" s="35">
        <v>0.0</v>
      </c>
      <c r="G1550" s="35">
        <v>1.0</v>
      </c>
      <c r="H1550" s="35">
        <v>0.0</v>
      </c>
      <c r="I1550" s="35">
        <v>0.0</v>
      </c>
      <c r="J1550" s="35"/>
      <c r="K1550" s="35">
        <v>0.0</v>
      </c>
    </row>
    <row r="1551" ht="15.75" customHeight="1">
      <c r="A1551" s="35" t="s">
        <v>5849</v>
      </c>
      <c r="B1551" s="35"/>
      <c r="C1551" s="35">
        <v>9.0</v>
      </c>
      <c r="D1551" s="35" t="s">
        <v>2043</v>
      </c>
      <c r="E1551" s="35">
        <v>46027.0</v>
      </c>
      <c r="F1551" s="35">
        <v>0.0</v>
      </c>
      <c r="G1551" s="35">
        <v>1.0</v>
      </c>
      <c r="H1551" s="35">
        <v>0.0</v>
      </c>
      <c r="I1551" s="35">
        <v>0.0</v>
      </c>
      <c r="J1551" s="35"/>
      <c r="K1551" s="35">
        <v>0.0</v>
      </c>
    </row>
    <row r="1552" ht="15.75" customHeight="1">
      <c r="A1552" s="35" t="s">
        <v>5851</v>
      </c>
      <c r="B1552" s="35"/>
      <c r="C1552" s="35">
        <v>9.0</v>
      </c>
      <c r="D1552" s="35" t="s">
        <v>2038</v>
      </c>
      <c r="E1552" s="35">
        <v>46027.0</v>
      </c>
      <c r="F1552" s="35">
        <v>0.0</v>
      </c>
      <c r="G1552" s="35">
        <v>3.0</v>
      </c>
      <c r="H1552" s="35">
        <v>0.0</v>
      </c>
      <c r="I1552" s="35">
        <v>0.0</v>
      </c>
      <c r="J1552" s="35"/>
      <c r="K1552" s="35">
        <v>0.0</v>
      </c>
    </row>
    <row r="1553" ht="15.75" customHeight="1">
      <c r="A1553" s="35" t="s">
        <v>5852</v>
      </c>
      <c r="B1553" s="35"/>
      <c r="C1553" s="35">
        <v>9.0</v>
      </c>
      <c r="D1553" s="35" t="s">
        <v>4377</v>
      </c>
      <c r="E1553" s="35">
        <v>46027.0</v>
      </c>
      <c r="F1553" s="35">
        <v>0.0</v>
      </c>
      <c r="G1553" s="35">
        <v>7.0</v>
      </c>
      <c r="H1553" s="35">
        <v>0.0</v>
      </c>
      <c r="I1553" s="35">
        <v>0.0</v>
      </c>
      <c r="J1553" s="35"/>
      <c r="K1553" s="35">
        <v>0.0</v>
      </c>
    </row>
    <row r="1554" ht="15.75" customHeight="1">
      <c r="A1554" s="35" t="s">
        <v>5854</v>
      </c>
      <c r="B1554" s="35"/>
      <c r="C1554" s="35">
        <v>9.0</v>
      </c>
      <c r="D1554" s="35" t="s">
        <v>3776</v>
      </c>
      <c r="E1554" s="35">
        <v>46027.0</v>
      </c>
      <c r="F1554" s="35">
        <v>0.0</v>
      </c>
      <c r="G1554" s="35">
        <v>0.0</v>
      </c>
      <c r="H1554" s="35">
        <v>1.0</v>
      </c>
      <c r="I1554" s="35">
        <v>0.0</v>
      </c>
      <c r="J1554" s="35"/>
      <c r="K1554" s="35">
        <v>0.0</v>
      </c>
    </row>
    <row r="1555" ht="15.75" customHeight="1">
      <c r="A1555" s="35" t="s">
        <v>5855</v>
      </c>
      <c r="B1555" s="35"/>
      <c r="C1555" s="35">
        <v>9.0</v>
      </c>
      <c r="D1555" s="35" t="s">
        <v>2035</v>
      </c>
      <c r="E1555" s="35">
        <v>46027.0</v>
      </c>
      <c r="F1555" s="35">
        <v>0.0</v>
      </c>
      <c r="G1555" s="35">
        <v>8.0</v>
      </c>
      <c r="H1555" s="35">
        <v>0.0</v>
      </c>
      <c r="I1555" s="35">
        <v>0.0</v>
      </c>
      <c r="J1555" s="35"/>
      <c r="K1555" s="35">
        <v>0.0</v>
      </c>
    </row>
    <row r="1556" ht="15.75" customHeight="1">
      <c r="A1556" s="35" t="s">
        <v>5857</v>
      </c>
      <c r="B1556" s="35"/>
      <c r="C1556" s="35">
        <v>9.0</v>
      </c>
      <c r="D1556" s="35" t="s">
        <v>2004</v>
      </c>
      <c r="E1556" s="35">
        <v>46027.0</v>
      </c>
      <c r="F1556" s="35">
        <v>0.0</v>
      </c>
      <c r="G1556" s="35">
        <v>1.0</v>
      </c>
      <c r="H1556" s="35">
        <v>0.0</v>
      </c>
      <c r="I1556" s="35">
        <v>0.0</v>
      </c>
      <c r="J1556" s="35"/>
      <c r="K1556" s="35">
        <v>0.0</v>
      </c>
    </row>
    <row r="1557" ht="15.75" customHeight="1">
      <c r="A1557" s="35" t="s">
        <v>5858</v>
      </c>
      <c r="B1557" s="35"/>
      <c r="C1557" s="35">
        <v>9.0</v>
      </c>
      <c r="D1557" s="35">
        <v>340.0</v>
      </c>
      <c r="E1557" s="35">
        <v>46027.0</v>
      </c>
      <c r="F1557" s="35">
        <v>0.0</v>
      </c>
      <c r="G1557" s="35">
        <v>2.0</v>
      </c>
      <c r="H1557" s="35">
        <v>0.0</v>
      </c>
      <c r="I1557" s="35">
        <v>0.0</v>
      </c>
      <c r="J1557" s="35"/>
      <c r="K1557" s="35">
        <v>0.0</v>
      </c>
    </row>
    <row r="1558" ht="15.75" customHeight="1">
      <c r="A1558" s="35" t="s">
        <v>5860</v>
      </c>
      <c r="B1558" s="35"/>
      <c r="C1558" s="35">
        <v>9.0</v>
      </c>
      <c r="D1558" s="35" t="s">
        <v>5861</v>
      </c>
      <c r="E1558" s="35">
        <v>46027.0</v>
      </c>
      <c r="F1558" s="35">
        <v>0.0</v>
      </c>
      <c r="G1558" s="35">
        <v>4.0</v>
      </c>
      <c r="H1558" s="35">
        <v>0.0</v>
      </c>
      <c r="I1558" s="35">
        <v>0.0</v>
      </c>
      <c r="J1558" s="35"/>
      <c r="K1558" s="35">
        <v>0.0</v>
      </c>
    </row>
    <row r="1559" ht="15.75" customHeight="1">
      <c r="A1559" s="35" t="s">
        <v>5862</v>
      </c>
      <c r="B1559" s="35"/>
      <c r="C1559" s="35">
        <v>9.0</v>
      </c>
      <c r="D1559" s="35" t="s">
        <v>4635</v>
      </c>
      <c r="E1559" s="35">
        <v>46027.0</v>
      </c>
      <c r="F1559" s="35">
        <v>0.0</v>
      </c>
      <c r="G1559" s="35">
        <v>683.0</v>
      </c>
      <c r="H1559" s="35">
        <v>0.0</v>
      </c>
      <c r="I1559" s="35">
        <v>0.0</v>
      </c>
      <c r="J1559" s="35"/>
      <c r="K1559" s="35">
        <v>0.0</v>
      </c>
    </row>
    <row r="1560" ht="15.75" customHeight="1">
      <c r="A1560" s="35" t="s">
        <v>5863</v>
      </c>
      <c r="B1560" s="35"/>
      <c r="C1560" s="35">
        <v>9.0</v>
      </c>
      <c r="D1560" s="35">
        <v>799.0</v>
      </c>
      <c r="E1560" s="35">
        <v>46027.0</v>
      </c>
      <c r="F1560" s="35">
        <v>0.0</v>
      </c>
      <c r="G1560" s="35">
        <v>1.0</v>
      </c>
      <c r="H1560" s="35">
        <v>0.0</v>
      </c>
      <c r="I1560" s="35">
        <v>0.0</v>
      </c>
      <c r="J1560" s="35"/>
      <c r="K1560" s="35">
        <v>0.0</v>
      </c>
    </row>
    <row r="1561" ht="15.75" customHeight="1">
      <c r="A1561" s="35" t="s">
        <v>5865</v>
      </c>
      <c r="B1561" s="35"/>
      <c r="C1561" s="35">
        <v>9.0</v>
      </c>
      <c r="D1561" s="35">
        <v>227.0</v>
      </c>
      <c r="E1561" s="35">
        <v>46027.0</v>
      </c>
      <c r="F1561" s="35">
        <v>0.0</v>
      </c>
      <c r="G1561" s="35">
        <v>1.0</v>
      </c>
      <c r="H1561" s="35">
        <v>0.0</v>
      </c>
      <c r="I1561" s="35">
        <v>0.0</v>
      </c>
      <c r="J1561" s="35"/>
      <c r="K1561" s="35">
        <v>0.0</v>
      </c>
    </row>
    <row r="1562" ht="15.75" customHeight="1">
      <c r="A1562" s="35" t="s">
        <v>5866</v>
      </c>
      <c r="B1562" s="35"/>
      <c r="C1562" s="35">
        <v>9.0</v>
      </c>
      <c r="D1562" s="35">
        <v>207.0</v>
      </c>
      <c r="E1562" s="35">
        <v>46027.0</v>
      </c>
      <c r="F1562" s="35">
        <v>0.0</v>
      </c>
      <c r="G1562" s="35">
        <v>48.0</v>
      </c>
      <c r="H1562" s="35">
        <v>0.0</v>
      </c>
      <c r="I1562" s="35">
        <v>0.0</v>
      </c>
      <c r="J1562" s="35"/>
      <c r="K1562" s="35">
        <v>0.0</v>
      </c>
    </row>
    <row r="1563" ht="15.75" customHeight="1">
      <c r="A1563" s="35" t="s">
        <v>5868</v>
      </c>
      <c r="B1563" s="35"/>
      <c r="C1563" s="35">
        <v>9.0</v>
      </c>
      <c r="D1563" s="35" t="s">
        <v>2005</v>
      </c>
      <c r="E1563" s="35">
        <v>46027.0</v>
      </c>
      <c r="F1563" s="35">
        <v>0.0</v>
      </c>
      <c r="G1563" s="35">
        <v>27.0</v>
      </c>
      <c r="H1563" s="35">
        <v>0.0</v>
      </c>
      <c r="I1563" s="35">
        <v>0.0</v>
      </c>
      <c r="J1563" s="35"/>
      <c r="K1563" s="35">
        <v>0.0</v>
      </c>
    </row>
    <row r="1564" ht="15.75" customHeight="1">
      <c r="A1564" s="35" t="s">
        <v>5869</v>
      </c>
      <c r="B1564" s="35"/>
      <c r="C1564" s="35">
        <v>8.0</v>
      </c>
      <c r="D1564" s="35" t="s">
        <v>2039</v>
      </c>
      <c r="E1564" s="35">
        <v>46058.0</v>
      </c>
      <c r="F1564" s="35">
        <v>0.0</v>
      </c>
      <c r="G1564" s="35">
        <v>3.0</v>
      </c>
      <c r="H1564" s="35">
        <v>16.0</v>
      </c>
      <c r="I1564" s="35">
        <v>0.0</v>
      </c>
      <c r="J1564" s="35"/>
      <c r="K1564" s="35">
        <v>0.0</v>
      </c>
    </row>
    <row r="1565" ht="15.75" customHeight="1">
      <c r="A1565" s="35" t="s">
        <v>5871</v>
      </c>
      <c r="B1565" s="35"/>
      <c r="C1565" s="35">
        <v>8.0</v>
      </c>
      <c r="D1565" s="35">
        <v>52.0</v>
      </c>
      <c r="E1565" s="35">
        <v>46058.0</v>
      </c>
      <c r="F1565" s="35">
        <v>0.0</v>
      </c>
      <c r="G1565" s="35">
        <v>0.0</v>
      </c>
      <c r="H1565" s="35">
        <v>6.0</v>
      </c>
      <c r="I1565" s="35">
        <v>4.0</v>
      </c>
      <c r="J1565" s="35"/>
      <c r="K1565" s="35">
        <v>0.0</v>
      </c>
    </row>
    <row r="1566" ht="15.75" customHeight="1">
      <c r="A1566" s="35" t="s">
        <v>5873</v>
      </c>
      <c r="B1566" s="35"/>
      <c r="C1566" s="35">
        <v>8.0</v>
      </c>
      <c r="D1566" s="35" t="s">
        <v>2032</v>
      </c>
      <c r="E1566" s="35">
        <v>46058.0</v>
      </c>
      <c r="F1566" s="35">
        <v>0.0</v>
      </c>
      <c r="G1566" s="35">
        <v>7.0</v>
      </c>
      <c r="H1566" s="35">
        <v>16.0</v>
      </c>
      <c r="I1566" s="35">
        <v>0.0</v>
      </c>
      <c r="J1566" s="35"/>
      <c r="K1566" s="35">
        <v>0.0</v>
      </c>
    </row>
    <row r="1567" ht="15.75" customHeight="1">
      <c r="A1567" s="35" t="s">
        <v>5874</v>
      </c>
      <c r="B1567" s="35"/>
      <c r="C1567" s="35">
        <v>8.0</v>
      </c>
      <c r="D1567" s="35" t="s">
        <v>4546</v>
      </c>
      <c r="E1567" s="35">
        <v>46058.0</v>
      </c>
      <c r="F1567" s="35">
        <v>0.0</v>
      </c>
      <c r="G1567" s="35">
        <v>1.0</v>
      </c>
      <c r="H1567" s="35">
        <v>1.0</v>
      </c>
      <c r="I1567" s="35">
        <v>0.0</v>
      </c>
      <c r="J1567" s="35"/>
      <c r="K1567" s="35">
        <v>0.0</v>
      </c>
    </row>
    <row r="1568" ht="15.75" customHeight="1">
      <c r="A1568" s="35" t="s">
        <v>5876</v>
      </c>
      <c r="B1568" s="35"/>
      <c r="C1568" s="35">
        <v>8.0</v>
      </c>
      <c r="D1568" s="35" t="s">
        <v>2004</v>
      </c>
      <c r="E1568" s="35">
        <v>46058.0</v>
      </c>
      <c r="F1568" s="35">
        <v>0.0</v>
      </c>
      <c r="G1568" s="35">
        <v>1.0</v>
      </c>
      <c r="H1568" s="35">
        <v>8.0</v>
      </c>
      <c r="I1568" s="35">
        <v>0.0</v>
      </c>
      <c r="J1568" s="35"/>
      <c r="K1568" s="35">
        <v>0.0</v>
      </c>
    </row>
    <row r="1569" ht="15.75" customHeight="1">
      <c r="A1569" s="35" t="s">
        <v>5877</v>
      </c>
      <c r="B1569" s="35"/>
      <c r="C1569" s="35">
        <v>8.0</v>
      </c>
      <c r="D1569" s="35" t="s">
        <v>4546</v>
      </c>
      <c r="E1569" s="35">
        <v>46027.0</v>
      </c>
      <c r="F1569" s="35">
        <v>0.0</v>
      </c>
      <c r="G1569" s="35">
        <v>1.0</v>
      </c>
      <c r="H1569" s="35">
        <v>0.0</v>
      </c>
      <c r="I1569" s="35">
        <v>0.0</v>
      </c>
      <c r="J1569" s="35"/>
      <c r="K1569" s="35">
        <v>0.0</v>
      </c>
    </row>
    <row r="1570" ht="15.75" customHeight="1">
      <c r="A1570" s="35" t="s">
        <v>5879</v>
      </c>
      <c r="B1570" s="35"/>
      <c r="C1570" s="35">
        <v>8.0</v>
      </c>
      <c r="D1570" s="35">
        <v>294.0</v>
      </c>
      <c r="E1570" s="35">
        <v>46027.0</v>
      </c>
      <c r="F1570" s="35">
        <v>0.0</v>
      </c>
      <c r="G1570" s="35">
        <v>1.0</v>
      </c>
      <c r="H1570" s="35">
        <v>0.0</v>
      </c>
      <c r="I1570" s="35">
        <v>0.0</v>
      </c>
      <c r="J1570" s="35"/>
      <c r="K1570" s="35">
        <v>0.0</v>
      </c>
    </row>
    <row r="1571" ht="15.75" customHeight="1">
      <c r="A1571" s="35" t="s">
        <v>5880</v>
      </c>
      <c r="B1571" s="35"/>
      <c r="C1571" s="35">
        <v>8.0</v>
      </c>
      <c r="D1571" s="35">
        <v>385.0</v>
      </c>
      <c r="E1571" s="35">
        <v>46027.0</v>
      </c>
      <c r="F1571" s="35">
        <v>0.0</v>
      </c>
      <c r="G1571" s="35">
        <v>2.0</v>
      </c>
      <c r="H1571" s="35">
        <v>0.0</v>
      </c>
      <c r="I1571" s="35">
        <v>0.0</v>
      </c>
      <c r="J1571" s="35"/>
      <c r="K1571" s="35">
        <v>0.0</v>
      </c>
    </row>
    <row r="1572" ht="15.75" customHeight="1">
      <c r="A1572" s="35" t="s">
        <v>5881</v>
      </c>
      <c r="B1572" s="35"/>
      <c r="C1572" s="35">
        <v>8.0</v>
      </c>
      <c r="D1572" s="35" t="s">
        <v>4563</v>
      </c>
      <c r="E1572" s="35">
        <v>46027.0</v>
      </c>
      <c r="F1572" s="35">
        <v>0.0</v>
      </c>
      <c r="G1572" s="35">
        <v>2.0</v>
      </c>
      <c r="H1572" s="35">
        <v>0.0</v>
      </c>
      <c r="I1572" s="35">
        <v>0.0</v>
      </c>
      <c r="J1572" s="35"/>
      <c r="K1572" s="35">
        <v>0.0</v>
      </c>
    </row>
    <row r="1573" ht="15.75" customHeight="1">
      <c r="A1573" s="35" t="s">
        <v>5883</v>
      </c>
      <c r="B1573" s="35"/>
      <c r="C1573" s="35">
        <v>8.0</v>
      </c>
      <c r="D1573" s="35" t="s">
        <v>4284</v>
      </c>
      <c r="E1573" s="35">
        <v>46027.0</v>
      </c>
      <c r="F1573" s="35">
        <v>0.0</v>
      </c>
      <c r="G1573" s="35">
        <v>1.0</v>
      </c>
      <c r="H1573" s="35">
        <v>0.0</v>
      </c>
      <c r="I1573" s="35">
        <v>0.0</v>
      </c>
      <c r="J1573" s="35"/>
      <c r="K1573" s="35">
        <v>0.0</v>
      </c>
    </row>
    <row r="1574" ht="15.75" customHeight="1">
      <c r="A1574" s="35" t="s">
        <v>5884</v>
      </c>
      <c r="B1574" s="35"/>
      <c r="C1574" s="35">
        <v>8.0</v>
      </c>
      <c r="D1574" s="35" t="s">
        <v>4780</v>
      </c>
      <c r="E1574" s="35">
        <v>46027.0</v>
      </c>
      <c r="F1574" s="35">
        <v>0.0</v>
      </c>
      <c r="G1574" s="35">
        <v>1.0</v>
      </c>
      <c r="H1574" s="35">
        <v>0.0</v>
      </c>
      <c r="I1574" s="35">
        <v>0.0</v>
      </c>
      <c r="J1574" s="35"/>
      <c r="K1574" s="35">
        <v>0.0</v>
      </c>
    </row>
    <row r="1575" ht="15.75" customHeight="1">
      <c r="A1575" s="35" t="s">
        <v>5886</v>
      </c>
      <c r="B1575" s="35"/>
      <c r="C1575" s="35">
        <v>8.0</v>
      </c>
      <c r="D1575" s="35" t="s">
        <v>2043</v>
      </c>
      <c r="E1575" s="35">
        <v>46027.0</v>
      </c>
      <c r="F1575" s="35">
        <v>0.0</v>
      </c>
      <c r="G1575" s="35">
        <v>1.0</v>
      </c>
      <c r="H1575" s="35">
        <v>0.0</v>
      </c>
      <c r="I1575" s="35">
        <v>0.0</v>
      </c>
      <c r="J1575" s="35"/>
      <c r="K1575" s="35">
        <v>0.0</v>
      </c>
    </row>
    <row r="1576" ht="15.75" customHeight="1">
      <c r="A1576" s="35" t="s">
        <v>5887</v>
      </c>
      <c r="B1576" s="35"/>
      <c r="C1576" s="35">
        <v>8.0</v>
      </c>
      <c r="D1576" s="35" t="s">
        <v>4154</v>
      </c>
      <c r="E1576" s="35">
        <v>46027.0</v>
      </c>
      <c r="F1576" s="35">
        <v>0.0</v>
      </c>
      <c r="G1576" s="35">
        <v>1.0</v>
      </c>
      <c r="H1576" s="35">
        <v>0.0</v>
      </c>
      <c r="I1576" s="35">
        <v>0.0</v>
      </c>
      <c r="J1576" s="35"/>
      <c r="K1576" s="35">
        <v>0.0</v>
      </c>
    </row>
    <row r="1577" ht="15.75" customHeight="1">
      <c r="A1577" s="35" t="s">
        <v>5889</v>
      </c>
      <c r="B1577" s="35"/>
      <c r="C1577" s="35">
        <v>8.0</v>
      </c>
      <c r="D1577" s="35">
        <v>108.0</v>
      </c>
      <c r="E1577" s="35">
        <v>46027.0</v>
      </c>
      <c r="F1577" s="35">
        <v>0.0</v>
      </c>
      <c r="G1577" s="35">
        <v>1.0</v>
      </c>
      <c r="H1577" s="35">
        <v>0.0</v>
      </c>
      <c r="I1577" s="35">
        <v>0.0</v>
      </c>
      <c r="J1577" s="35"/>
      <c r="K1577" s="35">
        <v>0.0</v>
      </c>
    </row>
    <row r="1578" ht="15.75" customHeight="1">
      <c r="A1578" s="35" t="s">
        <v>5890</v>
      </c>
      <c r="B1578" s="35"/>
      <c r="C1578" s="35">
        <v>8.0</v>
      </c>
      <c r="D1578" s="35" t="s">
        <v>2032</v>
      </c>
      <c r="E1578" s="35">
        <v>46027.0</v>
      </c>
      <c r="F1578" s="35">
        <v>0.0</v>
      </c>
      <c r="G1578" s="35">
        <v>1.0</v>
      </c>
      <c r="H1578" s="35">
        <v>0.0</v>
      </c>
      <c r="I1578" s="35">
        <v>0.0</v>
      </c>
      <c r="J1578" s="35"/>
      <c r="K1578" s="35">
        <v>0.0</v>
      </c>
    </row>
    <row r="1579" ht="15.75" customHeight="1">
      <c r="A1579" s="35" t="s">
        <v>5892</v>
      </c>
      <c r="B1579" s="35"/>
      <c r="C1579" s="35">
        <v>8.0</v>
      </c>
      <c r="D1579" s="35">
        <v>32.0</v>
      </c>
      <c r="E1579" s="35">
        <v>46027.0</v>
      </c>
      <c r="F1579" s="35">
        <v>0.0</v>
      </c>
      <c r="G1579" s="35">
        <v>2.0</v>
      </c>
      <c r="H1579" s="35">
        <v>0.0</v>
      </c>
      <c r="I1579" s="35">
        <v>0.0</v>
      </c>
      <c r="J1579" s="35"/>
      <c r="K1579" s="35">
        <v>0.0</v>
      </c>
    </row>
    <row r="1580" ht="15.75" customHeight="1">
      <c r="A1580" s="35" t="s">
        <v>5893</v>
      </c>
      <c r="B1580" s="35"/>
      <c r="C1580" s="35">
        <v>8.0</v>
      </c>
      <c r="D1580" s="35">
        <v>354.0</v>
      </c>
      <c r="E1580" s="35">
        <v>46027.0</v>
      </c>
      <c r="F1580" s="35">
        <v>0.0</v>
      </c>
      <c r="G1580" s="35">
        <v>1.0</v>
      </c>
      <c r="H1580" s="35">
        <v>0.0</v>
      </c>
      <c r="I1580" s="35">
        <v>0.0</v>
      </c>
      <c r="J1580" s="35"/>
      <c r="K1580" s="35">
        <v>0.0</v>
      </c>
    </row>
    <row r="1581" ht="15.75" customHeight="1">
      <c r="A1581" s="35" t="s">
        <v>5895</v>
      </c>
      <c r="B1581" s="35"/>
      <c r="C1581" s="35">
        <v>8.0</v>
      </c>
      <c r="D1581" s="35">
        <v>60.0</v>
      </c>
      <c r="E1581" s="35">
        <v>46027.0</v>
      </c>
      <c r="F1581" s="35">
        <v>0.0</v>
      </c>
      <c r="G1581" s="35">
        <v>0.0</v>
      </c>
      <c r="H1581" s="35">
        <v>1.0</v>
      </c>
      <c r="I1581" s="35">
        <v>0.0</v>
      </c>
      <c r="J1581" s="35"/>
      <c r="K1581" s="35">
        <v>0.0</v>
      </c>
    </row>
    <row r="1582" ht="15.75" customHeight="1">
      <c r="A1582" s="35" t="s">
        <v>5896</v>
      </c>
      <c r="B1582" s="35"/>
      <c r="C1582" s="35">
        <v>8.0</v>
      </c>
      <c r="D1582" s="35">
        <v>69.0</v>
      </c>
      <c r="E1582" s="35">
        <v>46027.0</v>
      </c>
      <c r="F1582" s="35">
        <v>0.0</v>
      </c>
      <c r="G1582" s="35">
        <v>0.0</v>
      </c>
      <c r="H1582" s="35">
        <v>0.0</v>
      </c>
      <c r="I1582" s="35">
        <v>1.0</v>
      </c>
      <c r="J1582" s="35"/>
      <c r="K1582" s="35">
        <v>0.0</v>
      </c>
    </row>
    <row r="1583" ht="15.75" customHeight="1">
      <c r="A1583" s="35" t="s">
        <v>5897</v>
      </c>
      <c r="B1583" s="35"/>
      <c r="C1583" s="35">
        <v>8.0</v>
      </c>
      <c r="D1583" s="35" t="s">
        <v>4635</v>
      </c>
      <c r="E1583" s="35">
        <v>46027.0</v>
      </c>
      <c r="F1583" s="35">
        <v>0.0</v>
      </c>
      <c r="G1583" s="35">
        <v>4.0</v>
      </c>
      <c r="H1583" s="35">
        <v>0.0</v>
      </c>
      <c r="I1583" s="35">
        <v>0.0</v>
      </c>
      <c r="J1583" s="35"/>
      <c r="K1583" s="35">
        <v>0.0</v>
      </c>
    </row>
    <row r="1584" ht="15.75" customHeight="1">
      <c r="A1584" s="35" t="s">
        <v>5899</v>
      </c>
      <c r="B1584" s="35"/>
      <c r="C1584" s="35">
        <v>8.0</v>
      </c>
      <c r="D1584" s="35" t="s">
        <v>4635</v>
      </c>
      <c r="E1584" s="35">
        <v>46027.0</v>
      </c>
      <c r="F1584" s="35">
        <v>0.0</v>
      </c>
      <c r="G1584" s="35">
        <v>1.0</v>
      </c>
      <c r="H1584" s="35">
        <v>0.0</v>
      </c>
      <c r="I1584" s="35">
        <v>0.0</v>
      </c>
      <c r="J1584" s="35"/>
      <c r="K1584" s="35">
        <v>0.0</v>
      </c>
    </row>
    <row r="1585" ht="15.75" customHeight="1">
      <c r="A1585" s="35" t="s">
        <v>5900</v>
      </c>
      <c r="B1585" s="35"/>
      <c r="C1585" s="35">
        <v>8.0</v>
      </c>
      <c r="D1585" s="35">
        <v>416.0</v>
      </c>
      <c r="E1585" s="35">
        <v>46027.0</v>
      </c>
      <c r="F1585" s="35">
        <v>0.0</v>
      </c>
      <c r="G1585" s="35">
        <v>1.0</v>
      </c>
      <c r="H1585" s="35">
        <v>0.0</v>
      </c>
      <c r="I1585" s="35">
        <v>0.0</v>
      </c>
      <c r="J1585" s="35"/>
      <c r="K1585" s="35">
        <v>0.0</v>
      </c>
    </row>
    <row r="1586" ht="15.75" customHeight="1">
      <c r="A1586" s="35" t="s">
        <v>5902</v>
      </c>
      <c r="B1586" s="35"/>
      <c r="C1586" s="35">
        <v>8.0</v>
      </c>
      <c r="D1586" s="35" t="s">
        <v>4635</v>
      </c>
      <c r="E1586" s="35">
        <v>46027.0</v>
      </c>
      <c r="F1586" s="35">
        <v>0.0</v>
      </c>
      <c r="G1586" s="35">
        <v>1.0</v>
      </c>
      <c r="H1586" s="35">
        <v>0.0</v>
      </c>
      <c r="I1586" s="35">
        <v>0.0</v>
      </c>
      <c r="J1586" s="35"/>
      <c r="K1586" s="35">
        <v>0.0</v>
      </c>
    </row>
    <row r="1587" ht="15.75" customHeight="1">
      <c r="A1587" s="35" t="s">
        <v>1727</v>
      </c>
      <c r="B1587" s="35"/>
      <c r="C1587" s="35">
        <v>8.0</v>
      </c>
      <c r="D1587" s="35" t="s">
        <v>4965</v>
      </c>
      <c r="E1587" s="35">
        <v>46027.0</v>
      </c>
      <c r="F1587" s="35">
        <v>0.0</v>
      </c>
      <c r="G1587" s="35">
        <v>1.0</v>
      </c>
      <c r="H1587" s="35">
        <v>0.0</v>
      </c>
      <c r="I1587" s="35">
        <v>0.0</v>
      </c>
      <c r="J1587" s="35"/>
      <c r="K1587" s="35">
        <v>0.0</v>
      </c>
    </row>
    <row r="1588" ht="15.75" customHeight="1">
      <c r="A1588" s="35" t="s">
        <v>5904</v>
      </c>
      <c r="B1588" s="35"/>
      <c r="C1588" s="35">
        <v>8.0</v>
      </c>
      <c r="D1588" s="35">
        <v>60.0</v>
      </c>
      <c r="E1588" s="35">
        <v>46027.0</v>
      </c>
      <c r="F1588" s="35">
        <v>0.0</v>
      </c>
      <c r="G1588" s="35">
        <v>1.0</v>
      </c>
      <c r="H1588" s="35">
        <v>0.0</v>
      </c>
      <c r="I1588" s="35">
        <v>0.0</v>
      </c>
      <c r="J1588" s="35"/>
      <c r="K1588" s="35">
        <v>0.0</v>
      </c>
    </row>
    <row r="1589" ht="15.75" customHeight="1">
      <c r="A1589" s="35" t="s">
        <v>5905</v>
      </c>
      <c r="B1589" s="35"/>
      <c r="C1589" s="35">
        <v>8.0</v>
      </c>
      <c r="D1589" s="35" t="s">
        <v>4635</v>
      </c>
      <c r="E1589" s="35">
        <v>46027.0</v>
      </c>
      <c r="F1589" s="35">
        <v>0.0</v>
      </c>
      <c r="G1589" s="35">
        <v>1.0</v>
      </c>
      <c r="H1589" s="35">
        <v>0.0</v>
      </c>
      <c r="I1589" s="35">
        <v>0.0</v>
      </c>
      <c r="J1589" s="35"/>
      <c r="K1589" s="35">
        <v>0.0</v>
      </c>
    </row>
    <row r="1590" ht="15.75" customHeight="1">
      <c r="A1590" s="35" t="s">
        <v>1736</v>
      </c>
      <c r="B1590" s="35"/>
      <c r="C1590" s="35">
        <v>8.0</v>
      </c>
      <c r="D1590" s="35">
        <v>592.0</v>
      </c>
      <c r="E1590" s="35">
        <v>46027.0</v>
      </c>
      <c r="F1590" s="35">
        <v>0.0</v>
      </c>
      <c r="G1590" s="35">
        <v>50.0</v>
      </c>
      <c r="H1590" s="35">
        <v>0.0</v>
      </c>
      <c r="I1590" s="35">
        <v>0.0</v>
      </c>
      <c r="J1590" s="35"/>
      <c r="K1590" s="35">
        <v>0.0</v>
      </c>
    </row>
    <row r="1591" ht="15.75" customHeight="1">
      <c r="A1591" s="35" t="s">
        <v>1743</v>
      </c>
      <c r="B1591" s="35"/>
      <c r="C1591" s="35">
        <v>8.0</v>
      </c>
      <c r="D1591" s="35" t="s">
        <v>4635</v>
      </c>
      <c r="E1591" s="35">
        <v>46027.0</v>
      </c>
      <c r="F1591" s="35">
        <v>0.0</v>
      </c>
      <c r="G1591" s="35">
        <v>1.0</v>
      </c>
      <c r="H1591" s="35">
        <v>0.0</v>
      </c>
      <c r="I1591" s="35">
        <v>0.0</v>
      </c>
      <c r="J1591" s="35"/>
      <c r="K1591" s="35">
        <v>0.0</v>
      </c>
    </row>
    <row r="1592" ht="15.75" customHeight="1">
      <c r="A1592" s="35" t="s">
        <v>5907</v>
      </c>
      <c r="B1592" s="35"/>
      <c r="C1592" s="35">
        <v>8.0</v>
      </c>
      <c r="D1592" s="35" t="s">
        <v>4722</v>
      </c>
      <c r="E1592" s="35">
        <v>46027.0</v>
      </c>
      <c r="F1592" s="35">
        <v>0.0</v>
      </c>
      <c r="G1592" s="35">
        <v>1.0</v>
      </c>
      <c r="H1592" s="35">
        <v>0.0</v>
      </c>
      <c r="I1592" s="35">
        <v>0.0</v>
      </c>
      <c r="J1592" s="35"/>
      <c r="K1592" s="35">
        <v>0.0</v>
      </c>
    </row>
    <row r="1593" ht="15.75" customHeight="1">
      <c r="A1593" s="35" t="s">
        <v>5909</v>
      </c>
      <c r="B1593" s="35"/>
      <c r="C1593" s="35">
        <v>8.0</v>
      </c>
      <c r="D1593" s="35" t="s">
        <v>4635</v>
      </c>
      <c r="E1593" s="35">
        <v>46027.0</v>
      </c>
      <c r="F1593" s="35">
        <v>0.0</v>
      </c>
      <c r="G1593" s="35">
        <v>0.0</v>
      </c>
      <c r="H1593" s="35">
        <v>1.0</v>
      </c>
      <c r="I1593" s="35">
        <v>0.0</v>
      </c>
      <c r="J1593" s="35"/>
      <c r="K1593" s="35">
        <v>0.0</v>
      </c>
    </row>
    <row r="1594" ht="15.75" customHeight="1">
      <c r="A1594" s="35" t="s">
        <v>1746</v>
      </c>
      <c r="B1594" s="35"/>
      <c r="C1594" s="35">
        <v>8.0</v>
      </c>
      <c r="D1594" s="35">
        <v>178.0</v>
      </c>
      <c r="E1594" s="35">
        <v>46027.0</v>
      </c>
      <c r="F1594" s="35">
        <v>0.0</v>
      </c>
      <c r="G1594" s="35">
        <v>0.0</v>
      </c>
      <c r="H1594" s="35">
        <v>1.0</v>
      </c>
      <c r="I1594" s="35">
        <v>0.0</v>
      </c>
      <c r="J1594" s="35"/>
      <c r="K1594" s="35">
        <v>0.0</v>
      </c>
    </row>
    <row r="1595" ht="15.75" customHeight="1">
      <c r="A1595" s="35" t="s">
        <v>1756</v>
      </c>
      <c r="B1595" s="35"/>
      <c r="C1595" s="35">
        <v>8.0</v>
      </c>
      <c r="D1595" s="35">
        <v>676.0</v>
      </c>
      <c r="E1595" s="35">
        <v>46027.0</v>
      </c>
      <c r="F1595" s="35">
        <v>0.0</v>
      </c>
      <c r="G1595" s="35">
        <v>13.0</v>
      </c>
      <c r="H1595" s="35">
        <v>0.0</v>
      </c>
      <c r="I1595" s="35">
        <v>0.0</v>
      </c>
      <c r="J1595" s="35"/>
      <c r="K1595" s="35">
        <v>0.0</v>
      </c>
    </row>
    <row r="1596" ht="15.75" customHeight="1">
      <c r="A1596" s="35" t="s">
        <v>1759</v>
      </c>
      <c r="B1596" s="35"/>
      <c r="C1596" s="35">
        <v>8.0</v>
      </c>
      <c r="D1596" s="35" t="s">
        <v>2065</v>
      </c>
      <c r="E1596" s="35">
        <v>46027.0</v>
      </c>
      <c r="F1596" s="35">
        <v>0.0</v>
      </c>
      <c r="G1596" s="35">
        <v>2.0</v>
      </c>
      <c r="H1596" s="35">
        <v>0.0</v>
      </c>
      <c r="I1596" s="35">
        <v>0.0</v>
      </c>
      <c r="J1596" s="35"/>
      <c r="K1596" s="35">
        <v>0.0</v>
      </c>
    </row>
    <row r="1597" ht="15.75" customHeight="1">
      <c r="A1597" s="35" t="s">
        <v>5912</v>
      </c>
      <c r="B1597" s="35"/>
      <c r="C1597" s="35">
        <v>8.0</v>
      </c>
      <c r="D1597" s="35">
        <v>199.0</v>
      </c>
      <c r="E1597" s="35">
        <v>46027.0</v>
      </c>
      <c r="F1597" s="35">
        <v>0.0</v>
      </c>
      <c r="G1597" s="35">
        <v>0.0</v>
      </c>
      <c r="H1597" s="35">
        <v>12.0</v>
      </c>
      <c r="I1597" s="35">
        <v>0.0</v>
      </c>
      <c r="J1597" s="35"/>
      <c r="K1597" s="35">
        <v>0.0</v>
      </c>
    </row>
    <row r="1598" ht="15.75" customHeight="1">
      <c r="A1598" s="35" t="s">
        <v>5913</v>
      </c>
      <c r="B1598" s="35"/>
      <c r="C1598" s="35">
        <v>8.0</v>
      </c>
      <c r="D1598" s="35" t="s">
        <v>4635</v>
      </c>
      <c r="E1598" s="35">
        <v>46027.0</v>
      </c>
      <c r="F1598" s="35">
        <v>0.0</v>
      </c>
      <c r="G1598" s="35">
        <v>1.0</v>
      </c>
      <c r="H1598" s="35">
        <v>0.0</v>
      </c>
      <c r="I1598" s="35">
        <v>0.0</v>
      </c>
      <c r="J1598" s="35"/>
      <c r="K1598" s="35">
        <v>0.0</v>
      </c>
    </row>
    <row r="1599" ht="15.75" customHeight="1">
      <c r="A1599" s="35" t="s">
        <v>5915</v>
      </c>
      <c r="B1599" s="35"/>
      <c r="C1599" s="35">
        <v>8.0</v>
      </c>
      <c r="D1599" s="35">
        <v>338.0</v>
      </c>
      <c r="E1599" s="35">
        <v>46027.0</v>
      </c>
      <c r="F1599" s="35">
        <v>0.0</v>
      </c>
      <c r="G1599" s="35">
        <v>1.0</v>
      </c>
      <c r="H1599" s="35">
        <v>0.0</v>
      </c>
      <c r="I1599" s="35">
        <v>0.0</v>
      </c>
      <c r="J1599" s="35"/>
      <c r="K1599" s="35">
        <v>0.0</v>
      </c>
    </row>
    <row r="1600" ht="15.75" customHeight="1">
      <c r="A1600" s="35" t="s">
        <v>1767</v>
      </c>
      <c r="B1600" s="35"/>
      <c r="C1600" s="35">
        <v>8.0</v>
      </c>
      <c r="D1600" s="35" t="s">
        <v>2038</v>
      </c>
      <c r="E1600" s="35">
        <v>46027.0</v>
      </c>
      <c r="F1600" s="35">
        <v>0.0</v>
      </c>
      <c r="G1600" s="35">
        <v>1.0</v>
      </c>
      <c r="H1600" s="35">
        <v>0.0</v>
      </c>
      <c r="I1600" s="35">
        <v>0.0</v>
      </c>
      <c r="J1600" s="35"/>
      <c r="K1600" s="35">
        <v>0.0</v>
      </c>
    </row>
    <row r="1601" ht="15.75" customHeight="1">
      <c r="A1601" s="35" t="s">
        <v>5917</v>
      </c>
      <c r="B1601" s="35"/>
      <c r="C1601" s="35">
        <v>8.0</v>
      </c>
      <c r="D1601" s="35">
        <v>221.0</v>
      </c>
      <c r="E1601" s="35">
        <v>46027.0</v>
      </c>
      <c r="F1601" s="35">
        <v>0.0</v>
      </c>
      <c r="G1601" s="35">
        <v>1.0</v>
      </c>
      <c r="H1601" s="35">
        <v>0.0</v>
      </c>
      <c r="I1601" s="35">
        <v>0.0</v>
      </c>
      <c r="J1601" s="35"/>
      <c r="K1601" s="35">
        <v>0.0</v>
      </c>
    </row>
    <row r="1602" ht="15.75" customHeight="1">
      <c r="A1602" s="35" t="s">
        <v>5918</v>
      </c>
      <c r="B1602" s="35"/>
      <c r="C1602" s="35">
        <v>8.0</v>
      </c>
      <c r="D1602" s="35" t="s">
        <v>4635</v>
      </c>
      <c r="E1602" s="35">
        <v>46027.0</v>
      </c>
      <c r="F1602" s="35">
        <v>0.0</v>
      </c>
      <c r="G1602" s="35">
        <v>0.0</v>
      </c>
      <c r="H1602" s="35">
        <v>0.0</v>
      </c>
      <c r="I1602" s="35">
        <v>2.0</v>
      </c>
      <c r="J1602" s="35"/>
      <c r="K1602" s="35">
        <v>0.0</v>
      </c>
    </row>
    <row r="1603" ht="15.75" customHeight="1">
      <c r="A1603" s="35" t="s">
        <v>5919</v>
      </c>
      <c r="B1603" s="35"/>
      <c r="C1603" s="35">
        <v>8.0</v>
      </c>
      <c r="D1603" s="35">
        <v>144.0</v>
      </c>
      <c r="E1603" s="35">
        <v>46027.0</v>
      </c>
      <c r="F1603" s="35">
        <v>0.0</v>
      </c>
      <c r="G1603" s="35">
        <v>3.0</v>
      </c>
      <c r="H1603" s="35">
        <v>0.0</v>
      </c>
      <c r="I1603" s="35">
        <v>0.0</v>
      </c>
      <c r="J1603" s="35"/>
      <c r="K1603" s="35">
        <v>0.0</v>
      </c>
    </row>
    <row r="1604" ht="15.75" customHeight="1">
      <c r="A1604" s="35" t="s">
        <v>5921</v>
      </c>
      <c r="B1604" s="35"/>
      <c r="C1604" s="35">
        <v>8.0</v>
      </c>
      <c r="D1604" s="35">
        <v>135.0</v>
      </c>
      <c r="E1604" s="35">
        <v>46027.0</v>
      </c>
      <c r="F1604" s="35">
        <v>0.0</v>
      </c>
      <c r="G1604" s="35">
        <v>0.0</v>
      </c>
      <c r="H1604" s="35">
        <v>1.0</v>
      </c>
      <c r="I1604" s="35">
        <v>0.0</v>
      </c>
      <c r="J1604" s="35"/>
      <c r="K1604" s="35">
        <v>0.0</v>
      </c>
    </row>
    <row r="1605" ht="15.75" customHeight="1">
      <c r="A1605" s="35" t="s">
        <v>5922</v>
      </c>
      <c r="B1605" s="35"/>
      <c r="C1605" s="35">
        <v>8.0</v>
      </c>
      <c r="D1605" s="35">
        <v>412.0</v>
      </c>
      <c r="E1605" s="35">
        <v>46027.0</v>
      </c>
      <c r="F1605" s="35">
        <v>0.0</v>
      </c>
      <c r="G1605" s="35">
        <v>1.0</v>
      </c>
      <c r="H1605" s="35">
        <v>0.0</v>
      </c>
      <c r="I1605" s="35">
        <v>0.0</v>
      </c>
      <c r="J1605" s="35"/>
      <c r="K1605" s="35">
        <v>0.0</v>
      </c>
    </row>
    <row r="1606" ht="15.75" customHeight="1">
      <c r="A1606" s="35" t="s">
        <v>5923</v>
      </c>
      <c r="B1606" s="35"/>
      <c r="C1606" s="35">
        <v>8.0</v>
      </c>
      <c r="D1606" s="35" t="s">
        <v>4635</v>
      </c>
      <c r="E1606" s="35">
        <v>46027.0</v>
      </c>
      <c r="F1606" s="35">
        <v>0.0</v>
      </c>
      <c r="G1606" s="35">
        <v>2.0</v>
      </c>
      <c r="H1606" s="35">
        <v>0.0</v>
      </c>
      <c r="I1606" s="35">
        <v>0.0</v>
      </c>
      <c r="J1606" s="35"/>
      <c r="K1606" s="35">
        <v>0.0</v>
      </c>
    </row>
    <row r="1607" ht="15.75" customHeight="1">
      <c r="A1607" s="35" t="s">
        <v>5925</v>
      </c>
      <c r="B1607" s="35"/>
      <c r="C1607" s="35">
        <v>8.0</v>
      </c>
      <c r="D1607" s="35">
        <v>204.0</v>
      </c>
      <c r="E1607" s="35">
        <v>46027.0</v>
      </c>
      <c r="F1607" s="35">
        <v>0.0</v>
      </c>
      <c r="G1607" s="35">
        <v>1.0</v>
      </c>
      <c r="H1607" s="35">
        <v>0.0</v>
      </c>
      <c r="I1607" s="35">
        <v>0.0</v>
      </c>
      <c r="J1607" s="35"/>
      <c r="K1607" s="35">
        <v>0.0</v>
      </c>
    </row>
    <row r="1608" ht="15.75" customHeight="1">
      <c r="A1608" s="35" t="s">
        <v>5926</v>
      </c>
      <c r="B1608" s="35"/>
      <c r="C1608" s="35">
        <v>8.0</v>
      </c>
      <c r="D1608" s="35" t="s">
        <v>2010</v>
      </c>
      <c r="E1608" s="35">
        <v>46027.0</v>
      </c>
      <c r="F1608" s="35">
        <v>0.0</v>
      </c>
      <c r="G1608" s="35">
        <v>1.0</v>
      </c>
      <c r="H1608" s="35">
        <v>0.0</v>
      </c>
      <c r="I1608" s="35">
        <v>0.0</v>
      </c>
      <c r="J1608" s="35"/>
      <c r="K1608" s="35">
        <v>0.0</v>
      </c>
    </row>
    <row r="1609" ht="15.75" customHeight="1">
      <c r="A1609" s="35" t="s">
        <v>5927</v>
      </c>
      <c r="B1609" s="35"/>
      <c r="C1609" s="35">
        <v>8.0</v>
      </c>
      <c r="D1609" s="35">
        <v>242.0</v>
      </c>
      <c r="E1609" s="35">
        <v>46027.0</v>
      </c>
      <c r="F1609" s="35">
        <v>0.0</v>
      </c>
      <c r="G1609" s="35">
        <v>1.0</v>
      </c>
      <c r="H1609" s="35">
        <v>0.0</v>
      </c>
      <c r="I1609" s="35">
        <v>0.0</v>
      </c>
      <c r="J1609" s="35"/>
      <c r="K1609" s="35">
        <v>0.0</v>
      </c>
    </row>
    <row r="1610" ht="15.75" customHeight="1">
      <c r="A1610" s="35" t="s">
        <v>5928</v>
      </c>
      <c r="B1610" s="35"/>
      <c r="C1610" s="35">
        <v>8.0</v>
      </c>
      <c r="D1610" s="35">
        <v>134.0</v>
      </c>
      <c r="E1610" s="35">
        <v>46027.0</v>
      </c>
      <c r="F1610" s="35">
        <v>0.0</v>
      </c>
      <c r="G1610" s="35">
        <v>6.0</v>
      </c>
      <c r="H1610" s="35">
        <v>0.0</v>
      </c>
      <c r="I1610" s="35">
        <v>0.0</v>
      </c>
      <c r="J1610" s="35"/>
      <c r="K1610" s="35">
        <v>0.0</v>
      </c>
    </row>
    <row r="1611" ht="15.75" customHeight="1">
      <c r="A1611" s="35" t="s">
        <v>5930</v>
      </c>
      <c r="B1611" s="35"/>
      <c r="C1611" s="35">
        <v>8.0</v>
      </c>
      <c r="D1611" s="35">
        <v>168.0</v>
      </c>
      <c r="E1611" s="35">
        <v>46027.0</v>
      </c>
      <c r="F1611" s="35">
        <v>0.0</v>
      </c>
      <c r="G1611" s="35">
        <v>1.0</v>
      </c>
      <c r="H1611" s="35">
        <v>0.0</v>
      </c>
      <c r="I1611" s="35">
        <v>0.0</v>
      </c>
      <c r="J1611" s="35"/>
      <c r="K1611" s="35">
        <v>0.0</v>
      </c>
    </row>
    <row r="1612" ht="15.75" customHeight="1">
      <c r="A1612" s="35" t="s">
        <v>5931</v>
      </c>
      <c r="B1612" s="35"/>
      <c r="C1612" s="35">
        <v>8.0</v>
      </c>
      <c r="D1612" s="35">
        <v>44.0</v>
      </c>
      <c r="E1612" s="35">
        <v>46027.0</v>
      </c>
      <c r="F1612" s="35">
        <v>0.0</v>
      </c>
      <c r="G1612" s="35">
        <v>2.0</v>
      </c>
      <c r="H1612" s="35">
        <v>0.0</v>
      </c>
      <c r="I1612" s="35">
        <v>0.0</v>
      </c>
      <c r="J1612" s="35"/>
      <c r="K1612" s="35">
        <v>0.0</v>
      </c>
    </row>
    <row r="1613" ht="15.75" customHeight="1">
      <c r="A1613" s="35" t="s">
        <v>5932</v>
      </c>
      <c r="B1613" s="35"/>
      <c r="C1613" s="35">
        <v>8.0</v>
      </c>
      <c r="D1613" s="35" t="s">
        <v>2040</v>
      </c>
      <c r="E1613" s="35">
        <v>46027.0</v>
      </c>
      <c r="F1613" s="35">
        <v>0.0</v>
      </c>
      <c r="G1613" s="35">
        <v>1.0</v>
      </c>
      <c r="H1613" s="35">
        <v>0.0</v>
      </c>
      <c r="I1613" s="35">
        <v>0.0</v>
      </c>
      <c r="J1613" s="35"/>
      <c r="K1613" s="35">
        <v>0.0</v>
      </c>
    </row>
    <row r="1614" ht="15.75" customHeight="1">
      <c r="A1614" s="35" t="s">
        <v>5934</v>
      </c>
      <c r="B1614" s="35"/>
      <c r="C1614" s="35">
        <v>8.0</v>
      </c>
      <c r="D1614" s="35" t="s">
        <v>2004</v>
      </c>
      <c r="E1614" s="35">
        <v>46027.0</v>
      </c>
      <c r="F1614" s="35">
        <v>0.0</v>
      </c>
      <c r="G1614" s="35">
        <v>1.0</v>
      </c>
      <c r="H1614" s="35">
        <v>0.0</v>
      </c>
      <c r="I1614" s="35">
        <v>0.0</v>
      </c>
      <c r="J1614" s="35"/>
      <c r="K1614" s="35">
        <v>0.0</v>
      </c>
    </row>
    <row r="1615" ht="15.75" customHeight="1">
      <c r="A1615" s="35" t="s">
        <v>5935</v>
      </c>
      <c r="B1615" s="35"/>
      <c r="C1615" s="35">
        <v>8.0</v>
      </c>
      <c r="D1615" s="35">
        <v>524.0</v>
      </c>
      <c r="E1615" s="35">
        <v>46027.0</v>
      </c>
      <c r="F1615" s="35">
        <v>0.0</v>
      </c>
      <c r="G1615" s="35">
        <v>4.0</v>
      </c>
      <c r="H1615" s="35">
        <v>0.0</v>
      </c>
      <c r="I1615" s="35">
        <v>0.0</v>
      </c>
      <c r="J1615" s="35"/>
      <c r="K1615" s="35">
        <v>0.0</v>
      </c>
    </row>
    <row r="1616" ht="15.75" customHeight="1">
      <c r="A1616" s="35" t="s">
        <v>5936</v>
      </c>
      <c r="B1616" s="35"/>
      <c r="C1616" s="35">
        <v>8.0</v>
      </c>
      <c r="D1616" s="35" t="s">
        <v>2039</v>
      </c>
      <c r="E1616" s="35">
        <v>46027.0</v>
      </c>
      <c r="F1616" s="35">
        <v>0.0</v>
      </c>
      <c r="G1616" s="35">
        <v>4.0</v>
      </c>
      <c r="H1616" s="35">
        <v>0.0</v>
      </c>
      <c r="I1616" s="35">
        <v>0.0</v>
      </c>
      <c r="J1616" s="35"/>
      <c r="K1616" s="35">
        <v>0.0</v>
      </c>
    </row>
    <row r="1617" ht="15.75" customHeight="1">
      <c r="A1617" s="35" t="s">
        <v>5938</v>
      </c>
      <c r="B1617" s="35"/>
      <c r="C1617" s="35">
        <v>8.0</v>
      </c>
      <c r="D1617" s="35">
        <v>426.0</v>
      </c>
      <c r="E1617" s="35">
        <v>46027.0</v>
      </c>
      <c r="F1617" s="35">
        <v>0.0</v>
      </c>
      <c r="G1617" s="35">
        <v>0.0</v>
      </c>
      <c r="H1617" s="35">
        <v>1.0</v>
      </c>
      <c r="I1617" s="35">
        <v>0.0</v>
      </c>
      <c r="J1617" s="35"/>
      <c r="K1617" s="35">
        <v>0.0</v>
      </c>
    </row>
    <row r="1618" ht="15.75" customHeight="1">
      <c r="A1618" s="35" t="s">
        <v>5939</v>
      </c>
      <c r="B1618" s="35"/>
      <c r="C1618" s="35">
        <v>8.0</v>
      </c>
      <c r="D1618" s="35">
        <v>928.0</v>
      </c>
      <c r="E1618" s="35">
        <v>46027.0</v>
      </c>
      <c r="F1618" s="35">
        <v>0.0</v>
      </c>
      <c r="G1618" s="35">
        <v>9.0</v>
      </c>
      <c r="H1618" s="35">
        <v>0.0</v>
      </c>
      <c r="I1618" s="35">
        <v>0.0</v>
      </c>
      <c r="J1618" s="35"/>
      <c r="K1618" s="35">
        <v>0.0</v>
      </c>
    </row>
    <row r="1619" ht="15.75" customHeight="1">
      <c r="A1619" s="35" t="s">
        <v>5940</v>
      </c>
      <c r="B1619" s="35"/>
      <c r="C1619" s="35">
        <v>8.0</v>
      </c>
      <c r="D1619" s="35">
        <v>195.0</v>
      </c>
      <c r="E1619" s="35">
        <v>46027.0</v>
      </c>
      <c r="F1619" s="35">
        <v>0.0</v>
      </c>
      <c r="G1619" s="35">
        <v>0.0</v>
      </c>
      <c r="H1619" s="35">
        <v>2.0</v>
      </c>
      <c r="I1619" s="35">
        <v>0.0</v>
      </c>
      <c r="J1619" s="35"/>
      <c r="K1619" s="35">
        <v>0.0</v>
      </c>
    </row>
    <row r="1620" ht="15.75" customHeight="1">
      <c r="A1620" s="35" t="s">
        <v>5942</v>
      </c>
      <c r="B1620" s="35"/>
      <c r="C1620" s="35">
        <v>8.0</v>
      </c>
      <c r="D1620" s="35" t="s">
        <v>4635</v>
      </c>
      <c r="E1620" s="35">
        <v>46027.0</v>
      </c>
      <c r="F1620" s="35">
        <v>0.0</v>
      </c>
      <c r="G1620" s="35">
        <v>1.0</v>
      </c>
      <c r="H1620" s="35">
        <v>0.0</v>
      </c>
      <c r="I1620" s="35">
        <v>0.0</v>
      </c>
      <c r="J1620" s="35"/>
      <c r="K1620" s="35">
        <v>0.0</v>
      </c>
    </row>
    <row r="1621" ht="15.75" customHeight="1">
      <c r="A1621" s="35" t="s">
        <v>5943</v>
      </c>
      <c r="B1621" s="35"/>
      <c r="C1621" s="35">
        <v>8.0</v>
      </c>
      <c r="D1621" s="35" t="s">
        <v>2055</v>
      </c>
      <c r="E1621" s="35">
        <v>46027.0</v>
      </c>
      <c r="F1621" s="35">
        <v>0.0</v>
      </c>
      <c r="G1621" s="35">
        <v>1.0</v>
      </c>
      <c r="H1621" s="35">
        <v>0.0</v>
      </c>
      <c r="I1621" s="35">
        <v>0.0</v>
      </c>
      <c r="J1621" s="35"/>
      <c r="K1621" s="35">
        <v>0.0</v>
      </c>
    </row>
    <row r="1622" ht="15.75" customHeight="1">
      <c r="A1622" s="35" t="s">
        <v>5944</v>
      </c>
      <c r="B1622" s="35"/>
      <c r="C1622" s="35">
        <v>8.0</v>
      </c>
      <c r="D1622" s="35" t="s">
        <v>4635</v>
      </c>
      <c r="E1622" s="35">
        <v>46027.0</v>
      </c>
      <c r="F1622" s="35">
        <v>0.0</v>
      </c>
      <c r="G1622" s="35">
        <v>2.0</v>
      </c>
      <c r="H1622" s="35">
        <v>0.0</v>
      </c>
      <c r="I1622" s="35">
        <v>0.0</v>
      </c>
      <c r="J1622" s="35"/>
      <c r="K1622" s="35">
        <v>0.0</v>
      </c>
    </row>
    <row r="1623" ht="15.75" customHeight="1">
      <c r="A1623" s="35" t="s">
        <v>5945</v>
      </c>
      <c r="B1623" s="35"/>
      <c r="C1623" s="35">
        <v>7.0</v>
      </c>
      <c r="D1623" s="35">
        <v>59.0</v>
      </c>
      <c r="E1623" s="35">
        <v>46086.0</v>
      </c>
      <c r="F1623" s="35">
        <v>0.0</v>
      </c>
      <c r="G1623" s="35">
        <v>3.0</v>
      </c>
      <c r="H1623" s="35">
        <v>3.0</v>
      </c>
      <c r="I1623" s="35">
        <v>1.0</v>
      </c>
      <c r="J1623" s="35"/>
      <c r="K1623" s="35">
        <v>0.0</v>
      </c>
    </row>
    <row r="1624" ht="15.75" customHeight="1">
      <c r="A1624" s="35" t="s">
        <v>5947</v>
      </c>
      <c r="B1624" s="35"/>
      <c r="C1624" s="35">
        <v>7.0</v>
      </c>
      <c r="D1624" s="35" t="s">
        <v>4231</v>
      </c>
      <c r="E1624" s="35">
        <v>46058.0</v>
      </c>
      <c r="F1624" s="35">
        <v>0.0</v>
      </c>
      <c r="G1624" s="35">
        <v>4.0</v>
      </c>
      <c r="H1624" s="35">
        <v>15.0</v>
      </c>
      <c r="I1624" s="35">
        <v>0.0</v>
      </c>
      <c r="J1624" s="35"/>
      <c r="K1624" s="35">
        <v>0.0</v>
      </c>
    </row>
    <row r="1625" ht="15.75" customHeight="1">
      <c r="A1625" s="35" t="s">
        <v>5948</v>
      </c>
      <c r="B1625" s="35"/>
      <c r="C1625" s="35">
        <v>7.0</v>
      </c>
      <c r="D1625" s="35" t="s">
        <v>4284</v>
      </c>
      <c r="E1625" s="35">
        <v>46058.0</v>
      </c>
      <c r="F1625" s="35">
        <v>0.0</v>
      </c>
      <c r="G1625" s="35">
        <v>10.0</v>
      </c>
      <c r="H1625" s="35">
        <v>4.0</v>
      </c>
      <c r="I1625" s="35">
        <v>0.0</v>
      </c>
      <c r="J1625" s="35"/>
      <c r="K1625" s="35">
        <v>0.0</v>
      </c>
    </row>
    <row r="1626" ht="15.75" customHeight="1">
      <c r="A1626" s="35" t="s">
        <v>1775</v>
      </c>
      <c r="B1626" s="35"/>
      <c r="C1626" s="35">
        <v>7.0</v>
      </c>
      <c r="D1626" s="35" t="s">
        <v>4635</v>
      </c>
      <c r="E1626" s="35">
        <v>46058.0</v>
      </c>
      <c r="F1626" s="35">
        <v>0.0</v>
      </c>
      <c r="G1626" s="35">
        <v>2.0</v>
      </c>
      <c r="H1626" s="35">
        <v>1.0</v>
      </c>
      <c r="I1626" s="35">
        <v>0.0</v>
      </c>
      <c r="J1626" s="35"/>
      <c r="K1626" s="35">
        <v>0.0</v>
      </c>
    </row>
    <row r="1627" ht="15.75" customHeight="1">
      <c r="A1627" s="35" t="s">
        <v>5950</v>
      </c>
      <c r="B1627" s="35"/>
      <c r="C1627" s="35">
        <v>7.0</v>
      </c>
      <c r="D1627" s="35" t="s">
        <v>2033</v>
      </c>
      <c r="E1627" s="35">
        <v>46027.0</v>
      </c>
      <c r="F1627" s="35">
        <v>0.0</v>
      </c>
      <c r="G1627" s="35">
        <v>15.0</v>
      </c>
      <c r="H1627" s="35">
        <v>0.0</v>
      </c>
      <c r="I1627" s="35">
        <v>0.0</v>
      </c>
      <c r="J1627" s="35"/>
      <c r="K1627" s="35">
        <v>0.0</v>
      </c>
    </row>
    <row r="1628" ht="15.75" customHeight="1">
      <c r="A1628" s="35" t="s">
        <v>5951</v>
      </c>
      <c r="B1628" s="35"/>
      <c r="C1628" s="35">
        <v>7.0</v>
      </c>
      <c r="D1628" s="35" t="s">
        <v>2032</v>
      </c>
      <c r="E1628" s="35">
        <v>46027.0</v>
      </c>
      <c r="F1628" s="35">
        <v>0.0</v>
      </c>
      <c r="G1628" s="35">
        <v>2.0</v>
      </c>
      <c r="H1628" s="35">
        <v>0.0</v>
      </c>
      <c r="I1628" s="35">
        <v>0.0</v>
      </c>
      <c r="J1628" s="35"/>
      <c r="K1628" s="35">
        <v>0.0</v>
      </c>
    </row>
    <row r="1629" ht="15.75" customHeight="1">
      <c r="A1629" s="35" t="s">
        <v>5952</v>
      </c>
      <c r="B1629" s="35"/>
      <c r="C1629" s="35">
        <v>7.0</v>
      </c>
      <c r="D1629" s="35" t="s">
        <v>4635</v>
      </c>
      <c r="E1629" s="35">
        <v>46027.0</v>
      </c>
      <c r="F1629" s="35">
        <v>0.0</v>
      </c>
      <c r="G1629" s="35">
        <v>2.0</v>
      </c>
      <c r="H1629" s="35">
        <v>0.0</v>
      </c>
      <c r="I1629" s="35">
        <v>0.0</v>
      </c>
      <c r="J1629" s="35"/>
      <c r="K1629" s="35">
        <v>0.0</v>
      </c>
    </row>
    <row r="1630" ht="15.75" customHeight="1">
      <c r="A1630" s="35" t="s">
        <v>5954</v>
      </c>
      <c r="B1630" s="35"/>
      <c r="C1630" s="35">
        <v>7.0</v>
      </c>
      <c r="D1630" s="35" t="s">
        <v>2055</v>
      </c>
      <c r="E1630" s="35">
        <v>46027.0</v>
      </c>
      <c r="F1630" s="35">
        <v>0.0</v>
      </c>
      <c r="G1630" s="35">
        <v>2.0</v>
      </c>
      <c r="H1630" s="35">
        <v>0.0</v>
      </c>
      <c r="I1630" s="35">
        <v>0.0</v>
      </c>
      <c r="J1630" s="35"/>
      <c r="K1630" s="35">
        <v>0.0</v>
      </c>
    </row>
    <row r="1631" ht="15.75" customHeight="1">
      <c r="A1631" s="35" t="s">
        <v>5955</v>
      </c>
      <c r="B1631" s="35"/>
      <c r="C1631" s="35">
        <v>7.0</v>
      </c>
      <c r="D1631" s="35">
        <v>262.0</v>
      </c>
      <c r="E1631" s="35">
        <v>46027.0</v>
      </c>
      <c r="F1631" s="35">
        <v>0.0</v>
      </c>
      <c r="G1631" s="35">
        <v>6.0</v>
      </c>
      <c r="H1631" s="35">
        <v>0.0</v>
      </c>
      <c r="I1631" s="35">
        <v>0.0</v>
      </c>
      <c r="J1631" s="35"/>
      <c r="K1631" s="35">
        <v>0.0</v>
      </c>
    </row>
    <row r="1632" ht="15.75" customHeight="1">
      <c r="A1632" s="35" t="s">
        <v>5956</v>
      </c>
      <c r="B1632" s="35"/>
      <c r="C1632" s="35">
        <v>7.0</v>
      </c>
      <c r="D1632" s="35" t="s">
        <v>5522</v>
      </c>
      <c r="E1632" s="35">
        <v>46027.0</v>
      </c>
      <c r="F1632" s="35">
        <v>0.0</v>
      </c>
      <c r="G1632" s="35">
        <v>9.0</v>
      </c>
      <c r="H1632" s="35">
        <v>0.0</v>
      </c>
      <c r="I1632" s="35">
        <v>0.0</v>
      </c>
      <c r="J1632" s="35"/>
      <c r="K1632" s="35">
        <v>0.0</v>
      </c>
    </row>
    <row r="1633" ht="15.75" customHeight="1">
      <c r="A1633" s="35" t="s">
        <v>5957</v>
      </c>
      <c r="B1633" s="35"/>
      <c r="C1633" s="35">
        <v>7.0</v>
      </c>
      <c r="D1633" s="35" t="s">
        <v>4635</v>
      </c>
      <c r="E1633" s="35">
        <v>46027.0</v>
      </c>
      <c r="F1633" s="35">
        <v>0.0</v>
      </c>
      <c r="G1633" s="35">
        <v>1.0</v>
      </c>
      <c r="H1633" s="35">
        <v>0.0</v>
      </c>
      <c r="I1633" s="35">
        <v>0.0</v>
      </c>
      <c r="J1633" s="35"/>
      <c r="K1633" s="35">
        <v>0.0</v>
      </c>
    </row>
    <row r="1634" ht="15.75" customHeight="1">
      <c r="A1634" s="35" t="s">
        <v>5959</v>
      </c>
      <c r="B1634" s="35"/>
      <c r="C1634" s="35">
        <v>7.0</v>
      </c>
      <c r="D1634" s="35" t="s">
        <v>3637</v>
      </c>
      <c r="E1634" s="35">
        <v>46027.0</v>
      </c>
      <c r="F1634" s="35">
        <v>0.0</v>
      </c>
      <c r="G1634" s="35">
        <v>0.0</v>
      </c>
      <c r="H1634" s="35">
        <v>599.0</v>
      </c>
      <c r="I1634" s="35">
        <v>0.0</v>
      </c>
      <c r="J1634" s="35"/>
      <c r="K1634" s="35">
        <v>0.0</v>
      </c>
    </row>
    <row r="1635" ht="15.75" customHeight="1">
      <c r="A1635" s="35" t="s">
        <v>5960</v>
      </c>
      <c r="B1635" s="35"/>
      <c r="C1635" s="35">
        <v>7.0</v>
      </c>
      <c r="D1635" s="35" t="s">
        <v>4635</v>
      </c>
      <c r="E1635" s="35">
        <v>46027.0</v>
      </c>
      <c r="F1635" s="35">
        <v>0.0</v>
      </c>
      <c r="G1635" s="35">
        <v>124.0</v>
      </c>
      <c r="H1635" s="35">
        <v>0.0</v>
      </c>
      <c r="I1635" s="35">
        <v>0.0</v>
      </c>
      <c r="J1635" s="35"/>
      <c r="K1635" s="35">
        <v>0.0</v>
      </c>
    </row>
    <row r="1636" ht="15.75" customHeight="1">
      <c r="A1636" s="35" t="s">
        <v>5961</v>
      </c>
      <c r="B1636" s="35"/>
      <c r="C1636" s="35">
        <v>7.0</v>
      </c>
      <c r="D1636" s="35" t="s">
        <v>5963</v>
      </c>
      <c r="E1636" s="35">
        <v>46027.0</v>
      </c>
      <c r="F1636" s="35">
        <v>0.0</v>
      </c>
      <c r="G1636" s="35">
        <v>0.0</v>
      </c>
      <c r="H1636" s="35">
        <v>688.0</v>
      </c>
      <c r="I1636" s="35">
        <v>0.0</v>
      </c>
      <c r="J1636" s="35"/>
      <c r="K1636" s="35">
        <v>0.0</v>
      </c>
    </row>
    <row r="1637" ht="15.75" customHeight="1">
      <c r="A1637" s="35" t="s">
        <v>5964</v>
      </c>
      <c r="B1637" s="35"/>
      <c r="C1637" s="35">
        <v>7.0</v>
      </c>
      <c r="D1637" s="35" t="s">
        <v>4635</v>
      </c>
      <c r="E1637" s="35">
        <v>46027.0</v>
      </c>
      <c r="F1637" s="35">
        <v>0.0</v>
      </c>
      <c r="G1637" s="35">
        <v>46.0</v>
      </c>
      <c r="H1637" s="35">
        <v>0.0</v>
      </c>
      <c r="I1637" s="35">
        <v>0.0</v>
      </c>
      <c r="J1637" s="35"/>
      <c r="K1637" s="35">
        <v>0.0</v>
      </c>
    </row>
    <row r="1638" ht="15.75" customHeight="1">
      <c r="A1638" s="35" t="s">
        <v>5965</v>
      </c>
      <c r="B1638" s="35"/>
      <c r="C1638" s="35">
        <v>7.0</v>
      </c>
      <c r="D1638" s="35" t="s">
        <v>4722</v>
      </c>
      <c r="E1638" s="35">
        <v>46027.0</v>
      </c>
      <c r="F1638" s="35">
        <v>0.0</v>
      </c>
      <c r="G1638" s="35">
        <v>0.0</v>
      </c>
      <c r="H1638" s="35">
        <v>1.0</v>
      </c>
      <c r="I1638" s="35">
        <v>0.0</v>
      </c>
      <c r="J1638" s="35"/>
      <c r="K1638" s="35">
        <v>0.0</v>
      </c>
    </row>
    <row r="1639" ht="15.75" customHeight="1">
      <c r="A1639" s="35" t="s">
        <v>5966</v>
      </c>
      <c r="B1639" s="35"/>
      <c r="C1639" s="35">
        <v>7.0</v>
      </c>
      <c r="D1639" s="35" t="s">
        <v>4635</v>
      </c>
      <c r="E1639" s="35">
        <v>46027.0</v>
      </c>
      <c r="F1639" s="35">
        <v>0.0</v>
      </c>
      <c r="G1639" s="35">
        <v>4.0</v>
      </c>
      <c r="H1639" s="35">
        <v>0.0</v>
      </c>
      <c r="I1639" s="35">
        <v>0.0</v>
      </c>
      <c r="J1639" s="35"/>
      <c r="K1639" s="35">
        <v>0.0</v>
      </c>
    </row>
    <row r="1640" ht="15.75" customHeight="1">
      <c r="A1640" s="35" t="s">
        <v>5968</v>
      </c>
      <c r="B1640" s="35"/>
      <c r="C1640" s="35">
        <v>7.0</v>
      </c>
      <c r="D1640" s="35">
        <v>190.0</v>
      </c>
      <c r="E1640" s="35">
        <v>46027.0</v>
      </c>
      <c r="F1640" s="35">
        <v>0.0</v>
      </c>
      <c r="G1640" s="35">
        <v>5.0</v>
      </c>
      <c r="H1640" s="35">
        <v>0.0</v>
      </c>
      <c r="I1640" s="35">
        <v>0.0</v>
      </c>
      <c r="J1640" s="35"/>
      <c r="K1640" s="35">
        <v>0.0</v>
      </c>
    </row>
    <row r="1641" ht="15.75" customHeight="1">
      <c r="A1641" s="35" t="s">
        <v>1777</v>
      </c>
      <c r="B1641" s="35"/>
      <c r="C1641" s="35">
        <v>7.0</v>
      </c>
      <c r="D1641" s="35">
        <v>217.0</v>
      </c>
      <c r="E1641" s="35">
        <v>46027.0</v>
      </c>
      <c r="F1641" s="35">
        <v>0.0</v>
      </c>
      <c r="G1641" s="35">
        <v>14.0</v>
      </c>
      <c r="H1641" s="35">
        <v>0.0</v>
      </c>
      <c r="I1641" s="35">
        <v>0.0</v>
      </c>
      <c r="J1641" s="35"/>
      <c r="K1641" s="35">
        <v>0.0</v>
      </c>
    </row>
    <row r="1642" ht="15.75" customHeight="1">
      <c r="A1642" s="35" t="s">
        <v>5969</v>
      </c>
      <c r="B1642" s="35"/>
      <c r="C1642" s="35">
        <v>7.0</v>
      </c>
      <c r="D1642" s="35">
        <v>634.0</v>
      </c>
      <c r="E1642" s="35">
        <v>46027.0</v>
      </c>
      <c r="F1642" s="35">
        <v>0.0</v>
      </c>
      <c r="G1642" s="35">
        <v>3.0</v>
      </c>
      <c r="H1642" s="35">
        <v>0.0</v>
      </c>
      <c r="I1642" s="35">
        <v>0.0</v>
      </c>
      <c r="J1642" s="35"/>
      <c r="K1642" s="35">
        <v>0.0</v>
      </c>
    </row>
    <row r="1643" ht="15.75" customHeight="1">
      <c r="A1643" s="35" t="s">
        <v>5971</v>
      </c>
      <c r="B1643" s="35"/>
      <c r="C1643" s="35">
        <v>7.0</v>
      </c>
      <c r="D1643" s="35" t="s">
        <v>4635</v>
      </c>
      <c r="E1643" s="35">
        <v>46027.0</v>
      </c>
      <c r="F1643" s="35">
        <v>0.0</v>
      </c>
      <c r="G1643" s="35">
        <v>1.0</v>
      </c>
      <c r="H1643" s="35">
        <v>0.0</v>
      </c>
      <c r="I1643" s="35">
        <v>0.0</v>
      </c>
      <c r="J1643" s="35"/>
      <c r="K1643" s="35">
        <v>0.0</v>
      </c>
    </row>
    <row r="1644" ht="15.75" customHeight="1">
      <c r="A1644" s="35" t="s">
        <v>5972</v>
      </c>
      <c r="B1644" s="35"/>
      <c r="C1644" s="35">
        <v>7.0</v>
      </c>
      <c r="D1644" s="35">
        <v>888.0</v>
      </c>
      <c r="E1644" s="35">
        <v>46027.0</v>
      </c>
      <c r="F1644" s="35">
        <v>0.0</v>
      </c>
      <c r="G1644" s="35">
        <v>14.0</v>
      </c>
      <c r="H1644" s="35">
        <v>0.0</v>
      </c>
      <c r="I1644" s="35">
        <v>0.0</v>
      </c>
      <c r="J1644" s="35"/>
      <c r="K1644" s="35">
        <v>0.0</v>
      </c>
    </row>
    <row r="1645" ht="15.75" customHeight="1">
      <c r="A1645" s="35" t="s">
        <v>5973</v>
      </c>
      <c r="B1645" s="35"/>
      <c r="C1645" s="35">
        <v>7.0</v>
      </c>
      <c r="D1645" s="35" t="s">
        <v>4635</v>
      </c>
      <c r="E1645" s="35">
        <v>46027.0</v>
      </c>
      <c r="F1645" s="35">
        <v>0.0</v>
      </c>
      <c r="G1645" s="35">
        <v>2.0</v>
      </c>
      <c r="H1645" s="35">
        <v>0.0</v>
      </c>
      <c r="I1645" s="35">
        <v>0.0</v>
      </c>
      <c r="J1645" s="35"/>
      <c r="K1645" s="35">
        <v>0.0</v>
      </c>
    </row>
    <row r="1646" ht="15.75" customHeight="1">
      <c r="A1646" s="35" t="s">
        <v>5975</v>
      </c>
      <c r="B1646" s="35"/>
      <c r="C1646" s="35">
        <v>7.0</v>
      </c>
      <c r="D1646" s="35" t="s">
        <v>5444</v>
      </c>
      <c r="E1646" s="35">
        <v>46027.0</v>
      </c>
      <c r="F1646" s="35">
        <v>0.0</v>
      </c>
      <c r="G1646" s="35">
        <v>2.0</v>
      </c>
      <c r="H1646" s="35">
        <v>0.0</v>
      </c>
      <c r="I1646" s="35">
        <v>0.0</v>
      </c>
      <c r="J1646" s="35"/>
      <c r="K1646" s="35">
        <v>0.0</v>
      </c>
    </row>
    <row r="1647" ht="15.75" customHeight="1">
      <c r="A1647" s="35" t="s">
        <v>5976</v>
      </c>
      <c r="B1647" s="35"/>
      <c r="C1647" s="35">
        <v>7.0</v>
      </c>
      <c r="D1647" s="35" t="s">
        <v>2040</v>
      </c>
      <c r="E1647" s="35">
        <v>46027.0</v>
      </c>
      <c r="F1647" s="35">
        <v>0.0</v>
      </c>
      <c r="G1647" s="35">
        <v>3.0</v>
      </c>
      <c r="H1647" s="35">
        <v>0.0</v>
      </c>
      <c r="I1647" s="35">
        <v>0.0</v>
      </c>
      <c r="J1647" s="35"/>
      <c r="K1647" s="35">
        <v>0.0</v>
      </c>
    </row>
    <row r="1648" ht="15.75" customHeight="1">
      <c r="A1648" s="35" t="s">
        <v>5977</v>
      </c>
      <c r="B1648" s="35"/>
      <c r="C1648" s="35">
        <v>7.0</v>
      </c>
      <c r="D1648" s="35" t="s">
        <v>4635</v>
      </c>
      <c r="E1648" s="35">
        <v>46027.0</v>
      </c>
      <c r="F1648" s="35">
        <v>0.0</v>
      </c>
      <c r="G1648" s="35">
        <v>1.0</v>
      </c>
      <c r="H1648" s="35">
        <v>0.0</v>
      </c>
      <c r="I1648" s="35">
        <v>0.0</v>
      </c>
      <c r="J1648" s="35"/>
      <c r="K1648" s="35">
        <v>0.0</v>
      </c>
    </row>
    <row r="1649" ht="15.75" customHeight="1">
      <c r="A1649" s="35" t="s">
        <v>1784</v>
      </c>
      <c r="B1649" s="35"/>
      <c r="C1649" s="35">
        <v>7.0</v>
      </c>
      <c r="D1649" s="35">
        <v>95.0</v>
      </c>
      <c r="E1649" s="35">
        <v>46027.0</v>
      </c>
      <c r="F1649" s="35">
        <v>0.0</v>
      </c>
      <c r="G1649" s="35">
        <v>2.0</v>
      </c>
      <c r="H1649" s="35">
        <v>0.0</v>
      </c>
      <c r="I1649" s="35">
        <v>0.0</v>
      </c>
      <c r="J1649" s="35"/>
      <c r="K1649" s="35">
        <v>0.0</v>
      </c>
    </row>
    <row r="1650" ht="15.75" customHeight="1">
      <c r="A1650" s="35" t="s">
        <v>5979</v>
      </c>
      <c r="B1650" s="35"/>
      <c r="C1650" s="35">
        <v>7.0</v>
      </c>
      <c r="D1650" s="35">
        <v>229.0</v>
      </c>
      <c r="E1650" s="35">
        <v>46027.0</v>
      </c>
      <c r="F1650" s="35">
        <v>0.0</v>
      </c>
      <c r="G1650" s="35">
        <v>0.0</v>
      </c>
      <c r="H1650" s="35">
        <v>1.0</v>
      </c>
      <c r="I1650" s="35">
        <v>0.0</v>
      </c>
      <c r="J1650" s="35"/>
      <c r="K1650" s="35">
        <v>0.0</v>
      </c>
    </row>
    <row r="1651" ht="15.75" customHeight="1">
      <c r="A1651" s="35" t="s">
        <v>5980</v>
      </c>
      <c r="B1651" s="35"/>
      <c r="C1651" s="35">
        <v>7.0</v>
      </c>
      <c r="D1651" s="35" t="s">
        <v>2144</v>
      </c>
      <c r="E1651" s="35">
        <v>46027.0</v>
      </c>
      <c r="F1651" s="35">
        <v>0.0</v>
      </c>
      <c r="G1651" s="35">
        <v>1.0</v>
      </c>
      <c r="H1651" s="35">
        <v>0.0</v>
      </c>
      <c r="I1651" s="35">
        <v>0.0</v>
      </c>
      <c r="J1651" s="35"/>
      <c r="K1651" s="35">
        <v>0.0</v>
      </c>
    </row>
    <row r="1652" ht="15.75" customHeight="1">
      <c r="A1652" s="35" t="s">
        <v>1789</v>
      </c>
      <c r="B1652" s="35"/>
      <c r="C1652" s="35">
        <v>7.0</v>
      </c>
      <c r="D1652" s="35">
        <v>436.0</v>
      </c>
      <c r="E1652" s="35">
        <v>46027.0</v>
      </c>
      <c r="F1652" s="35">
        <v>0.0</v>
      </c>
      <c r="G1652" s="35">
        <v>2.0</v>
      </c>
      <c r="H1652" s="35">
        <v>0.0</v>
      </c>
      <c r="I1652" s="35">
        <v>0.0</v>
      </c>
      <c r="J1652" s="35"/>
      <c r="K1652" s="35">
        <v>0.0</v>
      </c>
    </row>
    <row r="1653" ht="15.75" customHeight="1">
      <c r="A1653" s="35" t="s">
        <v>1802</v>
      </c>
      <c r="B1653" s="35"/>
      <c r="C1653" s="35">
        <v>7.0</v>
      </c>
      <c r="D1653" s="35" t="s">
        <v>4635</v>
      </c>
      <c r="E1653" s="35">
        <v>46027.0</v>
      </c>
      <c r="F1653" s="35">
        <v>0.0</v>
      </c>
      <c r="G1653" s="35">
        <v>1.0</v>
      </c>
      <c r="H1653" s="35">
        <v>0.0</v>
      </c>
      <c r="I1653" s="35">
        <v>0.0</v>
      </c>
      <c r="J1653" s="35"/>
      <c r="K1653" s="35">
        <v>0.0</v>
      </c>
    </row>
    <row r="1654" ht="15.75" customHeight="1">
      <c r="A1654" s="35" t="s">
        <v>5982</v>
      </c>
      <c r="B1654" s="35"/>
      <c r="C1654" s="35">
        <v>7.0</v>
      </c>
      <c r="D1654" s="35">
        <v>101.0</v>
      </c>
      <c r="E1654" s="35">
        <v>46027.0</v>
      </c>
      <c r="F1654" s="35">
        <v>0.0</v>
      </c>
      <c r="G1654" s="35">
        <v>0.0</v>
      </c>
      <c r="H1654" s="35">
        <v>0.0</v>
      </c>
      <c r="I1654" s="35">
        <v>2.0</v>
      </c>
      <c r="J1654" s="35"/>
      <c r="K1654" s="35">
        <v>0.0</v>
      </c>
    </row>
    <row r="1655" ht="15.75" customHeight="1">
      <c r="A1655" s="35" t="s">
        <v>5983</v>
      </c>
      <c r="B1655" s="35"/>
      <c r="C1655" s="35">
        <v>7.0</v>
      </c>
      <c r="D1655" s="35">
        <v>184.0</v>
      </c>
      <c r="E1655" s="35">
        <v>46027.0</v>
      </c>
      <c r="F1655" s="35">
        <v>0.0</v>
      </c>
      <c r="G1655" s="35">
        <v>5.0</v>
      </c>
      <c r="H1655" s="35">
        <v>0.0</v>
      </c>
      <c r="I1655" s="35">
        <v>0.0</v>
      </c>
      <c r="J1655" s="35"/>
      <c r="K1655" s="35">
        <v>0.0</v>
      </c>
    </row>
    <row r="1656" ht="15.75" customHeight="1">
      <c r="A1656" s="35" t="s">
        <v>1810</v>
      </c>
      <c r="B1656" s="35"/>
      <c r="C1656" s="35">
        <v>7.0</v>
      </c>
      <c r="D1656" s="35">
        <v>196.0</v>
      </c>
      <c r="E1656" s="35">
        <v>46027.0</v>
      </c>
      <c r="F1656" s="35">
        <v>0.0</v>
      </c>
      <c r="G1656" s="35">
        <v>0.0</v>
      </c>
      <c r="H1656" s="35">
        <v>1.0</v>
      </c>
      <c r="I1656" s="35">
        <v>0.0</v>
      </c>
      <c r="J1656" s="35"/>
      <c r="K1656" s="35">
        <v>0.0</v>
      </c>
    </row>
    <row r="1657" ht="15.75" customHeight="1">
      <c r="A1657" s="35" t="s">
        <v>5985</v>
      </c>
      <c r="B1657" s="35"/>
      <c r="C1657" s="35">
        <v>7.0</v>
      </c>
      <c r="D1657" s="35">
        <v>989.0</v>
      </c>
      <c r="E1657" s="35">
        <v>46027.0</v>
      </c>
      <c r="F1657" s="35">
        <v>0.0</v>
      </c>
      <c r="G1657" s="35">
        <v>0.0</v>
      </c>
      <c r="H1657" s="35">
        <v>1.0</v>
      </c>
      <c r="I1657" s="35">
        <v>0.0</v>
      </c>
      <c r="J1657" s="35"/>
      <c r="K1657" s="35">
        <v>0.0</v>
      </c>
    </row>
    <row r="1658" ht="15.75" customHeight="1">
      <c r="A1658" s="35" t="s">
        <v>5986</v>
      </c>
      <c r="B1658" s="35"/>
      <c r="C1658" s="35">
        <v>7.0</v>
      </c>
      <c r="D1658" s="35" t="s">
        <v>4635</v>
      </c>
      <c r="E1658" s="35">
        <v>46027.0</v>
      </c>
      <c r="F1658" s="35">
        <v>0.0</v>
      </c>
      <c r="G1658" s="35">
        <v>1.0</v>
      </c>
      <c r="H1658" s="35">
        <v>0.0</v>
      </c>
      <c r="I1658" s="35">
        <v>0.0</v>
      </c>
      <c r="J1658" s="35"/>
      <c r="K1658" s="35">
        <v>0.0</v>
      </c>
    </row>
    <row r="1659" ht="15.75" customHeight="1">
      <c r="A1659" s="35" t="s">
        <v>5988</v>
      </c>
      <c r="B1659" s="35"/>
      <c r="C1659" s="35">
        <v>7.0</v>
      </c>
      <c r="D1659" s="35">
        <v>182.0</v>
      </c>
      <c r="E1659" s="35">
        <v>46027.0</v>
      </c>
      <c r="F1659" s="35">
        <v>0.0</v>
      </c>
      <c r="G1659" s="35">
        <v>0.0</v>
      </c>
      <c r="H1659" s="35">
        <v>2.0</v>
      </c>
      <c r="I1659" s="35">
        <v>0.0</v>
      </c>
      <c r="J1659" s="35"/>
      <c r="K1659" s="35">
        <v>0.0</v>
      </c>
    </row>
    <row r="1660" ht="15.75" customHeight="1">
      <c r="A1660" s="35" t="s">
        <v>5989</v>
      </c>
      <c r="B1660" s="35"/>
      <c r="C1660" s="35">
        <v>7.0</v>
      </c>
      <c r="D1660" s="35">
        <v>66.0</v>
      </c>
      <c r="E1660" s="35">
        <v>46027.0</v>
      </c>
      <c r="F1660" s="35">
        <v>0.0</v>
      </c>
      <c r="G1660" s="35">
        <v>0.0</v>
      </c>
      <c r="H1660" s="35">
        <v>0.0</v>
      </c>
      <c r="I1660" s="35">
        <v>0.0</v>
      </c>
      <c r="J1660" s="35"/>
      <c r="K1660" s="35">
        <v>6.0</v>
      </c>
    </row>
    <row r="1661" ht="15.75" customHeight="1">
      <c r="A1661" s="35" t="s">
        <v>5990</v>
      </c>
      <c r="B1661" s="35"/>
      <c r="C1661" s="35">
        <v>7.0</v>
      </c>
      <c r="D1661" s="35">
        <v>906.0</v>
      </c>
      <c r="E1661" s="35">
        <v>46027.0</v>
      </c>
      <c r="F1661" s="35">
        <v>0.0</v>
      </c>
      <c r="G1661" s="35">
        <v>2.0</v>
      </c>
      <c r="H1661" s="35">
        <v>0.0</v>
      </c>
      <c r="I1661" s="35">
        <v>0.0</v>
      </c>
      <c r="J1661" s="35"/>
      <c r="K1661" s="35">
        <v>0.0</v>
      </c>
    </row>
    <row r="1662" ht="15.75" customHeight="1">
      <c r="A1662" s="35" t="s">
        <v>5992</v>
      </c>
      <c r="B1662" s="35"/>
      <c r="C1662" s="35">
        <v>7.0</v>
      </c>
      <c r="D1662" s="35">
        <v>897.0</v>
      </c>
      <c r="E1662" s="35">
        <v>46027.0</v>
      </c>
      <c r="F1662" s="35">
        <v>0.0</v>
      </c>
      <c r="G1662" s="35">
        <v>1.0</v>
      </c>
      <c r="H1662" s="35">
        <v>0.0</v>
      </c>
      <c r="I1662" s="35">
        <v>0.0</v>
      </c>
      <c r="J1662" s="35"/>
      <c r="K1662" s="35">
        <v>0.0</v>
      </c>
    </row>
    <row r="1663" ht="15.75" customHeight="1">
      <c r="A1663" s="35" t="s">
        <v>5993</v>
      </c>
      <c r="B1663" s="35"/>
      <c r="C1663" s="35">
        <v>7.0</v>
      </c>
      <c r="D1663" s="35" t="s">
        <v>4635</v>
      </c>
      <c r="E1663" s="35">
        <v>46027.0</v>
      </c>
      <c r="F1663" s="35">
        <v>0.0</v>
      </c>
      <c r="G1663" s="35">
        <v>0.0</v>
      </c>
      <c r="H1663" s="35">
        <v>2.0</v>
      </c>
      <c r="I1663" s="35">
        <v>0.0</v>
      </c>
      <c r="J1663" s="35"/>
      <c r="K1663" s="35">
        <v>0.0</v>
      </c>
    </row>
    <row r="1664" ht="15.75" customHeight="1">
      <c r="A1664" s="35" t="s">
        <v>5994</v>
      </c>
      <c r="B1664" s="35"/>
      <c r="C1664" s="35">
        <v>7.0</v>
      </c>
      <c r="D1664" s="35" t="s">
        <v>4635</v>
      </c>
      <c r="E1664" s="35">
        <v>46027.0</v>
      </c>
      <c r="F1664" s="35">
        <v>0.0</v>
      </c>
      <c r="G1664" s="35">
        <v>1.0</v>
      </c>
      <c r="H1664" s="35">
        <v>0.0</v>
      </c>
      <c r="I1664" s="35">
        <v>0.0</v>
      </c>
      <c r="J1664" s="35"/>
      <c r="K1664" s="35">
        <v>0.0</v>
      </c>
    </row>
    <row r="1665" ht="15.75" customHeight="1">
      <c r="A1665" s="35" t="s">
        <v>5996</v>
      </c>
      <c r="B1665" s="35"/>
      <c r="C1665" s="35">
        <v>7.0</v>
      </c>
      <c r="D1665" s="35" t="s">
        <v>4635</v>
      </c>
      <c r="E1665" s="35">
        <v>46027.0</v>
      </c>
      <c r="F1665" s="35">
        <v>0.0</v>
      </c>
      <c r="G1665" s="35">
        <v>2.0</v>
      </c>
      <c r="H1665" s="35">
        <v>0.0</v>
      </c>
      <c r="I1665" s="35">
        <v>0.0</v>
      </c>
      <c r="J1665" s="35"/>
      <c r="K1665" s="35">
        <v>0.0</v>
      </c>
    </row>
    <row r="1666" ht="15.75" customHeight="1">
      <c r="A1666" s="35" t="s">
        <v>5997</v>
      </c>
      <c r="B1666" s="35"/>
      <c r="C1666" s="35">
        <v>7.0</v>
      </c>
      <c r="D1666" s="35">
        <v>63.0</v>
      </c>
      <c r="E1666" s="35">
        <v>46027.0</v>
      </c>
      <c r="F1666" s="35">
        <v>0.0</v>
      </c>
      <c r="G1666" s="35">
        <v>2.0</v>
      </c>
      <c r="H1666" s="35">
        <v>0.0</v>
      </c>
      <c r="I1666" s="35">
        <v>0.0</v>
      </c>
      <c r="J1666" s="35"/>
      <c r="K1666" s="35">
        <v>0.0</v>
      </c>
    </row>
    <row r="1667" ht="15.75" customHeight="1">
      <c r="A1667" s="35" t="s">
        <v>5998</v>
      </c>
      <c r="B1667" s="35"/>
      <c r="C1667" s="35">
        <v>7.0</v>
      </c>
      <c r="D1667" s="35" t="s">
        <v>4722</v>
      </c>
      <c r="E1667" s="35">
        <v>46027.0</v>
      </c>
      <c r="F1667" s="35">
        <v>0.0</v>
      </c>
      <c r="G1667" s="35">
        <v>3.0</v>
      </c>
      <c r="H1667" s="35">
        <v>0.0</v>
      </c>
      <c r="I1667" s="35">
        <v>0.0</v>
      </c>
      <c r="J1667" s="35"/>
      <c r="K1667" s="35">
        <v>0.0</v>
      </c>
    </row>
    <row r="1668" ht="15.75" customHeight="1">
      <c r="A1668" s="35" t="s">
        <v>5999</v>
      </c>
      <c r="B1668" s="35"/>
      <c r="C1668" s="35">
        <v>7.0</v>
      </c>
      <c r="D1668" s="35">
        <v>183.0</v>
      </c>
      <c r="E1668" s="35">
        <v>46027.0</v>
      </c>
      <c r="F1668" s="35">
        <v>0.0</v>
      </c>
      <c r="G1668" s="35">
        <v>1.0</v>
      </c>
      <c r="H1668" s="35">
        <v>0.0</v>
      </c>
      <c r="I1668" s="35">
        <v>0.0</v>
      </c>
      <c r="J1668" s="35"/>
      <c r="K1668" s="35">
        <v>0.0</v>
      </c>
    </row>
    <row r="1669" ht="15.75" customHeight="1">
      <c r="A1669" s="35" t="s">
        <v>6001</v>
      </c>
      <c r="B1669" s="35"/>
      <c r="C1669" s="35">
        <v>7.0</v>
      </c>
      <c r="D1669" s="35">
        <v>61.0</v>
      </c>
      <c r="E1669" s="35">
        <v>46027.0</v>
      </c>
      <c r="F1669" s="35">
        <v>0.0</v>
      </c>
      <c r="G1669" s="35">
        <v>1.0</v>
      </c>
      <c r="H1669" s="35">
        <v>0.0</v>
      </c>
      <c r="I1669" s="35">
        <v>0.0</v>
      </c>
      <c r="J1669" s="35"/>
      <c r="K1669" s="35">
        <v>0.0</v>
      </c>
    </row>
    <row r="1670" ht="15.75" customHeight="1">
      <c r="A1670" s="35" t="s">
        <v>6002</v>
      </c>
      <c r="B1670" s="35"/>
      <c r="C1670" s="35">
        <v>7.0</v>
      </c>
      <c r="D1670" s="35">
        <v>427.0</v>
      </c>
      <c r="E1670" s="35">
        <v>46027.0</v>
      </c>
      <c r="F1670" s="35">
        <v>0.0</v>
      </c>
      <c r="G1670" s="35">
        <v>1.0</v>
      </c>
      <c r="H1670" s="35">
        <v>0.0</v>
      </c>
      <c r="I1670" s="35">
        <v>0.0</v>
      </c>
      <c r="J1670" s="35"/>
      <c r="K1670" s="35">
        <v>0.0</v>
      </c>
    </row>
    <row r="1671" ht="15.75" customHeight="1">
      <c r="A1671" s="35" t="s">
        <v>6003</v>
      </c>
      <c r="B1671" s="35"/>
      <c r="C1671" s="35">
        <v>7.0</v>
      </c>
      <c r="D1671" s="35" t="s">
        <v>4635</v>
      </c>
      <c r="E1671" s="35">
        <v>46027.0</v>
      </c>
      <c r="F1671" s="35">
        <v>0.0</v>
      </c>
      <c r="G1671" s="35">
        <v>1.0</v>
      </c>
      <c r="H1671" s="35">
        <v>0.0</v>
      </c>
      <c r="I1671" s="35">
        <v>0.0</v>
      </c>
      <c r="J1671" s="35"/>
      <c r="K1671" s="35">
        <v>0.0</v>
      </c>
    </row>
    <row r="1672" ht="15.75" customHeight="1">
      <c r="A1672" s="35" t="s">
        <v>6005</v>
      </c>
      <c r="B1672" s="35"/>
      <c r="C1672" s="35">
        <v>7.0</v>
      </c>
      <c r="D1672" s="35" t="s">
        <v>4635</v>
      </c>
      <c r="E1672" s="35">
        <v>46027.0</v>
      </c>
      <c r="F1672" s="35">
        <v>0.0</v>
      </c>
      <c r="G1672" s="35">
        <v>0.0</v>
      </c>
      <c r="H1672" s="35">
        <v>1.0</v>
      </c>
      <c r="I1672" s="35">
        <v>0.0</v>
      </c>
      <c r="J1672" s="35"/>
      <c r="K1672" s="35">
        <v>0.0</v>
      </c>
    </row>
    <row r="1673" ht="15.75" customHeight="1">
      <c r="A1673" s="35" t="s">
        <v>6006</v>
      </c>
      <c r="B1673" s="35"/>
      <c r="C1673" s="35">
        <v>7.0</v>
      </c>
      <c r="D1673" s="35" t="s">
        <v>4635</v>
      </c>
      <c r="E1673" s="35">
        <v>46027.0</v>
      </c>
      <c r="F1673" s="35">
        <v>0.0</v>
      </c>
      <c r="G1673" s="35">
        <v>2.0</v>
      </c>
      <c r="H1673" s="35">
        <v>0.0</v>
      </c>
      <c r="I1673" s="35">
        <v>0.0</v>
      </c>
      <c r="J1673" s="35"/>
      <c r="K1673" s="35">
        <v>0.0</v>
      </c>
    </row>
    <row r="1674" ht="15.75" customHeight="1">
      <c r="A1674" s="35" t="s">
        <v>6007</v>
      </c>
      <c r="B1674" s="35"/>
      <c r="C1674" s="35">
        <v>7.0</v>
      </c>
      <c r="D1674" s="35" t="s">
        <v>2049</v>
      </c>
      <c r="E1674" s="35">
        <v>46027.0</v>
      </c>
      <c r="F1674" s="35">
        <v>0.0</v>
      </c>
      <c r="G1674" s="35">
        <v>1.0</v>
      </c>
      <c r="H1674" s="35">
        <v>0.0</v>
      </c>
      <c r="I1674" s="35">
        <v>0.0</v>
      </c>
      <c r="J1674" s="35"/>
      <c r="K1674" s="35">
        <v>0.0</v>
      </c>
    </row>
    <row r="1675" ht="15.75" customHeight="1">
      <c r="A1675" s="35" t="s">
        <v>6009</v>
      </c>
      <c r="B1675" s="35"/>
      <c r="C1675" s="35">
        <v>7.0</v>
      </c>
      <c r="D1675" s="35">
        <v>784.0</v>
      </c>
      <c r="E1675" s="35">
        <v>46027.0</v>
      </c>
      <c r="F1675" s="35">
        <v>0.0</v>
      </c>
      <c r="G1675" s="35">
        <v>1.0</v>
      </c>
      <c r="H1675" s="35">
        <v>0.0</v>
      </c>
      <c r="I1675" s="35">
        <v>0.0</v>
      </c>
      <c r="J1675" s="35"/>
      <c r="K1675" s="35">
        <v>0.0</v>
      </c>
    </row>
    <row r="1676" ht="15.75" customHeight="1">
      <c r="A1676" s="35" t="s">
        <v>6010</v>
      </c>
      <c r="B1676" s="35"/>
      <c r="C1676" s="35">
        <v>7.0</v>
      </c>
      <c r="D1676" s="35">
        <v>917.0</v>
      </c>
      <c r="E1676" s="35">
        <v>46027.0</v>
      </c>
      <c r="F1676" s="35">
        <v>0.0</v>
      </c>
      <c r="G1676" s="35">
        <v>9.0</v>
      </c>
      <c r="H1676" s="35">
        <v>0.0</v>
      </c>
      <c r="I1676" s="35">
        <v>0.0</v>
      </c>
      <c r="J1676" s="35"/>
      <c r="K1676" s="35">
        <v>0.0</v>
      </c>
    </row>
    <row r="1677" ht="15.75" customHeight="1">
      <c r="A1677" s="35" t="s">
        <v>6011</v>
      </c>
      <c r="B1677" s="35"/>
      <c r="C1677" s="35">
        <v>7.0</v>
      </c>
      <c r="D1677" s="35" t="s">
        <v>2049</v>
      </c>
      <c r="E1677" s="35">
        <v>46027.0</v>
      </c>
      <c r="F1677" s="35">
        <v>0.0</v>
      </c>
      <c r="G1677" s="35">
        <v>0.0</v>
      </c>
      <c r="H1677" s="35">
        <v>0.0</v>
      </c>
      <c r="I1677" s="35">
        <v>25.0</v>
      </c>
      <c r="J1677" s="35"/>
      <c r="K1677" s="35">
        <v>0.0</v>
      </c>
    </row>
    <row r="1678" ht="15.75" customHeight="1">
      <c r="A1678" s="35" t="s">
        <v>6013</v>
      </c>
      <c r="B1678" s="35"/>
      <c r="C1678" s="35">
        <v>7.0</v>
      </c>
      <c r="D1678" s="35">
        <v>239.0</v>
      </c>
      <c r="E1678" s="35">
        <v>46027.0</v>
      </c>
      <c r="F1678" s="35">
        <v>0.0</v>
      </c>
      <c r="G1678" s="35">
        <v>0.0</v>
      </c>
      <c r="H1678" s="35">
        <v>0.0</v>
      </c>
      <c r="I1678" s="35">
        <v>2.0</v>
      </c>
      <c r="J1678" s="35"/>
      <c r="K1678" s="35">
        <v>0.0</v>
      </c>
    </row>
    <row r="1679" ht="15.75" customHeight="1">
      <c r="A1679" s="35" t="s">
        <v>6014</v>
      </c>
      <c r="B1679" s="35"/>
      <c r="C1679" s="35">
        <v>7.0</v>
      </c>
      <c r="D1679" s="35" t="s">
        <v>4635</v>
      </c>
      <c r="E1679" s="35">
        <v>46027.0</v>
      </c>
      <c r="F1679" s="35">
        <v>0.0</v>
      </c>
      <c r="G1679" s="35">
        <v>4.0</v>
      </c>
      <c r="H1679" s="35">
        <v>0.0</v>
      </c>
      <c r="I1679" s="35">
        <v>0.0</v>
      </c>
      <c r="J1679" s="35"/>
      <c r="K1679" s="35">
        <v>0.0</v>
      </c>
    </row>
    <row r="1680" ht="15.75" customHeight="1">
      <c r="A1680" s="35" t="s">
        <v>6015</v>
      </c>
      <c r="B1680" s="35"/>
      <c r="C1680" s="35">
        <v>7.0</v>
      </c>
      <c r="D1680" s="35" t="s">
        <v>5522</v>
      </c>
      <c r="E1680" s="35">
        <v>46027.0</v>
      </c>
      <c r="F1680" s="35">
        <v>0.0</v>
      </c>
      <c r="G1680" s="35">
        <v>2.0</v>
      </c>
      <c r="H1680" s="35">
        <v>0.0</v>
      </c>
      <c r="I1680" s="35">
        <v>0.0</v>
      </c>
      <c r="J1680" s="35"/>
      <c r="K1680" s="35">
        <v>0.0</v>
      </c>
    </row>
    <row r="1681" ht="15.75" customHeight="1">
      <c r="A1681" s="35" t="s">
        <v>6016</v>
      </c>
      <c r="B1681" s="35"/>
      <c r="C1681" s="35">
        <v>7.0</v>
      </c>
      <c r="D1681" s="35">
        <v>494.0</v>
      </c>
      <c r="E1681" s="35">
        <v>46027.0</v>
      </c>
      <c r="F1681" s="35">
        <v>0.0</v>
      </c>
      <c r="G1681" s="35">
        <v>8.0</v>
      </c>
      <c r="H1681" s="35">
        <v>0.0</v>
      </c>
      <c r="I1681" s="35">
        <v>0.0</v>
      </c>
      <c r="J1681" s="35"/>
      <c r="K1681" s="35">
        <v>0.0</v>
      </c>
    </row>
    <row r="1682" ht="15.75" customHeight="1">
      <c r="A1682" s="35" t="s">
        <v>6018</v>
      </c>
      <c r="B1682" s="35"/>
      <c r="C1682" s="35">
        <v>7.0</v>
      </c>
      <c r="D1682" s="35">
        <v>729.0</v>
      </c>
      <c r="E1682" s="35">
        <v>46027.0</v>
      </c>
      <c r="F1682" s="35">
        <v>0.0</v>
      </c>
      <c r="G1682" s="35">
        <v>0.0</v>
      </c>
      <c r="H1682" s="35">
        <v>1.0</v>
      </c>
      <c r="I1682" s="35">
        <v>0.0</v>
      </c>
      <c r="J1682" s="35"/>
      <c r="K1682" s="35">
        <v>0.0</v>
      </c>
    </row>
    <row r="1683" ht="15.75" customHeight="1">
      <c r="A1683" s="35" t="s">
        <v>6019</v>
      </c>
      <c r="B1683" s="35"/>
      <c r="C1683" s="35">
        <v>7.0</v>
      </c>
      <c r="D1683" s="35" t="s">
        <v>4635</v>
      </c>
      <c r="E1683" s="35">
        <v>46027.0</v>
      </c>
      <c r="F1683" s="35">
        <v>0.0</v>
      </c>
      <c r="G1683" s="35">
        <v>1.0</v>
      </c>
      <c r="H1683" s="35">
        <v>0.0</v>
      </c>
      <c r="I1683" s="35">
        <v>0.0</v>
      </c>
      <c r="J1683" s="35"/>
      <c r="K1683" s="35">
        <v>0.0</v>
      </c>
    </row>
    <row r="1684" ht="15.75" customHeight="1">
      <c r="A1684" s="35" t="s">
        <v>6020</v>
      </c>
      <c r="B1684" s="35"/>
      <c r="C1684" s="35">
        <v>7.0</v>
      </c>
      <c r="D1684" s="35" t="s">
        <v>4635</v>
      </c>
      <c r="E1684" s="35">
        <v>46027.0</v>
      </c>
      <c r="F1684" s="35">
        <v>0.0</v>
      </c>
      <c r="G1684" s="35">
        <v>2.0</v>
      </c>
      <c r="H1684" s="35">
        <v>0.0</v>
      </c>
      <c r="I1684" s="35">
        <v>0.0</v>
      </c>
      <c r="J1684" s="35"/>
      <c r="K1684" s="35">
        <v>0.0</v>
      </c>
    </row>
    <row r="1685" ht="15.75" customHeight="1">
      <c r="A1685" s="35" t="s">
        <v>6022</v>
      </c>
      <c r="B1685" s="35"/>
      <c r="C1685" s="35">
        <v>7.0</v>
      </c>
      <c r="D1685" s="35" t="s">
        <v>4635</v>
      </c>
      <c r="E1685" s="35">
        <v>46027.0</v>
      </c>
      <c r="F1685" s="35">
        <v>0.0</v>
      </c>
      <c r="G1685" s="35">
        <v>2.0</v>
      </c>
      <c r="H1685" s="35">
        <v>0.0</v>
      </c>
      <c r="I1685" s="35">
        <v>0.0</v>
      </c>
      <c r="J1685" s="35"/>
      <c r="K1685" s="35">
        <v>0.0</v>
      </c>
    </row>
    <row r="1686" ht="15.75" customHeight="1">
      <c r="A1686" s="35" t="s">
        <v>6023</v>
      </c>
      <c r="B1686" s="35"/>
      <c r="C1686" s="35">
        <v>7.0</v>
      </c>
      <c r="D1686" s="35" t="s">
        <v>4635</v>
      </c>
      <c r="E1686" s="35">
        <v>46027.0</v>
      </c>
      <c r="F1686" s="35">
        <v>0.0</v>
      </c>
      <c r="G1686" s="35">
        <v>2.0</v>
      </c>
      <c r="H1686" s="35">
        <v>0.0</v>
      </c>
      <c r="I1686" s="35">
        <v>0.0</v>
      </c>
      <c r="J1686" s="35"/>
      <c r="K1686" s="35">
        <v>0.0</v>
      </c>
    </row>
    <row r="1687" ht="15.75" customHeight="1">
      <c r="A1687" s="35" t="s">
        <v>6024</v>
      </c>
      <c r="B1687" s="35"/>
      <c r="C1687" s="35">
        <v>7.0</v>
      </c>
      <c r="D1687" s="35" t="s">
        <v>4635</v>
      </c>
      <c r="E1687" s="35">
        <v>46027.0</v>
      </c>
      <c r="F1687" s="35">
        <v>0.0</v>
      </c>
      <c r="G1687" s="35">
        <v>1.0</v>
      </c>
      <c r="H1687" s="35">
        <v>0.0</v>
      </c>
      <c r="I1687" s="35">
        <v>0.0</v>
      </c>
      <c r="J1687" s="35"/>
      <c r="K1687" s="35">
        <v>0.0</v>
      </c>
    </row>
    <row r="1688" ht="15.75" customHeight="1">
      <c r="A1688" s="35" t="s">
        <v>6026</v>
      </c>
      <c r="B1688" s="35"/>
      <c r="C1688" s="35">
        <v>6.0</v>
      </c>
      <c r="D1688" s="35" t="s">
        <v>3999</v>
      </c>
      <c r="E1688" s="35">
        <v>46086.0</v>
      </c>
      <c r="F1688" s="35">
        <v>0.0</v>
      </c>
      <c r="G1688" s="35">
        <v>98.0</v>
      </c>
      <c r="H1688" s="35">
        <v>4.0</v>
      </c>
      <c r="I1688" s="35">
        <v>138.0</v>
      </c>
      <c r="J1688" s="35"/>
      <c r="K1688" s="35">
        <v>0.0</v>
      </c>
    </row>
    <row r="1689" ht="15.75" customHeight="1">
      <c r="A1689" s="35" t="s">
        <v>6027</v>
      </c>
      <c r="B1689" s="35"/>
      <c r="C1689" s="35">
        <v>6.0</v>
      </c>
      <c r="D1689" s="35" t="s">
        <v>4931</v>
      </c>
      <c r="E1689" s="35">
        <v>46086.0</v>
      </c>
      <c r="F1689" s="35">
        <v>0.0</v>
      </c>
      <c r="G1689" s="35">
        <v>10.0</v>
      </c>
      <c r="H1689" s="35">
        <v>0.0</v>
      </c>
      <c r="I1689" s="35">
        <v>1.0</v>
      </c>
      <c r="J1689" s="35"/>
      <c r="K1689" s="35">
        <v>1.0</v>
      </c>
    </row>
    <row r="1690" ht="15.75" customHeight="1">
      <c r="A1690" s="35" t="s">
        <v>6028</v>
      </c>
      <c r="B1690" s="35"/>
      <c r="C1690" s="35">
        <v>6.0</v>
      </c>
      <c r="D1690" s="35" t="s">
        <v>3736</v>
      </c>
      <c r="E1690" s="35">
        <v>46058.0</v>
      </c>
      <c r="F1690" s="35">
        <v>0.0</v>
      </c>
      <c r="G1690" s="35">
        <v>12.0</v>
      </c>
      <c r="H1690" s="35">
        <v>0.0</v>
      </c>
      <c r="I1690" s="35">
        <v>2.0</v>
      </c>
      <c r="J1690" s="35"/>
      <c r="K1690" s="35">
        <v>0.0</v>
      </c>
    </row>
    <row r="1691" ht="15.75" customHeight="1">
      <c r="A1691" s="35" t="s">
        <v>1824</v>
      </c>
      <c r="B1691" s="35"/>
      <c r="C1691" s="35">
        <v>6.0</v>
      </c>
      <c r="D1691" s="35">
        <v>53.0</v>
      </c>
      <c r="E1691" s="35">
        <v>46058.0</v>
      </c>
      <c r="F1691" s="35">
        <v>0.0</v>
      </c>
      <c r="G1691" s="35">
        <v>0.0</v>
      </c>
      <c r="H1691" s="35">
        <v>1.0</v>
      </c>
      <c r="I1691" s="35">
        <v>1.0</v>
      </c>
      <c r="J1691" s="35"/>
      <c r="K1691" s="35">
        <v>0.0</v>
      </c>
    </row>
    <row r="1692" ht="15.75" customHeight="1">
      <c r="A1692" s="35" t="s">
        <v>6030</v>
      </c>
      <c r="B1692" s="35"/>
      <c r="C1692" s="35">
        <v>6.0</v>
      </c>
      <c r="D1692" s="35" t="s">
        <v>5303</v>
      </c>
      <c r="E1692" s="35">
        <v>46058.0</v>
      </c>
      <c r="F1692" s="35">
        <v>0.0</v>
      </c>
      <c r="G1692" s="35">
        <v>17.0</v>
      </c>
      <c r="H1692" s="35">
        <v>0.0</v>
      </c>
      <c r="I1692" s="35">
        <v>4.0</v>
      </c>
      <c r="J1692" s="35"/>
      <c r="K1692" s="35">
        <v>0.0</v>
      </c>
    </row>
    <row r="1693" ht="15.75" customHeight="1">
      <c r="A1693" s="35" t="s">
        <v>6032</v>
      </c>
      <c r="B1693" s="35"/>
      <c r="C1693" s="35">
        <v>6.0</v>
      </c>
      <c r="D1693" s="35">
        <v>384.0</v>
      </c>
      <c r="E1693" s="35">
        <v>46058.0</v>
      </c>
      <c r="F1693" s="35">
        <v>0.0</v>
      </c>
      <c r="G1693" s="35">
        <v>1.0</v>
      </c>
      <c r="H1693" s="35">
        <v>2.0</v>
      </c>
      <c r="I1693" s="35">
        <v>0.0</v>
      </c>
      <c r="J1693" s="35"/>
      <c r="K1693" s="35">
        <v>0.0</v>
      </c>
    </row>
    <row r="1694" ht="15.75" customHeight="1">
      <c r="A1694" s="35" t="s">
        <v>6033</v>
      </c>
      <c r="B1694" s="35"/>
      <c r="C1694" s="35">
        <v>6.0</v>
      </c>
      <c r="D1694" s="35" t="s">
        <v>4635</v>
      </c>
      <c r="E1694" s="35">
        <v>46058.0</v>
      </c>
      <c r="F1694" s="35">
        <v>0.0</v>
      </c>
      <c r="G1694" s="35">
        <v>1.0</v>
      </c>
      <c r="H1694" s="35">
        <v>1.0</v>
      </c>
      <c r="I1694" s="35">
        <v>0.0</v>
      </c>
      <c r="J1694" s="35"/>
      <c r="K1694" s="35">
        <v>0.0</v>
      </c>
    </row>
    <row r="1695" ht="15.75" customHeight="1">
      <c r="A1695" s="35" t="s">
        <v>6034</v>
      </c>
      <c r="B1695" s="35"/>
      <c r="C1695" s="35">
        <v>6.0</v>
      </c>
      <c r="D1695" s="35" t="s">
        <v>2032</v>
      </c>
      <c r="E1695" s="35">
        <v>46058.0</v>
      </c>
      <c r="F1695" s="35">
        <v>0.0</v>
      </c>
      <c r="G1695" s="35">
        <v>1.0</v>
      </c>
      <c r="H1695" s="35">
        <v>11.0</v>
      </c>
      <c r="I1695" s="35">
        <v>0.0</v>
      </c>
      <c r="J1695" s="35"/>
      <c r="K1695" s="35">
        <v>0.0</v>
      </c>
    </row>
    <row r="1696" ht="15.75" customHeight="1">
      <c r="A1696" s="35" t="s">
        <v>6036</v>
      </c>
      <c r="B1696" s="35"/>
      <c r="C1696" s="35">
        <v>6.0</v>
      </c>
      <c r="D1696" s="35" t="s">
        <v>4780</v>
      </c>
      <c r="E1696" s="35">
        <v>46058.0</v>
      </c>
      <c r="F1696" s="35">
        <v>0.0</v>
      </c>
      <c r="G1696" s="35">
        <v>1.0</v>
      </c>
      <c r="H1696" s="35">
        <v>0.0</v>
      </c>
      <c r="I1696" s="35">
        <v>1.0</v>
      </c>
      <c r="J1696" s="35"/>
      <c r="K1696" s="35">
        <v>0.0</v>
      </c>
    </row>
    <row r="1697" ht="15.75" customHeight="1">
      <c r="A1697" s="35" t="s">
        <v>6037</v>
      </c>
      <c r="B1697" s="35"/>
      <c r="C1697" s="35">
        <v>6.0</v>
      </c>
      <c r="D1697" s="35">
        <v>51.0</v>
      </c>
      <c r="E1697" s="35">
        <v>46058.0</v>
      </c>
      <c r="F1697" s="35">
        <v>0.0</v>
      </c>
      <c r="G1697" s="35">
        <v>4.0</v>
      </c>
      <c r="H1697" s="35">
        <v>0.0</v>
      </c>
      <c r="I1697" s="35">
        <v>2.0</v>
      </c>
      <c r="J1697" s="35"/>
      <c r="K1697" s="35">
        <v>0.0</v>
      </c>
    </row>
    <row r="1698" ht="15.75" customHeight="1">
      <c r="A1698" s="35" t="s">
        <v>6039</v>
      </c>
      <c r="B1698" s="35"/>
      <c r="C1698" s="35">
        <v>6.0</v>
      </c>
      <c r="D1698" s="35" t="s">
        <v>2005</v>
      </c>
      <c r="E1698" s="35">
        <v>46058.0</v>
      </c>
      <c r="F1698" s="35">
        <v>0.0</v>
      </c>
      <c r="G1698" s="35">
        <v>4.0</v>
      </c>
      <c r="H1698" s="35">
        <v>1.0</v>
      </c>
      <c r="I1698" s="35">
        <v>0.0</v>
      </c>
      <c r="J1698" s="35"/>
      <c r="K1698" s="35">
        <v>0.0</v>
      </c>
    </row>
    <row r="1699" ht="15.75" customHeight="1">
      <c r="A1699" s="35" t="s">
        <v>6040</v>
      </c>
      <c r="B1699" s="35"/>
      <c r="C1699" s="35">
        <v>6.0</v>
      </c>
      <c r="D1699" s="35" t="s">
        <v>3327</v>
      </c>
      <c r="E1699" s="35">
        <v>46058.0</v>
      </c>
      <c r="F1699" s="35">
        <v>0.0</v>
      </c>
      <c r="G1699" s="35">
        <v>13.0</v>
      </c>
      <c r="H1699" s="35">
        <v>0.0</v>
      </c>
      <c r="I1699" s="35">
        <v>2.0</v>
      </c>
      <c r="J1699" s="35"/>
      <c r="K1699" s="35">
        <v>0.0</v>
      </c>
    </row>
    <row r="1700" ht="15.75" customHeight="1">
      <c r="A1700" s="35" t="s">
        <v>6042</v>
      </c>
      <c r="B1700" s="35"/>
      <c r="C1700" s="35">
        <v>6.0</v>
      </c>
      <c r="D1700" s="35" t="s">
        <v>6043</v>
      </c>
      <c r="E1700" s="35">
        <v>46058.0</v>
      </c>
      <c r="F1700" s="35">
        <v>0.0</v>
      </c>
      <c r="G1700" s="35">
        <v>8.0</v>
      </c>
      <c r="H1700" s="35">
        <v>0.0</v>
      </c>
      <c r="I1700" s="35">
        <v>2.0</v>
      </c>
      <c r="J1700" s="35"/>
      <c r="K1700" s="35">
        <v>0.0</v>
      </c>
    </row>
    <row r="1701" ht="15.75" customHeight="1">
      <c r="A1701" s="35" t="s">
        <v>6044</v>
      </c>
      <c r="B1701" s="35"/>
      <c r="C1701" s="35">
        <v>6.0</v>
      </c>
      <c r="D1701" s="35">
        <v>274.0</v>
      </c>
      <c r="E1701" s="35">
        <v>46027.0</v>
      </c>
      <c r="F1701" s="35">
        <v>0.0</v>
      </c>
      <c r="G1701" s="35">
        <v>0.0</v>
      </c>
      <c r="H1701" s="35">
        <v>1.0</v>
      </c>
      <c r="I1701" s="35">
        <v>0.0</v>
      </c>
      <c r="J1701" s="35"/>
      <c r="K1701" s="35">
        <v>0.0</v>
      </c>
    </row>
    <row r="1702" ht="15.75" customHeight="1">
      <c r="A1702" s="35" t="s">
        <v>6046</v>
      </c>
      <c r="B1702" s="35"/>
      <c r="C1702" s="35">
        <v>6.0</v>
      </c>
      <c r="D1702" s="35" t="s">
        <v>6047</v>
      </c>
      <c r="E1702" s="35">
        <v>46027.0</v>
      </c>
      <c r="F1702" s="35">
        <v>0.0</v>
      </c>
      <c r="G1702" s="35">
        <v>0.0</v>
      </c>
      <c r="H1702" s="35">
        <v>3.0</v>
      </c>
      <c r="I1702" s="35">
        <v>0.0</v>
      </c>
      <c r="J1702" s="35"/>
      <c r="K1702" s="35">
        <v>0.0</v>
      </c>
    </row>
    <row r="1703" ht="15.75" customHeight="1">
      <c r="A1703" s="35" t="s">
        <v>6048</v>
      </c>
      <c r="B1703" s="35"/>
      <c r="C1703" s="35">
        <v>6.0</v>
      </c>
      <c r="D1703" s="35" t="s">
        <v>4635</v>
      </c>
      <c r="E1703" s="35">
        <v>46027.0</v>
      </c>
      <c r="F1703" s="35">
        <v>0.0</v>
      </c>
      <c r="G1703" s="35">
        <v>0.0</v>
      </c>
      <c r="H1703" s="35">
        <v>1.0</v>
      </c>
      <c r="I1703" s="35">
        <v>0.0</v>
      </c>
      <c r="J1703" s="35"/>
      <c r="K1703" s="35">
        <v>0.0</v>
      </c>
    </row>
    <row r="1704" ht="15.75" customHeight="1">
      <c r="A1704" s="35" t="s">
        <v>6050</v>
      </c>
      <c r="B1704" s="35"/>
      <c r="C1704" s="35">
        <v>6.0</v>
      </c>
      <c r="D1704" s="35" t="s">
        <v>2016</v>
      </c>
      <c r="E1704" s="35">
        <v>46027.0</v>
      </c>
      <c r="F1704" s="35">
        <v>0.0</v>
      </c>
      <c r="G1704" s="35">
        <v>2.0</v>
      </c>
      <c r="H1704" s="35">
        <v>0.0</v>
      </c>
      <c r="I1704" s="35">
        <v>0.0</v>
      </c>
      <c r="J1704" s="35"/>
      <c r="K1704" s="35">
        <v>0.0</v>
      </c>
    </row>
    <row r="1705" ht="15.75" customHeight="1">
      <c r="A1705" s="35" t="s">
        <v>6051</v>
      </c>
      <c r="B1705" s="35"/>
      <c r="C1705" s="35">
        <v>6.0</v>
      </c>
      <c r="D1705" s="35" t="s">
        <v>4635</v>
      </c>
      <c r="E1705" s="35">
        <v>46027.0</v>
      </c>
      <c r="F1705" s="35">
        <v>0.0</v>
      </c>
      <c r="G1705" s="35">
        <v>1.0</v>
      </c>
      <c r="H1705" s="35">
        <v>0.0</v>
      </c>
      <c r="I1705" s="35">
        <v>0.0</v>
      </c>
      <c r="J1705" s="35"/>
      <c r="K1705" s="35">
        <v>0.0</v>
      </c>
    </row>
    <row r="1706" ht="15.75" customHeight="1">
      <c r="A1706" s="35" t="s">
        <v>6052</v>
      </c>
      <c r="B1706" s="35"/>
      <c r="C1706" s="35">
        <v>6.0</v>
      </c>
      <c r="D1706" s="35" t="s">
        <v>3348</v>
      </c>
      <c r="E1706" s="35">
        <v>46027.0</v>
      </c>
      <c r="F1706" s="35">
        <v>0.0</v>
      </c>
      <c r="G1706" s="35">
        <v>0.0</v>
      </c>
      <c r="H1706" s="35">
        <v>71.0</v>
      </c>
      <c r="I1706" s="35">
        <v>0.0</v>
      </c>
      <c r="J1706" s="35"/>
      <c r="K1706" s="35">
        <v>0.0</v>
      </c>
    </row>
    <row r="1707" ht="15.75" customHeight="1">
      <c r="A1707" s="35" t="s">
        <v>1829</v>
      </c>
      <c r="B1707" s="35"/>
      <c r="C1707" s="35">
        <v>6.0</v>
      </c>
      <c r="D1707" s="35" t="s">
        <v>4635</v>
      </c>
      <c r="E1707" s="35">
        <v>46027.0</v>
      </c>
      <c r="F1707" s="35">
        <v>0.0</v>
      </c>
      <c r="G1707" s="35">
        <v>1.0</v>
      </c>
      <c r="H1707" s="35">
        <v>0.0</v>
      </c>
      <c r="I1707" s="35">
        <v>0.0</v>
      </c>
      <c r="J1707" s="35"/>
      <c r="K1707" s="35">
        <v>0.0</v>
      </c>
    </row>
    <row r="1708" ht="15.75" customHeight="1">
      <c r="A1708" s="35" t="s">
        <v>1832</v>
      </c>
      <c r="B1708" s="35"/>
      <c r="C1708" s="35">
        <v>6.0</v>
      </c>
      <c r="D1708" s="35" t="s">
        <v>2046</v>
      </c>
      <c r="E1708" s="35">
        <v>46027.0</v>
      </c>
      <c r="F1708" s="35">
        <v>0.0</v>
      </c>
      <c r="G1708" s="35">
        <v>1.0</v>
      </c>
      <c r="H1708" s="35">
        <v>0.0</v>
      </c>
      <c r="I1708" s="35">
        <v>0.0</v>
      </c>
      <c r="J1708" s="35"/>
      <c r="K1708" s="35">
        <v>0.0</v>
      </c>
    </row>
    <row r="1709" ht="15.75" customHeight="1">
      <c r="A1709" s="35" t="s">
        <v>6055</v>
      </c>
      <c r="B1709" s="35"/>
      <c r="C1709" s="35">
        <v>6.0</v>
      </c>
      <c r="D1709" s="35">
        <v>74.0</v>
      </c>
      <c r="E1709" s="35">
        <v>46027.0</v>
      </c>
      <c r="F1709" s="35">
        <v>0.0</v>
      </c>
      <c r="G1709" s="35">
        <v>0.0</v>
      </c>
      <c r="H1709" s="35">
        <v>2.0</v>
      </c>
      <c r="I1709" s="35">
        <v>0.0</v>
      </c>
      <c r="J1709" s="35"/>
      <c r="K1709" s="35">
        <v>0.0</v>
      </c>
    </row>
    <row r="1710" ht="15.75" customHeight="1">
      <c r="A1710" s="35" t="s">
        <v>6057</v>
      </c>
      <c r="B1710" s="35"/>
      <c r="C1710" s="35">
        <v>6.0</v>
      </c>
      <c r="D1710" s="35" t="s">
        <v>4635</v>
      </c>
      <c r="E1710" s="35">
        <v>46027.0</v>
      </c>
      <c r="F1710" s="35">
        <v>0.0</v>
      </c>
      <c r="G1710" s="35">
        <v>4.0</v>
      </c>
      <c r="H1710" s="35">
        <v>0.0</v>
      </c>
      <c r="I1710" s="35">
        <v>0.0</v>
      </c>
      <c r="J1710" s="35"/>
      <c r="K1710" s="35">
        <v>0.0</v>
      </c>
    </row>
    <row r="1711" ht="15.75" customHeight="1">
      <c r="A1711" s="35" t="s">
        <v>6058</v>
      </c>
      <c r="B1711" s="35"/>
      <c r="C1711" s="35">
        <v>6.0</v>
      </c>
      <c r="D1711" s="35" t="s">
        <v>4927</v>
      </c>
      <c r="E1711" s="35">
        <v>46027.0</v>
      </c>
      <c r="F1711" s="35">
        <v>0.0</v>
      </c>
      <c r="G1711" s="35">
        <v>2.0</v>
      </c>
      <c r="H1711" s="35">
        <v>0.0</v>
      </c>
      <c r="I1711" s="35">
        <v>0.0</v>
      </c>
      <c r="J1711" s="35"/>
      <c r="K1711" s="35">
        <v>0.0</v>
      </c>
    </row>
    <row r="1712" ht="15.75" customHeight="1">
      <c r="A1712" s="35" t="s">
        <v>6060</v>
      </c>
      <c r="B1712" s="35"/>
      <c r="C1712" s="35">
        <v>6.0</v>
      </c>
      <c r="D1712" s="35" t="s">
        <v>4635</v>
      </c>
      <c r="E1712" s="35">
        <v>46027.0</v>
      </c>
      <c r="F1712" s="35">
        <v>0.0</v>
      </c>
      <c r="G1712" s="35">
        <v>4.0</v>
      </c>
      <c r="H1712" s="35">
        <v>0.0</v>
      </c>
      <c r="I1712" s="35">
        <v>0.0</v>
      </c>
      <c r="J1712" s="35"/>
      <c r="K1712" s="35">
        <v>0.0</v>
      </c>
    </row>
    <row r="1713" ht="15.75" customHeight="1">
      <c r="A1713" s="35" t="s">
        <v>6061</v>
      </c>
      <c r="B1713" s="35"/>
      <c r="C1713" s="35">
        <v>6.0</v>
      </c>
      <c r="D1713" s="35" t="s">
        <v>6062</v>
      </c>
      <c r="E1713" s="35">
        <v>46027.0</v>
      </c>
      <c r="F1713" s="35">
        <v>0.0</v>
      </c>
      <c r="G1713" s="35">
        <v>0.0</v>
      </c>
      <c r="H1713" s="35">
        <v>7.0</v>
      </c>
      <c r="I1713" s="35">
        <v>0.0</v>
      </c>
      <c r="J1713" s="35"/>
      <c r="K1713" s="35">
        <v>0.0</v>
      </c>
    </row>
    <row r="1714" ht="15.75" customHeight="1">
      <c r="A1714" s="35" t="s">
        <v>6064</v>
      </c>
      <c r="B1714" s="35"/>
      <c r="C1714" s="35">
        <v>6.0</v>
      </c>
      <c r="D1714" s="35" t="s">
        <v>6065</v>
      </c>
      <c r="E1714" s="35">
        <v>46027.0</v>
      </c>
      <c r="F1714" s="35">
        <v>0.0</v>
      </c>
      <c r="G1714" s="35">
        <v>0.0</v>
      </c>
      <c r="H1714" s="35">
        <v>191.0</v>
      </c>
      <c r="I1714" s="35">
        <v>0.0</v>
      </c>
      <c r="J1714" s="35"/>
      <c r="K1714" s="35">
        <v>0.0</v>
      </c>
    </row>
    <row r="1715" ht="15.75" customHeight="1">
      <c r="A1715" s="35" t="s">
        <v>6066</v>
      </c>
      <c r="B1715" s="35"/>
      <c r="C1715" s="35">
        <v>6.0</v>
      </c>
      <c r="D1715" s="35">
        <v>189.0</v>
      </c>
      <c r="E1715" s="35">
        <v>46027.0</v>
      </c>
      <c r="F1715" s="35">
        <v>0.0</v>
      </c>
      <c r="G1715" s="35">
        <v>1.0</v>
      </c>
      <c r="H1715" s="35">
        <v>0.0</v>
      </c>
      <c r="I1715" s="35">
        <v>0.0</v>
      </c>
      <c r="J1715" s="35"/>
      <c r="K1715" s="35">
        <v>0.0</v>
      </c>
    </row>
    <row r="1716" ht="15.75" customHeight="1">
      <c r="A1716" s="35" t="s">
        <v>6067</v>
      </c>
      <c r="B1716" s="35"/>
      <c r="C1716" s="35">
        <v>6.0</v>
      </c>
      <c r="D1716" s="35" t="s">
        <v>3501</v>
      </c>
      <c r="E1716" s="35">
        <v>46027.0</v>
      </c>
      <c r="F1716" s="35">
        <v>0.0</v>
      </c>
      <c r="G1716" s="35">
        <v>0.0</v>
      </c>
      <c r="H1716" s="35">
        <v>20.0</v>
      </c>
      <c r="I1716" s="35">
        <v>0.0</v>
      </c>
      <c r="J1716" s="35"/>
      <c r="K1716" s="35">
        <v>0.0</v>
      </c>
    </row>
    <row r="1717" ht="15.75" customHeight="1">
      <c r="A1717" s="35" t="s">
        <v>1841</v>
      </c>
      <c r="B1717" s="35"/>
      <c r="C1717" s="35">
        <v>6.0</v>
      </c>
      <c r="D1717" s="35">
        <v>98.0</v>
      </c>
      <c r="E1717" s="35">
        <v>46027.0</v>
      </c>
      <c r="F1717" s="35">
        <v>0.0</v>
      </c>
      <c r="G1717" s="35">
        <v>1.0</v>
      </c>
      <c r="H1717" s="35">
        <v>0.0</v>
      </c>
      <c r="I1717" s="35">
        <v>0.0</v>
      </c>
      <c r="J1717" s="35"/>
      <c r="K1717" s="35">
        <v>0.0</v>
      </c>
    </row>
    <row r="1718" ht="15.75" customHeight="1">
      <c r="A1718" s="35" t="s">
        <v>6069</v>
      </c>
      <c r="B1718" s="35"/>
      <c r="C1718" s="35">
        <v>6.0</v>
      </c>
      <c r="D1718" s="35" t="s">
        <v>4284</v>
      </c>
      <c r="E1718" s="35">
        <v>46027.0</v>
      </c>
      <c r="F1718" s="35">
        <v>0.0</v>
      </c>
      <c r="G1718" s="35">
        <v>1.0</v>
      </c>
      <c r="H1718" s="35">
        <v>0.0</v>
      </c>
      <c r="I1718" s="35">
        <v>0.0</v>
      </c>
      <c r="J1718" s="35"/>
      <c r="K1718" s="35">
        <v>0.0</v>
      </c>
    </row>
    <row r="1719" ht="15.75" customHeight="1">
      <c r="A1719" s="35" t="s">
        <v>1849</v>
      </c>
      <c r="B1719" s="35"/>
      <c r="C1719" s="35">
        <v>6.0</v>
      </c>
      <c r="D1719" s="35" t="s">
        <v>4635</v>
      </c>
      <c r="E1719" s="35">
        <v>46027.0</v>
      </c>
      <c r="F1719" s="35">
        <v>0.0</v>
      </c>
      <c r="G1719" s="35">
        <v>4.0</v>
      </c>
      <c r="H1719" s="35">
        <v>0.0</v>
      </c>
      <c r="I1719" s="35">
        <v>0.0</v>
      </c>
      <c r="J1719" s="35"/>
      <c r="K1719" s="35">
        <v>0.0</v>
      </c>
    </row>
    <row r="1720" ht="15.75" customHeight="1">
      <c r="A1720" s="35" t="s">
        <v>6071</v>
      </c>
      <c r="B1720" s="35"/>
      <c r="C1720" s="35">
        <v>6.0</v>
      </c>
      <c r="D1720" s="35" t="s">
        <v>4635</v>
      </c>
      <c r="E1720" s="35">
        <v>46027.0</v>
      </c>
      <c r="F1720" s="35">
        <v>0.0</v>
      </c>
      <c r="G1720" s="35">
        <v>1.0</v>
      </c>
      <c r="H1720" s="35">
        <v>0.0</v>
      </c>
      <c r="I1720" s="35">
        <v>0.0</v>
      </c>
      <c r="J1720" s="35"/>
      <c r="K1720" s="35">
        <v>0.0</v>
      </c>
    </row>
    <row r="1721" ht="15.75" customHeight="1">
      <c r="A1721" s="35" t="s">
        <v>6073</v>
      </c>
      <c r="B1721" s="35"/>
      <c r="C1721" s="35">
        <v>6.0</v>
      </c>
      <c r="D1721" s="35" t="s">
        <v>6074</v>
      </c>
      <c r="E1721" s="35">
        <v>46027.0</v>
      </c>
      <c r="F1721" s="35">
        <v>0.0</v>
      </c>
      <c r="G1721" s="35">
        <v>0.0</v>
      </c>
      <c r="H1721" s="35">
        <v>6.0</v>
      </c>
      <c r="I1721" s="35">
        <v>0.0</v>
      </c>
      <c r="J1721" s="35"/>
      <c r="K1721" s="35">
        <v>0.0</v>
      </c>
    </row>
    <row r="1722" ht="15.75" customHeight="1">
      <c r="A1722" s="35" t="s">
        <v>1854</v>
      </c>
      <c r="B1722" s="35"/>
      <c r="C1722" s="35">
        <v>6.0</v>
      </c>
      <c r="D1722" s="35" t="s">
        <v>4635</v>
      </c>
      <c r="E1722" s="35">
        <v>46027.0</v>
      </c>
      <c r="F1722" s="35">
        <v>0.0</v>
      </c>
      <c r="G1722" s="35">
        <v>3.0</v>
      </c>
      <c r="H1722" s="35">
        <v>0.0</v>
      </c>
      <c r="I1722" s="35">
        <v>0.0</v>
      </c>
      <c r="J1722" s="35"/>
      <c r="K1722" s="35">
        <v>0.0</v>
      </c>
    </row>
    <row r="1723" ht="15.75" customHeight="1">
      <c r="A1723" s="35" t="s">
        <v>6076</v>
      </c>
      <c r="B1723" s="35"/>
      <c r="C1723" s="35">
        <v>6.0</v>
      </c>
      <c r="D1723" s="35" t="s">
        <v>3948</v>
      </c>
      <c r="E1723" s="35">
        <v>46027.0</v>
      </c>
      <c r="F1723" s="35">
        <v>0.0</v>
      </c>
      <c r="G1723" s="35">
        <v>5.0</v>
      </c>
      <c r="H1723" s="35">
        <v>0.0</v>
      </c>
      <c r="I1723" s="35">
        <v>0.0</v>
      </c>
      <c r="J1723" s="35"/>
      <c r="K1723" s="35">
        <v>0.0</v>
      </c>
    </row>
    <row r="1724" ht="15.75" customHeight="1">
      <c r="A1724" s="35" t="s">
        <v>6077</v>
      </c>
      <c r="B1724" s="35"/>
      <c r="C1724" s="35">
        <v>6.0</v>
      </c>
      <c r="D1724" s="35" t="s">
        <v>3336</v>
      </c>
      <c r="E1724" s="35">
        <v>46027.0</v>
      </c>
      <c r="F1724" s="35">
        <v>0.0</v>
      </c>
      <c r="G1724" s="35">
        <v>4.0</v>
      </c>
      <c r="H1724" s="35">
        <v>0.0</v>
      </c>
      <c r="I1724" s="35">
        <v>0.0</v>
      </c>
      <c r="J1724" s="35"/>
      <c r="K1724" s="35">
        <v>0.0</v>
      </c>
    </row>
    <row r="1725" ht="15.75" customHeight="1">
      <c r="A1725" s="35" t="s">
        <v>6079</v>
      </c>
      <c r="B1725" s="35"/>
      <c r="C1725" s="35">
        <v>6.0</v>
      </c>
      <c r="D1725" s="35">
        <v>360.0</v>
      </c>
      <c r="E1725" s="35">
        <v>46027.0</v>
      </c>
      <c r="F1725" s="35">
        <v>0.0</v>
      </c>
      <c r="G1725" s="35">
        <v>0.0</v>
      </c>
      <c r="H1725" s="35">
        <v>0.0</v>
      </c>
      <c r="I1725" s="35">
        <v>1.0</v>
      </c>
      <c r="J1725" s="35"/>
      <c r="K1725" s="35">
        <v>0.0</v>
      </c>
    </row>
    <row r="1726" ht="15.75" customHeight="1">
      <c r="A1726" s="35" t="s">
        <v>6080</v>
      </c>
      <c r="B1726" s="35"/>
      <c r="C1726" s="35">
        <v>6.0</v>
      </c>
      <c r="D1726" s="35">
        <v>556.0</v>
      </c>
      <c r="E1726" s="35">
        <v>46027.0</v>
      </c>
      <c r="F1726" s="35">
        <v>0.0</v>
      </c>
      <c r="G1726" s="35">
        <v>0.0</v>
      </c>
      <c r="H1726" s="35">
        <v>1.0</v>
      </c>
      <c r="I1726" s="35">
        <v>0.0</v>
      </c>
      <c r="J1726" s="35"/>
      <c r="K1726" s="35">
        <v>0.0</v>
      </c>
    </row>
    <row r="1727" ht="15.75" customHeight="1">
      <c r="A1727" s="35" t="s">
        <v>6082</v>
      </c>
      <c r="B1727" s="35"/>
      <c r="C1727" s="35">
        <v>6.0</v>
      </c>
      <c r="D1727" s="35" t="s">
        <v>4635</v>
      </c>
      <c r="E1727" s="35">
        <v>46027.0</v>
      </c>
      <c r="F1727" s="35">
        <v>0.0</v>
      </c>
      <c r="G1727" s="35">
        <v>54.0</v>
      </c>
      <c r="H1727" s="35">
        <v>0.0</v>
      </c>
      <c r="I1727" s="35">
        <v>0.0</v>
      </c>
      <c r="J1727" s="35"/>
      <c r="K1727" s="35">
        <v>0.0</v>
      </c>
    </row>
    <row r="1728" ht="15.75" customHeight="1">
      <c r="A1728" s="35" t="s">
        <v>6083</v>
      </c>
      <c r="B1728" s="35"/>
      <c r="C1728" s="35">
        <v>6.0</v>
      </c>
      <c r="D1728" s="35" t="s">
        <v>4167</v>
      </c>
      <c r="E1728" s="35">
        <v>46027.0</v>
      </c>
      <c r="F1728" s="35">
        <v>0.0</v>
      </c>
      <c r="G1728" s="35">
        <v>1.0</v>
      </c>
      <c r="H1728" s="35">
        <v>0.0</v>
      </c>
      <c r="I1728" s="35">
        <v>0.0</v>
      </c>
      <c r="J1728" s="35"/>
      <c r="K1728" s="35">
        <v>0.0</v>
      </c>
    </row>
    <row r="1729" ht="15.75" customHeight="1">
      <c r="A1729" s="35" t="s">
        <v>6084</v>
      </c>
      <c r="B1729" s="35"/>
      <c r="C1729" s="35">
        <v>6.0</v>
      </c>
      <c r="D1729" s="35">
        <v>72.0</v>
      </c>
      <c r="E1729" s="35">
        <v>46027.0</v>
      </c>
      <c r="F1729" s="35">
        <v>0.0</v>
      </c>
      <c r="G1729" s="35">
        <v>1.0</v>
      </c>
      <c r="H1729" s="35">
        <v>0.0</v>
      </c>
      <c r="I1729" s="35">
        <v>0.0</v>
      </c>
      <c r="J1729" s="35"/>
      <c r="K1729" s="35">
        <v>0.0</v>
      </c>
    </row>
    <row r="1730" ht="15.75" customHeight="1">
      <c r="A1730" s="35" t="s">
        <v>6086</v>
      </c>
      <c r="B1730" s="35"/>
      <c r="C1730" s="35">
        <v>6.0</v>
      </c>
      <c r="D1730" s="35">
        <v>599.0</v>
      </c>
      <c r="E1730" s="35">
        <v>46027.0</v>
      </c>
      <c r="F1730" s="35">
        <v>0.0</v>
      </c>
      <c r="G1730" s="35">
        <v>1.0</v>
      </c>
      <c r="H1730" s="35">
        <v>0.0</v>
      </c>
      <c r="I1730" s="35">
        <v>0.0</v>
      </c>
      <c r="J1730" s="35"/>
      <c r="K1730" s="35">
        <v>0.0</v>
      </c>
    </row>
    <row r="1731" ht="15.75" customHeight="1">
      <c r="A1731" s="35" t="s">
        <v>1859</v>
      </c>
      <c r="B1731" s="35"/>
      <c r="C1731" s="35">
        <v>6.0</v>
      </c>
      <c r="D1731" s="35">
        <v>57.0</v>
      </c>
      <c r="E1731" s="35">
        <v>46027.0</v>
      </c>
      <c r="F1731" s="35">
        <v>0.0</v>
      </c>
      <c r="G1731" s="35">
        <v>0.0</v>
      </c>
      <c r="H1731" s="35">
        <v>3.0</v>
      </c>
      <c r="I1731" s="35">
        <v>0.0</v>
      </c>
      <c r="J1731" s="35"/>
      <c r="K1731" s="35">
        <v>0.0</v>
      </c>
    </row>
    <row r="1732" ht="15.75" customHeight="1">
      <c r="A1732" s="35" t="s">
        <v>6088</v>
      </c>
      <c r="B1732" s="35"/>
      <c r="C1732" s="35">
        <v>6.0</v>
      </c>
      <c r="D1732" s="35" t="s">
        <v>6089</v>
      </c>
      <c r="E1732" s="35">
        <v>46027.0</v>
      </c>
      <c r="F1732" s="35">
        <v>0.0</v>
      </c>
      <c r="G1732" s="35">
        <v>14.0</v>
      </c>
      <c r="H1732" s="35">
        <v>0.0</v>
      </c>
      <c r="I1732" s="35">
        <v>0.0</v>
      </c>
      <c r="J1732" s="35"/>
      <c r="K1732" s="35">
        <v>0.0</v>
      </c>
    </row>
    <row r="1733" ht="15.75" customHeight="1">
      <c r="A1733" s="35" t="s">
        <v>6090</v>
      </c>
      <c r="B1733" s="35"/>
      <c r="C1733" s="35">
        <v>6.0</v>
      </c>
      <c r="D1733" s="35">
        <v>410.0</v>
      </c>
      <c r="E1733" s="35">
        <v>46027.0</v>
      </c>
      <c r="F1733" s="35">
        <v>0.0</v>
      </c>
      <c r="G1733" s="35">
        <v>13.0</v>
      </c>
      <c r="H1733" s="35">
        <v>0.0</v>
      </c>
      <c r="I1733" s="35">
        <v>0.0</v>
      </c>
      <c r="J1733" s="35"/>
      <c r="K1733" s="35">
        <v>0.0</v>
      </c>
    </row>
    <row r="1734" ht="15.75" customHeight="1">
      <c r="A1734" s="35" t="s">
        <v>6092</v>
      </c>
      <c r="B1734" s="35"/>
      <c r="C1734" s="35">
        <v>6.0</v>
      </c>
      <c r="D1734" s="35" t="s">
        <v>2014</v>
      </c>
      <c r="E1734" s="35">
        <v>46027.0</v>
      </c>
      <c r="F1734" s="35">
        <v>0.0</v>
      </c>
      <c r="G1734" s="35">
        <v>0.0</v>
      </c>
      <c r="H1734" s="35">
        <v>14.0</v>
      </c>
      <c r="I1734" s="35">
        <v>0.0</v>
      </c>
      <c r="J1734" s="35"/>
      <c r="K1734" s="35">
        <v>0.0</v>
      </c>
    </row>
    <row r="1735" ht="15.75" customHeight="1">
      <c r="A1735" s="35" t="s">
        <v>6093</v>
      </c>
      <c r="B1735" s="35"/>
      <c r="C1735" s="35">
        <v>6.0</v>
      </c>
      <c r="D1735" s="35" t="s">
        <v>6094</v>
      </c>
      <c r="E1735" s="35">
        <v>46027.0</v>
      </c>
      <c r="F1735" s="35">
        <v>0.0</v>
      </c>
      <c r="G1735" s="35">
        <v>0.0</v>
      </c>
      <c r="H1735" s="35">
        <v>19232.0</v>
      </c>
      <c r="I1735" s="35">
        <v>0.0</v>
      </c>
      <c r="J1735" s="35"/>
      <c r="K1735" s="35">
        <v>0.0</v>
      </c>
    </row>
    <row r="1736" ht="15.75" customHeight="1">
      <c r="A1736" s="35" t="s">
        <v>6096</v>
      </c>
      <c r="B1736" s="35"/>
      <c r="C1736" s="35">
        <v>6.0</v>
      </c>
      <c r="D1736" s="35">
        <v>188.0</v>
      </c>
      <c r="E1736" s="35">
        <v>46027.0</v>
      </c>
      <c r="F1736" s="35">
        <v>0.0</v>
      </c>
      <c r="G1736" s="35">
        <v>0.0</v>
      </c>
      <c r="H1736" s="35">
        <v>1.0</v>
      </c>
      <c r="I1736" s="35">
        <v>0.0</v>
      </c>
      <c r="J1736" s="35"/>
      <c r="K1736" s="35">
        <v>0.0</v>
      </c>
    </row>
    <row r="1737" ht="15.75" customHeight="1">
      <c r="A1737" s="35" t="s">
        <v>6097</v>
      </c>
      <c r="B1737" s="35"/>
      <c r="C1737" s="35">
        <v>6.0</v>
      </c>
      <c r="D1737" s="35">
        <v>216.0</v>
      </c>
      <c r="E1737" s="35">
        <v>46027.0</v>
      </c>
      <c r="F1737" s="35">
        <v>0.0</v>
      </c>
      <c r="G1737" s="35">
        <v>3.0</v>
      </c>
      <c r="H1737" s="35">
        <v>0.0</v>
      </c>
      <c r="I1737" s="35">
        <v>0.0</v>
      </c>
      <c r="J1737" s="35"/>
      <c r="K1737" s="35">
        <v>0.0</v>
      </c>
    </row>
    <row r="1738" ht="15.75" customHeight="1">
      <c r="A1738" s="35" t="s">
        <v>6099</v>
      </c>
      <c r="B1738" s="35"/>
      <c r="C1738" s="35">
        <v>6.0</v>
      </c>
      <c r="D1738" s="35" t="s">
        <v>6100</v>
      </c>
      <c r="E1738" s="35">
        <v>46027.0</v>
      </c>
      <c r="F1738" s="35">
        <v>0.0</v>
      </c>
      <c r="G1738" s="35">
        <v>0.0</v>
      </c>
      <c r="H1738" s="35">
        <v>35.0</v>
      </c>
      <c r="I1738" s="35">
        <v>0.0</v>
      </c>
      <c r="J1738" s="35"/>
      <c r="K1738" s="35">
        <v>0.0</v>
      </c>
    </row>
    <row r="1739" ht="15.75" customHeight="1">
      <c r="A1739" s="35" t="s">
        <v>6101</v>
      </c>
      <c r="B1739" s="35"/>
      <c r="C1739" s="35">
        <v>6.0</v>
      </c>
      <c r="D1739" s="35" t="s">
        <v>4635</v>
      </c>
      <c r="E1739" s="35">
        <v>46027.0</v>
      </c>
      <c r="F1739" s="35">
        <v>0.0</v>
      </c>
      <c r="G1739" s="35">
        <v>0.0</v>
      </c>
      <c r="H1739" s="35">
        <v>0.0</v>
      </c>
      <c r="I1739" s="35">
        <v>2.0</v>
      </c>
      <c r="J1739" s="35"/>
      <c r="K1739" s="35">
        <v>0.0</v>
      </c>
    </row>
    <row r="1740" ht="15.75" customHeight="1">
      <c r="A1740" s="35" t="s">
        <v>6102</v>
      </c>
      <c r="B1740" s="35"/>
      <c r="C1740" s="35">
        <v>6.0</v>
      </c>
      <c r="D1740" s="35">
        <v>177.0</v>
      </c>
      <c r="E1740" s="35">
        <v>46027.0</v>
      </c>
      <c r="F1740" s="35">
        <v>0.0</v>
      </c>
      <c r="G1740" s="35">
        <v>9.0</v>
      </c>
      <c r="H1740" s="35">
        <v>0.0</v>
      </c>
      <c r="I1740" s="35">
        <v>0.0</v>
      </c>
      <c r="J1740" s="35"/>
      <c r="K1740" s="35">
        <v>0.0</v>
      </c>
    </row>
    <row r="1741" ht="15.75" customHeight="1">
      <c r="A1741" s="35" t="s">
        <v>6104</v>
      </c>
      <c r="B1741" s="35"/>
      <c r="C1741" s="35">
        <v>6.0</v>
      </c>
      <c r="D1741" s="35" t="s">
        <v>6105</v>
      </c>
      <c r="E1741" s="35">
        <v>46027.0</v>
      </c>
      <c r="F1741" s="35">
        <v>0.0</v>
      </c>
      <c r="G1741" s="35">
        <v>0.0</v>
      </c>
      <c r="H1741" s="35">
        <v>8.0</v>
      </c>
      <c r="I1741" s="35">
        <v>0.0</v>
      </c>
      <c r="J1741" s="35"/>
      <c r="K1741" s="35">
        <v>0.0</v>
      </c>
    </row>
    <row r="1742" ht="15.75" customHeight="1">
      <c r="A1742" s="35" t="s">
        <v>6106</v>
      </c>
      <c r="B1742" s="35"/>
      <c r="C1742" s="35">
        <v>6.0</v>
      </c>
      <c r="D1742" s="35">
        <v>709.0</v>
      </c>
      <c r="E1742" s="35">
        <v>46027.0</v>
      </c>
      <c r="F1742" s="35">
        <v>0.0</v>
      </c>
      <c r="G1742" s="35">
        <v>0.0</v>
      </c>
      <c r="H1742" s="35">
        <v>1.0</v>
      </c>
      <c r="I1742" s="35">
        <v>0.0</v>
      </c>
      <c r="J1742" s="35"/>
      <c r="K1742" s="35">
        <v>0.0</v>
      </c>
    </row>
    <row r="1743" ht="15.75" customHeight="1">
      <c r="A1743" s="35" t="s">
        <v>6108</v>
      </c>
      <c r="B1743" s="35"/>
      <c r="C1743" s="35">
        <v>6.0</v>
      </c>
      <c r="D1743" s="35" t="s">
        <v>2039</v>
      </c>
      <c r="E1743" s="35">
        <v>46027.0</v>
      </c>
      <c r="F1743" s="35">
        <v>0.0</v>
      </c>
      <c r="G1743" s="35">
        <v>1.0</v>
      </c>
      <c r="H1743" s="35">
        <v>0.0</v>
      </c>
      <c r="I1743" s="35">
        <v>0.0</v>
      </c>
      <c r="J1743" s="35"/>
      <c r="K1743" s="35">
        <v>0.0</v>
      </c>
    </row>
    <row r="1744" ht="15.75" customHeight="1">
      <c r="A1744" s="35" t="s">
        <v>6109</v>
      </c>
      <c r="B1744" s="35"/>
      <c r="C1744" s="35">
        <v>6.0</v>
      </c>
      <c r="D1744" s="35" t="s">
        <v>4546</v>
      </c>
      <c r="E1744" s="35">
        <v>46027.0</v>
      </c>
      <c r="F1744" s="35">
        <v>0.0</v>
      </c>
      <c r="G1744" s="35">
        <v>0.0</v>
      </c>
      <c r="H1744" s="35">
        <v>0.0</v>
      </c>
      <c r="I1744" s="35">
        <v>1.0</v>
      </c>
      <c r="J1744" s="35"/>
      <c r="K1744" s="35">
        <v>0.0</v>
      </c>
    </row>
    <row r="1745" ht="15.75" customHeight="1">
      <c r="A1745" s="35" t="s">
        <v>6111</v>
      </c>
      <c r="B1745" s="35"/>
      <c r="C1745" s="35">
        <v>6.0</v>
      </c>
      <c r="D1745" s="35" t="s">
        <v>2607</v>
      </c>
      <c r="E1745" s="35">
        <v>46027.0</v>
      </c>
      <c r="F1745" s="35">
        <v>0.0</v>
      </c>
      <c r="G1745" s="35">
        <v>0.0</v>
      </c>
      <c r="H1745" s="35">
        <v>4.0</v>
      </c>
      <c r="I1745" s="35">
        <v>0.0</v>
      </c>
      <c r="J1745" s="35"/>
      <c r="K1745" s="35">
        <v>0.0</v>
      </c>
    </row>
    <row r="1746" ht="15.75" customHeight="1">
      <c r="A1746" s="35" t="s">
        <v>6112</v>
      </c>
      <c r="B1746" s="35"/>
      <c r="C1746" s="35">
        <v>6.0</v>
      </c>
      <c r="D1746" s="35">
        <v>417.0</v>
      </c>
      <c r="E1746" s="35">
        <v>46027.0</v>
      </c>
      <c r="F1746" s="35">
        <v>0.0</v>
      </c>
      <c r="G1746" s="35">
        <v>3.0</v>
      </c>
      <c r="H1746" s="35">
        <v>0.0</v>
      </c>
      <c r="I1746" s="35">
        <v>0.0</v>
      </c>
      <c r="J1746" s="35"/>
      <c r="K1746" s="35">
        <v>0.0</v>
      </c>
    </row>
    <row r="1747" ht="15.75" customHeight="1">
      <c r="A1747" s="35" t="s">
        <v>6114</v>
      </c>
      <c r="B1747" s="35"/>
      <c r="C1747" s="35">
        <v>6.0</v>
      </c>
      <c r="D1747" s="35" t="s">
        <v>4965</v>
      </c>
      <c r="E1747" s="35">
        <v>46027.0</v>
      </c>
      <c r="F1747" s="35">
        <v>0.0</v>
      </c>
      <c r="G1747" s="35">
        <v>1.0</v>
      </c>
      <c r="H1747" s="35">
        <v>0.0</v>
      </c>
      <c r="I1747" s="35">
        <v>0.0</v>
      </c>
      <c r="J1747" s="35"/>
      <c r="K1747" s="35">
        <v>0.0</v>
      </c>
    </row>
    <row r="1748" ht="15.75" customHeight="1">
      <c r="A1748" s="35" t="s">
        <v>6115</v>
      </c>
      <c r="B1748" s="35"/>
      <c r="C1748" s="35">
        <v>6.0</v>
      </c>
      <c r="D1748" s="35">
        <v>950.0</v>
      </c>
      <c r="E1748" s="35">
        <v>46027.0</v>
      </c>
      <c r="F1748" s="35">
        <v>0.0</v>
      </c>
      <c r="G1748" s="35">
        <v>15.0</v>
      </c>
      <c r="H1748" s="35">
        <v>0.0</v>
      </c>
      <c r="I1748" s="35">
        <v>0.0</v>
      </c>
      <c r="J1748" s="35"/>
      <c r="K1748" s="35">
        <v>0.0</v>
      </c>
    </row>
    <row r="1749" ht="15.75" customHeight="1">
      <c r="A1749" s="35" t="s">
        <v>6117</v>
      </c>
      <c r="B1749" s="35"/>
      <c r="C1749" s="35">
        <v>6.0</v>
      </c>
      <c r="D1749" s="35">
        <v>243.0</v>
      </c>
      <c r="E1749" s="35">
        <v>46027.0</v>
      </c>
      <c r="F1749" s="35">
        <v>0.0</v>
      </c>
      <c r="G1749" s="35">
        <v>1.0</v>
      </c>
      <c r="H1749" s="35">
        <v>0.0</v>
      </c>
      <c r="I1749" s="35">
        <v>0.0</v>
      </c>
      <c r="J1749" s="35"/>
      <c r="K1749" s="35">
        <v>0.0</v>
      </c>
    </row>
    <row r="1750" ht="15.75" customHeight="1">
      <c r="A1750" s="35" t="s">
        <v>6118</v>
      </c>
      <c r="B1750" s="35"/>
      <c r="C1750" s="35">
        <v>6.0</v>
      </c>
      <c r="D1750" s="35">
        <v>688.0</v>
      </c>
      <c r="E1750" s="35">
        <v>46027.0</v>
      </c>
      <c r="F1750" s="35">
        <v>0.0</v>
      </c>
      <c r="G1750" s="35">
        <v>2.0</v>
      </c>
      <c r="H1750" s="35">
        <v>0.0</v>
      </c>
      <c r="I1750" s="35">
        <v>0.0</v>
      </c>
      <c r="J1750" s="35"/>
      <c r="K1750" s="35">
        <v>0.0</v>
      </c>
    </row>
    <row r="1751" ht="15.75" customHeight="1">
      <c r="A1751" s="35" t="s">
        <v>6119</v>
      </c>
      <c r="B1751" s="35"/>
      <c r="C1751" s="35">
        <v>6.0</v>
      </c>
      <c r="D1751" s="35" t="s">
        <v>4635</v>
      </c>
      <c r="E1751" s="35">
        <v>46027.0</v>
      </c>
      <c r="F1751" s="35">
        <v>0.0</v>
      </c>
      <c r="G1751" s="35">
        <v>12.0</v>
      </c>
      <c r="H1751" s="35">
        <v>0.0</v>
      </c>
      <c r="I1751" s="35">
        <v>0.0</v>
      </c>
      <c r="J1751" s="35"/>
      <c r="K1751" s="35">
        <v>0.0</v>
      </c>
    </row>
    <row r="1752" ht="15.75" customHeight="1">
      <c r="A1752" s="35" t="s">
        <v>6121</v>
      </c>
      <c r="B1752" s="35"/>
      <c r="C1752" s="35">
        <v>6.0</v>
      </c>
      <c r="D1752" s="35">
        <v>61.0</v>
      </c>
      <c r="E1752" s="35">
        <v>46027.0</v>
      </c>
      <c r="F1752" s="35">
        <v>0.0</v>
      </c>
      <c r="G1752" s="35">
        <v>1.0</v>
      </c>
      <c r="H1752" s="35">
        <v>0.0</v>
      </c>
      <c r="I1752" s="35">
        <v>0.0</v>
      </c>
      <c r="J1752" s="35"/>
      <c r="K1752" s="35">
        <v>0.0</v>
      </c>
    </row>
    <row r="1753" ht="15.75" customHeight="1">
      <c r="A1753" s="35" t="s">
        <v>6122</v>
      </c>
      <c r="B1753" s="35"/>
      <c r="C1753" s="35">
        <v>6.0</v>
      </c>
      <c r="D1753" s="35" t="s">
        <v>4635</v>
      </c>
      <c r="E1753" s="35">
        <v>46027.0</v>
      </c>
      <c r="F1753" s="35">
        <v>0.0</v>
      </c>
      <c r="G1753" s="35">
        <v>1.0</v>
      </c>
      <c r="H1753" s="35">
        <v>0.0</v>
      </c>
      <c r="I1753" s="35">
        <v>0.0</v>
      </c>
      <c r="J1753" s="35"/>
      <c r="K1753" s="35">
        <v>0.0</v>
      </c>
    </row>
    <row r="1754" ht="15.75" customHeight="1">
      <c r="A1754" s="35" t="s">
        <v>6124</v>
      </c>
      <c r="B1754" s="35"/>
      <c r="C1754" s="35">
        <v>6.0</v>
      </c>
      <c r="D1754" s="35" t="s">
        <v>4635</v>
      </c>
      <c r="E1754" s="35">
        <v>46027.0</v>
      </c>
      <c r="F1754" s="35">
        <v>0.0</v>
      </c>
      <c r="G1754" s="35">
        <v>5.0</v>
      </c>
      <c r="H1754" s="35">
        <v>0.0</v>
      </c>
      <c r="I1754" s="35">
        <v>0.0</v>
      </c>
      <c r="J1754" s="35"/>
      <c r="K1754" s="35">
        <v>0.0</v>
      </c>
    </row>
    <row r="1755" ht="15.75" customHeight="1">
      <c r="A1755" s="35" t="s">
        <v>6125</v>
      </c>
      <c r="B1755" s="35"/>
      <c r="C1755" s="35">
        <v>6.0</v>
      </c>
      <c r="D1755" s="35" t="s">
        <v>2019</v>
      </c>
      <c r="E1755" s="35">
        <v>46027.0</v>
      </c>
      <c r="F1755" s="35">
        <v>0.0</v>
      </c>
      <c r="G1755" s="35">
        <v>0.0</v>
      </c>
      <c r="H1755" s="35">
        <v>1.0</v>
      </c>
      <c r="I1755" s="35">
        <v>0.0</v>
      </c>
      <c r="J1755" s="35"/>
      <c r="K1755" s="35">
        <v>0.0</v>
      </c>
    </row>
    <row r="1756" ht="15.75" customHeight="1">
      <c r="A1756" s="35" t="s">
        <v>6127</v>
      </c>
      <c r="B1756" s="35"/>
      <c r="C1756" s="35">
        <v>6.0</v>
      </c>
      <c r="D1756" s="35" t="s">
        <v>4635</v>
      </c>
      <c r="E1756" s="35">
        <v>46027.0</v>
      </c>
      <c r="F1756" s="35">
        <v>0.0</v>
      </c>
      <c r="G1756" s="35">
        <v>3.0</v>
      </c>
      <c r="H1756" s="35">
        <v>0.0</v>
      </c>
      <c r="I1756" s="35">
        <v>0.0</v>
      </c>
      <c r="J1756" s="35"/>
      <c r="K1756" s="35">
        <v>0.0</v>
      </c>
    </row>
    <row r="1757" ht="15.75" customHeight="1">
      <c r="A1757" s="35" t="s">
        <v>6128</v>
      </c>
      <c r="B1757" s="35"/>
      <c r="C1757" s="35">
        <v>6.0</v>
      </c>
      <c r="D1757" s="35" t="s">
        <v>5316</v>
      </c>
      <c r="E1757" s="35">
        <v>46027.0</v>
      </c>
      <c r="F1757" s="35">
        <v>0.0</v>
      </c>
      <c r="G1757" s="35">
        <v>1.0</v>
      </c>
      <c r="H1757" s="35">
        <v>0.0</v>
      </c>
      <c r="I1757" s="35">
        <v>0.0</v>
      </c>
      <c r="J1757" s="35"/>
      <c r="K1757" s="35">
        <v>0.0</v>
      </c>
    </row>
    <row r="1758" ht="15.75" customHeight="1">
      <c r="A1758" s="35" t="s">
        <v>1863</v>
      </c>
      <c r="B1758" s="35"/>
      <c r="C1758" s="35">
        <v>6.0</v>
      </c>
      <c r="D1758" s="35">
        <v>171.0</v>
      </c>
      <c r="E1758" s="35">
        <v>46027.0</v>
      </c>
      <c r="F1758" s="35">
        <v>0.0</v>
      </c>
      <c r="G1758" s="35">
        <v>0.0</v>
      </c>
      <c r="H1758" s="35">
        <v>1.0</v>
      </c>
      <c r="I1758" s="35">
        <v>0.0</v>
      </c>
      <c r="J1758" s="35"/>
      <c r="K1758" s="35">
        <v>0.0</v>
      </c>
    </row>
    <row r="1759" ht="15.75" customHeight="1">
      <c r="A1759" s="35" t="s">
        <v>6130</v>
      </c>
      <c r="B1759" s="35"/>
      <c r="C1759" s="35">
        <v>6.0</v>
      </c>
      <c r="D1759" s="35" t="s">
        <v>6131</v>
      </c>
      <c r="E1759" s="35">
        <v>46027.0</v>
      </c>
      <c r="F1759" s="35">
        <v>0.0</v>
      </c>
      <c r="G1759" s="35">
        <v>25.0</v>
      </c>
      <c r="H1759" s="35">
        <v>0.0</v>
      </c>
      <c r="I1759" s="35">
        <v>0.0</v>
      </c>
      <c r="J1759" s="35"/>
      <c r="K1759" s="35">
        <v>0.0</v>
      </c>
    </row>
    <row r="1760" ht="15.75" customHeight="1">
      <c r="A1760" s="35" t="s">
        <v>6132</v>
      </c>
      <c r="B1760" s="35"/>
      <c r="C1760" s="35">
        <v>6.0</v>
      </c>
      <c r="D1760" s="35" t="s">
        <v>2004</v>
      </c>
      <c r="E1760" s="35">
        <v>46027.0</v>
      </c>
      <c r="F1760" s="35">
        <v>0.0</v>
      </c>
      <c r="G1760" s="35">
        <v>1.0</v>
      </c>
      <c r="H1760" s="35">
        <v>0.0</v>
      </c>
      <c r="I1760" s="35">
        <v>0.0</v>
      </c>
      <c r="J1760" s="35"/>
      <c r="K1760" s="35">
        <v>0.0</v>
      </c>
    </row>
    <row r="1761" ht="15.75" customHeight="1">
      <c r="A1761" s="35" t="s">
        <v>6134</v>
      </c>
      <c r="B1761" s="35"/>
      <c r="C1761" s="35">
        <v>6.0</v>
      </c>
      <c r="D1761" s="35">
        <v>56.0</v>
      </c>
      <c r="E1761" s="35">
        <v>46027.0</v>
      </c>
      <c r="F1761" s="35">
        <v>0.0</v>
      </c>
      <c r="G1761" s="35">
        <v>0.0</v>
      </c>
      <c r="H1761" s="35">
        <v>0.0</v>
      </c>
      <c r="I1761" s="35">
        <v>2.0</v>
      </c>
      <c r="J1761" s="35"/>
      <c r="K1761" s="35">
        <v>0.0</v>
      </c>
    </row>
    <row r="1762" ht="15.75" customHeight="1">
      <c r="A1762" s="35" t="s">
        <v>6135</v>
      </c>
      <c r="B1762" s="35"/>
      <c r="C1762" s="35">
        <v>6.0</v>
      </c>
      <c r="D1762" s="35">
        <v>372.0</v>
      </c>
      <c r="E1762" s="35">
        <v>46027.0</v>
      </c>
      <c r="F1762" s="35">
        <v>0.0</v>
      </c>
      <c r="G1762" s="35">
        <v>1.0</v>
      </c>
      <c r="H1762" s="35">
        <v>0.0</v>
      </c>
      <c r="I1762" s="35">
        <v>0.0</v>
      </c>
      <c r="J1762" s="35"/>
      <c r="K1762" s="35">
        <v>0.0</v>
      </c>
    </row>
    <row r="1763" ht="15.75" customHeight="1">
      <c r="A1763" s="35" t="s">
        <v>6137</v>
      </c>
      <c r="B1763" s="35"/>
      <c r="C1763" s="35">
        <v>6.0</v>
      </c>
      <c r="D1763" s="35" t="s">
        <v>4563</v>
      </c>
      <c r="E1763" s="35">
        <v>46027.0</v>
      </c>
      <c r="F1763" s="35">
        <v>0.0</v>
      </c>
      <c r="G1763" s="35">
        <v>10.0</v>
      </c>
      <c r="H1763" s="35">
        <v>0.0</v>
      </c>
      <c r="I1763" s="35">
        <v>0.0</v>
      </c>
      <c r="J1763" s="35"/>
      <c r="K1763" s="35">
        <v>0.0</v>
      </c>
    </row>
    <row r="1764" ht="15.75" customHeight="1">
      <c r="A1764" s="35" t="s">
        <v>6138</v>
      </c>
      <c r="B1764" s="35"/>
      <c r="C1764" s="35">
        <v>6.0</v>
      </c>
      <c r="D1764" s="35" t="s">
        <v>2038</v>
      </c>
      <c r="E1764" s="35">
        <v>46027.0</v>
      </c>
      <c r="F1764" s="35">
        <v>0.0</v>
      </c>
      <c r="G1764" s="35">
        <v>16.0</v>
      </c>
      <c r="H1764" s="35">
        <v>0.0</v>
      </c>
      <c r="I1764" s="35">
        <v>0.0</v>
      </c>
      <c r="J1764" s="35"/>
      <c r="K1764" s="35">
        <v>0.0</v>
      </c>
    </row>
    <row r="1765" ht="15.75" customHeight="1">
      <c r="A1765" s="35" t="s">
        <v>6140</v>
      </c>
      <c r="B1765" s="35"/>
      <c r="C1765" s="35">
        <v>6.0</v>
      </c>
      <c r="D1765" s="35" t="s">
        <v>3577</v>
      </c>
      <c r="E1765" s="35">
        <v>46027.0</v>
      </c>
      <c r="F1765" s="35">
        <v>0.0</v>
      </c>
      <c r="G1765" s="35">
        <v>0.0</v>
      </c>
      <c r="H1765" s="35">
        <v>1.0</v>
      </c>
      <c r="I1765" s="35">
        <v>0.0</v>
      </c>
      <c r="J1765" s="35"/>
      <c r="K1765" s="35">
        <v>0.0</v>
      </c>
    </row>
    <row r="1766" ht="15.75" customHeight="1">
      <c r="A1766" s="35" t="s">
        <v>6141</v>
      </c>
      <c r="B1766" s="35"/>
      <c r="C1766" s="35">
        <v>6.0</v>
      </c>
      <c r="D1766" s="35">
        <v>46.0</v>
      </c>
      <c r="E1766" s="35">
        <v>46027.0</v>
      </c>
      <c r="F1766" s="35">
        <v>0.0</v>
      </c>
      <c r="G1766" s="35">
        <v>0.0</v>
      </c>
      <c r="H1766" s="35">
        <v>0.0</v>
      </c>
      <c r="I1766" s="35">
        <v>1.0</v>
      </c>
      <c r="J1766" s="35"/>
      <c r="K1766" s="35">
        <v>0.0</v>
      </c>
    </row>
    <row r="1767" ht="15.75" customHeight="1">
      <c r="A1767" s="35" t="s">
        <v>6143</v>
      </c>
      <c r="B1767" s="35"/>
      <c r="C1767" s="35">
        <v>6.0</v>
      </c>
      <c r="D1767" s="35" t="s">
        <v>4635</v>
      </c>
      <c r="E1767" s="35">
        <v>46027.0</v>
      </c>
      <c r="F1767" s="35">
        <v>0.0</v>
      </c>
      <c r="G1767" s="35">
        <v>1.0</v>
      </c>
      <c r="H1767" s="35">
        <v>0.0</v>
      </c>
      <c r="I1767" s="35">
        <v>0.0</v>
      </c>
      <c r="J1767" s="35"/>
      <c r="K1767" s="35">
        <v>0.0</v>
      </c>
    </row>
    <row r="1768" ht="15.75" customHeight="1">
      <c r="A1768" s="35" t="s">
        <v>6144</v>
      </c>
      <c r="B1768" s="35"/>
      <c r="C1768" s="35">
        <v>6.0</v>
      </c>
      <c r="D1768" s="35">
        <v>403.0</v>
      </c>
      <c r="E1768" s="35">
        <v>46027.0</v>
      </c>
      <c r="F1768" s="35">
        <v>0.0</v>
      </c>
      <c r="G1768" s="35">
        <v>1.0</v>
      </c>
      <c r="H1768" s="35">
        <v>0.0</v>
      </c>
      <c r="I1768" s="35">
        <v>0.0</v>
      </c>
      <c r="J1768" s="35"/>
      <c r="K1768" s="35">
        <v>0.0</v>
      </c>
    </row>
    <row r="1769" ht="15.75" customHeight="1">
      <c r="A1769" s="35" t="s">
        <v>6145</v>
      </c>
      <c r="B1769" s="35"/>
      <c r="C1769" s="35">
        <v>6.0</v>
      </c>
      <c r="D1769" s="35" t="s">
        <v>4284</v>
      </c>
      <c r="E1769" s="35">
        <v>46027.0</v>
      </c>
      <c r="F1769" s="35">
        <v>0.0</v>
      </c>
      <c r="G1769" s="35">
        <v>1.0</v>
      </c>
      <c r="H1769" s="35">
        <v>0.0</v>
      </c>
      <c r="I1769" s="35">
        <v>0.0</v>
      </c>
      <c r="J1769" s="35"/>
      <c r="K1769" s="35">
        <v>0.0</v>
      </c>
    </row>
    <row r="1770" ht="15.75" customHeight="1">
      <c r="A1770" s="35" t="s">
        <v>6147</v>
      </c>
      <c r="B1770" s="35"/>
      <c r="C1770" s="35">
        <v>6.0</v>
      </c>
      <c r="D1770" s="35" t="s">
        <v>6148</v>
      </c>
      <c r="E1770" s="35">
        <v>46027.0</v>
      </c>
      <c r="F1770" s="35">
        <v>0.0</v>
      </c>
      <c r="G1770" s="35">
        <v>0.0</v>
      </c>
      <c r="H1770" s="35">
        <v>16.0</v>
      </c>
      <c r="I1770" s="35">
        <v>0.0</v>
      </c>
      <c r="J1770" s="35"/>
      <c r="K1770" s="35">
        <v>0.0</v>
      </c>
    </row>
    <row r="1771" ht="15.75" customHeight="1">
      <c r="A1771" s="35" t="s">
        <v>6149</v>
      </c>
      <c r="B1771" s="35"/>
      <c r="C1771" s="35">
        <v>6.0</v>
      </c>
      <c r="D1771" s="35" t="s">
        <v>1964</v>
      </c>
      <c r="E1771" s="35">
        <v>46027.0</v>
      </c>
      <c r="F1771" s="35">
        <v>0.0</v>
      </c>
      <c r="G1771" s="35">
        <v>1.0</v>
      </c>
      <c r="H1771" s="35">
        <v>0.0</v>
      </c>
      <c r="I1771" s="35">
        <v>0.0</v>
      </c>
      <c r="J1771" s="35"/>
      <c r="K1771" s="35">
        <v>0.0</v>
      </c>
    </row>
    <row r="1772" ht="15.75" customHeight="1">
      <c r="A1772" s="35" t="s">
        <v>6150</v>
      </c>
      <c r="B1772" s="35"/>
      <c r="C1772" s="35">
        <v>6.0</v>
      </c>
      <c r="D1772" s="35" t="s">
        <v>3120</v>
      </c>
      <c r="E1772" s="35">
        <v>46027.0</v>
      </c>
      <c r="F1772" s="35">
        <v>0.0</v>
      </c>
      <c r="G1772" s="35">
        <v>0.0</v>
      </c>
      <c r="H1772" s="35">
        <v>7.0</v>
      </c>
      <c r="I1772" s="35">
        <v>0.0</v>
      </c>
      <c r="J1772" s="35"/>
      <c r="K1772" s="35">
        <v>0.0</v>
      </c>
    </row>
    <row r="1773" ht="15.75" customHeight="1">
      <c r="A1773" s="35" t="s">
        <v>6151</v>
      </c>
      <c r="B1773" s="35"/>
      <c r="C1773" s="35">
        <v>6.0</v>
      </c>
      <c r="D1773" s="35">
        <v>333.0</v>
      </c>
      <c r="E1773" s="35">
        <v>46027.0</v>
      </c>
      <c r="F1773" s="35">
        <v>0.0</v>
      </c>
      <c r="G1773" s="35">
        <v>2.0</v>
      </c>
      <c r="H1773" s="35">
        <v>0.0</v>
      </c>
      <c r="I1773" s="35">
        <v>0.0</v>
      </c>
      <c r="J1773" s="35"/>
      <c r="K1773" s="35">
        <v>0.0</v>
      </c>
    </row>
    <row r="1774" ht="15.75" customHeight="1">
      <c r="A1774" s="35" t="s">
        <v>6152</v>
      </c>
      <c r="B1774" s="35"/>
      <c r="C1774" s="35">
        <v>6.0</v>
      </c>
      <c r="D1774" s="35" t="s">
        <v>4963</v>
      </c>
      <c r="E1774" s="35">
        <v>46027.0</v>
      </c>
      <c r="F1774" s="35">
        <v>0.0</v>
      </c>
      <c r="G1774" s="35">
        <v>1.0</v>
      </c>
      <c r="H1774" s="35">
        <v>0.0</v>
      </c>
      <c r="I1774" s="35">
        <v>0.0</v>
      </c>
      <c r="J1774" s="35"/>
      <c r="K1774" s="35">
        <v>0.0</v>
      </c>
    </row>
    <row r="1775" ht="15.75" customHeight="1">
      <c r="A1775" s="35" t="s">
        <v>6153</v>
      </c>
      <c r="B1775" s="35"/>
      <c r="C1775" s="35">
        <v>6.0</v>
      </c>
      <c r="D1775" s="35" t="s">
        <v>4635</v>
      </c>
      <c r="E1775" s="35">
        <v>46027.0</v>
      </c>
      <c r="F1775" s="35">
        <v>0.0</v>
      </c>
      <c r="G1775" s="35">
        <v>0.0</v>
      </c>
      <c r="H1775" s="35">
        <v>9.0</v>
      </c>
      <c r="I1775" s="35">
        <v>0.0</v>
      </c>
      <c r="J1775" s="35"/>
      <c r="K1775" s="35">
        <v>0.0</v>
      </c>
    </row>
    <row r="1776" ht="15.75" customHeight="1">
      <c r="A1776" s="35" t="s">
        <v>6154</v>
      </c>
      <c r="B1776" s="35"/>
      <c r="C1776" s="35">
        <v>6.0</v>
      </c>
      <c r="D1776" s="35" t="s">
        <v>4635</v>
      </c>
      <c r="E1776" s="35">
        <v>46027.0</v>
      </c>
      <c r="F1776" s="35">
        <v>0.0</v>
      </c>
      <c r="G1776" s="35">
        <v>1.0</v>
      </c>
      <c r="H1776" s="35">
        <v>0.0</v>
      </c>
      <c r="I1776" s="35">
        <v>0.0</v>
      </c>
      <c r="J1776" s="35"/>
      <c r="K1776" s="35">
        <v>0.0</v>
      </c>
    </row>
    <row r="1777" ht="15.75" customHeight="1">
      <c r="A1777" s="35" t="s">
        <v>6155</v>
      </c>
      <c r="B1777" s="35"/>
      <c r="C1777" s="35">
        <v>6.0</v>
      </c>
      <c r="D1777" s="35">
        <v>376.0</v>
      </c>
      <c r="E1777" s="35">
        <v>46027.0</v>
      </c>
      <c r="F1777" s="35">
        <v>0.0</v>
      </c>
      <c r="G1777" s="35">
        <v>1.0</v>
      </c>
      <c r="H1777" s="35">
        <v>0.0</v>
      </c>
      <c r="I1777" s="35">
        <v>0.0</v>
      </c>
      <c r="J1777" s="35"/>
      <c r="K1777" s="35">
        <v>0.0</v>
      </c>
    </row>
    <row r="1778" ht="15.75" customHeight="1">
      <c r="A1778" s="35" t="s">
        <v>1869</v>
      </c>
      <c r="B1778" s="35"/>
      <c r="C1778" s="35">
        <v>6.0</v>
      </c>
      <c r="D1778" s="35" t="s">
        <v>4635</v>
      </c>
      <c r="E1778" s="35">
        <v>46027.0</v>
      </c>
      <c r="F1778" s="35">
        <v>0.0</v>
      </c>
      <c r="G1778" s="35">
        <v>176.0</v>
      </c>
      <c r="H1778" s="35">
        <v>0.0</v>
      </c>
      <c r="I1778" s="35">
        <v>0.0</v>
      </c>
      <c r="J1778" s="35"/>
      <c r="K1778" s="35">
        <v>0.0</v>
      </c>
    </row>
    <row r="1779" ht="15.75" customHeight="1">
      <c r="A1779" s="35" t="s">
        <v>6156</v>
      </c>
      <c r="B1779" s="35"/>
      <c r="C1779" s="35">
        <v>6.0</v>
      </c>
      <c r="D1779" s="35" t="s">
        <v>4635</v>
      </c>
      <c r="E1779" s="35">
        <v>46027.0</v>
      </c>
      <c r="F1779" s="35">
        <v>0.0</v>
      </c>
      <c r="G1779" s="35">
        <v>2.0</v>
      </c>
      <c r="H1779" s="35">
        <v>0.0</v>
      </c>
      <c r="I1779" s="35">
        <v>0.0</v>
      </c>
      <c r="J1779" s="35"/>
      <c r="K1779" s="35">
        <v>0.0</v>
      </c>
    </row>
    <row r="1780" ht="15.75" customHeight="1">
      <c r="A1780" s="35" t="s">
        <v>6158</v>
      </c>
      <c r="B1780" s="35"/>
      <c r="C1780" s="35">
        <v>6.0</v>
      </c>
      <c r="D1780" s="35" t="s">
        <v>2032</v>
      </c>
      <c r="E1780" s="35">
        <v>46027.0</v>
      </c>
      <c r="F1780" s="35">
        <v>0.0</v>
      </c>
      <c r="G1780" s="35">
        <v>1.0</v>
      </c>
      <c r="H1780" s="35">
        <v>0.0</v>
      </c>
      <c r="I1780" s="35">
        <v>0.0</v>
      </c>
      <c r="J1780" s="35"/>
      <c r="K1780" s="35">
        <v>0.0</v>
      </c>
    </row>
    <row r="1781" ht="15.75" customHeight="1">
      <c r="A1781" s="35" t="s">
        <v>6159</v>
      </c>
      <c r="B1781" s="35"/>
      <c r="C1781" s="35">
        <v>6.0</v>
      </c>
      <c r="D1781" s="35" t="s">
        <v>6160</v>
      </c>
      <c r="E1781" s="35">
        <v>46027.0</v>
      </c>
      <c r="F1781" s="35">
        <v>0.0</v>
      </c>
      <c r="G1781" s="35">
        <v>0.0</v>
      </c>
      <c r="H1781" s="35">
        <v>5.0</v>
      </c>
      <c r="I1781" s="35">
        <v>0.0</v>
      </c>
      <c r="J1781" s="35"/>
      <c r="K1781" s="35">
        <v>0.0</v>
      </c>
    </row>
    <row r="1782" ht="15.75" customHeight="1">
      <c r="A1782" s="35" t="s">
        <v>6161</v>
      </c>
      <c r="B1782" s="35"/>
      <c r="C1782" s="35">
        <v>6.0</v>
      </c>
      <c r="D1782" s="35" t="s">
        <v>3160</v>
      </c>
      <c r="E1782" s="35">
        <v>46027.0</v>
      </c>
      <c r="F1782" s="35">
        <v>0.0</v>
      </c>
      <c r="G1782" s="35">
        <v>0.0</v>
      </c>
      <c r="H1782" s="35">
        <v>6.0</v>
      </c>
      <c r="I1782" s="35">
        <v>0.0</v>
      </c>
      <c r="J1782" s="35"/>
      <c r="K1782" s="35">
        <v>0.0</v>
      </c>
    </row>
    <row r="1783" ht="15.75" customHeight="1">
      <c r="A1783" s="35" t="s">
        <v>1873</v>
      </c>
      <c r="B1783" s="35"/>
      <c r="C1783" s="35">
        <v>6.0</v>
      </c>
      <c r="D1783" s="35">
        <v>394.0</v>
      </c>
      <c r="E1783" s="35">
        <v>46027.0</v>
      </c>
      <c r="F1783" s="35">
        <v>0.0</v>
      </c>
      <c r="G1783" s="35">
        <v>2.0</v>
      </c>
      <c r="H1783" s="35">
        <v>0.0</v>
      </c>
      <c r="I1783" s="35">
        <v>0.0</v>
      </c>
      <c r="J1783" s="35"/>
      <c r="K1783" s="35">
        <v>0.0</v>
      </c>
    </row>
    <row r="1784" ht="15.75" customHeight="1">
      <c r="A1784" s="35" t="s">
        <v>6163</v>
      </c>
      <c r="B1784" s="35"/>
      <c r="C1784" s="35">
        <v>6.0</v>
      </c>
      <c r="D1784" s="35">
        <v>210.0</v>
      </c>
      <c r="E1784" s="35">
        <v>46027.0</v>
      </c>
      <c r="F1784" s="35">
        <v>0.0</v>
      </c>
      <c r="G1784" s="35">
        <v>1.0</v>
      </c>
      <c r="H1784" s="35">
        <v>0.0</v>
      </c>
      <c r="I1784" s="35">
        <v>0.0</v>
      </c>
      <c r="J1784" s="35"/>
      <c r="K1784" s="35">
        <v>0.0</v>
      </c>
    </row>
    <row r="1785" ht="15.75" customHeight="1">
      <c r="A1785" s="35" t="s">
        <v>6165</v>
      </c>
      <c r="B1785" s="35"/>
      <c r="C1785" s="35">
        <v>6.0</v>
      </c>
      <c r="D1785" s="35" t="s">
        <v>3577</v>
      </c>
      <c r="E1785" s="35">
        <v>46027.0</v>
      </c>
      <c r="F1785" s="35">
        <v>0.0</v>
      </c>
      <c r="G1785" s="35">
        <v>1.0</v>
      </c>
      <c r="H1785" s="35">
        <v>0.0</v>
      </c>
      <c r="I1785" s="35">
        <v>0.0</v>
      </c>
      <c r="J1785" s="35"/>
      <c r="K1785" s="35">
        <v>0.0</v>
      </c>
    </row>
    <row r="1786" ht="15.75" customHeight="1">
      <c r="A1786" s="35" t="s">
        <v>6166</v>
      </c>
      <c r="B1786" s="35"/>
      <c r="C1786" s="35">
        <v>6.0</v>
      </c>
      <c r="D1786" s="35">
        <v>316.0</v>
      </c>
      <c r="E1786" s="35">
        <v>46027.0</v>
      </c>
      <c r="F1786" s="35">
        <v>0.0</v>
      </c>
      <c r="G1786" s="35">
        <v>8.0</v>
      </c>
      <c r="H1786" s="35">
        <v>0.0</v>
      </c>
      <c r="I1786" s="35">
        <v>0.0</v>
      </c>
      <c r="J1786" s="35"/>
      <c r="K1786" s="35">
        <v>0.0</v>
      </c>
    </row>
    <row r="1787" ht="15.75" customHeight="1">
      <c r="A1787" s="35" t="s">
        <v>6168</v>
      </c>
      <c r="B1787" s="35"/>
      <c r="C1787" s="35">
        <v>6.0</v>
      </c>
      <c r="D1787" s="35">
        <v>76.0</v>
      </c>
      <c r="E1787" s="35">
        <v>46027.0</v>
      </c>
      <c r="F1787" s="35">
        <v>0.0</v>
      </c>
      <c r="G1787" s="35">
        <v>0.0</v>
      </c>
      <c r="H1787" s="35">
        <v>4.0</v>
      </c>
      <c r="I1787" s="35">
        <v>0.0</v>
      </c>
      <c r="J1787" s="35"/>
      <c r="K1787" s="35">
        <v>0.0</v>
      </c>
    </row>
    <row r="1788" ht="15.75" customHeight="1">
      <c r="A1788" s="35" t="s">
        <v>6169</v>
      </c>
      <c r="B1788" s="35"/>
      <c r="C1788" s="35">
        <v>6.0</v>
      </c>
      <c r="D1788" s="35" t="s">
        <v>4343</v>
      </c>
      <c r="E1788" s="35">
        <v>46027.0</v>
      </c>
      <c r="F1788" s="35">
        <v>0.0</v>
      </c>
      <c r="G1788" s="35">
        <v>1.0</v>
      </c>
      <c r="H1788" s="35">
        <v>0.0</v>
      </c>
      <c r="I1788" s="35">
        <v>0.0</v>
      </c>
      <c r="J1788" s="35"/>
      <c r="K1788" s="35">
        <v>0.0</v>
      </c>
    </row>
    <row r="1789" ht="15.75" customHeight="1">
      <c r="A1789" s="35" t="s">
        <v>6170</v>
      </c>
      <c r="B1789" s="35"/>
      <c r="C1789" s="35">
        <v>6.0</v>
      </c>
      <c r="D1789" s="35" t="s">
        <v>4635</v>
      </c>
      <c r="E1789" s="35">
        <v>46027.0</v>
      </c>
      <c r="F1789" s="35">
        <v>0.0</v>
      </c>
      <c r="G1789" s="35">
        <v>2.0</v>
      </c>
      <c r="H1789" s="35">
        <v>0.0</v>
      </c>
      <c r="I1789" s="35">
        <v>0.0</v>
      </c>
      <c r="J1789" s="35"/>
      <c r="K1789" s="35">
        <v>0.0</v>
      </c>
    </row>
    <row r="1790" ht="15.75" customHeight="1">
      <c r="A1790" s="35" t="s">
        <v>6172</v>
      </c>
      <c r="B1790" s="35"/>
      <c r="C1790" s="35">
        <v>6.0</v>
      </c>
      <c r="D1790" s="35">
        <v>181.0</v>
      </c>
      <c r="E1790" s="35">
        <v>46027.0</v>
      </c>
      <c r="F1790" s="35">
        <v>0.0</v>
      </c>
      <c r="G1790" s="35">
        <v>1.0</v>
      </c>
      <c r="H1790" s="35">
        <v>0.0</v>
      </c>
      <c r="I1790" s="35">
        <v>0.0</v>
      </c>
      <c r="J1790" s="35"/>
      <c r="K1790" s="35">
        <v>0.0</v>
      </c>
    </row>
    <row r="1791" ht="15.75" customHeight="1">
      <c r="A1791" s="35" t="s">
        <v>6173</v>
      </c>
      <c r="B1791" s="35"/>
      <c r="C1791" s="35">
        <v>6.0</v>
      </c>
      <c r="D1791" s="35">
        <v>500.0</v>
      </c>
      <c r="E1791" s="35">
        <v>46027.0</v>
      </c>
      <c r="F1791" s="35">
        <v>0.0</v>
      </c>
      <c r="G1791" s="35">
        <v>1.0</v>
      </c>
      <c r="H1791" s="35">
        <v>0.0</v>
      </c>
      <c r="I1791" s="35">
        <v>0.0</v>
      </c>
      <c r="J1791" s="35"/>
      <c r="K1791" s="35">
        <v>0.0</v>
      </c>
    </row>
    <row r="1792" ht="15.75" customHeight="1">
      <c r="A1792" s="35" t="s">
        <v>6175</v>
      </c>
      <c r="B1792" s="35"/>
      <c r="C1792" s="35">
        <v>6.0</v>
      </c>
      <c r="D1792" s="35" t="s">
        <v>6176</v>
      </c>
      <c r="E1792" s="35">
        <v>46027.0</v>
      </c>
      <c r="F1792" s="35">
        <v>0.0</v>
      </c>
      <c r="G1792" s="35">
        <v>1.0</v>
      </c>
      <c r="H1792" s="35">
        <v>0.0</v>
      </c>
      <c r="I1792" s="35">
        <v>0.0</v>
      </c>
      <c r="J1792" s="35"/>
      <c r="K1792" s="35">
        <v>0.0</v>
      </c>
    </row>
    <row r="1793" ht="15.75" customHeight="1">
      <c r="A1793" s="35" t="s">
        <v>6177</v>
      </c>
      <c r="B1793" s="35"/>
      <c r="C1793" s="35">
        <v>6.0</v>
      </c>
      <c r="D1793" s="35">
        <v>62.0</v>
      </c>
      <c r="E1793" s="35">
        <v>46027.0</v>
      </c>
      <c r="F1793" s="35">
        <v>0.0</v>
      </c>
      <c r="G1793" s="35">
        <v>0.0</v>
      </c>
      <c r="H1793" s="35">
        <v>1.0</v>
      </c>
      <c r="I1793" s="35">
        <v>0.0</v>
      </c>
      <c r="J1793" s="35"/>
      <c r="K1793" s="35">
        <v>0.0</v>
      </c>
    </row>
    <row r="1794" ht="15.75" customHeight="1">
      <c r="A1794" s="35" t="s">
        <v>6178</v>
      </c>
      <c r="B1794" s="35"/>
      <c r="C1794" s="35">
        <v>6.0</v>
      </c>
      <c r="D1794" s="35" t="s">
        <v>6180</v>
      </c>
      <c r="E1794" s="35">
        <v>46027.0</v>
      </c>
      <c r="F1794" s="35">
        <v>0.0</v>
      </c>
      <c r="G1794" s="35">
        <v>2.0</v>
      </c>
      <c r="H1794" s="35">
        <v>0.0</v>
      </c>
      <c r="I1794" s="35">
        <v>0.0</v>
      </c>
      <c r="J1794" s="35"/>
      <c r="K1794" s="35">
        <v>0.0</v>
      </c>
    </row>
    <row r="1795" ht="15.75" customHeight="1">
      <c r="A1795" s="35" t="s">
        <v>6181</v>
      </c>
      <c r="B1795" s="35"/>
      <c r="C1795" s="35">
        <v>6.0</v>
      </c>
      <c r="D1795" s="35">
        <v>201.0</v>
      </c>
      <c r="E1795" s="35">
        <v>46027.0</v>
      </c>
      <c r="F1795" s="35">
        <v>0.0</v>
      </c>
      <c r="G1795" s="35">
        <v>0.0</v>
      </c>
      <c r="H1795" s="35">
        <v>2.0</v>
      </c>
      <c r="I1795" s="35">
        <v>0.0</v>
      </c>
      <c r="J1795" s="35"/>
      <c r="K1795" s="35">
        <v>0.0</v>
      </c>
    </row>
    <row r="1796" ht="15.75" customHeight="1">
      <c r="A1796" s="35" t="s">
        <v>6182</v>
      </c>
      <c r="B1796" s="35"/>
      <c r="C1796" s="35">
        <v>6.0</v>
      </c>
      <c r="D1796" s="35" t="s">
        <v>4231</v>
      </c>
      <c r="E1796" s="35">
        <v>46027.0</v>
      </c>
      <c r="F1796" s="35">
        <v>0.0</v>
      </c>
      <c r="G1796" s="35">
        <v>1.0</v>
      </c>
      <c r="H1796" s="35">
        <v>0.0</v>
      </c>
      <c r="I1796" s="35">
        <v>0.0</v>
      </c>
      <c r="J1796" s="35"/>
      <c r="K1796" s="35">
        <v>0.0</v>
      </c>
    </row>
    <row r="1797" ht="15.75" customHeight="1">
      <c r="A1797" s="35" t="s">
        <v>6184</v>
      </c>
      <c r="B1797" s="35"/>
      <c r="C1797" s="35">
        <v>6.0</v>
      </c>
      <c r="D1797" s="35" t="s">
        <v>2055</v>
      </c>
      <c r="E1797" s="35">
        <v>46027.0</v>
      </c>
      <c r="F1797" s="35">
        <v>0.0</v>
      </c>
      <c r="G1797" s="35">
        <v>1.0</v>
      </c>
      <c r="H1797" s="35">
        <v>0.0</v>
      </c>
      <c r="I1797" s="35">
        <v>0.0</v>
      </c>
      <c r="J1797" s="35"/>
      <c r="K1797" s="35">
        <v>0.0</v>
      </c>
    </row>
    <row r="1798" ht="15.75" customHeight="1">
      <c r="A1798" s="35" t="s">
        <v>6185</v>
      </c>
      <c r="B1798" s="35"/>
      <c r="C1798" s="35">
        <v>6.0</v>
      </c>
      <c r="D1798" s="35" t="s">
        <v>2005</v>
      </c>
      <c r="E1798" s="35">
        <v>46027.0</v>
      </c>
      <c r="F1798" s="35">
        <v>0.0</v>
      </c>
      <c r="G1798" s="35">
        <v>2.0</v>
      </c>
      <c r="H1798" s="35">
        <v>0.0</v>
      </c>
      <c r="I1798" s="35">
        <v>0.0</v>
      </c>
      <c r="J1798" s="35"/>
      <c r="K1798" s="35">
        <v>0.0</v>
      </c>
    </row>
    <row r="1799" ht="15.75" customHeight="1">
      <c r="A1799" s="35" t="s">
        <v>1881</v>
      </c>
      <c r="B1799" s="35"/>
      <c r="C1799" s="35">
        <v>6.0</v>
      </c>
      <c r="D1799" s="35" t="s">
        <v>4635</v>
      </c>
      <c r="E1799" s="35">
        <v>46027.0</v>
      </c>
      <c r="F1799" s="35">
        <v>0.0</v>
      </c>
      <c r="G1799" s="35">
        <v>2.0</v>
      </c>
      <c r="H1799" s="35">
        <v>0.0</v>
      </c>
      <c r="I1799" s="35">
        <v>0.0</v>
      </c>
      <c r="J1799" s="35"/>
      <c r="K1799" s="35">
        <v>0.0</v>
      </c>
    </row>
    <row r="1800" ht="15.75" customHeight="1">
      <c r="A1800" s="35" t="s">
        <v>6188</v>
      </c>
      <c r="B1800" s="35"/>
      <c r="C1800" s="35">
        <v>6.0</v>
      </c>
      <c r="D1800" s="35">
        <v>560.0</v>
      </c>
      <c r="E1800" s="35">
        <v>46027.0</v>
      </c>
      <c r="F1800" s="35">
        <v>0.0</v>
      </c>
      <c r="G1800" s="35">
        <v>1.0</v>
      </c>
      <c r="H1800" s="35">
        <v>0.0</v>
      </c>
      <c r="I1800" s="35">
        <v>0.0</v>
      </c>
      <c r="J1800" s="35"/>
      <c r="K1800" s="35">
        <v>0.0</v>
      </c>
    </row>
    <row r="1801" ht="15.75" customHeight="1">
      <c r="A1801" s="35" t="s">
        <v>6189</v>
      </c>
      <c r="B1801" s="35"/>
      <c r="C1801" s="35">
        <v>6.0</v>
      </c>
      <c r="D1801" s="35" t="s">
        <v>4635</v>
      </c>
      <c r="E1801" s="35">
        <v>46027.0</v>
      </c>
      <c r="F1801" s="35">
        <v>0.0</v>
      </c>
      <c r="G1801" s="35">
        <v>1.0</v>
      </c>
      <c r="H1801" s="35">
        <v>0.0</v>
      </c>
      <c r="I1801" s="35">
        <v>0.0</v>
      </c>
      <c r="J1801" s="35"/>
      <c r="K1801" s="35">
        <v>0.0</v>
      </c>
    </row>
    <row r="1802" ht="15.75" customHeight="1">
      <c r="A1802" s="35" t="s">
        <v>6190</v>
      </c>
      <c r="B1802" s="35"/>
      <c r="C1802" s="35">
        <v>6.0</v>
      </c>
      <c r="D1802" s="35" t="s">
        <v>6191</v>
      </c>
      <c r="E1802" s="35">
        <v>46027.0</v>
      </c>
      <c r="F1802" s="35">
        <v>0.0</v>
      </c>
      <c r="G1802" s="35">
        <v>0.0</v>
      </c>
      <c r="H1802" s="35">
        <v>3.0</v>
      </c>
      <c r="I1802" s="35">
        <v>0.0</v>
      </c>
      <c r="J1802" s="35"/>
      <c r="K1802" s="35">
        <v>0.0</v>
      </c>
    </row>
    <row r="1803" ht="15.75" customHeight="1">
      <c r="A1803" s="35" t="s">
        <v>6192</v>
      </c>
      <c r="B1803" s="35"/>
      <c r="C1803" s="35">
        <v>6.0</v>
      </c>
      <c r="D1803" s="35">
        <v>58.0</v>
      </c>
      <c r="E1803" s="35">
        <v>46027.0</v>
      </c>
      <c r="F1803" s="35">
        <v>0.0</v>
      </c>
      <c r="G1803" s="35">
        <v>2.0</v>
      </c>
      <c r="H1803" s="35">
        <v>0.0</v>
      </c>
      <c r="I1803" s="35">
        <v>0.0</v>
      </c>
      <c r="J1803" s="35"/>
      <c r="K1803" s="35">
        <v>0.0</v>
      </c>
    </row>
    <row r="1804" ht="15.75" customHeight="1">
      <c r="A1804" s="35" t="s">
        <v>6194</v>
      </c>
      <c r="B1804" s="35"/>
      <c r="C1804" s="35">
        <v>6.0</v>
      </c>
      <c r="D1804" s="35">
        <v>651.0</v>
      </c>
      <c r="E1804" s="35">
        <v>46027.0</v>
      </c>
      <c r="F1804" s="35">
        <v>0.0</v>
      </c>
      <c r="G1804" s="35">
        <v>2.0</v>
      </c>
      <c r="H1804" s="35">
        <v>0.0</v>
      </c>
      <c r="I1804" s="35">
        <v>0.0</v>
      </c>
      <c r="J1804" s="35"/>
      <c r="K1804" s="35">
        <v>0.0</v>
      </c>
    </row>
    <row r="1805" ht="15.75" customHeight="1">
      <c r="A1805" s="35" t="s">
        <v>6195</v>
      </c>
      <c r="B1805" s="35"/>
      <c r="C1805" s="35">
        <v>6.0</v>
      </c>
      <c r="D1805" s="35" t="s">
        <v>5266</v>
      </c>
      <c r="E1805" s="35">
        <v>46027.0</v>
      </c>
      <c r="F1805" s="35">
        <v>0.0</v>
      </c>
      <c r="G1805" s="35">
        <v>0.0</v>
      </c>
      <c r="H1805" s="35">
        <v>0.0</v>
      </c>
      <c r="I1805" s="35">
        <v>13.0</v>
      </c>
      <c r="J1805" s="35"/>
      <c r="K1805" s="35">
        <v>0.0</v>
      </c>
    </row>
    <row r="1806" ht="15.75" customHeight="1">
      <c r="A1806" s="35" t="s">
        <v>6197</v>
      </c>
      <c r="B1806" s="35"/>
      <c r="C1806" s="35">
        <v>6.0</v>
      </c>
      <c r="D1806" s="35" t="s">
        <v>6198</v>
      </c>
      <c r="E1806" s="35">
        <v>46027.0</v>
      </c>
      <c r="F1806" s="35">
        <v>0.0</v>
      </c>
      <c r="G1806" s="35">
        <v>9.0</v>
      </c>
      <c r="H1806" s="35">
        <v>0.0</v>
      </c>
      <c r="I1806" s="35">
        <v>0.0</v>
      </c>
      <c r="J1806" s="35"/>
      <c r="K1806" s="35">
        <v>0.0</v>
      </c>
    </row>
    <row r="1807" ht="15.75" customHeight="1">
      <c r="A1807" s="35" t="s">
        <v>6199</v>
      </c>
      <c r="B1807" s="35"/>
      <c r="C1807" s="35">
        <v>6.0</v>
      </c>
      <c r="D1807" s="35" t="s">
        <v>4635</v>
      </c>
      <c r="E1807" s="35">
        <v>46027.0</v>
      </c>
      <c r="F1807" s="35">
        <v>0.0</v>
      </c>
      <c r="G1807" s="35">
        <v>1.0</v>
      </c>
      <c r="H1807" s="35">
        <v>0.0</v>
      </c>
      <c r="I1807" s="35">
        <v>0.0</v>
      </c>
      <c r="J1807" s="35"/>
      <c r="K1807" s="35">
        <v>0.0</v>
      </c>
    </row>
    <row r="1808" ht="15.75" customHeight="1">
      <c r="A1808" s="35" t="s">
        <v>6200</v>
      </c>
      <c r="B1808" s="35"/>
      <c r="C1808" s="35">
        <v>6.0</v>
      </c>
      <c r="D1808" s="35">
        <v>122.0</v>
      </c>
      <c r="E1808" s="35">
        <v>46027.0</v>
      </c>
      <c r="F1808" s="35">
        <v>0.0</v>
      </c>
      <c r="G1808" s="35">
        <v>15.0</v>
      </c>
      <c r="H1808" s="35">
        <v>0.0</v>
      </c>
      <c r="I1808" s="35">
        <v>0.0</v>
      </c>
      <c r="J1808" s="35"/>
      <c r="K1808" s="35">
        <v>0.0</v>
      </c>
    </row>
    <row r="1809" ht="15.75" customHeight="1">
      <c r="A1809" s="35" t="s">
        <v>6202</v>
      </c>
      <c r="B1809" s="35"/>
      <c r="C1809" s="35">
        <v>6.0</v>
      </c>
      <c r="D1809" s="35">
        <v>194.0</v>
      </c>
      <c r="E1809" s="35">
        <v>46027.0</v>
      </c>
      <c r="F1809" s="35">
        <v>0.0</v>
      </c>
      <c r="G1809" s="35">
        <v>8.0</v>
      </c>
      <c r="H1809" s="35">
        <v>0.0</v>
      </c>
      <c r="I1809" s="35">
        <v>0.0</v>
      </c>
      <c r="J1809" s="35"/>
      <c r="K1809" s="35">
        <v>0.0</v>
      </c>
    </row>
    <row r="1810" ht="15.75" customHeight="1">
      <c r="A1810" s="35" t="s">
        <v>6203</v>
      </c>
      <c r="B1810" s="35"/>
      <c r="C1810" s="35">
        <v>6.0</v>
      </c>
      <c r="D1810" s="35" t="s">
        <v>4343</v>
      </c>
      <c r="E1810" s="35">
        <v>46027.0</v>
      </c>
      <c r="F1810" s="35">
        <v>0.0</v>
      </c>
      <c r="G1810" s="35">
        <v>2.0</v>
      </c>
      <c r="H1810" s="35">
        <v>0.0</v>
      </c>
      <c r="I1810" s="35">
        <v>0.0</v>
      </c>
      <c r="J1810" s="35"/>
      <c r="K1810" s="35">
        <v>0.0</v>
      </c>
    </row>
    <row r="1811" ht="15.75" customHeight="1">
      <c r="A1811" s="35" t="s">
        <v>6205</v>
      </c>
      <c r="B1811" s="35"/>
      <c r="C1811" s="35">
        <v>6.0</v>
      </c>
      <c r="D1811" s="35">
        <v>102.0</v>
      </c>
      <c r="E1811" s="35">
        <v>46027.0</v>
      </c>
      <c r="F1811" s="35">
        <v>0.0</v>
      </c>
      <c r="G1811" s="35">
        <v>3.0</v>
      </c>
      <c r="H1811" s="35">
        <v>0.0</v>
      </c>
      <c r="I1811" s="35">
        <v>0.0</v>
      </c>
      <c r="J1811" s="35"/>
      <c r="K1811" s="35">
        <v>0.0</v>
      </c>
    </row>
    <row r="1812" ht="15.75" customHeight="1">
      <c r="A1812" s="35" t="s">
        <v>6206</v>
      </c>
      <c r="B1812" s="35"/>
      <c r="C1812" s="35">
        <v>6.0</v>
      </c>
      <c r="D1812" s="35" t="s">
        <v>4635</v>
      </c>
      <c r="E1812" s="35">
        <v>46027.0</v>
      </c>
      <c r="F1812" s="35">
        <v>0.0</v>
      </c>
      <c r="G1812" s="35">
        <v>0.0</v>
      </c>
      <c r="H1812" s="35">
        <v>0.0</v>
      </c>
      <c r="I1812" s="35">
        <v>1.0</v>
      </c>
      <c r="J1812" s="35"/>
      <c r="K1812" s="35">
        <v>0.0</v>
      </c>
    </row>
    <row r="1813" ht="15.75" customHeight="1">
      <c r="A1813" s="35" t="s">
        <v>6208</v>
      </c>
      <c r="B1813" s="35"/>
      <c r="C1813" s="35">
        <v>6.0</v>
      </c>
      <c r="D1813" s="35" t="s">
        <v>4563</v>
      </c>
      <c r="E1813" s="35">
        <v>46027.0</v>
      </c>
      <c r="F1813" s="35">
        <v>0.0</v>
      </c>
      <c r="G1813" s="35">
        <v>5.0</v>
      </c>
      <c r="H1813" s="35">
        <v>0.0</v>
      </c>
      <c r="I1813" s="35">
        <v>0.0</v>
      </c>
      <c r="J1813" s="35"/>
      <c r="K1813" s="35">
        <v>0.0</v>
      </c>
    </row>
    <row r="1814" ht="15.75" customHeight="1">
      <c r="A1814" s="35" t="s">
        <v>6209</v>
      </c>
      <c r="B1814" s="35"/>
      <c r="C1814" s="35">
        <v>6.0</v>
      </c>
      <c r="D1814" s="35" t="s">
        <v>4635</v>
      </c>
      <c r="E1814" s="35">
        <v>46027.0</v>
      </c>
      <c r="F1814" s="35">
        <v>0.0</v>
      </c>
      <c r="G1814" s="35">
        <v>1.0</v>
      </c>
      <c r="H1814" s="35">
        <v>0.0</v>
      </c>
      <c r="I1814" s="35">
        <v>0.0</v>
      </c>
      <c r="J1814" s="35"/>
      <c r="K1814" s="35">
        <v>0.0</v>
      </c>
    </row>
    <row r="1815" ht="15.75" customHeight="1">
      <c r="A1815" s="35" t="s">
        <v>6210</v>
      </c>
      <c r="B1815" s="35"/>
      <c r="C1815" s="35">
        <v>6.0</v>
      </c>
      <c r="D1815" s="35" t="s">
        <v>4635</v>
      </c>
      <c r="E1815" s="35">
        <v>46027.0</v>
      </c>
      <c r="F1815" s="35">
        <v>0.0</v>
      </c>
      <c r="G1815" s="35">
        <v>0.0</v>
      </c>
      <c r="H1815" s="35">
        <v>1.0</v>
      </c>
      <c r="I1815" s="35">
        <v>0.0</v>
      </c>
      <c r="J1815" s="35"/>
      <c r="K1815" s="35">
        <v>0.0</v>
      </c>
    </row>
    <row r="1816" ht="15.75" customHeight="1">
      <c r="A1816" s="35" t="s">
        <v>6212</v>
      </c>
      <c r="B1816" s="35"/>
      <c r="C1816" s="35">
        <v>6.0</v>
      </c>
      <c r="D1816" s="35">
        <v>63.0</v>
      </c>
      <c r="E1816" s="35">
        <v>46027.0</v>
      </c>
      <c r="F1816" s="35">
        <v>0.0</v>
      </c>
      <c r="G1816" s="35">
        <v>0.0</v>
      </c>
      <c r="H1816" s="35">
        <v>1.0</v>
      </c>
      <c r="I1816" s="35">
        <v>0.0</v>
      </c>
      <c r="J1816" s="35"/>
      <c r="K1816" s="35">
        <v>0.0</v>
      </c>
    </row>
    <row r="1817" ht="15.75" customHeight="1">
      <c r="A1817" s="35" t="s">
        <v>6213</v>
      </c>
      <c r="B1817" s="35"/>
      <c r="C1817" s="35">
        <v>6.0</v>
      </c>
      <c r="D1817" s="35">
        <v>620.0</v>
      </c>
      <c r="E1817" s="35">
        <v>46027.0</v>
      </c>
      <c r="F1817" s="35">
        <v>0.0</v>
      </c>
      <c r="G1817" s="35">
        <v>0.0</v>
      </c>
      <c r="H1817" s="35">
        <v>1.0</v>
      </c>
      <c r="I1817" s="35">
        <v>0.0</v>
      </c>
      <c r="J1817" s="35"/>
      <c r="K1817" s="35">
        <v>0.0</v>
      </c>
    </row>
    <row r="1818" ht="15.75" customHeight="1">
      <c r="A1818" s="35" t="s">
        <v>6215</v>
      </c>
      <c r="B1818" s="35"/>
      <c r="C1818" s="35">
        <v>6.0</v>
      </c>
      <c r="D1818" s="35" t="s">
        <v>4489</v>
      </c>
      <c r="E1818" s="35">
        <v>46027.0</v>
      </c>
      <c r="F1818" s="35">
        <v>0.0</v>
      </c>
      <c r="G1818" s="35">
        <v>15.0</v>
      </c>
      <c r="H1818" s="35">
        <v>0.0</v>
      </c>
      <c r="I1818" s="35">
        <v>0.0</v>
      </c>
      <c r="J1818" s="35"/>
      <c r="K1818" s="35">
        <v>0.0</v>
      </c>
    </row>
    <row r="1819" ht="15.75" customHeight="1">
      <c r="A1819" s="35" t="s">
        <v>6216</v>
      </c>
      <c r="B1819" s="35"/>
      <c r="C1819" s="35">
        <v>6.0</v>
      </c>
      <c r="D1819" s="35" t="s">
        <v>4635</v>
      </c>
      <c r="E1819" s="35">
        <v>46027.0</v>
      </c>
      <c r="F1819" s="35">
        <v>0.0</v>
      </c>
      <c r="G1819" s="35">
        <v>5.0</v>
      </c>
      <c r="H1819" s="35">
        <v>0.0</v>
      </c>
      <c r="I1819" s="35">
        <v>0.0</v>
      </c>
      <c r="J1819" s="35"/>
      <c r="K1819" s="35">
        <v>0.0</v>
      </c>
    </row>
    <row r="1820" ht="15.75" customHeight="1">
      <c r="A1820" s="35" t="s">
        <v>6217</v>
      </c>
      <c r="B1820" s="35"/>
      <c r="C1820" s="35">
        <v>6.0</v>
      </c>
      <c r="D1820" s="35">
        <v>235.0</v>
      </c>
      <c r="E1820" s="35">
        <v>46027.0</v>
      </c>
      <c r="F1820" s="35">
        <v>0.0</v>
      </c>
      <c r="G1820" s="35">
        <v>0.0</v>
      </c>
      <c r="H1820" s="35">
        <v>1.0</v>
      </c>
      <c r="I1820" s="35">
        <v>0.0</v>
      </c>
      <c r="J1820" s="35"/>
      <c r="K1820" s="35">
        <v>0.0</v>
      </c>
    </row>
    <row r="1821" ht="15.75" customHeight="1">
      <c r="A1821" s="35" t="s">
        <v>6219</v>
      </c>
      <c r="B1821" s="35"/>
      <c r="C1821" s="35">
        <v>6.0</v>
      </c>
      <c r="D1821" s="35" t="s">
        <v>2005</v>
      </c>
      <c r="E1821" s="35">
        <v>46027.0</v>
      </c>
      <c r="F1821" s="35">
        <v>0.0</v>
      </c>
      <c r="G1821" s="35">
        <v>1.0</v>
      </c>
      <c r="H1821" s="35">
        <v>0.0</v>
      </c>
      <c r="I1821" s="35">
        <v>0.0</v>
      </c>
      <c r="J1821" s="35"/>
      <c r="K1821" s="35">
        <v>0.0</v>
      </c>
    </row>
    <row r="1822" ht="15.75" customHeight="1">
      <c r="A1822" s="35" t="s">
        <v>6220</v>
      </c>
      <c r="B1822" s="35"/>
      <c r="C1822" s="35">
        <v>6.0</v>
      </c>
      <c r="D1822" s="35">
        <v>67.0</v>
      </c>
      <c r="E1822" s="35">
        <v>46027.0</v>
      </c>
      <c r="F1822" s="35">
        <v>0.0</v>
      </c>
      <c r="G1822" s="35">
        <v>1.0</v>
      </c>
      <c r="H1822" s="35">
        <v>0.0</v>
      </c>
      <c r="I1822" s="35">
        <v>0.0</v>
      </c>
      <c r="J1822" s="35"/>
      <c r="K1822" s="35">
        <v>0.0</v>
      </c>
    </row>
    <row r="1823" ht="15.75" customHeight="1">
      <c r="A1823" s="35" t="s">
        <v>6221</v>
      </c>
      <c r="B1823" s="35"/>
      <c r="C1823" s="35">
        <v>6.0</v>
      </c>
      <c r="D1823" s="35" t="s">
        <v>4635</v>
      </c>
      <c r="E1823" s="35">
        <v>46027.0</v>
      </c>
      <c r="F1823" s="35">
        <v>0.0</v>
      </c>
      <c r="G1823" s="35">
        <v>0.0</v>
      </c>
      <c r="H1823" s="35">
        <v>0.0</v>
      </c>
      <c r="I1823" s="35">
        <v>1.0</v>
      </c>
      <c r="J1823" s="35"/>
      <c r="K1823" s="35">
        <v>0.0</v>
      </c>
    </row>
    <row r="1824" ht="15.75" customHeight="1">
      <c r="A1824" s="35" t="s">
        <v>6223</v>
      </c>
      <c r="B1824" s="35"/>
      <c r="C1824" s="35">
        <v>6.0</v>
      </c>
      <c r="D1824" s="35" t="s">
        <v>4676</v>
      </c>
      <c r="E1824" s="35">
        <v>46027.0</v>
      </c>
      <c r="F1824" s="35">
        <v>0.0</v>
      </c>
      <c r="G1824" s="35">
        <v>0.0</v>
      </c>
      <c r="H1824" s="35">
        <v>4.0</v>
      </c>
      <c r="I1824" s="35">
        <v>0.0</v>
      </c>
      <c r="J1824" s="35"/>
      <c r="K1824" s="35">
        <v>0.0</v>
      </c>
    </row>
    <row r="1825" ht="15.75" customHeight="1">
      <c r="A1825" s="35" t="s">
        <v>6224</v>
      </c>
      <c r="B1825" s="35"/>
      <c r="C1825" s="35">
        <v>6.0</v>
      </c>
      <c r="D1825" s="35">
        <v>54.0</v>
      </c>
      <c r="E1825" s="35">
        <v>46027.0</v>
      </c>
      <c r="F1825" s="35">
        <v>0.0</v>
      </c>
      <c r="G1825" s="35">
        <v>0.0</v>
      </c>
      <c r="H1825" s="35">
        <v>1.0</v>
      </c>
      <c r="I1825" s="35">
        <v>0.0</v>
      </c>
      <c r="J1825" s="35"/>
      <c r="K1825" s="35">
        <v>0.0</v>
      </c>
    </row>
    <row r="1826" ht="15.75" customHeight="1">
      <c r="A1826" s="35" t="s">
        <v>6226</v>
      </c>
      <c r="B1826" s="35"/>
      <c r="C1826" s="35">
        <v>6.0</v>
      </c>
      <c r="D1826" s="35" t="s">
        <v>6227</v>
      </c>
      <c r="E1826" s="35">
        <v>46027.0</v>
      </c>
      <c r="F1826" s="35">
        <v>0.0</v>
      </c>
      <c r="G1826" s="35">
        <v>14.0</v>
      </c>
      <c r="H1826" s="35">
        <v>0.0</v>
      </c>
      <c r="I1826" s="35">
        <v>0.0</v>
      </c>
      <c r="J1826" s="35"/>
      <c r="K1826" s="35">
        <v>0.0</v>
      </c>
    </row>
    <row r="1827" ht="15.75" customHeight="1">
      <c r="A1827" s="35" t="s">
        <v>6228</v>
      </c>
      <c r="B1827" s="35"/>
      <c r="C1827" s="35">
        <v>6.0</v>
      </c>
      <c r="D1827" s="35" t="s">
        <v>2004</v>
      </c>
      <c r="E1827" s="35">
        <v>46027.0</v>
      </c>
      <c r="F1827" s="35">
        <v>0.0</v>
      </c>
      <c r="G1827" s="35">
        <v>3.0</v>
      </c>
      <c r="H1827" s="35">
        <v>0.0</v>
      </c>
      <c r="I1827" s="35">
        <v>0.0</v>
      </c>
      <c r="J1827" s="35"/>
      <c r="K1827" s="35">
        <v>0.0</v>
      </c>
    </row>
    <row r="1828" ht="15.75" customHeight="1">
      <c r="A1828" s="35" t="s">
        <v>6229</v>
      </c>
      <c r="B1828" s="35"/>
      <c r="C1828" s="35">
        <v>6.0</v>
      </c>
      <c r="D1828" s="35">
        <v>784.0</v>
      </c>
      <c r="E1828" s="35">
        <v>46027.0</v>
      </c>
      <c r="F1828" s="35">
        <v>0.0</v>
      </c>
      <c r="G1828" s="35">
        <v>2.0</v>
      </c>
      <c r="H1828" s="35">
        <v>0.0</v>
      </c>
      <c r="I1828" s="35">
        <v>0.0</v>
      </c>
      <c r="J1828" s="35"/>
      <c r="K1828" s="35">
        <v>0.0</v>
      </c>
    </row>
    <row r="1829" ht="15.75" customHeight="1">
      <c r="A1829" s="35" t="s">
        <v>6231</v>
      </c>
      <c r="B1829" s="35"/>
      <c r="C1829" s="35">
        <v>6.0</v>
      </c>
      <c r="D1829" s="35">
        <v>914.0</v>
      </c>
      <c r="E1829" s="35">
        <v>46027.0</v>
      </c>
      <c r="F1829" s="35">
        <v>0.0</v>
      </c>
      <c r="G1829" s="35">
        <v>2.0</v>
      </c>
      <c r="H1829" s="35">
        <v>0.0</v>
      </c>
      <c r="I1829" s="35">
        <v>0.0</v>
      </c>
      <c r="J1829" s="35"/>
      <c r="K1829" s="35">
        <v>0.0</v>
      </c>
    </row>
    <row r="1830" ht="15.75" customHeight="1">
      <c r="A1830" s="35" t="s">
        <v>6232</v>
      </c>
      <c r="B1830" s="35"/>
      <c r="C1830" s="35">
        <v>6.0</v>
      </c>
      <c r="D1830" s="35" t="s">
        <v>4635</v>
      </c>
      <c r="E1830" s="35">
        <v>46027.0</v>
      </c>
      <c r="F1830" s="35">
        <v>0.0</v>
      </c>
      <c r="G1830" s="35">
        <v>1.0</v>
      </c>
      <c r="H1830" s="35">
        <v>0.0</v>
      </c>
      <c r="I1830" s="35">
        <v>0.0</v>
      </c>
      <c r="J1830" s="35"/>
      <c r="K1830" s="35">
        <v>0.0</v>
      </c>
    </row>
    <row r="1831" ht="15.75" customHeight="1">
      <c r="A1831" s="35" t="s">
        <v>6233</v>
      </c>
      <c r="B1831" s="35"/>
      <c r="C1831" s="35">
        <v>6.0</v>
      </c>
      <c r="D1831" s="35" t="s">
        <v>5286</v>
      </c>
      <c r="E1831" s="35">
        <v>46027.0</v>
      </c>
      <c r="F1831" s="35">
        <v>0.0</v>
      </c>
      <c r="G1831" s="35">
        <v>6.0</v>
      </c>
      <c r="H1831" s="35">
        <v>0.0</v>
      </c>
      <c r="I1831" s="35">
        <v>0.0</v>
      </c>
      <c r="J1831" s="35"/>
      <c r="K1831" s="35">
        <v>0.0</v>
      </c>
    </row>
    <row r="1832" ht="15.75" customHeight="1">
      <c r="A1832" s="35" t="s">
        <v>6235</v>
      </c>
      <c r="B1832" s="35"/>
      <c r="C1832" s="35">
        <v>6.0</v>
      </c>
      <c r="D1832" s="35" t="s">
        <v>6236</v>
      </c>
      <c r="E1832" s="35">
        <v>46027.0</v>
      </c>
      <c r="F1832" s="35">
        <v>0.0</v>
      </c>
      <c r="G1832" s="35">
        <v>5.0</v>
      </c>
      <c r="H1832" s="35">
        <v>0.0</v>
      </c>
      <c r="I1832" s="35">
        <v>0.0</v>
      </c>
      <c r="J1832" s="35"/>
      <c r="K1832" s="35">
        <v>0.0</v>
      </c>
    </row>
    <row r="1833" ht="15.75" customHeight="1">
      <c r="A1833" s="35" t="s">
        <v>6237</v>
      </c>
      <c r="B1833" s="35"/>
      <c r="C1833" s="35">
        <v>6.0</v>
      </c>
      <c r="D1833" s="35" t="s">
        <v>2040</v>
      </c>
      <c r="E1833" s="35">
        <v>46027.0</v>
      </c>
      <c r="F1833" s="35">
        <v>0.0</v>
      </c>
      <c r="G1833" s="35">
        <v>2.0</v>
      </c>
      <c r="H1833" s="35">
        <v>0.0</v>
      </c>
      <c r="I1833" s="35">
        <v>0.0</v>
      </c>
      <c r="J1833" s="35"/>
      <c r="K1833" s="35">
        <v>0.0</v>
      </c>
    </row>
    <row r="1834" ht="15.75" customHeight="1">
      <c r="A1834" s="35" t="s">
        <v>6238</v>
      </c>
      <c r="B1834" s="35"/>
      <c r="C1834" s="35">
        <v>6.0</v>
      </c>
      <c r="D1834" s="35" t="s">
        <v>3891</v>
      </c>
      <c r="E1834" s="35">
        <v>46027.0</v>
      </c>
      <c r="F1834" s="35">
        <v>0.0</v>
      </c>
      <c r="G1834" s="35">
        <v>1.0</v>
      </c>
      <c r="H1834" s="35">
        <v>0.0</v>
      </c>
      <c r="I1834" s="35">
        <v>0.0</v>
      </c>
      <c r="J1834" s="35"/>
      <c r="K1834" s="35">
        <v>0.0</v>
      </c>
    </row>
    <row r="1835" ht="15.75" customHeight="1">
      <c r="A1835" s="35" t="s">
        <v>6240</v>
      </c>
      <c r="B1835" s="35"/>
      <c r="C1835" s="35">
        <v>6.0</v>
      </c>
      <c r="D1835" s="35" t="s">
        <v>4787</v>
      </c>
      <c r="E1835" s="35">
        <v>46027.0</v>
      </c>
      <c r="F1835" s="35">
        <v>0.0</v>
      </c>
      <c r="G1835" s="35">
        <v>0.0</v>
      </c>
      <c r="H1835" s="35">
        <v>1.0</v>
      </c>
      <c r="I1835" s="35">
        <v>0.0</v>
      </c>
      <c r="J1835" s="35"/>
      <c r="K1835" s="35">
        <v>0.0</v>
      </c>
    </row>
    <row r="1836" ht="15.75" customHeight="1">
      <c r="A1836" s="35" t="s">
        <v>6241</v>
      </c>
      <c r="B1836" s="35"/>
      <c r="C1836" s="35">
        <v>6.0</v>
      </c>
      <c r="D1836" s="35" t="s">
        <v>6242</v>
      </c>
      <c r="E1836" s="35">
        <v>46027.0</v>
      </c>
      <c r="F1836" s="35">
        <v>0.0</v>
      </c>
      <c r="G1836" s="35">
        <v>7.0</v>
      </c>
      <c r="H1836" s="35">
        <v>0.0</v>
      </c>
      <c r="I1836" s="35">
        <v>0.0</v>
      </c>
      <c r="J1836" s="35"/>
      <c r="K1836" s="35">
        <v>0.0</v>
      </c>
    </row>
    <row r="1837" ht="15.75" customHeight="1">
      <c r="A1837" s="35" t="s">
        <v>6244</v>
      </c>
      <c r="B1837" s="35"/>
      <c r="C1837" s="35">
        <v>6.0</v>
      </c>
      <c r="D1837" s="35" t="s">
        <v>6245</v>
      </c>
      <c r="E1837" s="35">
        <v>46027.0</v>
      </c>
      <c r="F1837" s="35">
        <v>0.0</v>
      </c>
      <c r="G1837" s="35">
        <v>0.0</v>
      </c>
      <c r="H1837" s="35">
        <v>2202.0</v>
      </c>
      <c r="I1837" s="35">
        <v>0.0</v>
      </c>
      <c r="J1837" s="35"/>
      <c r="K1837" s="35">
        <v>0.0</v>
      </c>
    </row>
    <row r="1838" ht="15.75" customHeight="1">
      <c r="A1838" s="35" t="s">
        <v>6246</v>
      </c>
      <c r="B1838" s="35"/>
      <c r="C1838" s="35">
        <v>6.0</v>
      </c>
      <c r="D1838" s="35">
        <v>52.0</v>
      </c>
      <c r="E1838" s="35">
        <v>46027.0</v>
      </c>
      <c r="F1838" s="35">
        <v>0.0</v>
      </c>
      <c r="G1838" s="35">
        <v>2.0</v>
      </c>
      <c r="H1838" s="35">
        <v>0.0</v>
      </c>
      <c r="I1838" s="35">
        <v>0.0</v>
      </c>
      <c r="J1838" s="35"/>
      <c r="K1838" s="35">
        <v>0.0</v>
      </c>
    </row>
    <row r="1839" ht="15.75" customHeight="1">
      <c r="A1839" s="35" t="s">
        <v>6248</v>
      </c>
      <c r="B1839" s="35"/>
      <c r="C1839" s="35">
        <v>6.0</v>
      </c>
      <c r="D1839" s="35" t="s">
        <v>4635</v>
      </c>
      <c r="E1839" s="35">
        <v>46027.0</v>
      </c>
      <c r="F1839" s="35">
        <v>0.0</v>
      </c>
      <c r="G1839" s="35">
        <v>6.0</v>
      </c>
      <c r="H1839" s="35">
        <v>0.0</v>
      </c>
      <c r="I1839" s="35">
        <v>0.0</v>
      </c>
      <c r="J1839" s="35"/>
      <c r="K1839" s="35">
        <v>0.0</v>
      </c>
    </row>
    <row r="1840" ht="15.75" customHeight="1">
      <c r="A1840" s="35" t="s">
        <v>6249</v>
      </c>
      <c r="B1840" s="35"/>
      <c r="C1840" s="35">
        <v>6.0</v>
      </c>
      <c r="D1840" s="35" t="s">
        <v>4635</v>
      </c>
      <c r="E1840" s="35">
        <v>46027.0</v>
      </c>
      <c r="F1840" s="35">
        <v>0.0</v>
      </c>
      <c r="G1840" s="35">
        <v>0.0</v>
      </c>
      <c r="H1840" s="35">
        <v>2.0</v>
      </c>
      <c r="I1840" s="35">
        <v>0.0</v>
      </c>
      <c r="J1840" s="35"/>
      <c r="K1840" s="35">
        <v>0.0</v>
      </c>
    </row>
    <row r="1841" ht="15.75" customHeight="1">
      <c r="A1841" s="35" t="s">
        <v>6250</v>
      </c>
      <c r="B1841" s="35"/>
      <c r="C1841" s="35">
        <v>6.0</v>
      </c>
      <c r="D1841" s="35" t="s">
        <v>4207</v>
      </c>
      <c r="E1841" s="35">
        <v>46027.0</v>
      </c>
      <c r="F1841" s="35">
        <v>0.0</v>
      </c>
      <c r="G1841" s="35">
        <v>0.0</v>
      </c>
      <c r="H1841" s="35">
        <v>16.0</v>
      </c>
      <c r="I1841" s="35">
        <v>0.0</v>
      </c>
      <c r="J1841" s="35"/>
      <c r="K1841" s="35">
        <v>0.0</v>
      </c>
    </row>
    <row r="1842" ht="15.75" customHeight="1">
      <c r="A1842" s="35" t="s">
        <v>6252</v>
      </c>
      <c r="B1842" s="35"/>
      <c r="C1842" s="35">
        <v>6.0</v>
      </c>
      <c r="D1842" s="35" t="s">
        <v>4561</v>
      </c>
      <c r="E1842" s="35">
        <v>46027.0</v>
      </c>
      <c r="F1842" s="35">
        <v>0.0</v>
      </c>
      <c r="G1842" s="35">
        <v>18.0</v>
      </c>
      <c r="H1842" s="35">
        <v>0.0</v>
      </c>
      <c r="I1842" s="35">
        <v>0.0</v>
      </c>
      <c r="J1842" s="35"/>
      <c r="K1842" s="35">
        <v>0.0</v>
      </c>
    </row>
    <row r="1843" ht="15.75" customHeight="1">
      <c r="A1843" s="35" t="s">
        <v>6253</v>
      </c>
      <c r="B1843" s="35"/>
      <c r="C1843" s="35">
        <v>6.0</v>
      </c>
      <c r="D1843" s="35" t="s">
        <v>4635</v>
      </c>
      <c r="E1843" s="35">
        <v>46027.0</v>
      </c>
      <c r="F1843" s="35">
        <v>0.0</v>
      </c>
      <c r="G1843" s="35">
        <v>1574.0</v>
      </c>
      <c r="H1843" s="35">
        <v>0.0</v>
      </c>
      <c r="I1843" s="35">
        <v>0.0</v>
      </c>
      <c r="J1843" s="35"/>
      <c r="K1843" s="35">
        <v>0.0</v>
      </c>
    </row>
    <row r="1844" ht="15.75" customHeight="1">
      <c r="A1844" s="35" t="s">
        <v>6255</v>
      </c>
      <c r="B1844" s="35"/>
      <c r="C1844" s="35">
        <v>6.0</v>
      </c>
      <c r="D1844" s="35" t="s">
        <v>4424</v>
      </c>
      <c r="E1844" s="35">
        <v>46027.0</v>
      </c>
      <c r="F1844" s="35">
        <v>0.0</v>
      </c>
      <c r="G1844" s="35">
        <v>3.0</v>
      </c>
      <c r="H1844" s="35">
        <v>0.0</v>
      </c>
      <c r="I1844" s="35">
        <v>0.0</v>
      </c>
      <c r="J1844" s="35"/>
      <c r="K1844" s="35">
        <v>0.0</v>
      </c>
    </row>
    <row r="1845" ht="15.75" customHeight="1">
      <c r="A1845" s="35" t="s">
        <v>6256</v>
      </c>
      <c r="B1845" s="35"/>
      <c r="C1845" s="35">
        <v>6.0</v>
      </c>
      <c r="D1845" s="35">
        <v>47.0</v>
      </c>
      <c r="E1845" s="35">
        <v>46027.0</v>
      </c>
      <c r="F1845" s="35">
        <v>0.0</v>
      </c>
      <c r="G1845" s="35">
        <v>1.0</v>
      </c>
      <c r="H1845" s="35">
        <v>0.0</v>
      </c>
      <c r="I1845" s="35">
        <v>0.0</v>
      </c>
      <c r="J1845" s="35"/>
      <c r="K1845" s="35">
        <v>0.0</v>
      </c>
    </row>
    <row r="1846" ht="15.75" customHeight="1">
      <c r="A1846" s="35" t="s">
        <v>6258</v>
      </c>
      <c r="B1846" s="35"/>
      <c r="C1846" s="35">
        <v>6.0</v>
      </c>
      <c r="D1846" s="35" t="s">
        <v>6259</v>
      </c>
      <c r="E1846" s="35">
        <v>46027.0</v>
      </c>
      <c r="F1846" s="35">
        <v>0.0</v>
      </c>
      <c r="G1846" s="35">
        <v>1.0</v>
      </c>
      <c r="H1846" s="35">
        <v>0.0</v>
      </c>
      <c r="I1846" s="35">
        <v>0.0</v>
      </c>
      <c r="J1846" s="35"/>
      <c r="K1846" s="35">
        <v>0.0</v>
      </c>
    </row>
    <row r="1847" ht="15.75" customHeight="1">
      <c r="A1847" s="35" t="s">
        <v>6260</v>
      </c>
      <c r="B1847" s="35"/>
      <c r="C1847" s="35">
        <v>5.0</v>
      </c>
      <c r="D1847" s="35" t="s">
        <v>4640</v>
      </c>
      <c r="E1847" s="35">
        <v>46117.0</v>
      </c>
      <c r="F1847" s="35">
        <v>0.0</v>
      </c>
      <c r="G1847" s="35">
        <v>8.0</v>
      </c>
      <c r="H1847" s="35">
        <v>1.0</v>
      </c>
      <c r="I1847" s="35">
        <v>1.0</v>
      </c>
      <c r="J1847" s="35"/>
      <c r="K1847" s="35">
        <v>1.0</v>
      </c>
    </row>
    <row r="1848" ht="15.75" customHeight="1">
      <c r="A1848" s="35" t="s">
        <v>6262</v>
      </c>
      <c r="B1848" s="35"/>
      <c r="C1848" s="35">
        <v>5.0</v>
      </c>
      <c r="D1848" s="35" t="s">
        <v>6263</v>
      </c>
      <c r="E1848" s="35">
        <v>46117.0</v>
      </c>
      <c r="F1848" s="35">
        <v>0.0</v>
      </c>
      <c r="G1848" s="35">
        <v>9.0</v>
      </c>
      <c r="H1848" s="35">
        <v>3.0</v>
      </c>
      <c r="I1848" s="35">
        <v>1.0</v>
      </c>
      <c r="J1848" s="35"/>
      <c r="K1848" s="35">
        <v>2.0</v>
      </c>
    </row>
    <row r="1849" ht="15.75" customHeight="1">
      <c r="A1849" s="35" t="s">
        <v>6264</v>
      </c>
      <c r="B1849" s="35"/>
      <c r="C1849" s="35">
        <v>5.0</v>
      </c>
      <c r="D1849" s="35" t="s">
        <v>6265</v>
      </c>
      <c r="E1849" s="35">
        <v>46117.0</v>
      </c>
      <c r="F1849" s="35">
        <v>0.0</v>
      </c>
      <c r="G1849" s="35">
        <v>5.0</v>
      </c>
      <c r="H1849" s="35">
        <v>2.0</v>
      </c>
      <c r="I1849" s="35">
        <v>1.0</v>
      </c>
      <c r="J1849" s="35"/>
      <c r="K1849" s="35">
        <v>2.0</v>
      </c>
    </row>
    <row r="1850" ht="15.75" customHeight="1">
      <c r="A1850" s="35" t="s">
        <v>6266</v>
      </c>
      <c r="B1850" s="35"/>
      <c r="C1850" s="35">
        <v>5.0</v>
      </c>
      <c r="D1850" s="35" t="s">
        <v>4568</v>
      </c>
      <c r="E1850" s="35">
        <v>46117.0</v>
      </c>
      <c r="F1850" s="35">
        <v>0.0</v>
      </c>
      <c r="G1850" s="35">
        <v>7.0</v>
      </c>
      <c r="H1850" s="35">
        <v>2.0</v>
      </c>
      <c r="I1850" s="35">
        <v>1.0</v>
      </c>
      <c r="J1850" s="35"/>
      <c r="K1850" s="35">
        <v>1.0</v>
      </c>
    </row>
    <row r="1851" ht="15.75" customHeight="1">
      <c r="A1851" s="35" t="s">
        <v>6268</v>
      </c>
      <c r="B1851" s="35"/>
      <c r="C1851" s="35">
        <v>5.0</v>
      </c>
      <c r="D1851" s="35" t="s">
        <v>4193</v>
      </c>
      <c r="E1851" s="35">
        <v>46117.0</v>
      </c>
      <c r="F1851" s="35">
        <v>0.0</v>
      </c>
      <c r="G1851" s="35">
        <v>6.0</v>
      </c>
      <c r="H1851" s="35">
        <v>4.0</v>
      </c>
      <c r="I1851" s="35">
        <v>1.0</v>
      </c>
      <c r="J1851" s="35"/>
      <c r="K1851" s="35">
        <v>1.0</v>
      </c>
    </row>
    <row r="1852" ht="15.75" customHeight="1">
      <c r="A1852" s="35" t="s">
        <v>6269</v>
      </c>
      <c r="B1852" s="35"/>
      <c r="C1852" s="35">
        <v>5.0</v>
      </c>
      <c r="D1852" s="35" t="s">
        <v>4461</v>
      </c>
      <c r="E1852" s="35">
        <v>46117.0</v>
      </c>
      <c r="F1852" s="35">
        <v>0.0</v>
      </c>
      <c r="G1852" s="35">
        <v>8.0</v>
      </c>
      <c r="H1852" s="35">
        <v>2.0</v>
      </c>
      <c r="I1852" s="35">
        <v>1.0</v>
      </c>
      <c r="J1852" s="35"/>
      <c r="K1852" s="35">
        <v>1.0</v>
      </c>
    </row>
    <row r="1853" ht="15.75" customHeight="1">
      <c r="A1853" s="35" t="s">
        <v>6271</v>
      </c>
      <c r="B1853" s="35"/>
      <c r="C1853" s="35">
        <v>5.0</v>
      </c>
      <c r="D1853" s="35" t="s">
        <v>4319</v>
      </c>
      <c r="E1853" s="35">
        <v>46086.0</v>
      </c>
      <c r="F1853" s="35">
        <v>0.0</v>
      </c>
      <c r="G1853" s="35">
        <v>4.0</v>
      </c>
      <c r="H1853" s="35">
        <v>0.0</v>
      </c>
      <c r="I1853" s="35">
        <v>1.0</v>
      </c>
      <c r="J1853" s="35"/>
      <c r="K1853" s="35">
        <v>1.0</v>
      </c>
    </row>
    <row r="1854" ht="15.75" customHeight="1">
      <c r="A1854" s="35" t="s">
        <v>1892</v>
      </c>
      <c r="B1854" s="35"/>
      <c r="C1854" s="35">
        <v>5.0</v>
      </c>
      <c r="D1854" s="35" t="s">
        <v>5522</v>
      </c>
      <c r="E1854" s="35">
        <v>46086.0</v>
      </c>
      <c r="F1854" s="35">
        <v>0.0</v>
      </c>
      <c r="G1854" s="35">
        <v>6.0</v>
      </c>
      <c r="H1854" s="35">
        <v>2.0</v>
      </c>
      <c r="I1854" s="35">
        <v>0.0</v>
      </c>
      <c r="J1854" s="35"/>
      <c r="K1854" s="35">
        <v>1.0</v>
      </c>
    </row>
    <row r="1855" ht="15.75" customHeight="1">
      <c r="A1855" s="35" t="s">
        <v>6273</v>
      </c>
      <c r="B1855" s="35"/>
      <c r="C1855" s="35">
        <v>5.0</v>
      </c>
      <c r="D1855" s="35" t="s">
        <v>4759</v>
      </c>
      <c r="E1855" s="35">
        <v>46086.0</v>
      </c>
      <c r="F1855" s="35">
        <v>0.0</v>
      </c>
      <c r="G1855" s="35">
        <v>10.0</v>
      </c>
      <c r="H1855" s="35">
        <v>3.0</v>
      </c>
      <c r="I1855" s="35">
        <v>0.0</v>
      </c>
      <c r="J1855" s="35"/>
      <c r="K1855" s="35">
        <v>2.0</v>
      </c>
    </row>
    <row r="1856" ht="15.75" customHeight="1">
      <c r="A1856" s="35" t="s">
        <v>6274</v>
      </c>
      <c r="B1856" s="35"/>
      <c r="C1856" s="35">
        <v>5.0</v>
      </c>
      <c r="D1856" s="35" t="s">
        <v>5277</v>
      </c>
      <c r="E1856" s="35">
        <v>46058.0</v>
      </c>
      <c r="F1856" s="35">
        <v>0.0</v>
      </c>
      <c r="G1856" s="35">
        <v>6.0</v>
      </c>
      <c r="H1856" s="35">
        <v>2.0</v>
      </c>
      <c r="I1856" s="35">
        <v>0.0</v>
      </c>
      <c r="J1856" s="35"/>
      <c r="K1856" s="35">
        <v>0.0</v>
      </c>
    </row>
    <row r="1857" ht="15.75" customHeight="1">
      <c r="A1857" s="35" t="s">
        <v>6276</v>
      </c>
      <c r="B1857" s="35"/>
      <c r="C1857" s="35">
        <v>5.0</v>
      </c>
      <c r="D1857" s="35" t="s">
        <v>4061</v>
      </c>
      <c r="E1857" s="35">
        <v>46058.0</v>
      </c>
      <c r="F1857" s="35">
        <v>0.0</v>
      </c>
      <c r="G1857" s="35">
        <v>1.0</v>
      </c>
      <c r="H1857" s="35">
        <v>0.0</v>
      </c>
      <c r="I1857" s="35">
        <v>3.0</v>
      </c>
      <c r="J1857" s="35"/>
      <c r="K1857" s="35">
        <v>0.0</v>
      </c>
    </row>
    <row r="1858" ht="15.75" customHeight="1">
      <c r="A1858" s="35" t="s">
        <v>6277</v>
      </c>
      <c r="B1858" s="35"/>
      <c r="C1858" s="35">
        <v>5.0</v>
      </c>
      <c r="D1858" s="35" t="s">
        <v>2049</v>
      </c>
      <c r="E1858" s="35">
        <v>46058.0</v>
      </c>
      <c r="F1858" s="35">
        <v>0.0</v>
      </c>
      <c r="G1858" s="35">
        <v>3.0</v>
      </c>
      <c r="H1858" s="35">
        <v>0.0</v>
      </c>
      <c r="I1858" s="35">
        <v>1.0</v>
      </c>
      <c r="J1858" s="35"/>
      <c r="K1858" s="35">
        <v>0.0</v>
      </c>
    </row>
    <row r="1859" ht="15.75" customHeight="1">
      <c r="A1859" s="35" t="s">
        <v>6279</v>
      </c>
      <c r="B1859" s="35"/>
      <c r="C1859" s="35">
        <v>5.0</v>
      </c>
      <c r="D1859" s="35" t="s">
        <v>6280</v>
      </c>
      <c r="E1859" s="35">
        <v>46058.0</v>
      </c>
      <c r="F1859" s="35">
        <v>0.0</v>
      </c>
      <c r="G1859" s="35">
        <v>4.0</v>
      </c>
      <c r="H1859" s="35">
        <v>39.0</v>
      </c>
      <c r="I1859" s="35">
        <v>0.0</v>
      </c>
      <c r="J1859" s="35"/>
      <c r="K1859" s="35">
        <v>0.0</v>
      </c>
    </row>
    <row r="1860" ht="15.75" customHeight="1">
      <c r="A1860" s="35" t="s">
        <v>6281</v>
      </c>
      <c r="B1860" s="35"/>
      <c r="C1860" s="35">
        <v>5.0</v>
      </c>
      <c r="D1860" s="35" t="s">
        <v>5550</v>
      </c>
      <c r="E1860" s="35">
        <v>46058.0</v>
      </c>
      <c r="F1860" s="35">
        <v>0.0</v>
      </c>
      <c r="G1860" s="35">
        <v>1.0</v>
      </c>
      <c r="H1860" s="35">
        <v>0.0</v>
      </c>
      <c r="I1860" s="35">
        <v>3.0</v>
      </c>
      <c r="J1860" s="35"/>
      <c r="K1860" s="35">
        <v>0.0</v>
      </c>
    </row>
    <row r="1861" ht="15.75" customHeight="1">
      <c r="A1861" s="35" t="s">
        <v>6283</v>
      </c>
      <c r="B1861" s="35"/>
      <c r="C1861" s="35">
        <v>5.0</v>
      </c>
      <c r="D1861" s="35">
        <v>821.0</v>
      </c>
      <c r="E1861" s="35">
        <v>46027.0</v>
      </c>
      <c r="F1861" s="35">
        <v>0.0</v>
      </c>
      <c r="G1861" s="35">
        <v>6.0</v>
      </c>
      <c r="H1861" s="35">
        <v>0.0</v>
      </c>
      <c r="I1861" s="35">
        <v>0.0</v>
      </c>
      <c r="J1861" s="35"/>
      <c r="K1861" s="35">
        <v>0.0</v>
      </c>
    </row>
    <row r="1862" ht="15.75" customHeight="1">
      <c r="A1862" s="35" t="s">
        <v>6284</v>
      </c>
      <c r="B1862" s="35"/>
      <c r="C1862" s="35">
        <v>5.0</v>
      </c>
      <c r="D1862" s="35" t="s">
        <v>3605</v>
      </c>
      <c r="E1862" s="35">
        <v>46027.0</v>
      </c>
      <c r="F1862" s="35">
        <v>0.0</v>
      </c>
      <c r="G1862" s="35">
        <v>2.0</v>
      </c>
      <c r="H1862" s="35">
        <v>0.0</v>
      </c>
      <c r="I1862" s="35">
        <v>0.0</v>
      </c>
      <c r="J1862" s="35"/>
      <c r="K1862" s="35">
        <v>0.0</v>
      </c>
    </row>
    <row r="1863" ht="15.75" customHeight="1">
      <c r="A1863" s="35" t="s">
        <v>6285</v>
      </c>
      <c r="B1863" s="35"/>
      <c r="C1863" s="35">
        <v>5.0</v>
      </c>
      <c r="D1863" s="35" t="s">
        <v>3967</v>
      </c>
      <c r="E1863" s="35">
        <v>46027.0</v>
      </c>
      <c r="F1863" s="35">
        <v>0.0</v>
      </c>
      <c r="G1863" s="35">
        <v>0.0</v>
      </c>
      <c r="H1863" s="35">
        <v>1.0</v>
      </c>
      <c r="I1863" s="35">
        <v>0.0</v>
      </c>
      <c r="J1863" s="35"/>
      <c r="K1863" s="35">
        <v>0.0</v>
      </c>
    </row>
    <row r="1864" ht="15.75" customHeight="1">
      <c r="A1864" s="35" t="s">
        <v>6287</v>
      </c>
      <c r="B1864" s="35"/>
      <c r="C1864" s="35">
        <v>5.0</v>
      </c>
      <c r="D1864" s="35" t="s">
        <v>6288</v>
      </c>
      <c r="E1864" s="35">
        <v>46027.0</v>
      </c>
      <c r="F1864" s="35">
        <v>0.0</v>
      </c>
      <c r="G1864" s="35">
        <v>0.0</v>
      </c>
      <c r="H1864" s="35">
        <v>1.0</v>
      </c>
      <c r="I1864" s="35">
        <v>0.0</v>
      </c>
      <c r="J1864" s="35"/>
      <c r="K1864" s="35">
        <v>0.0</v>
      </c>
    </row>
    <row r="1865" ht="15.75" customHeight="1">
      <c r="A1865" s="35" t="s">
        <v>6289</v>
      </c>
      <c r="B1865" s="35"/>
      <c r="C1865" s="35">
        <v>5.0</v>
      </c>
      <c r="D1865" s="35" t="s">
        <v>5616</v>
      </c>
      <c r="E1865" s="35">
        <v>46027.0</v>
      </c>
      <c r="F1865" s="35">
        <v>0.0</v>
      </c>
      <c r="G1865" s="35">
        <v>0.0</v>
      </c>
      <c r="H1865" s="35">
        <v>1.0</v>
      </c>
      <c r="I1865" s="35">
        <v>0.0</v>
      </c>
      <c r="J1865" s="35"/>
      <c r="K1865" s="35">
        <v>0.0</v>
      </c>
    </row>
    <row r="1866" ht="15.75" customHeight="1">
      <c r="A1866" s="35" t="s">
        <v>6291</v>
      </c>
      <c r="B1866" s="35"/>
      <c r="C1866" s="35">
        <v>5.0</v>
      </c>
      <c r="D1866" s="35" t="s">
        <v>4635</v>
      </c>
      <c r="E1866" s="35">
        <v>46027.0</v>
      </c>
      <c r="F1866" s="35">
        <v>0.0</v>
      </c>
      <c r="G1866" s="35">
        <v>1.0</v>
      </c>
      <c r="H1866" s="35">
        <v>0.0</v>
      </c>
      <c r="I1866" s="35">
        <v>0.0</v>
      </c>
      <c r="J1866" s="35"/>
      <c r="K1866" s="35">
        <v>0.0</v>
      </c>
    </row>
    <row r="1867" ht="15.75" customHeight="1">
      <c r="A1867" s="35" t="s">
        <v>6292</v>
      </c>
      <c r="B1867" s="35"/>
      <c r="C1867" s="35">
        <v>5.0</v>
      </c>
      <c r="D1867" s="35">
        <v>713.0</v>
      </c>
      <c r="E1867" s="35">
        <v>46027.0</v>
      </c>
      <c r="F1867" s="35">
        <v>0.0</v>
      </c>
      <c r="G1867" s="35">
        <v>0.0</v>
      </c>
      <c r="H1867" s="35">
        <v>0.0</v>
      </c>
      <c r="I1867" s="35">
        <v>4.0</v>
      </c>
      <c r="J1867" s="35"/>
      <c r="K1867" s="35">
        <v>0.0</v>
      </c>
    </row>
    <row r="1868" ht="15.75" customHeight="1">
      <c r="A1868" s="35" t="s">
        <v>6294</v>
      </c>
      <c r="B1868" s="35"/>
      <c r="C1868" s="35">
        <v>5.0</v>
      </c>
      <c r="D1868" s="35" t="s">
        <v>4635</v>
      </c>
      <c r="E1868" s="35">
        <v>46027.0</v>
      </c>
      <c r="F1868" s="35">
        <v>0.0</v>
      </c>
      <c r="G1868" s="35">
        <v>1.0</v>
      </c>
      <c r="H1868" s="35">
        <v>0.0</v>
      </c>
      <c r="I1868" s="35">
        <v>0.0</v>
      </c>
      <c r="J1868" s="35"/>
      <c r="K1868" s="35">
        <v>0.0</v>
      </c>
    </row>
    <row r="1869" ht="15.75" customHeight="1">
      <c r="A1869" s="35" t="s">
        <v>6295</v>
      </c>
      <c r="B1869" s="35"/>
      <c r="C1869" s="35">
        <v>5.0</v>
      </c>
      <c r="D1869" s="35" t="s">
        <v>4061</v>
      </c>
      <c r="E1869" s="35">
        <v>46027.0</v>
      </c>
      <c r="F1869" s="35">
        <v>0.0</v>
      </c>
      <c r="G1869" s="35">
        <v>8.0</v>
      </c>
      <c r="H1869" s="35">
        <v>0.0</v>
      </c>
      <c r="I1869" s="35">
        <v>0.0</v>
      </c>
      <c r="J1869" s="35"/>
      <c r="K1869" s="35">
        <v>0.0</v>
      </c>
    </row>
    <row r="1870" ht="15.75" customHeight="1">
      <c r="A1870" s="35" t="s">
        <v>6297</v>
      </c>
      <c r="B1870" s="35"/>
      <c r="C1870" s="35">
        <v>5.0</v>
      </c>
      <c r="D1870" s="35" t="s">
        <v>6298</v>
      </c>
      <c r="E1870" s="35">
        <v>46027.0</v>
      </c>
      <c r="F1870" s="35">
        <v>0.0</v>
      </c>
      <c r="G1870" s="35">
        <v>0.0</v>
      </c>
      <c r="H1870" s="35">
        <v>479.0</v>
      </c>
      <c r="I1870" s="35">
        <v>0.0</v>
      </c>
      <c r="J1870" s="35"/>
      <c r="K1870" s="35">
        <v>0.0</v>
      </c>
    </row>
    <row r="1871" ht="15.75" customHeight="1">
      <c r="A1871" s="35" t="s">
        <v>6299</v>
      </c>
      <c r="B1871" s="35"/>
      <c r="C1871" s="35">
        <v>5.0</v>
      </c>
      <c r="D1871" s="35">
        <v>526.0</v>
      </c>
      <c r="E1871" s="35">
        <v>46027.0</v>
      </c>
      <c r="F1871" s="35">
        <v>0.0</v>
      </c>
      <c r="G1871" s="35">
        <v>4.0</v>
      </c>
      <c r="H1871" s="35">
        <v>0.0</v>
      </c>
      <c r="I1871" s="35">
        <v>0.0</v>
      </c>
      <c r="J1871" s="35"/>
      <c r="K1871" s="35">
        <v>0.0</v>
      </c>
    </row>
    <row r="1872" ht="15.75" customHeight="1">
      <c r="A1872" s="35" t="s">
        <v>6300</v>
      </c>
      <c r="B1872" s="35"/>
      <c r="C1872" s="35">
        <v>5.0</v>
      </c>
      <c r="D1872" s="35">
        <v>201.0</v>
      </c>
      <c r="E1872" s="35">
        <v>46027.0</v>
      </c>
      <c r="F1872" s="35">
        <v>0.0</v>
      </c>
      <c r="G1872" s="35">
        <v>1.0</v>
      </c>
      <c r="H1872" s="35">
        <v>0.0</v>
      </c>
      <c r="I1872" s="35">
        <v>0.0</v>
      </c>
      <c r="J1872" s="35"/>
      <c r="K1872" s="35">
        <v>0.0</v>
      </c>
    </row>
    <row r="1873" ht="15.75" customHeight="1">
      <c r="A1873" s="35" t="s">
        <v>6302</v>
      </c>
      <c r="B1873" s="35"/>
      <c r="C1873" s="35">
        <v>5.0</v>
      </c>
      <c r="D1873" s="35" t="s">
        <v>6298</v>
      </c>
      <c r="E1873" s="35">
        <v>46027.0</v>
      </c>
      <c r="F1873" s="35">
        <v>0.0</v>
      </c>
      <c r="G1873" s="35">
        <v>0.0</v>
      </c>
      <c r="H1873" s="35">
        <v>184.0</v>
      </c>
      <c r="I1873" s="35">
        <v>0.0</v>
      </c>
      <c r="J1873" s="35"/>
      <c r="K1873" s="35">
        <v>0.0</v>
      </c>
    </row>
    <row r="1874" ht="15.75" customHeight="1">
      <c r="A1874" s="35" t="s">
        <v>6303</v>
      </c>
      <c r="B1874" s="35"/>
      <c r="C1874" s="35">
        <v>5.0</v>
      </c>
      <c r="D1874" s="35">
        <v>285.0</v>
      </c>
      <c r="E1874" s="35">
        <v>46027.0</v>
      </c>
      <c r="F1874" s="35">
        <v>0.0</v>
      </c>
      <c r="G1874" s="35">
        <v>1.0</v>
      </c>
      <c r="H1874" s="35">
        <v>0.0</v>
      </c>
      <c r="I1874" s="35">
        <v>0.0</v>
      </c>
      <c r="J1874" s="35"/>
      <c r="K1874" s="35">
        <v>0.0</v>
      </c>
    </row>
    <row r="1875" ht="15.75" customHeight="1">
      <c r="A1875" s="35" t="s">
        <v>6305</v>
      </c>
      <c r="B1875" s="35"/>
      <c r="C1875" s="35">
        <v>5.0</v>
      </c>
      <c r="D1875" s="35" t="s">
        <v>4635</v>
      </c>
      <c r="E1875" s="35">
        <v>46027.0</v>
      </c>
      <c r="F1875" s="35">
        <v>0.0</v>
      </c>
      <c r="G1875" s="35">
        <v>0.0</v>
      </c>
      <c r="H1875" s="35">
        <v>0.0</v>
      </c>
      <c r="I1875" s="35">
        <v>8.0</v>
      </c>
      <c r="J1875" s="35"/>
      <c r="K1875" s="35">
        <v>0.0</v>
      </c>
    </row>
    <row r="1876" ht="15.75" customHeight="1">
      <c r="A1876" s="35" t="s">
        <v>6306</v>
      </c>
      <c r="B1876" s="35"/>
      <c r="C1876" s="35">
        <v>5.0</v>
      </c>
      <c r="D1876" s="35">
        <v>94.0</v>
      </c>
      <c r="E1876" s="35">
        <v>46027.0</v>
      </c>
      <c r="F1876" s="35">
        <v>0.0</v>
      </c>
      <c r="G1876" s="35">
        <v>1.0</v>
      </c>
      <c r="H1876" s="35">
        <v>0.0</v>
      </c>
      <c r="I1876" s="35">
        <v>0.0</v>
      </c>
      <c r="J1876" s="35"/>
      <c r="K1876" s="35">
        <v>0.0</v>
      </c>
    </row>
    <row r="1877" ht="15.75" customHeight="1">
      <c r="A1877" s="35" t="s">
        <v>6308</v>
      </c>
      <c r="B1877" s="35"/>
      <c r="C1877" s="35">
        <v>5.0</v>
      </c>
      <c r="D1877" s="35" t="s">
        <v>4602</v>
      </c>
      <c r="E1877" s="35">
        <v>46027.0</v>
      </c>
      <c r="F1877" s="35">
        <v>0.0</v>
      </c>
      <c r="G1877" s="35">
        <v>2.0</v>
      </c>
      <c r="H1877" s="35">
        <v>0.0</v>
      </c>
      <c r="I1877" s="35">
        <v>0.0</v>
      </c>
      <c r="J1877" s="35"/>
      <c r="K1877" s="35">
        <v>0.0</v>
      </c>
    </row>
    <row r="1878" ht="15.75" customHeight="1">
      <c r="A1878" s="35" t="s">
        <v>6309</v>
      </c>
      <c r="B1878" s="35"/>
      <c r="C1878" s="35">
        <v>5.0</v>
      </c>
      <c r="D1878" s="35" t="s">
        <v>4703</v>
      </c>
      <c r="E1878" s="35">
        <v>46027.0</v>
      </c>
      <c r="F1878" s="35">
        <v>0.0</v>
      </c>
      <c r="G1878" s="35">
        <v>1.0</v>
      </c>
      <c r="H1878" s="35">
        <v>0.0</v>
      </c>
      <c r="I1878" s="35">
        <v>0.0</v>
      </c>
      <c r="J1878" s="35"/>
      <c r="K1878" s="35">
        <v>0.0</v>
      </c>
    </row>
    <row r="1879" ht="15.75" customHeight="1">
      <c r="A1879" s="35" t="s">
        <v>6310</v>
      </c>
      <c r="B1879" s="35"/>
      <c r="C1879" s="35">
        <v>5.0</v>
      </c>
      <c r="D1879" s="35">
        <v>344.0</v>
      </c>
      <c r="E1879" s="35">
        <v>46027.0</v>
      </c>
      <c r="F1879" s="35">
        <v>0.0</v>
      </c>
      <c r="G1879" s="35">
        <v>2.0</v>
      </c>
      <c r="H1879" s="35">
        <v>0.0</v>
      </c>
      <c r="I1879" s="35">
        <v>0.0</v>
      </c>
      <c r="J1879" s="35"/>
      <c r="K1879" s="35">
        <v>0.0</v>
      </c>
    </row>
    <row r="1880" ht="15.75" customHeight="1">
      <c r="A1880" s="35" t="s">
        <v>6312</v>
      </c>
      <c r="B1880" s="35"/>
      <c r="C1880" s="35">
        <v>5.0</v>
      </c>
      <c r="D1880" s="35" t="s">
        <v>4635</v>
      </c>
      <c r="E1880" s="35">
        <v>46027.0</v>
      </c>
      <c r="F1880" s="35">
        <v>0.0</v>
      </c>
      <c r="G1880" s="35">
        <v>0.0</v>
      </c>
      <c r="H1880" s="35">
        <v>1.0</v>
      </c>
      <c r="I1880" s="35">
        <v>0.0</v>
      </c>
      <c r="J1880" s="35"/>
      <c r="K1880" s="35">
        <v>0.0</v>
      </c>
    </row>
    <row r="1881" ht="15.75" customHeight="1">
      <c r="A1881" s="35" t="s">
        <v>6313</v>
      </c>
      <c r="B1881" s="35"/>
      <c r="C1881" s="35">
        <v>5.0</v>
      </c>
      <c r="D1881" s="35" t="s">
        <v>4635</v>
      </c>
      <c r="E1881" s="35">
        <v>46027.0</v>
      </c>
      <c r="F1881" s="35">
        <v>0.0</v>
      </c>
      <c r="G1881" s="35">
        <v>2.0</v>
      </c>
      <c r="H1881" s="35">
        <v>0.0</v>
      </c>
      <c r="I1881" s="35">
        <v>0.0</v>
      </c>
      <c r="J1881" s="35"/>
      <c r="K1881" s="35">
        <v>0.0</v>
      </c>
    </row>
    <row r="1882" ht="15.75" customHeight="1">
      <c r="A1882" s="35" t="s">
        <v>6315</v>
      </c>
      <c r="B1882" s="35"/>
      <c r="C1882" s="35">
        <v>5.0</v>
      </c>
      <c r="D1882" s="35">
        <v>303.0</v>
      </c>
      <c r="E1882" s="35">
        <v>46027.0</v>
      </c>
      <c r="F1882" s="35">
        <v>0.0</v>
      </c>
      <c r="G1882" s="35">
        <v>2.0</v>
      </c>
      <c r="H1882" s="35">
        <v>0.0</v>
      </c>
      <c r="I1882" s="35">
        <v>0.0</v>
      </c>
      <c r="J1882" s="35"/>
      <c r="K1882" s="35">
        <v>0.0</v>
      </c>
    </row>
    <row r="1883" ht="15.75" customHeight="1">
      <c r="A1883" s="35" t="s">
        <v>6316</v>
      </c>
      <c r="B1883" s="35"/>
      <c r="C1883" s="35">
        <v>5.0</v>
      </c>
      <c r="D1883" s="35" t="s">
        <v>5148</v>
      </c>
      <c r="E1883" s="35">
        <v>46027.0</v>
      </c>
      <c r="F1883" s="35">
        <v>0.0</v>
      </c>
      <c r="G1883" s="35">
        <v>0.0</v>
      </c>
      <c r="H1883" s="35">
        <v>1.0</v>
      </c>
      <c r="I1883" s="35">
        <v>0.0</v>
      </c>
      <c r="J1883" s="35"/>
      <c r="K1883" s="35">
        <v>0.0</v>
      </c>
    </row>
    <row r="1884" ht="15.75" customHeight="1">
      <c r="A1884" s="35" t="s">
        <v>6318</v>
      </c>
      <c r="B1884" s="35"/>
      <c r="C1884" s="35">
        <v>5.0</v>
      </c>
      <c r="D1884" s="35" t="s">
        <v>6265</v>
      </c>
      <c r="E1884" s="35">
        <v>46027.0</v>
      </c>
      <c r="F1884" s="35">
        <v>0.0</v>
      </c>
      <c r="G1884" s="35">
        <v>0.0</v>
      </c>
      <c r="H1884" s="35">
        <v>1.0</v>
      </c>
      <c r="I1884" s="35">
        <v>0.0</v>
      </c>
      <c r="J1884" s="35"/>
      <c r="K1884" s="35">
        <v>0.0</v>
      </c>
    </row>
    <row r="1885" ht="15.75" customHeight="1">
      <c r="A1885" s="35" t="s">
        <v>6319</v>
      </c>
      <c r="B1885" s="35"/>
      <c r="C1885" s="35">
        <v>5.0</v>
      </c>
      <c r="D1885" s="35" t="s">
        <v>6320</v>
      </c>
      <c r="E1885" s="35">
        <v>46027.0</v>
      </c>
      <c r="F1885" s="35">
        <v>0.0</v>
      </c>
      <c r="G1885" s="35">
        <v>0.0</v>
      </c>
      <c r="H1885" s="35">
        <v>1.0</v>
      </c>
      <c r="I1885" s="35">
        <v>0.0</v>
      </c>
      <c r="J1885" s="35"/>
      <c r="K1885" s="35">
        <v>0.0</v>
      </c>
    </row>
    <row r="1886" ht="15.75" customHeight="1">
      <c r="A1886" s="35" t="s">
        <v>6321</v>
      </c>
      <c r="B1886" s="35"/>
      <c r="C1886" s="35">
        <v>5.0</v>
      </c>
      <c r="D1886" s="35" t="s">
        <v>6089</v>
      </c>
      <c r="E1886" s="35">
        <v>46027.0</v>
      </c>
      <c r="F1886" s="35">
        <v>0.0</v>
      </c>
      <c r="G1886" s="35">
        <v>0.0</v>
      </c>
      <c r="H1886" s="35">
        <v>1.0</v>
      </c>
      <c r="I1886" s="35">
        <v>0.0</v>
      </c>
      <c r="J1886" s="35"/>
      <c r="K1886" s="35">
        <v>0.0</v>
      </c>
    </row>
    <row r="1887" ht="15.75" customHeight="1">
      <c r="A1887" s="35" t="s">
        <v>6323</v>
      </c>
      <c r="B1887" s="35"/>
      <c r="C1887" s="35">
        <v>5.0</v>
      </c>
      <c r="D1887" s="35" t="s">
        <v>2039</v>
      </c>
      <c r="E1887" s="35">
        <v>46027.0</v>
      </c>
      <c r="F1887" s="35">
        <v>0.0</v>
      </c>
      <c r="G1887" s="35">
        <v>1.0</v>
      </c>
      <c r="H1887" s="35">
        <v>0.0</v>
      </c>
      <c r="I1887" s="35">
        <v>0.0</v>
      </c>
      <c r="J1887" s="35"/>
      <c r="K1887" s="35">
        <v>0.0</v>
      </c>
    </row>
    <row r="1888" ht="15.75" customHeight="1">
      <c r="A1888" s="35" t="s">
        <v>6324</v>
      </c>
      <c r="B1888" s="35"/>
      <c r="C1888" s="35">
        <v>5.0</v>
      </c>
      <c r="D1888" s="35">
        <v>102.0</v>
      </c>
      <c r="E1888" s="35">
        <v>46027.0</v>
      </c>
      <c r="F1888" s="35">
        <v>0.0</v>
      </c>
      <c r="G1888" s="35">
        <v>1.0</v>
      </c>
      <c r="H1888" s="35">
        <v>0.0</v>
      </c>
      <c r="I1888" s="35">
        <v>0.0</v>
      </c>
      <c r="J1888" s="35"/>
      <c r="K1888" s="35">
        <v>0.0</v>
      </c>
    </row>
    <row r="1889" ht="15.75" customHeight="1">
      <c r="A1889" s="35" t="s">
        <v>1894</v>
      </c>
      <c r="B1889" s="35"/>
      <c r="C1889" s="35">
        <v>5.0</v>
      </c>
      <c r="D1889" s="35" t="s">
        <v>4568</v>
      </c>
      <c r="E1889" s="35">
        <v>46027.0</v>
      </c>
      <c r="F1889" s="35">
        <v>0.0</v>
      </c>
      <c r="G1889" s="35">
        <v>0.0</v>
      </c>
      <c r="H1889" s="35">
        <v>1.0</v>
      </c>
      <c r="I1889" s="35">
        <v>0.0</v>
      </c>
      <c r="J1889" s="35"/>
      <c r="K1889" s="35">
        <v>0.0</v>
      </c>
    </row>
    <row r="1890" ht="15.75" customHeight="1">
      <c r="A1890" s="35" t="s">
        <v>6326</v>
      </c>
      <c r="B1890" s="35"/>
      <c r="C1890" s="35">
        <v>5.0</v>
      </c>
      <c r="D1890" s="35" t="s">
        <v>4722</v>
      </c>
      <c r="E1890" s="35">
        <v>46027.0</v>
      </c>
      <c r="F1890" s="35">
        <v>0.0</v>
      </c>
      <c r="G1890" s="35">
        <v>2.0</v>
      </c>
      <c r="H1890" s="35">
        <v>0.0</v>
      </c>
      <c r="I1890" s="35">
        <v>0.0</v>
      </c>
      <c r="J1890" s="35"/>
      <c r="K1890" s="35">
        <v>0.0</v>
      </c>
    </row>
    <row r="1891" ht="15.75" customHeight="1">
      <c r="A1891" s="35" t="s">
        <v>6327</v>
      </c>
      <c r="B1891" s="35"/>
      <c r="C1891" s="35">
        <v>5.0</v>
      </c>
      <c r="D1891" s="35" t="s">
        <v>2019</v>
      </c>
      <c r="E1891" s="35">
        <v>46027.0</v>
      </c>
      <c r="F1891" s="35">
        <v>0.0</v>
      </c>
      <c r="G1891" s="35">
        <v>2.0</v>
      </c>
      <c r="H1891" s="35">
        <v>0.0</v>
      </c>
      <c r="I1891" s="35">
        <v>0.0</v>
      </c>
      <c r="J1891" s="35"/>
      <c r="K1891" s="35">
        <v>0.0</v>
      </c>
    </row>
    <row r="1892" ht="15.75" customHeight="1">
      <c r="A1892" s="35" t="s">
        <v>6329</v>
      </c>
      <c r="B1892" s="35"/>
      <c r="C1892" s="35">
        <v>5.0</v>
      </c>
      <c r="D1892" s="35" t="s">
        <v>4635</v>
      </c>
      <c r="E1892" s="35">
        <v>46027.0</v>
      </c>
      <c r="F1892" s="35">
        <v>0.0</v>
      </c>
      <c r="G1892" s="35">
        <v>2.0</v>
      </c>
      <c r="H1892" s="35">
        <v>0.0</v>
      </c>
      <c r="I1892" s="35">
        <v>0.0</v>
      </c>
      <c r="J1892" s="35"/>
      <c r="K1892" s="35">
        <v>0.0</v>
      </c>
    </row>
    <row r="1893" ht="15.75" customHeight="1">
      <c r="A1893" s="35" t="s">
        <v>6330</v>
      </c>
      <c r="B1893" s="35"/>
      <c r="C1893" s="35">
        <v>5.0</v>
      </c>
      <c r="D1893" s="35" t="s">
        <v>4635</v>
      </c>
      <c r="E1893" s="35">
        <v>46027.0</v>
      </c>
      <c r="F1893" s="35">
        <v>0.0</v>
      </c>
      <c r="G1893" s="35">
        <v>6.0</v>
      </c>
      <c r="H1893" s="35">
        <v>0.0</v>
      </c>
      <c r="I1893" s="35">
        <v>0.0</v>
      </c>
      <c r="J1893" s="35"/>
      <c r="K1893" s="35">
        <v>0.0</v>
      </c>
    </row>
    <row r="1894" ht="15.75" customHeight="1">
      <c r="A1894" s="35" t="s">
        <v>6331</v>
      </c>
      <c r="B1894" s="35"/>
      <c r="C1894" s="35">
        <v>5.0</v>
      </c>
      <c r="D1894" s="35" t="s">
        <v>4635</v>
      </c>
      <c r="E1894" s="35">
        <v>46027.0</v>
      </c>
      <c r="F1894" s="35">
        <v>0.0</v>
      </c>
      <c r="G1894" s="35">
        <v>0.0</v>
      </c>
      <c r="H1894" s="35">
        <v>0.0</v>
      </c>
      <c r="I1894" s="35">
        <v>1.0</v>
      </c>
      <c r="J1894" s="35"/>
      <c r="K1894" s="35">
        <v>0.0</v>
      </c>
    </row>
    <row r="1895" ht="15.75" customHeight="1">
      <c r="A1895" s="35" t="s">
        <v>6333</v>
      </c>
      <c r="B1895" s="35"/>
      <c r="C1895" s="35">
        <v>5.0</v>
      </c>
      <c r="D1895" s="35" t="s">
        <v>4418</v>
      </c>
      <c r="E1895" s="35">
        <v>46027.0</v>
      </c>
      <c r="F1895" s="35">
        <v>0.0</v>
      </c>
      <c r="G1895" s="35">
        <v>1.0</v>
      </c>
      <c r="H1895" s="35">
        <v>0.0</v>
      </c>
      <c r="I1895" s="35">
        <v>0.0</v>
      </c>
      <c r="J1895" s="35"/>
      <c r="K1895" s="35">
        <v>0.0</v>
      </c>
    </row>
    <row r="1896" ht="15.75" customHeight="1">
      <c r="A1896" s="35" t="s">
        <v>6334</v>
      </c>
      <c r="B1896" s="35"/>
      <c r="C1896" s="35">
        <v>5.0</v>
      </c>
      <c r="D1896" s="35" t="s">
        <v>4170</v>
      </c>
      <c r="E1896" s="35">
        <v>46027.0</v>
      </c>
      <c r="F1896" s="35">
        <v>0.0</v>
      </c>
      <c r="G1896" s="35">
        <v>0.0</v>
      </c>
      <c r="H1896" s="35">
        <v>1.0</v>
      </c>
      <c r="I1896" s="35">
        <v>0.0</v>
      </c>
      <c r="J1896" s="35"/>
      <c r="K1896" s="35">
        <v>0.0</v>
      </c>
    </row>
    <row r="1897" ht="15.75" customHeight="1">
      <c r="A1897" s="35" t="s">
        <v>6335</v>
      </c>
      <c r="B1897" s="35"/>
      <c r="C1897" s="35">
        <v>5.0</v>
      </c>
      <c r="D1897" s="35" t="s">
        <v>4461</v>
      </c>
      <c r="E1897" s="35">
        <v>46027.0</v>
      </c>
      <c r="F1897" s="35">
        <v>0.0</v>
      </c>
      <c r="G1897" s="35">
        <v>0.0</v>
      </c>
      <c r="H1897" s="35">
        <v>2.0</v>
      </c>
      <c r="I1897" s="35">
        <v>0.0</v>
      </c>
      <c r="J1897" s="35"/>
      <c r="K1897" s="35">
        <v>0.0</v>
      </c>
    </row>
    <row r="1898" ht="15.75" customHeight="1">
      <c r="A1898" s="35" t="s">
        <v>6336</v>
      </c>
      <c r="B1898" s="35"/>
      <c r="C1898" s="35">
        <v>5.0</v>
      </c>
      <c r="D1898" s="35" t="s">
        <v>4380</v>
      </c>
      <c r="E1898" s="35">
        <v>46027.0</v>
      </c>
      <c r="F1898" s="35">
        <v>0.0</v>
      </c>
      <c r="G1898" s="35">
        <v>1.0</v>
      </c>
      <c r="H1898" s="35">
        <v>0.0</v>
      </c>
      <c r="I1898" s="35">
        <v>0.0</v>
      </c>
      <c r="J1898" s="35"/>
      <c r="K1898" s="35">
        <v>0.0</v>
      </c>
    </row>
    <row r="1899" ht="15.75" customHeight="1">
      <c r="A1899" s="35" t="s">
        <v>6338</v>
      </c>
      <c r="B1899" s="35"/>
      <c r="C1899" s="35">
        <v>5.0</v>
      </c>
      <c r="D1899" s="35" t="s">
        <v>6094</v>
      </c>
      <c r="E1899" s="35">
        <v>46027.0</v>
      </c>
      <c r="F1899" s="35">
        <v>0.0</v>
      </c>
      <c r="G1899" s="35">
        <v>0.0</v>
      </c>
      <c r="H1899" s="35">
        <v>5312.0</v>
      </c>
      <c r="I1899" s="35">
        <v>0.0</v>
      </c>
      <c r="J1899" s="35"/>
      <c r="K1899" s="35">
        <v>0.0</v>
      </c>
    </row>
    <row r="1900" ht="15.75" customHeight="1">
      <c r="A1900" s="35" t="s">
        <v>6339</v>
      </c>
      <c r="B1900" s="35"/>
      <c r="C1900" s="35">
        <v>5.0</v>
      </c>
      <c r="D1900" s="35" t="s">
        <v>4435</v>
      </c>
      <c r="E1900" s="35">
        <v>46027.0</v>
      </c>
      <c r="F1900" s="35">
        <v>0.0</v>
      </c>
      <c r="G1900" s="35">
        <v>0.0</v>
      </c>
      <c r="H1900" s="35">
        <v>1858.0</v>
      </c>
      <c r="I1900" s="35">
        <v>0.0</v>
      </c>
      <c r="J1900" s="35"/>
      <c r="K1900" s="35">
        <v>0.0</v>
      </c>
    </row>
    <row r="1901" ht="15.75" customHeight="1">
      <c r="A1901" s="35" t="s">
        <v>6341</v>
      </c>
      <c r="B1901" s="35"/>
      <c r="C1901" s="35">
        <v>5.0</v>
      </c>
      <c r="D1901" s="35" t="s">
        <v>4521</v>
      </c>
      <c r="E1901" s="35">
        <v>46027.0</v>
      </c>
      <c r="F1901" s="35">
        <v>0.0</v>
      </c>
      <c r="G1901" s="35">
        <v>1.0</v>
      </c>
      <c r="H1901" s="35">
        <v>0.0</v>
      </c>
      <c r="I1901" s="35">
        <v>0.0</v>
      </c>
      <c r="J1901" s="35"/>
      <c r="K1901" s="35">
        <v>0.0</v>
      </c>
    </row>
    <row r="1902" ht="15.75" customHeight="1">
      <c r="A1902" s="35" t="s">
        <v>6342</v>
      </c>
      <c r="B1902" s="35"/>
      <c r="C1902" s="35">
        <v>5.0</v>
      </c>
      <c r="D1902" s="35" t="s">
        <v>4433</v>
      </c>
      <c r="E1902" s="35">
        <v>46027.0</v>
      </c>
      <c r="F1902" s="35">
        <v>0.0</v>
      </c>
      <c r="G1902" s="35">
        <v>12.0</v>
      </c>
      <c r="H1902" s="35">
        <v>0.0</v>
      </c>
      <c r="I1902" s="35">
        <v>0.0</v>
      </c>
      <c r="J1902" s="35"/>
      <c r="K1902" s="35">
        <v>0.0</v>
      </c>
    </row>
    <row r="1903" ht="15.75" customHeight="1">
      <c r="A1903" s="35" t="s">
        <v>6343</v>
      </c>
      <c r="B1903" s="35"/>
      <c r="C1903" s="35">
        <v>5.0</v>
      </c>
      <c r="D1903" s="35">
        <v>346.0</v>
      </c>
      <c r="E1903" s="35">
        <v>46027.0</v>
      </c>
      <c r="F1903" s="35">
        <v>0.0</v>
      </c>
      <c r="G1903" s="35">
        <v>0.0</v>
      </c>
      <c r="H1903" s="35">
        <v>0.0</v>
      </c>
      <c r="I1903" s="35">
        <v>1.0</v>
      </c>
      <c r="J1903" s="35"/>
      <c r="K1903" s="35">
        <v>0.0</v>
      </c>
    </row>
    <row r="1904" ht="15.75" customHeight="1">
      <c r="A1904" s="35" t="s">
        <v>6345</v>
      </c>
      <c r="B1904" s="35"/>
      <c r="C1904" s="35">
        <v>5.0</v>
      </c>
      <c r="D1904" s="35" t="s">
        <v>3999</v>
      </c>
      <c r="E1904" s="35">
        <v>46027.0</v>
      </c>
      <c r="F1904" s="35">
        <v>0.0</v>
      </c>
      <c r="G1904" s="35">
        <v>39.0</v>
      </c>
      <c r="H1904" s="35">
        <v>0.0</v>
      </c>
      <c r="I1904" s="35">
        <v>0.0</v>
      </c>
      <c r="J1904" s="35"/>
      <c r="K1904" s="35">
        <v>0.0</v>
      </c>
    </row>
    <row r="1905" ht="15.75" customHeight="1">
      <c r="A1905" s="35" t="s">
        <v>6346</v>
      </c>
      <c r="B1905" s="35"/>
      <c r="C1905" s="35">
        <v>5.0</v>
      </c>
      <c r="D1905" s="35">
        <v>58.0</v>
      </c>
      <c r="E1905" s="35">
        <v>46027.0</v>
      </c>
      <c r="F1905" s="35">
        <v>0.0</v>
      </c>
      <c r="G1905" s="35">
        <v>3.0</v>
      </c>
      <c r="H1905" s="35">
        <v>0.0</v>
      </c>
      <c r="I1905" s="35">
        <v>0.0</v>
      </c>
      <c r="J1905" s="35"/>
      <c r="K1905" s="35">
        <v>0.0</v>
      </c>
    </row>
    <row r="1906" ht="15.75" customHeight="1">
      <c r="A1906" s="35" t="s">
        <v>6348</v>
      </c>
      <c r="B1906" s="35"/>
      <c r="C1906" s="35">
        <v>5.0</v>
      </c>
      <c r="D1906" s="35" t="s">
        <v>3992</v>
      </c>
      <c r="E1906" s="35">
        <v>46027.0</v>
      </c>
      <c r="F1906" s="35">
        <v>0.0</v>
      </c>
      <c r="G1906" s="35">
        <v>0.0</v>
      </c>
      <c r="H1906" s="35">
        <v>1.0</v>
      </c>
      <c r="I1906" s="35">
        <v>0.0</v>
      </c>
      <c r="J1906" s="35"/>
      <c r="K1906" s="35">
        <v>0.0</v>
      </c>
    </row>
    <row r="1907" ht="15.75" customHeight="1">
      <c r="A1907" s="35" t="s">
        <v>6349</v>
      </c>
      <c r="B1907" s="35"/>
      <c r="C1907" s="35">
        <v>5.0</v>
      </c>
      <c r="D1907" s="35" t="s">
        <v>3980</v>
      </c>
      <c r="E1907" s="35">
        <v>46027.0</v>
      </c>
      <c r="F1907" s="35">
        <v>0.0</v>
      </c>
      <c r="G1907" s="35">
        <v>1.0</v>
      </c>
      <c r="H1907" s="35">
        <v>0.0</v>
      </c>
      <c r="I1907" s="35">
        <v>0.0</v>
      </c>
      <c r="J1907" s="35"/>
      <c r="K1907" s="35">
        <v>0.0</v>
      </c>
    </row>
    <row r="1908" ht="15.75" customHeight="1">
      <c r="A1908" s="35" t="s">
        <v>6351</v>
      </c>
      <c r="B1908" s="35"/>
      <c r="C1908" s="35">
        <v>5.0</v>
      </c>
      <c r="D1908" s="35" t="s">
        <v>4538</v>
      </c>
      <c r="E1908" s="35">
        <v>46027.0</v>
      </c>
      <c r="F1908" s="35">
        <v>0.0</v>
      </c>
      <c r="G1908" s="35">
        <v>4.0</v>
      </c>
      <c r="H1908" s="35">
        <v>0.0</v>
      </c>
      <c r="I1908" s="35">
        <v>0.0</v>
      </c>
      <c r="J1908" s="35"/>
      <c r="K1908" s="35">
        <v>0.0</v>
      </c>
    </row>
    <row r="1909" ht="15.75" customHeight="1">
      <c r="A1909" s="35" t="s">
        <v>6352</v>
      </c>
      <c r="B1909" s="35"/>
      <c r="C1909" s="35">
        <v>5.0</v>
      </c>
      <c r="D1909" s="35" t="s">
        <v>3665</v>
      </c>
      <c r="E1909" s="35">
        <v>46027.0</v>
      </c>
      <c r="F1909" s="35">
        <v>0.0</v>
      </c>
      <c r="G1909" s="35">
        <v>0.0</v>
      </c>
      <c r="H1909" s="35">
        <v>2.0</v>
      </c>
      <c r="I1909" s="35">
        <v>0.0</v>
      </c>
      <c r="J1909" s="35"/>
      <c r="K1909" s="35">
        <v>0.0</v>
      </c>
    </row>
    <row r="1910" ht="15.75" customHeight="1">
      <c r="A1910" s="35" t="s">
        <v>6354</v>
      </c>
      <c r="B1910" s="35"/>
      <c r="C1910" s="35">
        <v>5.0</v>
      </c>
      <c r="D1910" s="35">
        <v>855.0</v>
      </c>
      <c r="E1910" s="35">
        <v>46027.0</v>
      </c>
      <c r="F1910" s="35">
        <v>0.0</v>
      </c>
      <c r="G1910" s="35">
        <v>1.0</v>
      </c>
      <c r="H1910" s="35">
        <v>0.0</v>
      </c>
      <c r="I1910" s="35">
        <v>0.0</v>
      </c>
      <c r="J1910" s="35"/>
      <c r="K1910" s="35">
        <v>0.0</v>
      </c>
    </row>
    <row r="1911" ht="15.75" customHeight="1">
      <c r="A1911" s="35" t="s">
        <v>6355</v>
      </c>
      <c r="B1911" s="35"/>
      <c r="C1911" s="35">
        <v>5.0</v>
      </c>
      <c r="D1911" s="35">
        <v>45.0</v>
      </c>
      <c r="E1911" s="35">
        <v>46027.0</v>
      </c>
      <c r="F1911" s="35">
        <v>0.0</v>
      </c>
      <c r="G1911" s="35">
        <v>3.0</v>
      </c>
      <c r="H1911" s="35">
        <v>0.0</v>
      </c>
      <c r="I1911" s="35">
        <v>0.0</v>
      </c>
      <c r="J1911" s="35"/>
      <c r="K1911" s="35">
        <v>0.0</v>
      </c>
    </row>
    <row r="1912" ht="15.75" customHeight="1">
      <c r="A1912" s="35" t="s">
        <v>6356</v>
      </c>
      <c r="B1912" s="35"/>
      <c r="C1912" s="35">
        <v>5.0</v>
      </c>
      <c r="D1912" s="35">
        <v>46.0</v>
      </c>
      <c r="E1912" s="35">
        <v>46027.0</v>
      </c>
      <c r="F1912" s="35">
        <v>0.0</v>
      </c>
      <c r="G1912" s="35">
        <v>5.0</v>
      </c>
      <c r="H1912" s="35">
        <v>0.0</v>
      </c>
      <c r="I1912" s="35">
        <v>0.0</v>
      </c>
      <c r="J1912" s="35"/>
      <c r="K1912" s="35">
        <v>0.0</v>
      </c>
    </row>
    <row r="1913" ht="15.75" customHeight="1">
      <c r="A1913" s="35" t="s">
        <v>6358</v>
      </c>
      <c r="B1913" s="35"/>
      <c r="C1913" s="35">
        <v>5.0</v>
      </c>
      <c r="D1913" s="35" t="s">
        <v>4430</v>
      </c>
      <c r="E1913" s="35">
        <v>46027.0</v>
      </c>
      <c r="F1913" s="35">
        <v>0.0</v>
      </c>
      <c r="G1913" s="35">
        <v>0.0</v>
      </c>
      <c r="H1913" s="35">
        <v>2.0</v>
      </c>
      <c r="I1913" s="35">
        <v>0.0</v>
      </c>
      <c r="J1913" s="35"/>
      <c r="K1913" s="35">
        <v>0.0</v>
      </c>
    </row>
    <row r="1914" ht="15.75" customHeight="1">
      <c r="A1914" s="35" t="s">
        <v>6359</v>
      </c>
      <c r="B1914" s="35"/>
      <c r="C1914" s="35">
        <v>5.0</v>
      </c>
      <c r="D1914" s="35" t="s">
        <v>4538</v>
      </c>
      <c r="E1914" s="35">
        <v>46027.0</v>
      </c>
      <c r="F1914" s="35">
        <v>0.0</v>
      </c>
      <c r="G1914" s="35">
        <v>1.0</v>
      </c>
      <c r="H1914" s="35">
        <v>0.0</v>
      </c>
      <c r="I1914" s="35">
        <v>0.0</v>
      </c>
      <c r="J1914" s="35"/>
      <c r="K1914" s="35">
        <v>0.0</v>
      </c>
    </row>
    <row r="1915" ht="15.75" customHeight="1">
      <c r="A1915" s="35" t="s">
        <v>6361</v>
      </c>
      <c r="B1915" s="35"/>
      <c r="C1915" s="35">
        <v>5.0</v>
      </c>
      <c r="D1915" s="35" t="s">
        <v>4791</v>
      </c>
      <c r="E1915" s="35">
        <v>46027.0</v>
      </c>
      <c r="F1915" s="35">
        <v>0.0</v>
      </c>
      <c r="G1915" s="35">
        <v>1.0</v>
      </c>
      <c r="H1915" s="35">
        <v>0.0</v>
      </c>
      <c r="I1915" s="35">
        <v>0.0</v>
      </c>
      <c r="J1915" s="35"/>
      <c r="K1915" s="35">
        <v>0.0</v>
      </c>
    </row>
    <row r="1916" ht="15.75" customHeight="1">
      <c r="A1916" s="35" t="s">
        <v>6362</v>
      </c>
      <c r="B1916" s="35"/>
      <c r="C1916" s="35">
        <v>5.0</v>
      </c>
      <c r="D1916" s="35" t="s">
        <v>4635</v>
      </c>
      <c r="E1916" s="35">
        <v>46027.0</v>
      </c>
      <c r="F1916" s="35">
        <v>0.0</v>
      </c>
      <c r="G1916" s="35">
        <v>9.0</v>
      </c>
      <c r="H1916" s="35">
        <v>0.0</v>
      </c>
      <c r="I1916" s="35">
        <v>0.0</v>
      </c>
      <c r="J1916" s="35"/>
      <c r="K1916" s="35">
        <v>0.0</v>
      </c>
    </row>
    <row r="1917" ht="15.75" customHeight="1">
      <c r="A1917" s="35" t="s">
        <v>6364</v>
      </c>
      <c r="B1917" s="35"/>
      <c r="C1917" s="35">
        <v>5.0</v>
      </c>
      <c r="D1917" s="35" t="s">
        <v>6365</v>
      </c>
      <c r="E1917" s="35">
        <v>46027.0</v>
      </c>
      <c r="F1917" s="35">
        <v>0.0</v>
      </c>
      <c r="G1917" s="35">
        <v>0.0</v>
      </c>
      <c r="H1917" s="35">
        <v>282.0</v>
      </c>
      <c r="I1917" s="35">
        <v>0.0</v>
      </c>
      <c r="J1917" s="35"/>
      <c r="K1917" s="35">
        <v>0.0</v>
      </c>
    </row>
    <row r="1918" ht="15.75" customHeight="1">
      <c r="A1918" s="35" t="s">
        <v>6366</v>
      </c>
      <c r="B1918" s="35"/>
      <c r="C1918" s="35">
        <v>5.0</v>
      </c>
      <c r="D1918" s="35" t="s">
        <v>4635</v>
      </c>
      <c r="E1918" s="35">
        <v>46027.0</v>
      </c>
      <c r="F1918" s="35">
        <v>0.0</v>
      </c>
      <c r="G1918" s="35">
        <v>2.0</v>
      </c>
      <c r="H1918" s="35">
        <v>0.0</v>
      </c>
      <c r="I1918" s="35">
        <v>0.0</v>
      </c>
      <c r="J1918" s="35"/>
      <c r="K1918" s="35">
        <v>0.0</v>
      </c>
    </row>
    <row r="1919" ht="15.75" customHeight="1">
      <c r="A1919" s="35" t="s">
        <v>6368</v>
      </c>
      <c r="B1919" s="35"/>
      <c r="C1919" s="35">
        <v>5.0</v>
      </c>
      <c r="D1919" s="35" t="s">
        <v>2060</v>
      </c>
      <c r="E1919" s="35">
        <v>46027.0</v>
      </c>
      <c r="F1919" s="35">
        <v>0.0</v>
      </c>
      <c r="G1919" s="35">
        <v>0.0</v>
      </c>
      <c r="H1919" s="35">
        <v>0.0</v>
      </c>
      <c r="I1919" s="35">
        <v>1.0</v>
      </c>
      <c r="J1919" s="35"/>
      <c r="K1919" s="35">
        <v>0.0</v>
      </c>
    </row>
    <row r="1920" ht="15.75" customHeight="1">
      <c r="A1920" s="35" t="s">
        <v>6369</v>
      </c>
      <c r="B1920" s="35"/>
      <c r="C1920" s="35">
        <v>5.0</v>
      </c>
      <c r="D1920" s="35" t="s">
        <v>4544</v>
      </c>
      <c r="E1920" s="35">
        <v>46027.0</v>
      </c>
      <c r="F1920" s="35">
        <v>0.0</v>
      </c>
      <c r="G1920" s="35">
        <v>0.0</v>
      </c>
      <c r="H1920" s="35">
        <v>1.0</v>
      </c>
      <c r="I1920" s="35">
        <v>0.0</v>
      </c>
      <c r="J1920" s="35"/>
      <c r="K1920" s="35">
        <v>0.0</v>
      </c>
    </row>
    <row r="1921" ht="15.75" customHeight="1">
      <c r="A1921" s="35" t="s">
        <v>6371</v>
      </c>
      <c r="B1921" s="35"/>
      <c r="C1921" s="35">
        <v>5.0</v>
      </c>
      <c r="D1921" s="35" t="s">
        <v>6372</v>
      </c>
      <c r="E1921" s="35">
        <v>46027.0</v>
      </c>
      <c r="F1921" s="35">
        <v>0.0</v>
      </c>
      <c r="G1921" s="35">
        <v>7.0</v>
      </c>
      <c r="H1921" s="35">
        <v>0.0</v>
      </c>
      <c r="I1921" s="35">
        <v>0.0</v>
      </c>
      <c r="J1921" s="35"/>
      <c r="K1921" s="35">
        <v>0.0</v>
      </c>
    </row>
    <row r="1922" ht="15.75" customHeight="1">
      <c r="A1922" s="35" t="s">
        <v>6373</v>
      </c>
      <c r="B1922" s="35"/>
      <c r="C1922" s="35">
        <v>5.0</v>
      </c>
      <c r="D1922" s="35" t="s">
        <v>4635</v>
      </c>
      <c r="E1922" s="35">
        <v>46027.0</v>
      </c>
      <c r="F1922" s="35">
        <v>0.0</v>
      </c>
      <c r="G1922" s="35">
        <v>1.0</v>
      </c>
      <c r="H1922" s="35">
        <v>0.0</v>
      </c>
      <c r="I1922" s="35">
        <v>0.0</v>
      </c>
      <c r="J1922" s="35"/>
      <c r="K1922" s="35">
        <v>0.0</v>
      </c>
    </row>
    <row r="1923" ht="15.75" customHeight="1">
      <c r="A1923" s="35" t="s">
        <v>6375</v>
      </c>
      <c r="B1923" s="35"/>
      <c r="C1923" s="35">
        <v>5.0</v>
      </c>
      <c r="D1923" s="35">
        <v>300.0</v>
      </c>
      <c r="E1923" s="35">
        <v>46027.0</v>
      </c>
      <c r="F1923" s="35">
        <v>0.0</v>
      </c>
      <c r="G1923" s="35">
        <v>0.0</v>
      </c>
      <c r="H1923" s="35">
        <v>1.0</v>
      </c>
      <c r="I1923" s="35">
        <v>0.0</v>
      </c>
      <c r="J1923" s="35"/>
      <c r="K1923" s="35">
        <v>0.0</v>
      </c>
    </row>
    <row r="1924" ht="15.75" customHeight="1">
      <c r="A1924" s="35" t="s">
        <v>6376</v>
      </c>
      <c r="B1924" s="35"/>
      <c r="C1924" s="35">
        <v>5.0</v>
      </c>
      <c r="D1924" s="35" t="s">
        <v>2010</v>
      </c>
      <c r="E1924" s="35">
        <v>46027.0</v>
      </c>
      <c r="F1924" s="35">
        <v>0.0</v>
      </c>
      <c r="G1924" s="35">
        <v>0.0</v>
      </c>
      <c r="H1924" s="35">
        <v>1.0</v>
      </c>
      <c r="I1924" s="35">
        <v>0.0</v>
      </c>
      <c r="J1924" s="35"/>
      <c r="K1924" s="35">
        <v>0.0</v>
      </c>
    </row>
    <row r="1925" ht="15.75" customHeight="1">
      <c r="A1925" s="35" t="s">
        <v>6378</v>
      </c>
      <c r="B1925" s="35"/>
      <c r="C1925" s="35">
        <v>5.0</v>
      </c>
      <c r="D1925" s="35" t="s">
        <v>4348</v>
      </c>
      <c r="E1925" s="35">
        <v>46027.0</v>
      </c>
      <c r="F1925" s="35">
        <v>0.0</v>
      </c>
      <c r="G1925" s="35">
        <v>1.0</v>
      </c>
      <c r="H1925" s="35">
        <v>0.0</v>
      </c>
      <c r="I1925" s="35">
        <v>0.0</v>
      </c>
      <c r="J1925" s="35"/>
      <c r="K1925" s="35">
        <v>0.0</v>
      </c>
    </row>
    <row r="1926" ht="15.75" customHeight="1">
      <c r="A1926" s="35" t="s">
        <v>6379</v>
      </c>
      <c r="B1926" s="35"/>
      <c r="C1926" s="35">
        <v>5.0</v>
      </c>
      <c r="D1926" s="35">
        <v>850.0</v>
      </c>
      <c r="E1926" s="35">
        <v>46027.0</v>
      </c>
      <c r="F1926" s="35">
        <v>0.0</v>
      </c>
      <c r="G1926" s="35">
        <v>0.0</v>
      </c>
      <c r="H1926" s="35">
        <v>1.0</v>
      </c>
      <c r="I1926" s="35">
        <v>0.0</v>
      </c>
      <c r="J1926" s="35"/>
      <c r="K1926" s="35">
        <v>0.0</v>
      </c>
    </row>
    <row r="1927" ht="15.75" customHeight="1">
      <c r="A1927" s="35" t="s">
        <v>6380</v>
      </c>
      <c r="B1927" s="35"/>
      <c r="C1927" s="35">
        <v>5.0</v>
      </c>
      <c r="D1927" s="35" t="s">
        <v>2049</v>
      </c>
      <c r="E1927" s="35">
        <v>46027.0</v>
      </c>
      <c r="F1927" s="35">
        <v>0.0</v>
      </c>
      <c r="G1927" s="35">
        <v>5.0</v>
      </c>
      <c r="H1927" s="35">
        <v>0.0</v>
      </c>
      <c r="I1927" s="35">
        <v>0.0</v>
      </c>
      <c r="J1927" s="35"/>
      <c r="K1927" s="35">
        <v>0.0</v>
      </c>
    </row>
    <row r="1928" ht="15.75" customHeight="1">
      <c r="A1928" s="35" t="s">
        <v>6382</v>
      </c>
      <c r="B1928" s="35"/>
      <c r="C1928" s="35">
        <v>5.0</v>
      </c>
      <c r="D1928" s="35">
        <v>546.0</v>
      </c>
      <c r="E1928" s="35">
        <v>46027.0</v>
      </c>
      <c r="F1928" s="35">
        <v>0.0</v>
      </c>
      <c r="G1928" s="35">
        <v>1.0</v>
      </c>
      <c r="H1928" s="35">
        <v>0.0</v>
      </c>
      <c r="I1928" s="35">
        <v>0.0</v>
      </c>
      <c r="J1928" s="35"/>
      <c r="K1928" s="35">
        <v>0.0</v>
      </c>
    </row>
    <row r="1929" ht="15.75" customHeight="1">
      <c r="A1929" s="35" t="s">
        <v>6383</v>
      </c>
      <c r="B1929" s="35"/>
      <c r="C1929" s="35">
        <v>5.0</v>
      </c>
      <c r="D1929" s="35" t="s">
        <v>4635</v>
      </c>
      <c r="E1929" s="35">
        <v>46027.0</v>
      </c>
      <c r="F1929" s="35">
        <v>0.0</v>
      </c>
      <c r="G1929" s="35">
        <v>1.0</v>
      </c>
      <c r="H1929" s="35">
        <v>0.0</v>
      </c>
      <c r="I1929" s="35">
        <v>0.0</v>
      </c>
      <c r="J1929" s="35"/>
      <c r="K1929" s="35">
        <v>0.0</v>
      </c>
    </row>
    <row r="1930" ht="15.75" customHeight="1">
      <c r="A1930" s="35" t="s">
        <v>6385</v>
      </c>
      <c r="B1930" s="35"/>
      <c r="C1930" s="35">
        <v>5.0</v>
      </c>
      <c r="D1930" s="35">
        <v>122.0</v>
      </c>
      <c r="E1930" s="35">
        <v>46027.0</v>
      </c>
      <c r="F1930" s="35">
        <v>0.0</v>
      </c>
      <c r="G1930" s="35">
        <v>0.0</v>
      </c>
      <c r="H1930" s="35">
        <v>0.0</v>
      </c>
      <c r="I1930" s="35">
        <v>1.0</v>
      </c>
      <c r="J1930" s="35"/>
      <c r="K1930" s="35">
        <v>0.0</v>
      </c>
    </row>
    <row r="1931" ht="15.75" customHeight="1">
      <c r="A1931" s="35" t="s">
        <v>6386</v>
      </c>
      <c r="B1931" s="35"/>
      <c r="C1931" s="35">
        <v>5.0</v>
      </c>
      <c r="D1931" s="35" t="s">
        <v>4635</v>
      </c>
      <c r="E1931" s="35">
        <v>46027.0</v>
      </c>
      <c r="F1931" s="35">
        <v>0.0</v>
      </c>
      <c r="G1931" s="35">
        <v>1.0</v>
      </c>
      <c r="H1931" s="35">
        <v>0.0</v>
      </c>
      <c r="I1931" s="35">
        <v>0.0</v>
      </c>
      <c r="J1931" s="35"/>
      <c r="K1931" s="35">
        <v>0.0</v>
      </c>
    </row>
    <row r="1932" ht="15.75" customHeight="1">
      <c r="A1932" s="35" t="s">
        <v>6388</v>
      </c>
      <c r="B1932" s="35"/>
      <c r="C1932" s="35">
        <v>5.0</v>
      </c>
      <c r="D1932" s="35">
        <v>216.0</v>
      </c>
      <c r="E1932" s="35">
        <v>46027.0</v>
      </c>
      <c r="F1932" s="35">
        <v>0.0</v>
      </c>
      <c r="G1932" s="35">
        <v>12.0</v>
      </c>
      <c r="H1932" s="35">
        <v>0.0</v>
      </c>
      <c r="I1932" s="35">
        <v>0.0</v>
      </c>
      <c r="J1932" s="35"/>
      <c r="K1932" s="35">
        <v>0.0</v>
      </c>
    </row>
    <row r="1933" ht="15.75" customHeight="1">
      <c r="A1933" s="35" t="s">
        <v>6389</v>
      </c>
      <c r="B1933" s="35"/>
      <c r="C1933" s="35">
        <v>5.0</v>
      </c>
      <c r="D1933" s="35" t="s">
        <v>6372</v>
      </c>
      <c r="E1933" s="35">
        <v>46027.0</v>
      </c>
      <c r="F1933" s="35">
        <v>0.0</v>
      </c>
      <c r="G1933" s="35">
        <v>6.0</v>
      </c>
      <c r="H1933" s="35">
        <v>0.0</v>
      </c>
      <c r="I1933" s="35">
        <v>0.0</v>
      </c>
      <c r="J1933" s="35"/>
      <c r="K1933" s="35">
        <v>0.0</v>
      </c>
    </row>
    <row r="1934" ht="15.75" customHeight="1">
      <c r="A1934" s="35" t="s">
        <v>6390</v>
      </c>
      <c r="B1934" s="35"/>
      <c r="C1934" s="35">
        <v>5.0</v>
      </c>
      <c r="D1934" s="35" t="s">
        <v>4635</v>
      </c>
      <c r="E1934" s="35">
        <v>46027.0</v>
      </c>
      <c r="F1934" s="35">
        <v>0.0</v>
      </c>
      <c r="G1934" s="35">
        <v>6.0</v>
      </c>
      <c r="H1934" s="35">
        <v>0.0</v>
      </c>
      <c r="I1934" s="35">
        <v>0.0</v>
      </c>
      <c r="J1934" s="35"/>
      <c r="K1934" s="35">
        <v>0.0</v>
      </c>
    </row>
    <row r="1935" ht="15.75" customHeight="1">
      <c r="A1935" s="35" t="s">
        <v>6392</v>
      </c>
      <c r="B1935" s="35"/>
      <c r="C1935" s="35">
        <v>5.0</v>
      </c>
      <c r="D1935" s="35" t="s">
        <v>4635</v>
      </c>
      <c r="E1935" s="35">
        <v>46027.0</v>
      </c>
      <c r="F1935" s="35">
        <v>0.0</v>
      </c>
      <c r="G1935" s="35">
        <v>4.0</v>
      </c>
      <c r="H1935" s="35">
        <v>0.0</v>
      </c>
      <c r="I1935" s="35">
        <v>0.0</v>
      </c>
      <c r="J1935" s="35"/>
      <c r="K1935" s="35">
        <v>0.0</v>
      </c>
    </row>
    <row r="1936" ht="15.75" customHeight="1">
      <c r="A1936" s="35" t="s">
        <v>6393</v>
      </c>
      <c r="B1936" s="35"/>
      <c r="C1936" s="35">
        <v>5.0</v>
      </c>
      <c r="D1936" s="35">
        <v>52.0</v>
      </c>
      <c r="E1936" s="35">
        <v>46027.0</v>
      </c>
      <c r="F1936" s="35">
        <v>0.0</v>
      </c>
      <c r="G1936" s="35">
        <v>0.0</v>
      </c>
      <c r="H1936" s="35">
        <v>1.0</v>
      </c>
      <c r="I1936" s="35">
        <v>0.0</v>
      </c>
      <c r="J1936" s="35"/>
      <c r="K1936" s="35">
        <v>0.0</v>
      </c>
    </row>
    <row r="1937" ht="15.75" customHeight="1">
      <c r="A1937" s="35" t="s">
        <v>6395</v>
      </c>
      <c r="B1937" s="35"/>
      <c r="C1937" s="35">
        <v>5.0</v>
      </c>
      <c r="D1937" s="35">
        <v>16.0</v>
      </c>
      <c r="E1937" s="35">
        <v>46027.0</v>
      </c>
      <c r="F1937" s="35">
        <v>0.0</v>
      </c>
      <c r="G1937" s="35">
        <v>1.0</v>
      </c>
      <c r="H1937" s="35">
        <v>0.0</v>
      </c>
      <c r="I1937" s="35">
        <v>0.0</v>
      </c>
      <c r="J1937" s="35"/>
      <c r="K1937" s="35">
        <v>0.0</v>
      </c>
    </row>
    <row r="1938" ht="15.75" customHeight="1">
      <c r="A1938" s="35" t="s">
        <v>6396</v>
      </c>
      <c r="B1938" s="35"/>
      <c r="C1938" s="35">
        <v>5.0</v>
      </c>
      <c r="D1938" s="35" t="s">
        <v>6397</v>
      </c>
      <c r="E1938" s="35">
        <v>46027.0</v>
      </c>
      <c r="F1938" s="35">
        <v>0.0</v>
      </c>
      <c r="G1938" s="35">
        <v>0.0</v>
      </c>
      <c r="H1938" s="35">
        <v>98.0</v>
      </c>
      <c r="I1938" s="35">
        <v>0.0</v>
      </c>
      <c r="J1938" s="35"/>
      <c r="K1938" s="35">
        <v>0.0</v>
      </c>
    </row>
    <row r="1939" ht="15.75" customHeight="1">
      <c r="A1939" s="35" t="s">
        <v>6399</v>
      </c>
      <c r="B1939" s="35"/>
      <c r="C1939" s="35">
        <v>5.0</v>
      </c>
      <c r="D1939" s="35" t="s">
        <v>4635</v>
      </c>
      <c r="E1939" s="35">
        <v>46027.0</v>
      </c>
      <c r="F1939" s="35">
        <v>0.0</v>
      </c>
      <c r="G1939" s="35">
        <v>6.0</v>
      </c>
      <c r="H1939" s="35">
        <v>0.0</v>
      </c>
      <c r="I1939" s="35">
        <v>0.0</v>
      </c>
      <c r="J1939" s="35"/>
      <c r="K1939" s="35">
        <v>0.0</v>
      </c>
    </row>
    <row r="1940" ht="15.75" customHeight="1">
      <c r="A1940" s="35" t="s">
        <v>6400</v>
      </c>
      <c r="B1940" s="35"/>
      <c r="C1940" s="35">
        <v>5.0</v>
      </c>
      <c r="D1940" s="35" t="s">
        <v>4175</v>
      </c>
      <c r="E1940" s="35">
        <v>46027.0</v>
      </c>
      <c r="F1940" s="35">
        <v>0.0</v>
      </c>
      <c r="G1940" s="35">
        <v>16.0</v>
      </c>
      <c r="H1940" s="35">
        <v>0.0</v>
      </c>
      <c r="I1940" s="35">
        <v>0.0</v>
      </c>
      <c r="J1940" s="35"/>
      <c r="K1940" s="35">
        <v>0.0</v>
      </c>
    </row>
    <row r="1941" ht="15.75" customHeight="1">
      <c r="A1941" s="35" t="s">
        <v>6401</v>
      </c>
      <c r="B1941" s="35"/>
      <c r="C1941" s="35">
        <v>5.0</v>
      </c>
      <c r="D1941" s="35" t="s">
        <v>4377</v>
      </c>
      <c r="E1941" s="35">
        <v>46027.0</v>
      </c>
      <c r="F1941" s="35">
        <v>0.0</v>
      </c>
      <c r="G1941" s="35">
        <v>0.0</v>
      </c>
      <c r="H1941" s="35">
        <v>0.0</v>
      </c>
      <c r="I1941" s="35">
        <v>1.0</v>
      </c>
      <c r="J1941" s="35"/>
      <c r="K1941" s="35">
        <v>0.0</v>
      </c>
    </row>
    <row r="1942" ht="15.75" customHeight="1">
      <c r="A1942" s="35" t="s">
        <v>6403</v>
      </c>
      <c r="B1942" s="35"/>
      <c r="C1942" s="35">
        <v>5.0</v>
      </c>
      <c r="D1942" s="35" t="s">
        <v>2018</v>
      </c>
      <c r="E1942" s="35">
        <v>46027.0</v>
      </c>
      <c r="F1942" s="35">
        <v>0.0</v>
      </c>
      <c r="G1942" s="35">
        <v>56.0</v>
      </c>
      <c r="H1942" s="35">
        <v>0.0</v>
      </c>
      <c r="I1942" s="35">
        <v>0.0</v>
      </c>
      <c r="J1942" s="35"/>
      <c r="K1942" s="35">
        <v>0.0</v>
      </c>
    </row>
    <row r="1943" ht="15.75" customHeight="1">
      <c r="A1943" s="35" t="s">
        <v>6405</v>
      </c>
      <c r="B1943" s="35"/>
      <c r="C1943" s="35">
        <v>5.0</v>
      </c>
      <c r="D1943" s="35" t="s">
        <v>4635</v>
      </c>
      <c r="E1943" s="35">
        <v>46027.0</v>
      </c>
      <c r="F1943" s="35">
        <v>0.0</v>
      </c>
      <c r="G1943" s="35">
        <v>4.0</v>
      </c>
      <c r="H1943" s="35">
        <v>0.0</v>
      </c>
      <c r="I1943" s="35">
        <v>0.0</v>
      </c>
      <c r="J1943" s="35"/>
      <c r="K1943" s="35">
        <v>0.0</v>
      </c>
    </row>
    <row r="1944" ht="15.75" customHeight="1">
      <c r="A1944" s="35" t="s">
        <v>6406</v>
      </c>
      <c r="B1944" s="35"/>
      <c r="C1944" s="35">
        <v>5.0</v>
      </c>
      <c r="D1944" s="35" t="s">
        <v>4635</v>
      </c>
      <c r="E1944" s="35">
        <v>46027.0</v>
      </c>
      <c r="F1944" s="35">
        <v>0.0</v>
      </c>
      <c r="G1944" s="35">
        <v>2.0</v>
      </c>
      <c r="H1944" s="35">
        <v>0.0</v>
      </c>
      <c r="I1944" s="35">
        <v>0.0</v>
      </c>
      <c r="J1944" s="35"/>
      <c r="K1944" s="35">
        <v>0.0</v>
      </c>
    </row>
    <row r="1945" ht="15.75" customHeight="1">
      <c r="A1945" s="35" t="s">
        <v>6408</v>
      </c>
      <c r="B1945" s="35"/>
      <c r="C1945" s="35">
        <v>5.0</v>
      </c>
      <c r="D1945" s="35" t="s">
        <v>4061</v>
      </c>
      <c r="E1945" s="35">
        <v>46027.0</v>
      </c>
      <c r="F1945" s="35">
        <v>0.0</v>
      </c>
      <c r="G1945" s="35">
        <v>0.0</v>
      </c>
      <c r="H1945" s="35">
        <v>3.0</v>
      </c>
      <c r="I1945" s="35">
        <v>0.0</v>
      </c>
      <c r="J1945" s="35"/>
      <c r="K1945" s="35">
        <v>0.0</v>
      </c>
    </row>
    <row r="1946" ht="15.75" customHeight="1">
      <c r="A1946" s="35" t="s">
        <v>6409</v>
      </c>
      <c r="B1946" s="35"/>
      <c r="C1946" s="35">
        <v>5.0</v>
      </c>
      <c r="D1946" s="35" t="s">
        <v>4635</v>
      </c>
      <c r="E1946" s="35">
        <v>46027.0</v>
      </c>
      <c r="F1946" s="35">
        <v>0.0</v>
      </c>
      <c r="G1946" s="35">
        <v>3.0</v>
      </c>
      <c r="H1946" s="35">
        <v>0.0</v>
      </c>
      <c r="I1946" s="35">
        <v>0.0</v>
      </c>
      <c r="J1946" s="35"/>
      <c r="K1946" s="35">
        <v>0.0</v>
      </c>
    </row>
    <row r="1947" ht="15.75" customHeight="1">
      <c r="A1947" s="35" t="s">
        <v>6411</v>
      </c>
      <c r="B1947" s="35"/>
      <c r="C1947" s="35">
        <v>5.0</v>
      </c>
      <c r="D1947" s="35" t="s">
        <v>4635</v>
      </c>
      <c r="E1947" s="35">
        <v>46027.0</v>
      </c>
      <c r="F1947" s="35">
        <v>0.0</v>
      </c>
      <c r="G1947" s="35">
        <v>1.0</v>
      </c>
      <c r="H1947" s="35">
        <v>0.0</v>
      </c>
      <c r="I1947" s="35">
        <v>0.0</v>
      </c>
      <c r="J1947" s="35"/>
      <c r="K1947" s="35">
        <v>0.0</v>
      </c>
    </row>
    <row r="1948" ht="15.75" customHeight="1">
      <c r="A1948" s="35" t="s">
        <v>6412</v>
      </c>
      <c r="B1948" s="35"/>
      <c r="C1948" s="35">
        <v>5.0</v>
      </c>
      <c r="D1948" s="35">
        <v>134.0</v>
      </c>
      <c r="E1948" s="35">
        <v>46027.0</v>
      </c>
      <c r="F1948" s="35">
        <v>0.0</v>
      </c>
      <c r="G1948" s="35">
        <v>1.0</v>
      </c>
      <c r="H1948" s="35">
        <v>0.0</v>
      </c>
      <c r="I1948" s="35">
        <v>0.0</v>
      </c>
      <c r="J1948" s="35"/>
      <c r="K1948" s="35">
        <v>0.0</v>
      </c>
    </row>
    <row r="1949" ht="15.75" customHeight="1">
      <c r="A1949" s="35" t="s">
        <v>6414</v>
      </c>
      <c r="B1949" s="35"/>
      <c r="C1949" s="35">
        <v>5.0</v>
      </c>
      <c r="D1949" s="35" t="s">
        <v>4778</v>
      </c>
      <c r="E1949" s="35">
        <v>46027.0</v>
      </c>
      <c r="F1949" s="35">
        <v>0.0</v>
      </c>
      <c r="G1949" s="35">
        <v>2.0</v>
      </c>
      <c r="H1949" s="35">
        <v>0.0</v>
      </c>
      <c r="I1949" s="35">
        <v>0.0</v>
      </c>
      <c r="J1949" s="35"/>
      <c r="K1949" s="35">
        <v>0.0</v>
      </c>
    </row>
    <row r="1950" ht="15.75" customHeight="1">
      <c r="A1950" s="35" t="s">
        <v>6415</v>
      </c>
      <c r="B1950" s="35"/>
      <c r="C1950" s="35">
        <v>5.0</v>
      </c>
      <c r="D1950" s="35" t="s">
        <v>2065</v>
      </c>
      <c r="E1950" s="35">
        <v>46027.0</v>
      </c>
      <c r="F1950" s="35">
        <v>0.0</v>
      </c>
      <c r="G1950" s="35">
        <v>0.0</v>
      </c>
      <c r="H1950" s="35">
        <v>16.0</v>
      </c>
      <c r="I1950" s="35">
        <v>0.0</v>
      </c>
      <c r="J1950" s="35"/>
      <c r="K1950" s="35">
        <v>0.0</v>
      </c>
    </row>
    <row r="1951" ht="15.75" customHeight="1">
      <c r="A1951" s="35" t="s">
        <v>6417</v>
      </c>
      <c r="B1951" s="35"/>
      <c r="C1951" s="35">
        <v>5.0</v>
      </c>
      <c r="D1951" s="35" t="s">
        <v>4635</v>
      </c>
      <c r="E1951" s="35">
        <v>46027.0</v>
      </c>
      <c r="F1951" s="35">
        <v>0.0</v>
      </c>
      <c r="G1951" s="35">
        <v>1.0</v>
      </c>
      <c r="H1951" s="35">
        <v>0.0</v>
      </c>
      <c r="I1951" s="35">
        <v>0.0</v>
      </c>
      <c r="J1951" s="35"/>
      <c r="K1951" s="35">
        <v>0.0</v>
      </c>
    </row>
    <row r="1952" ht="15.75" customHeight="1">
      <c r="A1952" s="35" t="s">
        <v>6418</v>
      </c>
      <c r="B1952" s="35"/>
      <c r="C1952" s="35">
        <v>5.0</v>
      </c>
      <c r="D1952" s="35" t="s">
        <v>4412</v>
      </c>
      <c r="E1952" s="35">
        <v>46027.0</v>
      </c>
      <c r="F1952" s="35">
        <v>0.0</v>
      </c>
      <c r="G1952" s="35">
        <v>6.0</v>
      </c>
      <c r="H1952" s="35">
        <v>0.0</v>
      </c>
      <c r="I1952" s="35">
        <v>0.0</v>
      </c>
      <c r="J1952" s="35"/>
      <c r="K1952" s="35">
        <v>0.0</v>
      </c>
    </row>
    <row r="1953" ht="15.75" customHeight="1">
      <c r="A1953" s="35" t="s">
        <v>6419</v>
      </c>
      <c r="B1953" s="35"/>
      <c r="C1953" s="35">
        <v>5.0</v>
      </c>
      <c r="D1953" s="35" t="s">
        <v>5562</v>
      </c>
      <c r="E1953" s="35">
        <v>46027.0</v>
      </c>
      <c r="F1953" s="35">
        <v>0.0</v>
      </c>
      <c r="G1953" s="35">
        <v>0.0</v>
      </c>
      <c r="H1953" s="35">
        <v>248.0</v>
      </c>
      <c r="I1953" s="35">
        <v>0.0</v>
      </c>
      <c r="J1953" s="35"/>
      <c r="K1953" s="35">
        <v>0.0</v>
      </c>
    </row>
    <row r="1954" ht="15.75" customHeight="1">
      <c r="A1954" s="35" t="s">
        <v>6421</v>
      </c>
      <c r="B1954" s="35"/>
      <c r="C1954" s="35">
        <v>5.0</v>
      </c>
      <c r="D1954" s="35" t="s">
        <v>4521</v>
      </c>
      <c r="E1954" s="35">
        <v>46027.0</v>
      </c>
      <c r="F1954" s="35">
        <v>0.0</v>
      </c>
      <c r="G1954" s="35">
        <v>2.0</v>
      </c>
      <c r="H1954" s="35">
        <v>0.0</v>
      </c>
      <c r="I1954" s="35">
        <v>0.0</v>
      </c>
      <c r="J1954" s="35"/>
      <c r="K1954" s="35">
        <v>0.0</v>
      </c>
    </row>
    <row r="1955" ht="15.75" customHeight="1">
      <c r="A1955" s="35" t="s">
        <v>6422</v>
      </c>
      <c r="B1955" s="35"/>
      <c r="C1955" s="35">
        <v>5.0</v>
      </c>
      <c r="D1955" s="35">
        <v>327.0</v>
      </c>
      <c r="E1955" s="35">
        <v>46027.0</v>
      </c>
      <c r="F1955" s="35">
        <v>0.0</v>
      </c>
      <c r="G1955" s="35">
        <v>5.0</v>
      </c>
      <c r="H1955" s="35">
        <v>0.0</v>
      </c>
      <c r="I1955" s="35">
        <v>0.0</v>
      </c>
      <c r="J1955" s="35"/>
      <c r="K1955" s="35">
        <v>0.0</v>
      </c>
    </row>
    <row r="1956" ht="15.75" customHeight="1">
      <c r="A1956" s="35" t="s">
        <v>6423</v>
      </c>
      <c r="B1956" s="35"/>
      <c r="C1956" s="35">
        <v>5.0</v>
      </c>
      <c r="D1956" s="35" t="s">
        <v>4635</v>
      </c>
      <c r="E1956" s="35">
        <v>46027.0</v>
      </c>
      <c r="F1956" s="35">
        <v>0.0</v>
      </c>
      <c r="G1956" s="35">
        <v>6.0</v>
      </c>
      <c r="H1956" s="35">
        <v>0.0</v>
      </c>
      <c r="I1956" s="35">
        <v>0.0</v>
      </c>
      <c r="J1956" s="35"/>
      <c r="K1956" s="35">
        <v>0.0</v>
      </c>
    </row>
    <row r="1957" ht="15.75" customHeight="1">
      <c r="A1957" s="35" t="s">
        <v>6425</v>
      </c>
      <c r="B1957" s="35"/>
      <c r="C1957" s="35">
        <v>5.0</v>
      </c>
      <c r="D1957" s="35" t="s">
        <v>4635</v>
      </c>
      <c r="E1957" s="35">
        <v>46027.0</v>
      </c>
      <c r="F1957" s="35">
        <v>0.0</v>
      </c>
      <c r="G1957" s="35">
        <v>1.0</v>
      </c>
      <c r="H1957" s="35">
        <v>0.0</v>
      </c>
      <c r="I1957" s="35">
        <v>0.0</v>
      </c>
      <c r="J1957" s="35"/>
      <c r="K1957" s="35">
        <v>0.0</v>
      </c>
    </row>
    <row r="1958" ht="15.75" customHeight="1">
      <c r="A1958" s="35" t="s">
        <v>6426</v>
      </c>
      <c r="B1958" s="35"/>
      <c r="C1958" s="35">
        <v>5.0</v>
      </c>
      <c r="D1958" s="35" t="s">
        <v>4635</v>
      </c>
      <c r="E1958" s="35">
        <v>46027.0</v>
      </c>
      <c r="F1958" s="35">
        <v>0.0</v>
      </c>
      <c r="G1958" s="35">
        <v>703.0</v>
      </c>
      <c r="H1958" s="35">
        <v>0.0</v>
      </c>
      <c r="I1958" s="35">
        <v>0.0</v>
      </c>
      <c r="J1958" s="35"/>
      <c r="K1958" s="35">
        <v>0.0</v>
      </c>
    </row>
    <row r="1959" ht="15.75" customHeight="1">
      <c r="A1959" s="35" t="s">
        <v>6427</v>
      </c>
      <c r="B1959" s="35"/>
      <c r="C1959" s="35">
        <v>5.0</v>
      </c>
      <c r="D1959" s="35" t="s">
        <v>5214</v>
      </c>
      <c r="E1959" s="35">
        <v>46027.0</v>
      </c>
      <c r="F1959" s="35">
        <v>0.0</v>
      </c>
      <c r="G1959" s="35">
        <v>10.0</v>
      </c>
      <c r="H1959" s="35">
        <v>0.0</v>
      </c>
      <c r="I1959" s="35">
        <v>0.0</v>
      </c>
      <c r="J1959" s="35"/>
      <c r="K1959" s="35">
        <v>0.0</v>
      </c>
    </row>
    <row r="1960" ht="15.75" customHeight="1">
      <c r="A1960" s="35" t="s">
        <v>6428</v>
      </c>
      <c r="B1960" s="35"/>
      <c r="C1960" s="35">
        <v>5.0</v>
      </c>
      <c r="D1960" s="35" t="s">
        <v>4635</v>
      </c>
      <c r="E1960" s="35">
        <v>46027.0</v>
      </c>
      <c r="F1960" s="35">
        <v>0.0</v>
      </c>
      <c r="G1960" s="35">
        <v>1.0</v>
      </c>
      <c r="H1960" s="35">
        <v>0.0</v>
      </c>
      <c r="I1960" s="35">
        <v>0.0</v>
      </c>
      <c r="J1960" s="35"/>
      <c r="K1960" s="35">
        <v>0.0</v>
      </c>
    </row>
    <row r="1961" ht="15.75" customHeight="1">
      <c r="A1961" s="35" t="s">
        <v>6429</v>
      </c>
      <c r="B1961" s="35"/>
      <c r="C1961" s="35">
        <v>5.0</v>
      </c>
      <c r="D1961" s="35">
        <v>300.0</v>
      </c>
      <c r="E1961" s="35">
        <v>46027.0</v>
      </c>
      <c r="F1961" s="35">
        <v>0.0</v>
      </c>
      <c r="G1961" s="35">
        <v>5.0</v>
      </c>
      <c r="H1961" s="35">
        <v>0.0</v>
      </c>
      <c r="I1961" s="35">
        <v>0.0</v>
      </c>
      <c r="J1961" s="35"/>
      <c r="K1961" s="35">
        <v>0.0</v>
      </c>
    </row>
    <row r="1962" ht="15.75" customHeight="1">
      <c r="A1962" s="35" t="s">
        <v>6431</v>
      </c>
      <c r="B1962" s="35"/>
      <c r="C1962" s="35">
        <v>5.0</v>
      </c>
      <c r="D1962" s="35" t="s">
        <v>4489</v>
      </c>
      <c r="E1962" s="35">
        <v>46027.0</v>
      </c>
      <c r="F1962" s="35">
        <v>0.0</v>
      </c>
      <c r="G1962" s="35">
        <v>2.0</v>
      </c>
      <c r="H1962" s="35">
        <v>0.0</v>
      </c>
      <c r="I1962" s="35">
        <v>0.0</v>
      </c>
      <c r="J1962" s="35"/>
      <c r="K1962" s="35">
        <v>0.0</v>
      </c>
    </row>
    <row r="1963" ht="15.75" customHeight="1">
      <c r="A1963" s="35" t="s">
        <v>6433</v>
      </c>
      <c r="B1963" s="35"/>
      <c r="C1963" s="35">
        <v>5.0</v>
      </c>
      <c r="D1963" s="35" t="s">
        <v>2018</v>
      </c>
      <c r="E1963" s="35">
        <v>46027.0</v>
      </c>
      <c r="F1963" s="35">
        <v>0.0</v>
      </c>
      <c r="G1963" s="35">
        <v>105.0</v>
      </c>
      <c r="H1963" s="35">
        <v>0.0</v>
      </c>
      <c r="I1963" s="35">
        <v>0.0</v>
      </c>
      <c r="J1963" s="35"/>
      <c r="K1963" s="35">
        <v>0.0</v>
      </c>
    </row>
    <row r="1964" ht="15.75" customHeight="1">
      <c r="A1964" s="35" t="s">
        <v>6434</v>
      </c>
      <c r="B1964" s="35"/>
      <c r="C1964" s="35">
        <v>5.0</v>
      </c>
      <c r="D1964" s="35">
        <v>358.0</v>
      </c>
      <c r="E1964" s="35">
        <v>46027.0</v>
      </c>
      <c r="F1964" s="35">
        <v>0.0</v>
      </c>
      <c r="G1964" s="35">
        <v>2.0</v>
      </c>
      <c r="H1964" s="35">
        <v>0.0</v>
      </c>
      <c r="I1964" s="35">
        <v>0.0</v>
      </c>
      <c r="J1964" s="35"/>
      <c r="K1964" s="35">
        <v>0.0</v>
      </c>
    </row>
    <row r="1965" ht="15.75" customHeight="1">
      <c r="A1965" s="35" t="s">
        <v>6435</v>
      </c>
      <c r="B1965" s="35"/>
      <c r="C1965" s="35">
        <v>5.0</v>
      </c>
      <c r="D1965" s="35">
        <v>188.0</v>
      </c>
      <c r="E1965" s="35">
        <v>46027.0</v>
      </c>
      <c r="F1965" s="35">
        <v>0.0</v>
      </c>
      <c r="G1965" s="35">
        <v>1.0</v>
      </c>
      <c r="H1965" s="35">
        <v>0.0</v>
      </c>
      <c r="I1965" s="35">
        <v>0.0</v>
      </c>
      <c r="J1965" s="35"/>
      <c r="K1965" s="35">
        <v>0.0</v>
      </c>
    </row>
    <row r="1966" ht="15.75" customHeight="1">
      <c r="A1966" s="35" t="s">
        <v>6437</v>
      </c>
      <c r="B1966" s="35"/>
      <c r="C1966" s="35">
        <v>5.0</v>
      </c>
      <c r="D1966" s="35" t="s">
        <v>6438</v>
      </c>
      <c r="E1966" s="35">
        <v>46027.0</v>
      </c>
      <c r="F1966" s="35">
        <v>0.0</v>
      </c>
      <c r="G1966" s="35">
        <v>6.0</v>
      </c>
      <c r="H1966" s="35">
        <v>0.0</v>
      </c>
      <c r="I1966" s="35">
        <v>0.0</v>
      </c>
      <c r="J1966" s="35"/>
      <c r="K1966" s="35">
        <v>0.0</v>
      </c>
    </row>
    <row r="1967" ht="15.75" customHeight="1">
      <c r="A1967" s="35" t="s">
        <v>6439</v>
      </c>
      <c r="B1967" s="35"/>
      <c r="C1967" s="35">
        <v>5.0</v>
      </c>
      <c r="D1967" s="35" t="s">
        <v>4193</v>
      </c>
      <c r="E1967" s="35">
        <v>46027.0</v>
      </c>
      <c r="F1967" s="35">
        <v>0.0</v>
      </c>
      <c r="G1967" s="35">
        <v>5.0</v>
      </c>
      <c r="H1967" s="35">
        <v>0.0</v>
      </c>
      <c r="I1967" s="35">
        <v>0.0</v>
      </c>
      <c r="J1967" s="35"/>
      <c r="K1967" s="35">
        <v>0.0</v>
      </c>
    </row>
    <row r="1968" ht="15.75" customHeight="1">
      <c r="A1968" s="35" t="s">
        <v>6441</v>
      </c>
      <c r="B1968" s="35"/>
      <c r="C1968" s="35">
        <v>5.0</v>
      </c>
      <c r="D1968" s="35" t="s">
        <v>4635</v>
      </c>
      <c r="E1968" s="35">
        <v>46027.0</v>
      </c>
      <c r="F1968" s="35">
        <v>0.0</v>
      </c>
      <c r="G1968" s="35">
        <v>6.0</v>
      </c>
      <c r="H1968" s="35">
        <v>0.0</v>
      </c>
      <c r="I1968" s="35">
        <v>0.0</v>
      </c>
      <c r="J1968" s="35"/>
      <c r="K1968" s="35">
        <v>0.0</v>
      </c>
    </row>
    <row r="1969" ht="15.75" customHeight="1">
      <c r="A1969" s="35" t="s">
        <v>6442</v>
      </c>
      <c r="B1969" s="35"/>
      <c r="C1969" s="35">
        <v>5.0</v>
      </c>
      <c r="D1969" s="35" t="s">
        <v>3577</v>
      </c>
      <c r="E1969" s="35">
        <v>46027.0</v>
      </c>
      <c r="F1969" s="35">
        <v>0.0</v>
      </c>
      <c r="G1969" s="35">
        <v>0.0</v>
      </c>
      <c r="H1969" s="35">
        <v>1.0</v>
      </c>
      <c r="I1969" s="35">
        <v>0.0</v>
      </c>
      <c r="J1969" s="35"/>
      <c r="K1969" s="35">
        <v>0.0</v>
      </c>
    </row>
    <row r="1970" ht="15.75" customHeight="1">
      <c r="A1970" s="35" t="s">
        <v>6444</v>
      </c>
      <c r="B1970" s="35"/>
      <c r="C1970" s="35">
        <v>5.0</v>
      </c>
      <c r="D1970" s="35">
        <v>472.0</v>
      </c>
      <c r="E1970" s="35">
        <v>46027.0</v>
      </c>
      <c r="F1970" s="35">
        <v>0.0</v>
      </c>
      <c r="G1970" s="35">
        <v>0.0</v>
      </c>
      <c r="H1970" s="35">
        <v>1.0</v>
      </c>
      <c r="I1970" s="35">
        <v>0.0</v>
      </c>
      <c r="J1970" s="35"/>
      <c r="K1970" s="35">
        <v>0.0</v>
      </c>
    </row>
    <row r="1971" ht="15.75" customHeight="1">
      <c r="A1971" s="35" t="s">
        <v>6445</v>
      </c>
      <c r="B1971" s="35"/>
      <c r="C1971" s="35">
        <v>5.0</v>
      </c>
      <c r="D1971" s="35">
        <v>451.0</v>
      </c>
      <c r="E1971" s="35">
        <v>46027.0</v>
      </c>
      <c r="F1971" s="35">
        <v>0.0</v>
      </c>
      <c r="G1971" s="35">
        <v>1.0</v>
      </c>
      <c r="H1971" s="35">
        <v>0.0</v>
      </c>
      <c r="I1971" s="35">
        <v>0.0</v>
      </c>
      <c r="J1971" s="35"/>
      <c r="K1971" s="35">
        <v>0.0</v>
      </c>
    </row>
    <row r="1972" ht="15.75" customHeight="1">
      <c r="A1972" s="35" t="s">
        <v>6447</v>
      </c>
      <c r="B1972" s="35"/>
      <c r="C1972" s="35">
        <v>5.0</v>
      </c>
      <c r="D1972" s="35" t="s">
        <v>4635</v>
      </c>
      <c r="E1972" s="35">
        <v>46027.0</v>
      </c>
      <c r="F1972" s="35">
        <v>0.0</v>
      </c>
      <c r="G1972" s="35">
        <v>7.0</v>
      </c>
      <c r="H1972" s="35">
        <v>0.0</v>
      </c>
      <c r="I1972" s="35">
        <v>0.0</v>
      </c>
      <c r="J1972" s="35"/>
      <c r="K1972" s="35">
        <v>0.0</v>
      </c>
    </row>
    <row r="1973" ht="15.75" customHeight="1">
      <c r="A1973" s="35" t="s">
        <v>6448</v>
      </c>
      <c r="B1973" s="35"/>
      <c r="C1973" s="35">
        <v>5.0</v>
      </c>
      <c r="D1973" s="35" t="s">
        <v>6449</v>
      </c>
      <c r="E1973" s="35">
        <v>46027.0</v>
      </c>
      <c r="F1973" s="35">
        <v>0.0</v>
      </c>
      <c r="G1973" s="35">
        <v>0.0</v>
      </c>
      <c r="H1973" s="35">
        <v>3218.0</v>
      </c>
      <c r="I1973" s="35">
        <v>0.0</v>
      </c>
      <c r="J1973" s="35"/>
      <c r="K1973" s="35">
        <v>0.0</v>
      </c>
    </row>
    <row r="1974" ht="15.75" customHeight="1">
      <c r="A1974" s="35" t="s">
        <v>6450</v>
      </c>
      <c r="B1974" s="35"/>
      <c r="C1974" s="35">
        <v>5.0</v>
      </c>
      <c r="D1974" s="35" t="s">
        <v>4380</v>
      </c>
      <c r="E1974" s="35">
        <v>46027.0</v>
      </c>
      <c r="F1974" s="35">
        <v>0.0</v>
      </c>
      <c r="G1974" s="35">
        <v>0.0</v>
      </c>
      <c r="H1974" s="35">
        <v>2.0</v>
      </c>
      <c r="I1974" s="35">
        <v>0.0</v>
      </c>
      <c r="J1974" s="35"/>
      <c r="K1974" s="35">
        <v>0.0</v>
      </c>
    </row>
    <row r="1975" ht="15.75" customHeight="1">
      <c r="A1975" s="35" t="s">
        <v>6452</v>
      </c>
      <c r="B1975" s="35"/>
      <c r="C1975" s="35">
        <v>5.0</v>
      </c>
      <c r="D1975" s="35" t="s">
        <v>4583</v>
      </c>
      <c r="E1975" s="35">
        <v>46027.0</v>
      </c>
      <c r="F1975" s="35">
        <v>0.0</v>
      </c>
      <c r="G1975" s="35">
        <v>3.0</v>
      </c>
      <c r="H1975" s="35">
        <v>0.0</v>
      </c>
      <c r="I1975" s="35">
        <v>0.0</v>
      </c>
      <c r="J1975" s="35"/>
      <c r="K1975" s="35">
        <v>0.0</v>
      </c>
    </row>
    <row r="1976" ht="15.75" customHeight="1">
      <c r="A1976" s="35" t="s">
        <v>6453</v>
      </c>
      <c r="B1976" s="35"/>
      <c r="C1976" s="35">
        <v>5.0</v>
      </c>
      <c r="D1976" s="35">
        <v>284.0</v>
      </c>
      <c r="E1976" s="35">
        <v>46027.0</v>
      </c>
      <c r="F1976" s="35">
        <v>0.0</v>
      </c>
      <c r="G1976" s="35">
        <v>2.0</v>
      </c>
      <c r="H1976" s="35">
        <v>0.0</v>
      </c>
      <c r="I1976" s="35">
        <v>0.0</v>
      </c>
      <c r="J1976" s="35"/>
      <c r="K1976" s="35">
        <v>0.0</v>
      </c>
    </row>
    <row r="1977" ht="15.75" customHeight="1">
      <c r="A1977" s="35" t="s">
        <v>6455</v>
      </c>
      <c r="B1977" s="35"/>
      <c r="C1977" s="35">
        <v>5.0</v>
      </c>
      <c r="D1977" s="35" t="s">
        <v>4061</v>
      </c>
      <c r="E1977" s="35">
        <v>46027.0</v>
      </c>
      <c r="F1977" s="35">
        <v>0.0</v>
      </c>
      <c r="G1977" s="35">
        <v>1.0</v>
      </c>
      <c r="H1977" s="35">
        <v>0.0</v>
      </c>
      <c r="I1977" s="35">
        <v>0.0</v>
      </c>
      <c r="J1977" s="35"/>
      <c r="K1977" s="35">
        <v>0.0</v>
      </c>
    </row>
    <row r="1978" ht="15.75" customHeight="1">
      <c r="A1978" s="35" t="s">
        <v>6456</v>
      </c>
      <c r="B1978" s="35"/>
      <c r="C1978" s="35">
        <v>5.0</v>
      </c>
      <c r="D1978" s="35">
        <v>56.0</v>
      </c>
      <c r="E1978" s="35">
        <v>46027.0</v>
      </c>
      <c r="F1978" s="35">
        <v>0.0</v>
      </c>
      <c r="G1978" s="35">
        <v>1.0</v>
      </c>
      <c r="H1978" s="35">
        <v>0.0</v>
      </c>
      <c r="I1978" s="35">
        <v>0.0</v>
      </c>
      <c r="J1978" s="35"/>
      <c r="K1978" s="35">
        <v>0.0</v>
      </c>
    </row>
    <row r="1979" ht="15.75" customHeight="1">
      <c r="A1979" s="35" t="s">
        <v>6458</v>
      </c>
      <c r="B1979" s="35"/>
      <c r="C1979" s="35">
        <v>5.0</v>
      </c>
      <c r="D1979" s="35" t="s">
        <v>4563</v>
      </c>
      <c r="E1979" s="35">
        <v>46027.0</v>
      </c>
      <c r="F1979" s="35">
        <v>0.0</v>
      </c>
      <c r="G1979" s="35">
        <v>0.0</v>
      </c>
      <c r="H1979" s="35">
        <v>2.0</v>
      </c>
      <c r="I1979" s="35">
        <v>0.0</v>
      </c>
      <c r="J1979" s="35"/>
      <c r="K1979" s="35">
        <v>0.0</v>
      </c>
    </row>
    <row r="1980" ht="15.75" customHeight="1">
      <c r="A1980" s="35" t="s">
        <v>6460</v>
      </c>
      <c r="B1980" s="35"/>
      <c r="C1980" s="35">
        <v>5.0</v>
      </c>
      <c r="D1980" s="35" t="s">
        <v>3644</v>
      </c>
      <c r="E1980" s="35">
        <v>46027.0</v>
      </c>
      <c r="F1980" s="35">
        <v>0.0</v>
      </c>
      <c r="G1980" s="35">
        <v>3.0</v>
      </c>
      <c r="H1980" s="35">
        <v>0.0</v>
      </c>
      <c r="I1980" s="35">
        <v>0.0</v>
      </c>
      <c r="J1980" s="35"/>
      <c r="K1980" s="35">
        <v>0.0</v>
      </c>
    </row>
    <row r="1981" ht="15.75" customHeight="1">
      <c r="A1981" s="35" t="s">
        <v>6461</v>
      </c>
      <c r="B1981" s="35"/>
      <c r="C1981" s="35">
        <v>5.0</v>
      </c>
      <c r="D1981" s="35" t="s">
        <v>1964</v>
      </c>
      <c r="E1981" s="35">
        <v>46027.0</v>
      </c>
      <c r="F1981" s="35">
        <v>0.0</v>
      </c>
      <c r="G1981" s="35">
        <v>2.0</v>
      </c>
      <c r="H1981" s="35">
        <v>0.0</v>
      </c>
      <c r="I1981" s="35">
        <v>0.0</v>
      </c>
      <c r="J1981" s="35"/>
      <c r="K1981" s="35">
        <v>0.0</v>
      </c>
    </row>
    <row r="1982" ht="15.75" customHeight="1">
      <c r="A1982" s="35" t="s">
        <v>6464</v>
      </c>
      <c r="B1982" s="35"/>
      <c r="C1982" s="35">
        <v>5.0</v>
      </c>
      <c r="D1982" s="35">
        <v>373.0</v>
      </c>
      <c r="E1982" s="35">
        <v>46027.0</v>
      </c>
      <c r="F1982" s="35">
        <v>0.0</v>
      </c>
      <c r="G1982" s="35">
        <v>0.0</v>
      </c>
      <c r="H1982" s="35">
        <v>1.0</v>
      </c>
      <c r="I1982" s="35">
        <v>0.0</v>
      </c>
      <c r="J1982" s="35"/>
      <c r="K1982" s="35">
        <v>0.0</v>
      </c>
    </row>
    <row r="1983" ht="15.75" customHeight="1">
      <c r="A1983" s="35" t="s">
        <v>6466</v>
      </c>
      <c r="B1983" s="35"/>
      <c r="C1983" s="35">
        <v>5.0</v>
      </c>
      <c r="D1983" s="35" t="s">
        <v>4343</v>
      </c>
      <c r="E1983" s="35">
        <v>46027.0</v>
      </c>
      <c r="F1983" s="35">
        <v>0.0</v>
      </c>
      <c r="G1983" s="35">
        <v>0.0</v>
      </c>
      <c r="H1983" s="35">
        <v>1.0</v>
      </c>
      <c r="I1983" s="35">
        <v>0.0</v>
      </c>
      <c r="J1983" s="35"/>
      <c r="K1983" s="35">
        <v>0.0</v>
      </c>
    </row>
    <row r="1984" ht="15.75" customHeight="1">
      <c r="A1984" s="35" t="s">
        <v>6467</v>
      </c>
      <c r="B1984" s="35"/>
      <c r="C1984" s="35">
        <v>5.0</v>
      </c>
      <c r="D1984" s="35" t="s">
        <v>1964</v>
      </c>
      <c r="E1984" s="35">
        <v>46027.0</v>
      </c>
      <c r="F1984" s="35">
        <v>0.0</v>
      </c>
      <c r="G1984" s="35">
        <v>0.0</v>
      </c>
      <c r="H1984" s="35">
        <v>1.0</v>
      </c>
      <c r="I1984" s="35">
        <v>0.0</v>
      </c>
      <c r="J1984" s="35"/>
      <c r="K1984" s="35">
        <v>0.0</v>
      </c>
    </row>
    <row r="1985" ht="15.75" customHeight="1">
      <c r="A1985" s="35" t="s">
        <v>6469</v>
      </c>
      <c r="B1985" s="35"/>
      <c r="C1985" s="35">
        <v>5.0</v>
      </c>
      <c r="D1985" s="35" t="s">
        <v>4394</v>
      </c>
      <c r="E1985" s="35">
        <v>46027.0</v>
      </c>
      <c r="F1985" s="35">
        <v>0.0</v>
      </c>
      <c r="G1985" s="35">
        <v>0.0</v>
      </c>
      <c r="H1985" s="35">
        <v>2.0</v>
      </c>
      <c r="I1985" s="35">
        <v>0.0</v>
      </c>
      <c r="J1985" s="35"/>
      <c r="K1985" s="35">
        <v>0.0</v>
      </c>
    </row>
    <row r="1986" ht="15.75" customHeight="1">
      <c r="A1986" s="35" t="s">
        <v>6470</v>
      </c>
      <c r="B1986" s="35"/>
      <c r="C1986" s="35">
        <v>5.0</v>
      </c>
      <c r="D1986" s="35">
        <v>938.0</v>
      </c>
      <c r="E1986" s="35">
        <v>46027.0</v>
      </c>
      <c r="F1986" s="35">
        <v>0.0</v>
      </c>
      <c r="G1986" s="35">
        <v>1.0</v>
      </c>
      <c r="H1986" s="35">
        <v>0.0</v>
      </c>
      <c r="I1986" s="35">
        <v>0.0</v>
      </c>
      <c r="J1986" s="35"/>
      <c r="K1986" s="35">
        <v>0.0</v>
      </c>
    </row>
    <row r="1987" ht="15.75" customHeight="1">
      <c r="A1987" s="35" t="s">
        <v>6472</v>
      </c>
      <c r="B1987" s="35"/>
      <c r="C1987" s="35">
        <v>5.0</v>
      </c>
      <c r="D1987" s="35" t="s">
        <v>2033</v>
      </c>
      <c r="E1987" s="35">
        <v>46027.0</v>
      </c>
      <c r="F1987" s="35">
        <v>0.0</v>
      </c>
      <c r="G1987" s="35">
        <v>3.0</v>
      </c>
      <c r="H1987" s="35">
        <v>0.0</v>
      </c>
      <c r="I1987" s="35">
        <v>0.0</v>
      </c>
      <c r="J1987" s="35"/>
      <c r="K1987" s="35">
        <v>0.0</v>
      </c>
    </row>
    <row r="1988" ht="15.75" customHeight="1">
      <c r="A1988" s="35" t="s">
        <v>6474</v>
      </c>
      <c r="B1988" s="35"/>
      <c r="C1988" s="35">
        <v>5.0</v>
      </c>
      <c r="D1988" s="35" t="s">
        <v>4635</v>
      </c>
      <c r="E1988" s="35">
        <v>46027.0</v>
      </c>
      <c r="F1988" s="35">
        <v>0.0</v>
      </c>
      <c r="G1988" s="35">
        <v>1.0</v>
      </c>
      <c r="H1988" s="35">
        <v>0.0</v>
      </c>
      <c r="I1988" s="35">
        <v>0.0</v>
      </c>
      <c r="J1988" s="35"/>
      <c r="K1988" s="35">
        <v>0.0</v>
      </c>
    </row>
    <row r="1989" ht="15.75" customHeight="1">
      <c r="A1989" s="35" t="s">
        <v>6475</v>
      </c>
      <c r="B1989" s="35"/>
      <c r="C1989" s="35">
        <v>5.0</v>
      </c>
      <c r="D1989" s="35" t="s">
        <v>5318</v>
      </c>
      <c r="E1989" s="35">
        <v>46027.0</v>
      </c>
      <c r="F1989" s="35">
        <v>0.0</v>
      </c>
      <c r="G1989" s="35">
        <v>40.0</v>
      </c>
      <c r="H1989" s="35">
        <v>0.0</v>
      </c>
      <c r="I1989" s="35">
        <v>0.0</v>
      </c>
      <c r="J1989" s="35"/>
      <c r="K1989" s="35">
        <v>0.0</v>
      </c>
    </row>
    <row r="1990" ht="15.75" customHeight="1">
      <c r="A1990" s="35" t="s">
        <v>6477</v>
      </c>
      <c r="B1990" s="35"/>
      <c r="C1990" s="35">
        <v>5.0</v>
      </c>
      <c r="D1990" s="35" t="s">
        <v>4186</v>
      </c>
      <c r="E1990" s="35">
        <v>46027.0</v>
      </c>
      <c r="F1990" s="35">
        <v>0.0</v>
      </c>
      <c r="G1990" s="35">
        <v>0.0</v>
      </c>
      <c r="H1990" s="35">
        <v>0.0</v>
      </c>
      <c r="I1990" s="35">
        <v>2.0</v>
      </c>
      <c r="J1990" s="35"/>
      <c r="K1990" s="35">
        <v>0.0</v>
      </c>
    </row>
    <row r="1991" ht="15.75" customHeight="1">
      <c r="A1991" s="35" t="s">
        <v>6478</v>
      </c>
      <c r="B1991" s="35"/>
      <c r="C1991" s="35">
        <v>5.0</v>
      </c>
      <c r="D1991" s="35">
        <v>531.0</v>
      </c>
      <c r="E1991" s="35">
        <v>46027.0</v>
      </c>
      <c r="F1991" s="35">
        <v>0.0</v>
      </c>
      <c r="G1991" s="35">
        <v>16.0</v>
      </c>
      <c r="H1991" s="35">
        <v>0.0</v>
      </c>
      <c r="I1991" s="35">
        <v>0.0</v>
      </c>
      <c r="J1991" s="35"/>
      <c r="K1991" s="35">
        <v>0.0</v>
      </c>
    </row>
    <row r="1992" ht="15.75" customHeight="1">
      <c r="A1992" s="35" t="s">
        <v>6480</v>
      </c>
      <c r="B1992" s="35"/>
      <c r="C1992" s="35">
        <v>5.0</v>
      </c>
      <c r="D1992" s="35">
        <v>52.0</v>
      </c>
      <c r="E1992" s="35">
        <v>46027.0</v>
      </c>
      <c r="F1992" s="35">
        <v>0.0</v>
      </c>
      <c r="G1992" s="35">
        <v>1.0</v>
      </c>
      <c r="H1992" s="35">
        <v>0.0</v>
      </c>
      <c r="I1992" s="35">
        <v>0.0</v>
      </c>
      <c r="J1992" s="35"/>
      <c r="K1992" s="35">
        <v>0.0</v>
      </c>
    </row>
    <row r="1993" ht="15.75" customHeight="1">
      <c r="A1993" s="35" t="s">
        <v>6481</v>
      </c>
      <c r="B1993" s="35"/>
      <c r="C1993" s="35">
        <v>5.0</v>
      </c>
      <c r="D1993" s="35" t="s">
        <v>3665</v>
      </c>
      <c r="E1993" s="35">
        <v>46027.0</v>
      </c>
      <c r="F1993" s="35">
        <v>0.0</v>
      </c>
      <c r="G1993" s="35">
        <v>2.0</v>
      </c>
      <c r="H1993" s="35">
        <v>0.0</v>
      </c>
      <c r="I1993" s="35">
        <v>0.0</v>
      </c>
      <c r="J1993" s="35"/>
      <c r="K1993" s="35">
        <v>0.0</v>
      </c>
    </row>
    <row r="1994" ht="15.75" customHeight="1">
      <c r="A1994" s="35" t="s">
        <v>6483</v>
      </c>
      <c r="B1994" s="35"/>
      <c r="C1994" s="35">
        <v>5.0</v>
      </c>
      <c r="D1994" s="35" t="s">
        <v>2055</v>
      </c>
      <c r="E1994" s="35">
        <v>46027.0</v>
      </c>
      <c r="F1994" s="35">
        <v>0.0</v>
      </c>
      <c r="G1994" s="35">
        <v>0.0</v>
      </c>
      <c r="H1994" s="35">
        <v>2.0</v>
      </c>
      <c r="I1994" s="35">
        <v>0.0</v>
      </c>
      <c r="J1994" s="35"/>
      <c r="K1994" s="35">
        <v>0.0</v>
      </c>
    </row>
    <row r="1995" ht="15.75" customHeight="1">
      <c r="A1995" s="35" t="s">
        <v>6485</v>
      </c>
      <c r="B1995" s="35"/>
      <c r="C1995" s="35">
        <v>5.0</v>
      </c>
      <c r="D1995" s="35" t="s">
        <v>4380</v>
      </c>
      <c r="E1995" s="35">
        <v>46027.0</v>
      </c>
      <c r="F1995" s="35">
        <v>0.0</v>
      </c>
      <c r="G1995" s="35">
        <v>12.0</v>
      </c>
      <c r="H1995" s="35">
        <v>0.0</v>
      </c>
      <c r="I1995" s="35">
        <v>0.0</v>
      </c>
      <c r="J1995" s="35"/>
      <c r="K1995" s="35">
        <v>0.0</v>
      </c>
    </row>
    <row r="1996" ht="15.75" customHeight="1">
      <c r="A1996" s="35" t="s">
        <v>6486</v>
      </c>
      <c r="B1996" s="35"/>
      <c r="C1996" s="35">
        <v>5.0</v>
      </c>
      <c r="D1996" s="35" t="s">
        <v>6487</v>
      </c>
      <c r="E1996" s="35">
        <v>46027.0</v>
      </c>
      <c r="F1996" s="35">
        <v>0.0</v>
      </c>
      <c r="G1996" s="35">
        <v>0.0</v>
      </c>
      <c r="H1996" s="35">
        <v>1.0</v>
      </c>
      <c r="I1996" s="35">
        <v>0.0</v>
      </c>
      <c r="J1996" s="35"/>
      <c r="K1996" s="35">
        <v>0.0</v>
      </c>
    </row>
    <row r="1997" ht="15.75" customHeight="1">
      <c r="A1997" s="35" t="s">
        <v>6489</v>
      </c>
      <c r="B1997" s="35"/>
      <c r="C1997" s="35">
        <v>5.0</v>
      </c>
      <c r="D1997" s="35">
        <v>138.0</v>
      </c>
      <c r="E1997" s="35">
        <v>46027.0</v>
      </c>
      <c r="F1997" s="35">
        <v>0.0</v>
      </c>
      <c r="G1997" s="35">
        <v>1.0</v>
      </c>
      <c r="H1997" s="35">
        <v>0.0</v>
      </c>
      <c r="I1997" s="35">
        <v>0.0</v>
      </c>
      <c r="J1997" s="35"/>
      <c r="K1997" s="35">
        <v>0.0</v>
      </c>
    </row>
    <row r="1998" ht="15.75" customHeight="1">
      <c r="A1998" s="35" t="s">
        <v>6490</v>
      </c>
      <c r="B1998" s="35"/>
      <c r="C1998" s="35">
        <v>5.0</v>
      </c>
      <c r="D1998" s="35">
        <v>41.0</v>
      </c>
      <c r="E1998" s="35">
        <v>46027.0</v>
      </c>
      <c r="F1998" s="35">
        <v>0.0</v>
      </c>
      <c r="G1998" s="35">
        <v>1.0</v>
      </c>
      <c r="H1998" s="35">
        <v>0.0</v>
      </c>
      <c r="I1998" s="35">
        <v>0.0</v>
      </c>
      <c r="J1998" s="35"/>
      <c r="K1998" s="35">
        <v>0.0</v>
      </c>
    </row>
    <row r="1999" ht="15.75" customHeight="1">
      <c r="A1999" s="35" t="s">
        <v>6492</v>
      </c>
      <c r="B1999" s="35"/>
      <c r="C1999" s="35">
        <v>5.0</v>
      </c>
      <c r="D1999" s="35" t="s">
        <v>5691</v>
      </c>
      <c r="E1999" s="35">
        <v>46027.0</v>
      </c>
      <c r="F1999" s="35">
        <v>0.0</v>
      </c>
      <c r="G1999" s="35">
        <v>2.0</v>
      </c>
      <c r="H1999" s="35">
        <v>0.0</v>
      </c>
      <c r="I1999" s="35">
        <v>0.0</v>
      </c>
      <c r="J1999" s="35"/>
      <c r="K1999" s="35">
        <v>0.0</v>
      </c>
    </row>
    <row r="2000" ht="15.75" customHeight="1">
      <c r="A2000" s="35" t="s">
        <v>6494</v>
      </c>
      <c r="B2000" s="35"/>
      <c r="C2000" s="35">
        <v>5.0</v>
      </c>
      <c r="D2000" s="35" t="s">
        <v>4985</v>
      </c>
      <c r="E2000" s="35">
        <v>46027.0</v>
      </c>
      <c r="F2000" s="35">
        <v>0.0</v>
      </c>
      <c r="G2000" s="35">
        <v>36.0</v>
      </c>
      <c r="H2000" s="35">
        <v>0.0</v>
      </c>
      <c r="I2000" s="35">
        <v>0.0</v>
      </c>
      <c r="J2000" s="35"/>
      <c r="K2000" s="35">
        <v>0.0</v>
      </c>
    </row>
    <row r="2001" ht="15.75" customHeight="1">
      <c r="A2001" s="35" t="s">
        <v>6495</v>
      </c>
      <c r="B2001" s="35"/>
      <c r="C2001" s="35">
        <v>5.0</v>
      </c>
      <c r="D2001" s="35">
        <v>717.0</v>
      </c>
      <c r="E2001" s="35">
        <v>46027.0</v>
      </c>
      <c r="F2001" s="35">
        <v>0.0</v>
      </c>
      <c r="G2001" s="35">
        <v>2.0</v>
      </c>
      <c r="H2001" s="35">
        <v>0.0</v>
      </c>
      <c r="I2001" s="35">
        <v>0.0</v>
      </c>
      <c r="J2001" s="35"/>
      <c r="K2001" s="35">
        <v>0.0</v>
      </c>
    </row>
    <row r="2002" ht="15.75" customHeight="1">
      <c r="A2002" s="35" t="s">
        <v>6497</v>
      </c>
      <c r="B2002" s="35"/>
      <c r="C2002" s="35">
        <v>5.0</v>
      </c>
      <c r="D2002" s="35" t="s">
        <v>5330</v>
      </c>
      <c r="E2002" s="35">
        <v>46027.0</v>
      </c>
      <c r="F2002" s="35">
        <v>0.0</v>
      </c>
      <c r="G2002" s="35">
        <v>0.0</v>
      </c>
      <c r="H2002" s="35">
        <v>2.0</v>
      </c>
      <c r="I2002" s="35">
        <v>0.0</v>
      </c>
      <c r="J2002" s="35"/>
      <c r="K2002" s="35">
        <v>0.0</v>
      </c>
    </row>
    <row r="2003" ht="15.75" customHeight="1">
      <c r="A2003" s="35" t="s">
        <v>6498</v>
      </c>
      <c r="B2003" s="35"/>
      <c r="C2003" s="35">
        <v>5.0</v>
      </c>
      <c r="D2003" s="35" t="s">
        <v>2055</v>
      </c>
      <c r="E2003" s="35">
        <v>46027.0</v>
      </c>
      <c r="F2003" s="35">
        <v>0.0</v>
      </c>
      <c r="G2003" s="35">
        <v>1.0</v>
      </c>
      <c r="H2003" s="35">
        <v>0.0</v>
      </c>
      <c r="I2003" s="35">
        <v>0.0</v>
      </c>
      <c r="J2003" s="35"/>
      <c r="K2003" s="35">
        <v>0.0</v>
      </c>
    </row>
    <row r="2004" ht="15.75" customHeight="1">
      <c r="A2004" s="35" t="s">
        <v>6500</v>
      </c>
      <c r="B2004" s="35"/>
      <c r="C2004" s="35">
        <v>5.0</v>
      </c>
      <c r="D2004" s="35" t="s">
        <v>2144</v>
      </c>
      <c r="E2004" s="35">
        <v>46027.0</v>
      </c>
      <c r="F2004" s="35">
        <v>0.0</v>
      </c>
      <c r="G2004" s="35">
        <v>2.0</v>
      </c>
      <c r="H2004" s="35">
        <v>0.0</v>
      </c>
      <c r="I2004" s="35">
        <v>0.0</v>
      </c>
      <c r="J2004" s="35"/>
      <c r="K2004" s="35">
        <v>0.0</v>
      </c>
    </row>
    <row r="2005" ht="15.75" customHeight="1">
      <c r="A2005" s="35" t="s">
        <v>6502</v>
      </c>
      <c r="B2005" s="35"/>
      <c r="C2005" s="35">
        <v>5.0</v>
      </c>
      <c r="D2005" s="35" t="s">
        <v>4538</v>
      </c>
      <c r="E2005" s="35">
        <v>46027.0</v>
      </c>
      <c r="F2005" s="35">
        <v>0.0</v>
      </c>
      <c r="G2005" s="35">
        <v>2.0</v>
      </c>
      <c r="H2005" s="35">
        <v>0.0</v>
      </c>
      <c r="I2005" s="35">
        <v>0.0</v>
      </c>
      <c r="J2005" s="35"/>
      <c r="K2005" s="35">
        <v>0.0</v>
      </c>
    </row>
    <row r="2006" ht="15.75" customHeight="1">
      <c r="A2006" s="35" t="s">
        <v>6503</v>
      </c>
      <c r="B2006" s="35"/>
      <c r="C2006" s="35">
        <v>5.0</v>
      </c>
      <c r="D2006" s="35" t="s">
        <v>5316</v>
      </c>
      <c r="E2006" s="35">
        <v>46027.0</v>
      </c>
      <c r="F2006" s="35">
        <v>0.0</v>
      </c>
      <c r="G2006" s="35">
        <v>2.0</v>
      </c>
      <c r="H2006" s="35">
        <v>0.0</v>
      </c>
      <c r="I2006" s="35">
        <v>0.0</v>
      </c>
      <c r="J2006" s="35"/>
      <c r="K2006" s="35">
        <v>0.0</v>
      </c>
    </row>
    <row r="2007" ht="15.75" customHeight="1">
      <c r="A2007" s="35" t="s">
        <v>6505</v>
      </c>
      <c r="B2007" s="35"/>
      <c r="C2007" s="35">
        <v>5.0</v>
      </c>
      <c r="D2007" s="35" t="s">
        <v>4228</v>
      </c>
      <c r="E2007" s="35">
        <v>46027.0</v>
      </c>
      <c r="F2007" s="35">
        <v>0.0</v>
      </c>
      <c r="G2007" s="35">
        <v>0.0</v>
      </c>
      <c r="H2007" s="35">
        <v>1.0</v>
      </c>
      <c r="I2007" s="35">
        <v>0.0</v>
      </c>
      <c r="J2007" s="35"/>
      <c r="K2007" s="35">
        <v>0.0</v>
      </c>
    </row>
    <row r="2008" ht="15.75" customHeight="1">
      <c r="A2008" s="35" t="s">
        <v>6507</v>
      </c>
      <c r="B2008" s="35"/>
      <c r="C2008" s="35">
        <v>5.0</v>
      </c>
      <c r="D2008" s="35" t="s">
        <v>4635</v>
      </c>
      <c r="E2008" s="35">
        <v>46027.0</v>
      </c>
      <c r="F2008" s="35">
        <v>0.0</v>
      </c>
      <c r="G2008" s="35">
        <v>3.0</v>
      </c>
      <c r="H2008" s="35">
        <v>0.0</v>
      </c>
      <c r="I2008" s="35">
        <v>0.0</v>
      </c>
      <c r="J2008" s="35"/>
      <c r="K2008" s="35">
        <v>0.0</v>
      </c>
    </row>
    <row r="2009" ht="15.75" customHeight="1">
      <c r="A2009" s="35" t="s">
        <v>6509</v>
      </c>
      <c r="B2009" s="35"/>
      <c r="C2009" s="35">
        <v>5.0</v>
      </c>
      <c r="D2009" s="35" t="s">
        <v>6510</v>
      </c>
      <c r="E2009" s="35">
        <v>46027.0</v>
      </c>
      <c r="F2009" s="35">
        <v>0.0</v>
      </c>
      <c r="G2009" s="35">
        <v>0.0</v>
      </c>
      <c r="H2009" s="35">
        <v>1.0</v>
      </c>
      <c r="I2009" s="35">
        <v>0.0</v>
      </c>
      <c r="J2009" s="35"/>
      <c r="K2009" s="35">
        <v>0.0</v>
      </c>
    </row>
    <row r="2010" ht="15.75" customHeight="1">
      <c r="A2010" s="35" t="s">
        <v>6511</v>
      </c>
      <c r="B2010" s="35"/>
      <c r="C2010" s="35">
        <v>5.0</v>
      </c>
      <c r="D2010" s="35" t="s">
        <v>4635</v>
      </c>
      <c r="E2010" s="35">
        <v>46027.0</v>
      </c>
      <c r="F2010" s="35">
        <v>0.0</v>
      </c>
      <c r="G2010" s="35">
        <v>2.0</v>
      </c>
      <c r="H2010" s="35">
        <v>0.0</v>
      </c>
      <c r="I2010" s="35">
        <v>0.0</v>
      </c>
      <c r="J2010" s="35"/>
      <c r="K2010" s="35">
        <v>0.0</v>
      </c>
    </row>
    <row r="2011" ht="15.75" customHeight="1">
      <c r="A2011" s="35" t="s">
        <v>6513</v>
      </c>
      <c r="B2011" s="35"/>
      <c r="C2011" s="35">
        <v>5.0</v>
      </c>
      <c r="D2011" s="35" t="s">
        <v>4635</v>
      </c>
      <c r="E2011" s="35">
        <v>46027.0</v>
      </c>
      <c r="F2011" s="35">
        <v>0.0</v>
      </c>
      <c r="G2011" s="35">
        <v>13.0</v>
      </c>
      <c r="H2011" s="35">
        <v>0.0</v>
      </c>
      <c r="I2011" s="35">
        <v>0.0</v>
      </c>
      <c r="J2011" s="35"/>
      <c r="K2011" s="35">
        <v>0.0</v>
      </c>
    </row>
    <row r="2012" ht="15.75" customHeight="1">
      <c r="A2012" s="35" t="s">
        <v>6515</v>
      </c>
      <c r="B2012" s="35"/>
      <c r="C2012" s="35">
        <v>5.0</v>
      </c>
      <c r="D2012" s="35">
        <v>50.0</v>
      </c>
      <c r="E2012" s="35">
        <v>46027.0</v>
      </c>
      <c r="F2012" s="35">
        <v>0.0</v>
      </c>
      <c r="G2012" s="35">
        <v>3.0</v>
      </c>
      <c r="H2012" s="35">
        <v>0.0</v>
      </c>
      <c r="I2012" s="35">
        <v>0.0</v>
      </c>
      <c r="J2012" s="35"/>
      <c r="K2012" s="35">
        <v>0.0</v>
      </c>
    </row>
    <row r="2013" ht="15.75" customHeight="1">
      <c r="A2013" s="35" t="s">
        <v>6516</v>
      </c>
      <c r="B2013" s="35"/>
      <c r="C2013" s="35">
        <v>5.0</v>
      </c>
      <c r="D2013" s="35">
        <v>131.0</v>
      </c>
      <c r="E2013" s="35">
        <v>46027.0</v>
      </c>
      <c r="F2013" s="35">
        <v>0.0</v>
      </c>
      <c r="G2013" s="35">
        <v>2.0</v>
      </c>
      <c r="H2013" s="35">
        <v>0.0</v>
      </c>
      <c r="I2013" s="35">
        <v>0.0</v>
      </c>
      <c r="J2013" s="35"/>
      <c r="K2013" s="35">
        <v>0.0</v>
      </c>
    </row>
    <row r="2014" ht="15.75" customHeight="1">
      <c r="A2014" s="35" t="s">
        <v>6518</v>
      </c>
      <c r="B2014" s="35"/>
      <c r="C2014" s="35">
        <v>5.0</v>
      </c>
      <c r="D2014" s="35" t="s">
        <v>2055</v>
      </c>
      <c r="E2014" s="35">
        <v>46027.0</v>
      </c>
      <c r="F2014" s="35">
        <v>0.0</v>
      </c>
      <c r="G2014" s="35">
        <v>0.0</v>
      </c>
      <c r="H2014" s="35">
        <v>0.0</v>
      </c>
      <c r="I2014" s="35">
        <v>1.0</v>
      </c>
      <c r="J2014" s="35"/>
      <c r="K2014" s="35">
        <v>0.0</v>
      </c>
    </row>
    <row r="2015" ht="15.75" customHeight="1">
      <c r="A2015" s="35" t="s">
        <v>6519</v>
      </c>
      <c r="B2015" s="35"/>
      <c r="C2015" s="35">
        <v>5.0</v>
      </c>
      <c r="D2015" s="35" t="s">
        <v>4446</v>
      </c>
      <c r="E2015" s="35">
        <v>46027.0</v>
      </c>
      <c r="F2015" s="35">
        <v>0.0</v>
      </c>
      <c r="G2015" s="35">
        <v>2.0</v>
      </c>
      <c r="H2015" s="35">
        <v>0.0</v>
      </c>
      <c r="I2015" s="35">
        <v>0.0</v>
      </c>
      <c r="J2015" s="35"/>
      <c r="K2015" s="35">
        <v>0.0</v>
      </c>
    </row>
    <row r="2016" ht="15.75" customHeight="1">
      <c r="A2016" s="35" t="s">
        <v>6521</v>
      </c>
      <c r="B2016" s="35"/>
      <c r="C2016" s="35">
        <v>5.0</v>
      </c>
      <c r="D2016" s="35" t="s">
        <v>6372</v>
      </c>
      <c r="E2016" s="35">
        <v>46027.0</v>
      </c>
      <c r="F2016" s="35">
        <v>0.0</v>
      </c>
      <c r="G2016" s="35">
        <v>0.0</v>
      </c>
      <c r="H2016" s="35">
        <v>1.0</v>
      </c>
      <c r="I2016" s="35">
        <v>0.0</v>
      </c>
      <c r="J2016" s="35"/>
      <c r="K2016" s="35">
        <v>0.0</v>
      </c>
    </row>
    <row r="2017" ht="15.75" customHeight="1">
      <c r="A2017" s="35" t="s">
        <v>6522</v>
      </c>
      <c r="B2017" s="35"/>
      <c r="C2017" s="35">
        <v>5.0</v>
      </c>
      <c r="D2017" s="35" t="s">
        <v>4602</v>
      </c>
      <c r="E2017" s="35">
        <v>46027.0</v>
      </c>
      <c r="F2017" s="35">
        <v>0.0</v>
      </c>
      <c r="G2017" s="35">
        <v>0.0</v>
      </c>
      <c r="H2017" s="35">
        <v>1.0</v>
      </c>
      <c r="I2017" s="35">
        <v>0.0</v>
      </c>
      <c r="J2017" s="35"/>
      <c r="K2017" s="35">
        <v>0.0</v>
      </c>
    </row>
    <row r="2018" ht="15.75" customHeight="1">
      <c r="A2018" s="35" t="s">
        <v>6524</v>
      </c>
      <c r="B2018" s="35"/>
      <c r="C2018" s="35">
        <v>5.0</v>
      </c>
      <c r="D2018" s="35" t="s">
        <v>2032</v>
      </c>
      <c r="E2018" s="35">
        <v>46027.0</v>
      </c>
      <c r="F2018" s="35">
        <v>0.0</v>
      </c>
      <c r="G2018" s="35">
        <v>0.0</v>
      </c>
      <c r="H2018" s="35">
        <v>2.0</v>
      </c>
      <c r="I2018" s="35">
        <v>0.0</v>
      </c>
      <c r="J2018" s="35"/>
      <c r="K2018" s="35">
        <v>0.0</v>
      </c>
    </row>
    <row r="2019" ht="15.75" customHeight="1">
      <c r="A2019" s="35" t="s">
        <v>6526</v>
      </c>
      <c r="B2019" s="35"/>
      <c r="C2019" s="35">
        <v>5.0</v>
      </c>
      <c r="D2019" s="35" t="s">
        <v>4372</v>
      </c>
      <c r="E2019" s="35">
        <v>46027.0</v>
      </c>
      <c r="F2019" s="35">
        <v>0.0</v>
      </c>
      <c r="G2019" s="35">
        <v>2.0</v>
      </c>
      <c r="H2019" s="35">
        <v>0.0</v>
      </c>
      <c r="I2019" s="35">
        <v>0.0</v>
      </c>
      <c r="J2019" s="35"/>
      <c r="K2019" s="35">
        <v>0.0</v>
      </c>
    </row>
    <row r="2020" ht="15.75" customHeight="1">
      <c r="A2020" s="35" t="s">
        <v>6527</v>
      </c>
      <c r="B2020" s="35"/>
      <c r="C2020" s="35">
        <v>5.0</v>
      </c>
      <c r="D2020" s="35" t="s">
        <v>4985</v>
      </c>
      <c r="E2020" s="35">
        <v>46027.0</v>
      </c>
      <c r="F2020" s="35">
        <v>0.0</v>
      </c>
      <c r="G2020" s="35">
        <v>3.0</v>
      </c>
      <c r="H2020" s="35">
        <v>0.0</v>
      </c>
      <c r="I2020" s="35">
        <v>0.0</v>
      </c>
      <c r="J2020" s="35"/>
      <c r="K2020" s="35">
        <v>0.0</v>
      </c>
    </row>
    <row r="2021" ht="15.75" customHeight="1">
      <c r="A2021" s="35" t="s">
        <v>6529</v>
      </c>
      <c r="B2021" s="35"/>
      <c r="C2021" s="35">
        <v>5.0</v>
      </c>
      <c r="D2021" s="35" t="s">
        <v>2164</v>
      </c>
      <c r="E2021" s="35">
        <v>46027.0</v>
      </c>
      <c r="F2021" s="35">
        <v>0.0</v>
      </c>
      <c r="G2021" s="35">
        <v>0.0</v>
      </c>
      <c r="H2021" s="35">
        <v>1.0</v>
      </c>
      <c r="I2021" s="35">
        <v>0.0</v>
      </c>
      <c r="J2021" s="35"/>
      <c r="K2021" s="35">
        <v>0.0</v>
      </c>
    </row>
    <row r="2022" ht="15.75" customHeight="1">
      <c r="A2022" s="35" t="s">
        <v>6531</v>
      </c>
      <c r="B2022" s="35"/>
      <c r="C2022" s="35">
        <v>5.0</v>
      </c>
      <c r="D2022" s="35" t="s">
        <v>2023</v>
      </c>
      <c r="E2022" s="35">
        <v>46027.0</v>
      </c>
      <c r="F2022" s="35">
        <v>0.0</v>
      </c>
      <c r="G2022" s="35">
        <v>1.0</v>
      </c>
      <c r="H2022" s="35">
        <v>0.0</v>
      </c>
      <c r="I2022" s="35">
        <v>0.0</v>
      </c>
      <c r="J2022" s="35"/>
      <c r="K2022" s="35">
        <v>0.0</v>
      </c>
    </row>
    <row r="2023" ht="15.75" customHeight="1">
      <c r="A2023" s="35" t="s">
        <v>6532</v>
      </c>
      <c r="B2023" s="35"/>
      <c r="C2023" s="35">
        <v>5.0</v>
      </c>
      <c r="D2023" s="35" t="s">
        <v>4380</v>
      </c>
      <c r="E2023" s="35">
        <v>46027.0</v>
      </c>
      <c r="F2023" s="35">
        <v>0.0</v>
      </c>
      <c r="G2023" s="35">
        <v>0.0</v>
      </c>
      <c r="H2023" s="35">
        <v>10.0</v>
      </c>
      <c r="I2023" s="35">
        <v>0.0</v>
      </c>
      <c r="J2023" s="35"/>
      <c r="K2023" s="35">
        <v>0.0</v>
      </c>
    </row>
    <row r="2024" ht="15.75" customHeight="1">
      <c r="A2024" s="35" t="s">
        <v>6534</v>
      </c>
      <c r="B2024" s="35"/>
      <c r="C2024" s="35">
        <v>5.0</v>
      </c>
      <c r="D2024" s="35">
        <v>103.0</v>
      </c>
      <c r="E2024" s="35">
        <v>46027.0</v>
      </c>
      <c r="F2024" s="35">
        <v>0.0</v>
      </c>
      <c r="G2024" s="35">
        <v>2.0</v>
      </c>
      <c r="H2024" s="35">
        <v>0.0</v>
      </c>
      <c r="I2024" s="35">
        <v>0.0</v>
      </c>
      <c r="J2024" s="35"/>
      <c r="K2024" s="35">
        <v>0.0</v>
      </c>
    </row>
    <row r="2025" ht="15.75" customHeight="1">
      <c r="A2025" s="35" t="s">
        <v>6535</v>
      </c>
      <c r="B2025" s="35"/>
      <c r="C2025" s="35">
        <v>5.0</v>
      </c>
      <c r="D2025" s="35" t="s">
        <v>4538</v>
      </c>
      <c r="E2025" s="35">
        <v>46027.0</v>
      </c>
      <c r="F2025" s="35">
        <v>0.0</v>
      </c>
      <c r="G2025" s="35">
        <v>0.0</v>
      </c>
      <c r="H2025" s="35">
        <v>2.0</v>
      </c>
      <c r="I2025" s="35">
        <v>0.0</v>
      </c>
      <c r="J2025" s="35"/>
      <c r="K2025" s="35">
        <v>0.0</v>
      </c>
    </row>
    <row r="2026" ht="15.75" customHeight="1">
      <c r="A2026" s="35" t="s">
        <v>6537</v>
      </c>
      <c r="B2026" s="35"/>
      <c r="C2026" s="35">
        <v>5.0</v>
      </c>
      <c r="D2026" s="35" t="s">
        <v>5591</v>
      </c>
      <c r="E2026" s="35">
        <v>46027.0</v>
      </c>
      <c r="F2026" s="35">
        <v>0.0</v>
      </c>
      <c r="G2026" s="35">
        <v>0.0</v>
      </c>
      <c r="H2026" s="35">
        <v>2.0</v>
      </c>
      <c r="I2026" s="35">
        <v>0.0</v>
      </c>
      <c r="J2026" s="35"/>
      <c r="K2026" s="35">
        <v>0.0</v>
      </c>
    </row>
    <row r="2027" ht="15.75" customHeight="1">
      <c r="A2027" s="35" t="s">
        <v>6538</v>
      </c>
      <c r="B2027" s="35"/>
      <c r="C2027" s="35">
        <v>5.0</v>
      </c>
      <c r="D2027" s="35" t="s">
        <v>4394</v>
      </c>
      <c r="E2027" s="35">
        <v>46027.0</v>
      </c>
      <c r="F2027" s="35">
        <v>0.0</v>
      </c>
      <c r="G2027" s="35">
        <v>1.0</v>
      </c>
      <c r="H2027" s="35">
        <v>0.0</v>
      </c>
      <c r="I2027" s="35">
        <v>0.0</v>
      </c>
      <c r="J2027" s="35"/>
      <c r="K2027" s="35">
        <v>0.0</v>
      </c>
    </row>
    <row r="2028" ht="15.75" customHeight="1">
      <c r="A2028" s="35" t="s">
        <v>6540</v>
      </c>
      <c r="B2028" s="35"/>
      <c r="C2028" s="35">
        <v>5.0</v>
      </c>
      <c r="D2028" s="35" t="s">
        <v>2005</v>
      </c>
      <c r="E2028" s="35">
        <v>46027.0</v>
      </c>
      <c r="F2028" s="35">
        <v>0.0</v>
      </c>
      <c r="G2028" s="35">
        <v>2.0</v>
      </c>
      <c r="H2028" s="35">
        <v>0.0</v>
      </c>
      <c r="I2028" s="35">
        <v>0.0</v>
      </c>
      <c r="J2028" s="35"/>
      <c r="K2028" s="35">
        <v>0.0</v>
      </c>
    </row>
    <row r="2029" ht="15.75" customHeight="1">
      <c r="A2029" s="35" t="s">
        <v>6542</v>
      </c>
      <c r="B2029" s="35"/>
      <c r="C2029" s="35">
        <v>5.0</v>
      </c>
      <c r="D2029" s="35" t="s">
        <v>4963</v>
      </c>
      <c r="E2029" s="35">
        <v>46027.0</v>
      </c>
      <c r="F2029" s="35">
        <v>0.0</v>
      </c>
      <c r="G2029" s="35">
        <v>2.0</v>
      </c>
      <c r="H2029" s="35">
        <v>0.0</v>
      </c>
      <c r="I2029" s="35">
        <v>0.0</v>
      </c>
      <c r="J2029" s="35"/>
      <c r="K2029" s="35">
        <v>0.0</v>
      </c>
    </row>
    <row r="2030" ht="15.75" customHeight="1">
      <c r="A2030" s="35" t="s">
        <v>6543</v>
      </c>
      <c r="B2030" s="35"/>
      <c r="C2030" s="35">
        <v>5.0</v>
      </c>
      <c r="D2030" s="35" t="s">
        <v>3776</v>
      </c>
      <c r="E2030" s="35">
        <v>46027.0</v>
      </c>
      <c r="F2030" s="35">
        <v>0.0</v>
      </c>
      <c r="G2030" s="35">
        <v>0.0</v>
      </c>
      <c r="H2030" s="35">
        <v>1.0</v>
      </c>
      <c r="I2030" s="35">
        <v>0.0</v>
      </c>
      <c r="J2030" s="35"/>
      <c r="K2030" s="35">
        <v>0.0</v>
      </c>
    </row>
    <row r="2031" ht="15.75" customHeight="1">
      <c r="A2031" s="35" t="s">
        <v>6545</v>
      </c>
      <c r="B2031" s="35"/>
      <c r="C2031" s="35">
        <v>5.0</v>
      </c>
      <c r="D2031" s="35">
        <v>47.0</v>
      </c>
      <c r="E2031" s="35">
        <v>46027.0</v>
      </c>
      <c r="F2031" s="35">
        <v>0.0</v>
      </c>
      <c r="G2031" s="35">
        <v>0.0</v>
      </c>
      <c r="H2031" s="35">
        <v>1.0</v>
      </c>
      <c r="I2031" s="35">
        <v>0.0</v>
      </c>
      <c r="J2031" s="35"/>
      <c r="K2031" s="35">
        <v>0.0</v>
      </c>
    </row>
    <row r="2032" ht="15.75" customHeight="1">
      <c r="A2032" s="35" t="s">
        <v>6546</v>
      </c>
      <c r="B2032" s="35"/>
      <c r="C2032" s="35">
        <v>5.0</v>
      </c>
      <c r="D2032" s="35">
        <v>362.0</v>
      </c>
      <c r="E2032" s="35">
        <v>46027.0</v>
      </c>
      <c r="F2032" s="35">
        <v>0.0</v>
      </c>
      <c r="G2032" s="35">
        <v>1.0</v>
      </c>
      <c r="H2032" s="35">
        <v>0.0</v>
      </c>
      <c r="I2032" s="35">
        <v>0.0</v>
      </c>
      <c r="J2032" s="35"/>
      <c r="K2032" s="35">
        <v>0.0</v>
      </c>
    </row>
    <row r="2033" ht="15.75" customHeight="1">
      <c r="A2033" s="35" t="s">
        <v>6548</v>
      </c>
      <c r="B2033" s="35"/>
      <c r="C2033" s="35">
        <v>4.0</v>
      </c>
      <c r="D2033" s="35" t="s">
        <v>2055</v>
      </c>
      <c r="E2033" s="35">
        <v>46086.0</v>
      </c>
      <c r="F2033" s="35">
        <v>0.0</v>
      </c>
      <c r="G2033" s="35">
        <v>20.0</v>
      </c>
      <c r="H2033" s="35">
        <v>0.0</v>
      </c>
      <c r="I2033" s="35">
        <v>1.0</v>
      </c>
      <c r="J2033" s="35"/>
      <c r="K2033" s="35">
        <v>1.0</v>
      </c>
    </row>
    <row r="2034" ht="15.75" customHeight="1">
      <c r="A2034" s="35" t="s">
        <v>6549</v>
      </c>
      <c r="B2034" s="35"/>
      <c r="C2034" s="35">
        <v>4.0</v>
      </c>
      <c r="D2034" s="35" t="s">
        <v>4635</v>
      </c>
      <c r="E2034" s="35">
        <v>46086.0</v>
      </c>
      <c r="F2034" s="35">
        <v>0.0</v>
      </c>
      <c r="G2034" s="35">
        <v>97.0</v>
      </c>
      <c r="H2034" s="35">
        <v>2.0</v>
      </c>
      <c r="I2034" s="35">
        <v>0.0</v>
      </c>
      <c r="J2034" s="35"/>
      <c r="K2034" s="35">
        <v>2.0</v>
      </c>
    </row>
    <row r="2035" ht="15.75" customHeight="1">
      <c r="A2035" s="35" t="s">
        <v>6551</v>
      </c>
      <c r="B2035" s="35"/>
      <c r="C2035" s="35">
        <v>4.0</v>
      </c>
      <c r="D2035" s="35" t="s">
        <v>4186</v>
      </c>
      <c r="E2035" s="35">
        <v>46086.0</v>
      </c>
      <c r="F2035" s="35">
        <v>0.0</v>
      </c>
      <c r="G2035" s="35">
        <v>1.0</v>
      </c>
      <c r="H2035" s="35">
        <v>1.0</v>
      </c>
      <c r="I2035" s="35">
        <v>0.0</v>
      </c>
      <c r="J2035" s="35"/>
      <c r="K2035" s="35">
        <v>1.0</v>
      </c>
    </row>
    <row r="2036" ht="15.75" customHeight="1">
      <c r="A2036" s="35" t="s">
        <v>6553</v>
      </c>
      <c r="B2036" s="35"/>
      <c r="C2036" s="35">
        <v>4.0</v>
      </c>
      <c r="D2036" s="35" t="s">
        <v>2046</v>
      </c>
      <c r="E2036" s="35">
        <v>46086.0</v>
      </c>
      <c r="F2036" s="35">
        <v>0.0</v>
      </c>
      <c r="G2036" s="35">
        <v>2.0</v>
      </c>
      <c r="H2036" s="35">
        <v>1.0</v>
      </c>
      <c r="I2036" s="35">
        <v>0.0</v>
      </c>
      <c r="J2036" s="35"/>
      <c r="K2036" s="35">
        <v>1.0</v>
      </c>
    </row>
    <row r="2037" ht="15.75" customHeight="1">
      <c r="A2037" s="35" t="s">
        <v>6554</v>
      </c>
      <c r="B2037" s="35"/>
      <c r="C2037" s="35">
        <v>4.0</v>
      </c>
      <c r="D2037" s="35" t="s">
        <v>2018</v>
      </c>
      <c r="E2037" s="35">
        <v>46058.0</v>
      </c>
      <c r="F2037" s="35">
        <v>0.0</v>
      </c>
      <c r="G2037" s="35">
        <v>15.0</v>
      </c>
      <c r="H2037" s="35">
        <v>0.0</v>
      </c>
      <c r="I2037" s="35">
        <v>1.0</v>
      </c>
      <c r="J2037" s="35"/>
      <c r="K2037" s="35">
        <v>0.0</v>
      </c>
    </row>
    <row r="2038" ht="15.75" customHeight="1">
      <c r="A2038" s="35" t="s">
        <v>6556</v>
      </c>
      <c r="B2038" s="35"/>
      <c r="C2038" s="35">
        <v>4.0</v>
      </c>
      <c r="D2038" s="35" t="s">
        <v>4430</v>
      </c>
      <c r="E2038" s="35">
        <v>46058.0</v>
      </c>
      <c r="F2038" s="35">
        <v>0.0</v>
      </c>
      <c r="G2038" s="35">
        <v>1.0</v>
      </c>
      <c r="H2038" s="35">
        <v>0.0</v>
      </c>
      <c r="I2038" s="35">
        <v>1.0</v>
      </c>
      <c r="J2038" s="35"/>
      <c r="K2038" s="35">
        <v>0.0</v>
      </c>
    </row>
    <row r="2039" ht="15.75" customHeight="1">
      <c r="A2039" s="35" t="s">
        <v>6557</v>
      </c>
      <c r="B2039" s="35"/>
      <c r="C2039" s="35">
        <v>4.0</v>
      </c>
      <c r="D2039" s="35" t="s">
        <v>4430</v>
      </c>
      <c r="E2039" s="35">
        <v>46058.0</v>
      </c>
      <c r="F2039" s="35">
        <v>0.0</v>
      </c>
      <c r="G2039" s="35">
        <v>1.0</v>
      </c>
      <c r="H2039" s="35">
        <v>0.0</v>
      </c>
      <c r="I2039" s="35">
        <v>3.0</v>
      </c>
      <c r="J2039" s="35"/>
      <c r="K2039" s="35">
        <v>0.0</v>
      </c>
    </row>
    <row r="2040" ht="15.75" customHeight="1">
      <c r="A2040" s="35" t="s">
        <v>6559</v>
      </c>
      <c r="B2040" s="35"/>
      <c r="C2040" s="35">
        <v>4.0</v>
      </c>
      <c r="D2040" s="35" t="s">
        <v>5522</v>
      </c>
      <c r="E2040" s="35">
        <v>46058.0</v>
      </c>
      <c r="F2040" s="35">
        <v>0.0</v>
      </c>
      <c r="G2040" s="35">
        <v>2.0</v>
      </c>
      <c r="H2040" s="35">
        <v>0.0</v>
      </c>
      <c r="I2040" s="35">
        <v>3.0</v>
      </c>
      <c r="J2040" s="35"/>
      <c r="K2040" s="35">
        <v>0.0</v>
      </c>
    </row>
    <row r="2041" ht="15.75" customHeight="1">
      <c r="A2041" s="35" t="s">
        <v>6561</v>
      </c>
      <c r="B2041" s="35"/>
      <c r="C2041" s="35">
        <v>4.0</v>
      </c>
      <c r="D2041" s="35" t="s">
        <v>5210</v>
      </c>
      <c r="E2041" s="35">
        <v>46058.0</v>
      </c>
      <c r="F2041" s="35">
        <v>0.0</v>
      </c>
      <c r="G2041" s="35">
        <v>7.0</v>
      </c>
      <c r="H2041" s="35">
        <v>0.0</v>
      </c>
      <c r="I2041" s="35">
        <v>2.0</v>
      </c>
      <c r="J2041" s="35"/>
      <c r="K2041" s="35">
        <v>0.0</v>
      </c>
    </row>
    <row r="2042" ht="15.75" customHeight="1">
      <c r="A2042" s="35" t="s">
        <v>6562</v>
      </c>
      <c r="B2042" s="35"/>
      <c r="C2042" s="35">
        <v>4.0</v>
      </c>
      <c r="D2042" s="35" t="s">
        <v>2018</v>
      </c>
      <c r="E2042" s="35">
        <v>46058.0</v>
      </c>
      <c r="F2042" s="35">
        <v>0.0</v>
      </c>
      <c r="G2042" s="35">
        <v>2.0</v>
      </c>
      <c r="H2042" s="35">
        <v>0.0</v>
      </c>
      <c r="I2042" s="35">
        <v>0.0</v>
      </c>
      <c r="J2042" s="35"/>
      <c r="K2042" s="35">
        <v>1.0</v>
      </c>
    </row>
    <row r="2043" ht="15.75" customHeight="1">
      <c r="A2043" s="35" t="s">
        <v>6564</v>
      </c>
      <c r="B2043" s="35"/>
      <c r="C2043" s="35">
        <v>4.0</v>
      </c>
      <c r="D2043" s="35" t="s">
        <v>4433</v>
      </c>
      <c r="E2043" s="35">
        <v>46058.0</v>
      </c>
      <c r="F2043" s="35">
        <v>0.0</v>
      </c>
      <c r="G2043" s="35">
        <v>1.0</v>
      </c>
      <c r="H2043" s="35">
        <v>0.0</v>
      </c>
      <c r="I2043" s="35">
        <v>3.0</v>
      </c>
      <c r="J2043" s="35"/>
      <c r="K2043" s="35">
        <v>0.0</v>
      </c>
    </row>
    <row r="2044" ht="15.75" customHeight="1">
      <c r="A2044" s="35" t="s">
        <v>6565</v>
      </c>
      <c r="B2044" s="35"/>
      <c r="C2044" s="35">
        <v>4.0</v>
      </c>
      <c r="D2044" s="35">
        <v>518.0</v>
      </c>
      <c r="E2044" s="35">
        <v>46058.0</v>
      </c>
      <c r="F2044" s="35">
        <v>0.0</v>
      </c>
      <c r="G2044" s="35">
        <v>4.0</v>
      </c>
      <c r="H2044" s="35">
        <v>1.0</v>
      </c>
      <c r="I2044" s="35">
        <v>0.0</v>
      </c>
      <c r="J2044" s="35"/>
      <c r="K2044" s="35">
        <v>0.0</v>
      </c>
    </row>
    <row r="2045" ht="15.75" customHeight="1">
      <c r="A2045" s="35" t="s">
        <v>6567</v>
      </c>
      <c r="B2045" s="35"/>
      <c r="C2045" s="35">
        <v>4.0</v>
      </c>
      <c r="D2045" s="35" t="s">
        <v>3894</v>
      </c>
      <c r="E2045" s="35">
        <v>46058.0</v>
      </c>
      <c r="F2045" s="35">
        <v>0.0</v>
      </c>
      <c r="G2045" s="35">
        <v>1.0</v>
      </c>
      <c r="H2045" s="35">
        <v>1.0</v>
      </c>
      <c r="I2045" s="35">
        <v>0.0</v>
      </c>
      <c r="J2045" s="35"/>
      <c r="K2045" s="35">
        <v>0.0</v>
      </c>
    </row>
    <row r="2046" ht="15.75" customHeight="1">
      <c r="A2046" s="35" t="s">
        <v>6569</v>
      </c>
      <c r="B2046" s="35"/>
      <c r="C2046" s="35">
        <v>4.0</v>
      </c>
      <c r="D2046" s="35">
        <v>351.0</v>
      </c>
      <c r="E2046" s="35">
        <v>46058.0</v>
      </c>
      <c r="F2046" s="35">
        <v>0.0</v>
      </c>
      <c r="G2046" s="35">
        <v>2.0</v>
      </c>
      <c r="H2046" s="35">
        <v>0.0</v>
      </c>
      <c r="I2046" s="35">
        <v>1.0</v>
      </c>
      <c r="J2046" s="35"/>
      <c r="K2046" s="35">
        <v>0.0</v>
      </c>
    </row>
    <row r="2047" ht="15.75" customHeight="1">
      <c r="A2047" s="35" t="s">
        <v>6570</v>
      </c>
      <c r="B2047" s="35"/>
      <c r="C2047" s="35">
        <v>4.0</v>
      </c>
      <c r="D2047" s="35" t="s">
        <v>4635</v>
      </c>
      <c r="E2047" s="35">
        <v>46058.0</v>
      </c>
      <c r="F2047" s="35">
        <v>0.0</v>
      </c>
      <c r="G2047" s="35">
        <v>60.0</v>
      </c>
      <c r="H2047" s="35">
        <v>6.0</v>
      </c>
      <c r="I2047" s="35">
        <v>0.0</v>
      </c>
      <c r="J2047" s="35"/>
      <c r="K2047" s="35">
        <v>0.0</v>
      </c>
    </row>
    <row r="2048" ht="15.75" customHeight="1">
      <c r="A2048" s="35" t="s">
        <v>6572</v>
      </c>
      <c r="B2048" s="35"/>
      <c r="C2048" s="35">
        <v>4.0</v>
      </c>
      <c r="D2048" s="35" t="s">
        <v>3577</v>
      </c>
      <c r="E2048" s="35">
        <v>46058.0</v>
      </c>
      <c r="F2048" s="35">
        <v>0.0</v>
      </c>
      <c r="G2048" s="35">
        <v>21.0</v>
      </c>
      <c r="H2048" s="35">
        <v>0.0</v>
      </c>
      <c r="I2048" s="35">
        <v>2.0</v>
      </c>
      <c r="J2048" s="35"/>
      <c r="K2048" s="35">
        <v>0.0</v>
      </c>
    </row>
    <row r="2049" ht="15.75" customHeight="1">
      <c r="A2049" s="35" t="s">
        <v>6573</v>
      </c>
      <c r="B2049" s="35"/>
      <c r="C2049" s="35">
        <v>4.0</v>
      </c>
      <c r="D2049" s="35" t="s">
        <v>2060</v>
      </c>
      <c r="E2049" s="35">
        <v>46058.0</v>
      </c>
      <c r="F2049" s="35">
        <v>0.0</v>
      </c>
      <c r="G2049" s="35">
        <v>2.0</v>
      </c>
      <c r="H2049" s="35">
        <v>0.0</v>
      </c>
      <c r="I2049" s="35">
        <v>2.0</v>
      </c>
      <c r="J2049" s="35"/>
      <c r="K2049" s="35">
        <v>0.0</v>
      </c>
    </row>
    <row r="2050" ht="15.75" customHeight="1">
      <c r="A2050" s="35" t="s">
        <v>6575</v>
      </c>
      <c r="B2050" s="35"/>
      <c r="C2050" s="35">
        <v>4.0</v>
      </c>
      <c r="D2050" s="35">
        <v>146.0</v>
      </c>
      <c r="E2050" s="35">
        <v>46027.0</v>
      </c>
      <c r="F2050" s="35">
        <v>0.0</v>
      </c>
      <c r="G2050" s="35">
        <v>1.0</v>
      </c>
      <c r="H2050" s="35">
        <v>0.0</v>
      </c>
      <c r="I2050" s="35">
        <v>0.0</v>
      </c>
      <c r="J2050" s="35"/>
      <c r="K2050" s="35">
        <v>0.0</v>
      </c>
    </row>
    <row r="2051" ht="15.75" customHeight="1">
      <c r="A2051" s="35" t="s">
        <v>6576</v>
      </c>
      <c r="B2051" s="35"/>
      <c r="C2051" s="35">
        <v>4.0</v>
      </c>
      <c r="D2051" s="35" t="s">
        <v>3948</v>
      </c>
      <c r="E2051" s="35">
        <v>46027.0</v>
      </c>
      <c r="F2051" s="35">
        <v>0.0</v>
      </c>
      <c r="G2051" s="35">
        <v>62.0</v>
      </c>
      <c r="H2051" s="35">
        <v>0.0</v>
      </c>
      <c r="I2051" s="35">
        <v>0.0</v>
      </c>
      <c r="J2051" s="35"/>
      <c r="K2051" s="35">
        <v>0.0</v>
      </c>
    </row>
    <row r="2052" ht="15.75" customHeight="1">
      <c r="A2052" s="35" t="s">
        <v>6578</v>
      </c>
      <c r="B2052" s="35"/>
      <c r="C2052" s="35">
        <v>4.0</v>
      </c>
      <c r="D2052" s="35" t="s">
        <v>2033</v>
      </c>
      <c r="E2052" s="35">
        <v>46027.0</v>
      </c>
      <c r="F2052" s="35">
        <v>0.0</v>
      </c>
      <c r="G2052" s="35">
        <v>1.0</v>
      </c>
      <c r="H2052" s="35">
        <v>0.0</v>
      </c>
      <c r="I2052" s="35">
        <v>0.0</v>
      </c>
      <c r="J2052" s="35"/>
      <c r="K2052" s="35">
        <v>0.0</v>
      </c>
    </row>
    <row r="2053" ht="15.75" customHeight="1">
      <c r="A2053" s="35" t="s">
        <v>6580</v>
      </c>
      <c r="B2053" s="35"/>
      <c r="C2053" s="35">
        <v>4.0</v>
      </c>
      <c r="D2053" s="35">
        <v>771.0</v>
      </c>
      <c r="E2053" s="35">
        <v>46027.0</v>
      </c>
      <c r="F2053" s="35">
        <v>0.0</v>
      </c>
      <c r="G2053" s="35">
        <v>4.0</v>
      </c>
      <c r="H2053" s="35">
        <v>0.0</v>
      </c>
      <c r="I2053" s="35">
        <v>0.0</v>
      </c>
      <c r="J2053" s="35"/>
      <c r="K2053" s="35">
        <v>0.0</v>
      </c>
    </row>
    <row r="2054" ht="15.75" customHeight="1">
      <c r="A2054" s="35" t="s">
        <v>6581</v>
      </c>
      <c r="B2054" s="35"/>
      <c r="C2054" s="35">
        <v>4.0</v>
      </c>
      <c r="D2054" s="35">
        <v>265.0</v>
      </c>
      <c r="E2054" s="35">
        <v>46027.0</v>
      </c>
      <c r="F2054" s="35">
        <v>0.0</v>
      </c>
      <c r="G2054" s="35">
        <v>0.0</v>
      </c>
      <c r="H2054" s="35">
        <v>9.0</v>
      </c>
      <c r="I2054" s="35">
        <v>0.0</v>
      </c>
      <c r="J2054" s="35"/>
      <c r="K2054" s="35">
        <v>0.0</v>
      </c>
    </row>
    <row r="2055" ht="15.75" customHeight="1">
      <c r="A2055" s="35" t="s">
        <v>6583</v>
      </c>
      <c r="B2055" s="35"/>
      <c r="C2055" s="35">
        <v>4.0</v>
      </c>
      <c r="D2055" s="35" t="s">
        <v>3776</v>
      </c>
      <c r="E2055" s="35">
        <v>46027.0</v>
      </c>
      <c r="F2055" s="35">
        <v>0.0</v>
      </c>
      <c r="G2055" s="35">
        <v>4.0</v>
      </c>
      <c r="H2055" s="35">
        <v>0.0</v>
      </c>
      <c r="I2055" s="35">
        <v>0.0</v>
      </c>
      <c r="J2055" s="35"/>
      <c r="K2055" s="35">
        <v>0.0</v>
      </c>
    </row>
    <row r="2056" ht="15.75" customHeight="1">
      <c r="A2056" s="35" t="s">
        <v>6584</v>
      </c>
      <c r="B2056" s="35"/>
      <c r="C2056" s="35">
        <v>4.0</v>
      </c>
      <c r="D2056" s="35">
        <v>76.0</v>
      </c>
      <c r="E2056" s="35">
        <v>46027.0</v>
      </c>
      <c r="F2056" s="35">
        <v>0.0</v>
      </c>
      <c r="G2056" s="35">
        <v>1.0</v>
      </c>
      <c r="H2056" s="35">
        <v>0.0</v>
      </c>
      <c r="I2056" s="35">
        <v>0.0</v>
      </c>
      <c r="J2056" s="35"/>
      <c r="K2056" s="35">
        <v>0.0</v>
      </c>
    </row>
    <row r="2057" ht="15.75" customHeight="1">
      <c r="A2057" s="35" t="s">
        <v>6585</v>
      </c>
      <c r="B2057" s="35"/>
      <c r="C2057" s="35">
        <v>4.0</v>
      </c>
      <c r="D2057" s="35">
        <v>473.0</v>
      </c>
      <c r="E2057" s="35">
        <v>46027.0</v>
      </c>
      <c r="F2057" s="35">
        <v>0.0</v>
      </c>
      <c r="G2057" s="35">
        <v>2.0</v>
      </c>
      <c r="H2057" s="35">
        <v>0.0</v>
      </c>
      <c r="I2057" s="35">
        <v>0.0</v>
      </c>
      <c r="J2057" s="35"/>
      <c r="K2057" s="35">
        <v>0.0</v>
      </c>
    </row>
    <row r="2058" ht="15.75" customHeight="1">
      <c r="A2058" s="35" t="s">
        <v>6587</v>
      </c>
      <c r="B2058" s="35"/>
      <c r="C2058" s="35">
        <v>4.0</v>
      </c>
      <c r="D2058" s="35">
        <v>472.0</v>
      </c>
      <c r="E2058" s="35">
        <v>46027.0</v>
      </c>
      <c r="F2058" s="35">
        <v>0.0</v>
      </c>
      <c r="G2058" s="35">
        <v>1.0</v>
      </c>
      <c r="H2058" s="35">
        <v>0.0</v>
      </c>
      <c r="I2058" s="35">
        <v>0.0</v>
      </c>
      <c r="J2058" s="35"/>
      <c r="K2058" s="35">
        <v>0.0</v>
      </c>
    </row>
    <row r="2059" ht="15.75" customHeight="1">
      <c r="A2059" s="35" t="s">
        <v>6588</v>
      </c>
      <c r="B2059" s="35"/>
      <c r="C2059" s="35">
        <v>4.0</v>
      </c>
      <c r="D2059" s="35" t="s">
        <v>2032</v>
      </c>
      <c r="E2059" s="35">
        <v>46027.0</v>
      </c>
      <c r="F2059" s="35">
        <v>0.0</v>
      </c>
      <c r="G2059" s="35">
        <v>0.0</v>
      </c>
      <c r="H2059" s="35">
        <v>2.0</v>
      </c>
      <c r="I2059" s="35">
        <v>0.0</v>
      </c>
      <c r="J2059" s="35"/>
      <c r="K2059" s="35">
        <v>0.0</v>
      </c>
    </row>
    <row r="2060" ht="15.75" customHeight="1">
      <c r="A2060" s="35" t="s">
        <v>6590</v>
      </c>
      <c r="B2060" s="35"/>
      <c r="C2060" s="35">
        <v>4.0</v>
      </c>
      <c r="D2060" s="35">
        <v>406.0</v>
      </c>
      <c r="E2060" s="35">
        <v>46027.0</v>
      </c>
      <c r="F2060" s="35">
        <v>0.0</v>
      </c>
      <c r="G2060" s="35">
        <v>1.0</v>
      </c>
      <c r="H2060" s="35">
        <v>0.0</v>
      </c>
      <c r="I2060" s="35">
        <v>0.0</v>
      </c>
      <c r="J2060" s="35"/>
      <c r="K2060" s="35">
        <v>0.0</v>
      </c>
    </row>
    <row r="2061" ht="15.75" customHeight="1">
      <c r="A2061" s="35" t="s">
        <v>6591</v>
      </c>
      <c r="B2061" s="35"/>
      <c r="C2061" s="35">
        <v>4.0</v>
      </c>
      <c r="D2061" s="35" t="s">
        <v>2004</v>
      </c>
      <c r="E2061" s="35">
        <v>46027.0</v>
      </c>
      <c r="F2061" s="35">
        <v>0.0</v>
      </c>
      <c r="G2061" s="35">
        <v>2.0</v>
      </c>
      <c r="H2061" s="35">
        <v>0.0</v>
      </c>
      <c r="I2061" s="35">
        <v>0.0</v>
      </c>
      <c r="J2061" s="35"/>
      <c r="K2061" s="35">
        <v>0.0</v>
      </c>
    </row>
    <row r="2062" ht="15.75" customHeight="1">
      <c r="A2062" s="35" t="s">
        <v>6593</v>
      </c>
      <c r="B2062" s="35"/>
      <c r="C2062" s="35">
        <v>4.0</v>
      </c>
      <c r="D2062" s="35">
        <v>253.0</v>
      </c>
      <c r="E2062" s="35">
        <v>46027.0</v>
      </c>
      <c r="F2062" s="35">
        <v>0.0</v>
      </c>
      <c r="G2062" s="35">
        <v>21.0</v>
      </c>
      <c r="H2062" s="35">
        <v>0.0</v>
      </c>
      <c r="I2062" s="35">
        <v>0.0</v>
      </c>
      <c r="J2062" s="35"/>
      <c r="K2062" s="35">
        <v>0.0</v>
      </c>
    </row>
    <row r="2063" ht="15.75" customHeight="1">
      <c r="A2063" s="35" t="s">
        <v>6595</v>
      </c>
      <c r="B2063" s="35"/>
      <c r="C2063" s="35">
        <v>4.0</v>
      </c>
      <c r="D2063" s="35" t="s">
        <v>3577</v>
      </c>
      <c r="E2063" s="35">
        <v>46027.0</v>
      </c>
      <c r="F2063" s="35">
        <v>0.0</v>
      </c>
      <c r="G2063" s="35">
        <v>0.0</v>
      </c>
      <c r="H2063" s="35">
        <v>73.0</v>
      </c>
      <c r="I2063" s="35">
        <v>0.0</v>
      </c>
      <c r="J2063" s="35"/>
      <c r="K2063" s="35">
        <v>0.0</v>
      </c>
    </row>
    <row r="2064" ht="15.75" customHeight="1">
      <c r="A2064" s="35" t="s">
        <v>6597</v>
      </c>
      <c r="B2064" s="35"/>
      <c r="C2064" s="35">
        <v>4.0</v>
      </c>
      <c r="D2064" s="35" t="s">
        <v>4635</v>
      </c>
      <c r="E2064" s="35">
        <v>46027.0</v>
      </c>
      <c r="F2064" s="35">
        <v>0.0</v>
      </c>
      <c r="G2064" s="35">
        <v>5.0</v>
      </c>
      <c r="H2064" s="35">
        <v>0.0</v>
      </c>
      <c r="I2064" s="35">
        <v>0.0</v>
      </c>
      <c r="J2064" s="35"/>
      <c r="K2064" s="35">
        <v>0.0</v>
      </c>
    </row>
    <row r="2065" ht="15.75" customHeight="1">
      <c r="A2065" s="35" t="s">
        <v>6598</v>
      </c>
      <c r="B2065" s="35"/>
      <c r="C2065" s="35">
        <v>4.0</v>
      </c>
      <c r="D2065" s="35" t="s">
        <v>4197</v>
      </c>
      <c r="E2065" s="35">
        <v>46027.0</v>
      </c>
      <c r="F2065" s="35">
        <v>0.0</v>
      </c>
      <c r="G2065" s="35">
        <v>1.0</v>
      </c>
      <c r="H2065" s="35">
        <v>0.0</v>
      </c>
      <c r="I2065" s="35">
        <v>0.0</v>
      </c>
      <c r="J2065" s="35"/>
      <c r="K2065" s="35">
        <v>0.0</v>
      </c>
    </row>
    <row r="2066" ht="15.75" customHeight="1">
      <c r="A2066" s="35" t="s">
        <v>6600</v>
      </c>
      <c r="B2066" s="35"/>
      <c r="C2066" s="35">
        <v>4.0</v>
      </c>
      <c r="D2066" s="35">
        <v>474.0</v>
      </c>
      <c r="E2066" s="35">
        <v>46027.0</v>
      </c>
      <c r="F2066" s="35">
        <v>0.0</v>
      </c>
      <c r="G2066" s="35">
        <v>1.0</v>
      </c>
      <c r="H2066" s="35">
        <v>0.0</v>
      </c>
      <c r="I2066" s="35">
        <v>0.0</v>
      </c>
      <c r="J2066" s="35"/>
      <c r="K2066" s="35">
        <v>0.0</v>
      </c>
    </row>
    <row r="2067" ht="15.75" customHeight="1">
      <c r="A2067" s="35" t="s">
        <v>6601</v>
      </c>
      <c r="B2067" s="35"/>
      <c r="C2067" s="35">
        <v>4.0</v>
      </c>
      <c r="D2067" s="35">
        <v>954.0</v>
      </c>
      <c r="E2067" s="35">
        <v>46027.0</v>
      </c>
      <c r="F2067" s="35">
        <v>0.0</v>
      </c>
      <c r="G2067" s="35">
        <v>4.0</v>
      </c>
      <c r="H2067" s="35">
        <v>0.0</v>
      </c>
      <c r="I2067" s="35">
        <v>0.0</v>
      </c>
      <c r="J2067" s="35"/>
      <c r="K2067" s="35">
        <v>0.0</v>
      </c>
    </row>
    <row r="2068" ht="15.75" customHeight="1">
      <c r="A2068" s="35" t="s">
        <v>6603</v>
      </c>
      <c r="B2068" s="35"/>
      <c r="C2068" s="35">
        <v>4.0</v>
      </c>
      <c r="D2068" s="35" t="s">
        <v>2032</v>
      </c>
      <c r="E2068" s="35">
        <v>46027.0</v>
      </c>
      <c r="F2068" s="35">
        <v>0.0</v>
      </c>
      <c r="G2068" s="35">
        <v>1.0</v>
      </c>
      <c r="H2068" s="35">
        <v>0.0</v>
      </c>
      <c r="I2068" s="35">
        <v>0.0</v>
      </c>
      <c r="J2068" s="35"/>
      <c r="K2068" s="35">
        <v>0.0</v>
      </c>
    </row>
    <row r="2069" ht="15.75" customHeight="1">
      <c r="A2069" s="35" t="s">
        <v>6605</v>
      </c>
      <c r="B2069" s="35"/>
      <c r="C2069" s="35">
        <v>4.0</v>
      </c>
      <c r="D2069" s="35" t="s">
        <v>4635</v>
      </c>
      <c r="E2069" s="35">
        <v>46027.0</v>
      </c>
      <c r="F2069" s="35">
        <v>0.0</v>
      </c>
      <c r="G2069" s="35">
        <v>6.0</v>
      </c>
      <c r="H2069" s="35">
        <v>0.0</v>
      </c>
      <c r="I2069" s="35">
        <v>0.0</v>
      </c>
      <c r="J2069" s="35"/>
      <c r="K2069" s="35">
        <v>0.0</v>
      </c>
    </row>
    <row r="2070" ht="15.75" customHeight="1">
      <c r="A2070" s="35" t="s">
        <v>6606</v>
      </c>
      <c r="B2070" s="35"/>
      <c r="C2070" s="35">
        <v>4.0</v>
      </c>
      <c r="D2070" s="35" t="s">
        <v>2018</v>
      </c>
      <c r="E2070" s="35">
        <v>46027.0</v>
      </c>
      <c r="F2070" s="35">
        <v>0.0</v>
      </c>
      <c r="G2070" s="35">
        <v>1.0</v>
      </c>
      <c r="H2070" s="35">
        <v>0.0</v>
      </c>
      <c r="I2070" s="35">
        <v>0.0</v>
      </c>
      <c r="J2070" s="35"/>
      <c r="K2070" s="35">
        <v>0.0</v>
      </c>
    </row>
    <row r="2071" ht="15.75" customHeight="1">
      <c r="A2071" s="35" t="s">
        <v>6608</v>
      </c>
      <c r="B2071" s="35"/>
      <c r="C2071" s="35">
        <v>4.0</v>
      </c>
      <c r="D2071" s="35" t="s">
        <v>4635</v>
      </c>
      <c r="E2071" s="35">
        <v>46027.0</v>
      </c>
      <c r="F2071" s="35">
        <v>0.0</v>
      </c>
      <c r="G2071" s="35">
        <v>1.0</v>
      </c>
      <c r="H2071" s="35">
        <v>0.0</v>
      </c>
      <c r="I2071" s="35">
        <v>0.0</v>
      </c>
      <c r="J2071" s="35"/>
      <c r="K2071" s="35">
        <v>0.0</v>
      </c>
    </row>
    <row r="2072" ht="15.75" customHeight="1">
      <c r="A2072" s="35" t="s">
        <v>6609</v>
      </c>
      <c r="B2072" s="35"/>
      <c r="C2072" s="35">
        <v>4.0</v>
      </c>
      <c r="D2072" s="35">
        <v>39.0</v>
      </c>
      <c r="E2072" s="35">
        <v>46027.0</v>
      </c>
      <c r="F2072" s="35">
        <v>0.0</v>
      </c>
      <c r="G2072" s="35">
        <v>2.0</v>
      </c>
      <c r="H2072" s="35">
        <v>0.0</v>
      </c>
      <c r="I2072" s="35">
        <v>0.0</v>
      </c>
      <c r="J2072" s="35"/>
      <c r="K2072" s="35">
        <v>0.0</v>
      </c>
    </row>
    <row r="2073" ht="15.75" customHeight="1">
      <c r="A2073" s="35" t="s">
        <v>6611</v>
      </c>
      <c r="B2073" s="35"/>
      <c r="C2073" s="35">
        <v>4.0</v>
      </c>
      <c r="D2073" s="35" t="s">
        <v>1964</v>
      </c>
      <c r="E2073" s="35">
        <v>46027.0</v>
      </c>
      <c r="F2073" s="35">
        <v>0.0</v>
      </c>
      <c r="G2073" s="35">
        <v>3.0</v>
      </c>
      <c r="H2073" s="35">
        <v>0.0</v>
      </c>
      <c r="I2073" s="35">
        <v>0.0</v>
      </c>
      <c r="J2073" s="35"/>
      <c r="K2073" s="35">
        <v>0.0</v>
      </c>
    </row>
    <row r="2074" ht="15.75" customHeight="1">
      <c r="A2074" s="35" t="s">
        <v>6613</v>
      </c>
      <c r="B2074" s="35"/>
      <c r="C2074" s="35">
        <v>4.0</v>
      </c>
      <c r="D2074" s="35" t="s">
        <v>4635</v>
      </c>
      <c r="E2074" s="35">
        <v>46027.0</v>
      </c>
      <c r="F2074" s="35">
        <v>0.0</v>
      </c>
      <c r="G2074" s="35">
        <v>3.0</v>
      </c>
      <c r="H2074" s="35">
        <v>0.0</v>
      </c>
      <c r="I2074" s="35">
        <v>0.0</v>
      </c>
      <c r="J2074" s="35"/>
      <c r="K2074" s="35">
        <v>0.0</v>
      </c>
    </row>
    <row r="2075" ht="15.75" customHeight="1">
      <c r="A2075" s="35" t="s">
        <v>6614</v>
      </c>
      <c r="B2075" s="35"/>
      <c r="C2075" s="35">
        <v>4.0</v>
      </c>
      <c r="D2075" s="35" t="s">
        <v>2032</v>
      </c>
      <c r="E2075" s="35">
        <v>46027.0</v>
      </c>
      <c r="F2075" s="35">
        <v>0.0</v>
      </c>
      <c r="G2075" s="35">
        <v>1.0</v>
      </c>
      <c r="H2075" s="35">
        <v>0.0</v>
      </c>
      <c r="I2075" s="35">
        <v>0.0</v>
      </c>
      <c r="J2075" s="35"/>
      <c r="K2075" s="35">
        <v>0.0</v>
      </c>
    </row>
    <row r="2076" ht="15.75" customHeight="1">
      <c r="A2076" s="35" t="s">
        <v>6615</v>
      </c>
      <c r="B2076" s="35"/>
      <c r="C2076" s="35">
        <v>4.0</v>
      </c>
      <c r="D2076" s="35">
        <v>358.0</v>
      </c>
      <c r="E2076" s="35">
        <v>46027.0</v>
      </c>
      <c r="F2076" s="35">
        <v>0.0</v>
      </c>
      <c r="G2076" s="35">
        <v>4.0</v>
      </c>
      <c r="H2076" s="35">
        <v>0.0</v>
      </c>
      <c r="I2076" s="35">
        <v>0.0</v>
      </c>
      <c r="J2076" s="35"/>
      <c r="K2076" s="35">
        <v>0.0</v>
      </c>
    </row>
    <row r="2077" ht="15.75" customHeight="1">
      <c r="A2077" s="35" t="s">
        <v>6617</v>
      </c>
      <c r="B2077" s="35"/>
      <c r="C2077" s="35">
        <v>4.0</v>
      </c>
      <c r="D2077" s="35" t="s">
        <v>2034</v>
      </c>
      <c r="E2077" s="35">
        <v>46027.0</v>
      </c>
      <c r="F2077" s="35">
        <v>0.0</v>
      </c>
      <c r="G2077" s="35">
        <v>33.0</v>
      </c>
      <c r="H2077" s="35">
        <v>0.0</v>
      </c>
      <c r="I2077" s="35">
        <v>0.0</v>
      </c>
      <c r="J2077" s="35"/>
      <c r="K2077" s="35">
        <v>0.0</v>
      </c>
    </row>
    <row r="2078" ht="15.75" customHeight="1">
      <c r="A2078" s="35" t="s">
        <v>6619</v>
      </c>
      <c r="B2078" s="35"/>
      <c r="C2078" s="35">
        <v>4.0</v>
      </c>
      <c r="D2078" s="35" t="s">
        <v>2049</v>
      </c>
      <c r="E2078" s="35">
        <v>46027.0</v>
      </c>
      <c r="F2078" s="35">
        <v>0.0</v>
      </c>
      <c r="G2078" s="35">
        <v>2.0</v>
      </c>
      <c r="H2078" s="35">
        <v>0.0</v>
      </c>
      <c r="I2078" s="35">
        <v>0.0</v>
      </c>
      <c r="J2078" s="35"/>
      <c r="K2078" s="35">
        <v>0.0</v>
      </c>
    </row>
    <row r="2079" ht="15.75" customHeight="1">
      <c r="A2079" s="35" t="s">
        <v>6620</v>
      </c>
      <c r="B2079" s="35"/>
      <c r="C2079" s="35">
        <v>4.0</v>
      </c>
      <c r="D2079" s="35">
        <v>588.0</v>
      </c>
      <c r="E2079" s="35">
        <v>46027.0</v>
      </c>
      <c r="F2079" s="35">
        <v>0.0</v>
      </c>
      <c r="G2079" s="35">
        <v>2.0</v>
      </c>
      <c r="H2079" s="35">
        <v>0.0</v>
      </c>
      <c r="I2079" s="35">
        <v>0.0</v>
      </c>
      <c r="J2079" s="35"/>
      <c r="K2079" s="35">
        <v>0.0</v>
      </c>
    </row>
    <row r="2080" ht="15.75" customHeight="1">
      <c r="A2080" s="35" t="s">
        <v>6622</v>
      </c>
      <c r="B2080" s="35"/>
      <c r="C2080" s="35">
        <v>4.0</v>
      </c>
      <c r="D2080" s="35" t="s">
        <v>2039</v>
      </c>
      <c r="E2080" s="35">
        <v>46027.0</v>
      </c>
      <c r="F2080" s="35">
        <v>0.0</v>
      </c>
      <c r="G2080" s="35">
        <v>5.0</v>
      </c>
      <c r="H2080" s="35">
        <v>0.0</v>
      </c>
      <c r="I2080" s="35">
        <v>0.0</v>
      </c>
      <c r="J2080" s="35"/>
      <c r="K2080" s="35">
        <v>0.0</v>
      </c>
    </row>
    <row r="2081" ht="15.75" customHeight="1">
      <c r="A2081" s="35" t="s">
        <v>6623</v>
      </c>
      <c r="B2081" s="35"/>
      <c r="C2081" s="35">
        <v>4.0</v>
      </c>
      <c r="D2081" s="35" t="s">
        <v>4635</v>
      </c>
      <c r="E2081" s="35">
        <v>46027.0</v>
      </c>
      <c r="F2081" s="35">
        <v>0.0</v>
      </c>
      <c r="G2081" s="35">
        <v>1.0</v>
      </c>
      <c r="H2081" s="35">
        <v>0.0</v>
      </c>
      <c r="I2081" s="35">
        <v>0.0</v>
      </c>
      <c r="J2081" s="35"/>
      <c r="K2081" s="35">
        <v>0.0</v>
      </c>
    </row>
    <row r="2082" ht="15.75" customHeight="1">
      <c r="A2082" s="35" t="s">
        <v>6625</v>
      </c>
      <c r="B2082" s="35"/>
      <c r="C2082" s="35">
        <v>4.0</v>
      </c>
      <c r="D2082" s="35" t="s">
        <v>2046</v>
      </c>
      <c r="E2082" s="35">
        <v>46027.0</v>
      </c>
      <c r="F2082" s="35">
        <v>0.0</v>
      </c>
      <c r="G2082" s="35">
        <v>1.0</v>
      </c>
      <c r="H2082" s="35">
        <v>0.0</v>
      </c>
      <c r="I2082" s="35">
        <v>0.0</v>
      </c>
      <c r="J2082" s="35"/>
      <c r="K2082" s="35">
        <v>0.0</v>
      </c>
    </row>
    <row r="2083" ht="15.75" customHeight="1">
      <c r="A2083" s="35" t="s">
        <v>6627</v>
      </c>
      <c r="B2083" s="35"/>
      <c r="C2083" s="35">
        <v>4.0</v>
      </c>
      <c r="D2083" s="35" t="s">
        <v>6628</v>
      </c>
      <c r="E2083" s="35">
        <v>46027.0</v>
      </c>
      <c r="F2083" s="35">
        <v>0.0</v>
      </c>
      <c r="G2083" s="35">
        <v>1.0</v>
      </c>
      <c r="H2083" s="35">
        <v>0.0</v>
      </c>
      <c r="I2083" s="35">
        <v>0.0</v>
      </c>
      <c r="J2083" s="35"/>
      <c r="K2083" s="35">
        <v>0.0</v>
      </c>
    </row>
    <row r="2084" ht="15.75" customHeight="1">
      <c r="A2084" s="35" t="s">
        <v>6629</v>
      </c>
      <c r="B2084" s="35"/>
      <c r="C2084" s="35">
        <v>4.0</v>
      </c>
      <c r="D2084" s="35">
        <v>63.0</v>
      </c>
      <c r="E2084" s="35">
        <v>46027.0</v>
      </c>
      <c r="F2084" s="35">
        <v>0.0</v>
      </c>
      <c r="G2084" s="35">
        <v>1.0</v>
      </c>
      <c r="H2084" s="35">
        <v>0.0</v>
      </c>
      <c r="I2084" s="35">
        <v>0.0</v>
      </c>
      <c r="J2084" s="35"/>
      <c r="K2084" s="35">
        <v>0.0</v>
      </c>
    </row>
    <row r="2085" ht="15.75" customHeight="1">
      <c r="A2085" s="35" t="s">
        <v>6631</v>
      </c>
      <c r="B2085" s="35"/>
      <c r="C2085" s="35">
        <v>4.0</v>
      </c>
      <c r="D2085" s="35" t="s">
        <v>4635</v>
      </c>
      <c r="E2085" s="35">
        <v>46027.0</v>
      </c>
      <c r="F2085" s="35">
        <v>0.0</v>
      </c>
      <c r="G2085" s="35">
        <v>5.0</v>
      </c>
      <c r="H2085" s="35">
        <v>0.0</v>
      </c>
      <c r="I2085" s="35">
        <v>0.0</v>
      </c>
      <c r="J2085" s="35"/>
      <c r="K2085" s="35">
        <v>0.0</v>
      </c>
    </row>
    <row r="2086" ht="15.75" customHeight="1">
      <c r="A2086" s="35" t="s">
        <v>6632</v>
      </c>
      <c r="B2086" s="35"/>
      <c r="C2086" s="35">
        <v>4.0</v>
      </c>
      <c r="D2086" s="35">
        <v>469.0</v>
      </c>
      <c r="E2086" s="35">
        <v>46027.0</v>
      </c>
      <c r="F2086" s="35">
        <v>0.0</v>
      </c>
      <c r="G2086" s="35">
        <v>10.0</v>
      </c>
      <c r="H2086" s="35">
        <v>0.0</v>
      </c>
      <c r="I2086" s="35">
        <v>0.0</v>
      </c>
      <c r="J2086" s="35"/>
      <c r="K2086" s="35">
        <v>0.0</v>
      </c>
    </row>
    <row r="2087" ht="15.75" customHeight="1">
      <c r="A2087" s="35" t="s">
        <v>6634</v>
      </c>
      <c r="B2087" s="35"/>
      <c r="C2087" s="35">
        <v>4.0</v>
      </c>
      <c r="D2087" s="35" t="s">
        <v>4430</v>
      </c>
      <c r="E2087" s="35">
        <v>46027.0</v>
      </c>
      <c r="F2087" s="35">
        <v>0.0</v>
      </c>
      <c r="G2087" s="35">
        <v>7.0</v>
      </c>
      <c r="H2087" s="35">
        <v>0.0</v>
      </c>
      <c r="I2087" s="35">
        <v>0.0</v>
      </c>
      <c r="J2087" s="35"/>
      <c r="K2087" s="35">
        <v>0.0</v>
      </c>
    </row>
    <row r="2088" ht="15.75" customHeight="1">
      <c r="A2088" s="35" t="s">
        <v>6635</v>
      </c>
      <c r="B2088" s="35"/>
      <c r="C2088" s="35">
        <v>4.0</v>
      </c>
      <c r="D2088" s="35" t="s">
        <v>2016</v>
      </c>
      <c r="E2088" s="35">
        <v>46027.0</v>
      </c>
      <c r="F2088" s="35">
        <v>0.0</v>
      </c>
      <c r="G2088" s="35">
        <v>2.0</v>
      </c>
      <c r="H2088" s="35">
        <v>0.0</v>
      </c>
      <c r="I2088" s="35">
        <v>0.0</v>
      </c>
      <c r="J2088" s="35"/>
      <c r="K2088" s="35">
        <v>0.0</v>
      </c>
    </row>
    <row r="2089" ht="15.75" customHeight="1">
      <c r="A2089" s="35" t="s">
        <v>6637</v>
      </c>
      <c r="B2089" s="35"/>
      <c r="C2089" s="35">
        <v>4.0</v>
      </c>
      <c r="D2089" s="35" t="s">
        <v>4635</v>
      </c>
      <c r="E2089" s="35">
        <v>46027.0</v>
      </c>
      <c r="F2089" s="35">
        <v>0.0</v>
      </c>
      <c r="G2089" s="35">
        <v>2.0</v>
      </c>
      <c r="H2089" s="35">
        <v>0.0</v>
      </c>
      <c r="I2089" s="35">
        <v>0.0</v>
      </c>
      <c r="J2089" s="35"/>
      <c r="K2089" s="35">
        <v>0.0</v>
      </c>
    </row>
    <row r="2090" ht="15.75" customHeight="1">
      <c r="A2090" s="35" t="s">
        <v>6639</v>
      </c>
      <c r="B2090" s="35"/>
      <c r="C2090" s="35">
        <v>4.0</v>
      </c>
      <c r="D2090" s="35" t="s">
        <v>4635</v>
      </c>
      <c r="E2090" s="35">
        <v>46027.0</v>
      </c>
      <c r="F2090" s="35">
        <v>0.0</v>
      </c>
      <c r="G2090" s="35">
        <v>3.0</v>
      </c>
      <c r="H2090" s="35">
        <v>0.0</v>
      </c>
      <c r="I2090" s="35">
        <v>0.0</v>
      </c>
      <c r="J2090" s="35"/>
      <c r="K2090" s="35">
        <v>0.0</v>
      </c>
    </row>
    <row r="2091" ht="15.75" customHeight="1">
      <c r="A2091" s="35" t="s">
        <v>6640</v>
      </c>
      <c r="B2091" s="35"/>
      <c r="C2091" s="35">
        <v>4.0</v>
      </c>
      <c r="D2091" s="35">
        <v>302.0</v>
      </c>
      <c r="E2091" s="35">
        <v>46027.0</v>
      </c>
      <c r="F2091" s="35">
        <v>0.0</v>
      </c>
      <c r="G2091" s="35">
        <v>1.0</v>
      </c>
      <c r="H2091" s="35">
        <v>0.0</v>
      </c>
      <c r="I2091" s="35">
        <v>0.0</v>
      </c>
      <c r="J2091" s="35"/>
      <c r="K2091" s="35">
        <v>0.0</v>
      </c>
    </row>
    <row r="2092" ht="15.75" customHeight="1">
      <c r="A2092" s="35" t="s">
        <v>6642</v>
      </c>
      <c r="B2092" s="35"/>
      <c r="C2092" s="35">
        <v>4.0</v>
      </c>
      <c r="D2092" s="35">
        <v>101.0</v>
      </c>
      <c r="E2092" s="35">
        <v>46027.0</v>
      </c>
      <c r="F2092" s="35">
        <v>0.0</v>
      </c>
      <c r="G2092" s="35">
        <v>4.0</v>
      </c>
      <c r="H2092" s="35">
        <v>0.0</v>
      </c>
      <c r="I2092" s="35">
        <v>0.0</v>
      </c>
      <c r="J2092" s="35"/>
      <c r="K2092" s="35">
        <v>0.0</v>
      </c>
    </row>
    <row r="2093" ht="15.75" customHeight="1">
      <c r="A2093" s="35" t="s">
        <v>6643</v>
      </c>
      <c r="B2093" s="35"/>
      <c r="C2093" s="35">
        <v>4.0</v>
      </c>
      <c r="D2093" s="35">
        <v>934.0</v>
      </c>
      <c r="E2093" s="35">
        <v>46027.0</v>
      </c>
      <c r="F2093" s="35">
        <v>0.0</v>
      </c>
      <c r="G2093" s="35">
        <v>0.0</v>
      </c>
      <c r="H2093" s="35">
        <v>1.0</v>
      </c>
      <c r="I2093" s="35">
        <v>0.0</v>
      </c>
      <c r="J2093" s="35"/>
      <c r="K2093" s="35">
        <v>0.0</v>
      </c>
    </row>
    <row r="2094" ht="15.75" customHeight="1">
      <c r="A2094" s="35" t="s">
        <v>6645</v>
      </c>
      <c r="B2094" s="35"/>
      <c r="C2094" s="35">
        <v>4.0</v>
      </c>
      <c r="D2094" s="35" t="s">
        <v>4965</v>
      </c>
      <c r="E2094" s="35">
        <v>46027.0</v>
      </c>
      <c r="F2094" s="35">
        <v>0.0</v>
      </c>
      <c r="G2094" s="35">
        <v>2.0</v>
      </c>
      <c r="H2094" s="35">
        <v>0.0</v>
      </c>
      <c r="I2094" s="35">
        <v>0.0</v>
      </c>
      <c r="J2094" s="35"/>
      <c r="K2094" s="35">
        <v>0.0</v>
      </c>
    </row>
    <row r="2095" ht="15.75" customHeight="1">
      <c r="A2095" s="35" t="s">
        <v>6647</v>
      </c>
      <c r="B2095" s="35"/>
      <c r="C2095" s="35">
        <v>4.0</v>
      </c>
      <c r="D2095" s="35">
        <v>308.0</v>
      </c>
      <c r="E2095" s="35">
        <v>46027.0</v>
      </c>
      <c r="F2095" s="35">
        <v>0.0</v>
      </c>
      <c r="G2095" s="35">
        <v>2.0</v>
      </c>
      <c r="H2095" s="35">
        <v>0.0</v>
      </c>
      <c r="I2095" s="35">
        <v>0.0</v>
      </c>
      <c r="J2095" s="35"/>
      <c r="K2095" s="35">
        <v>0.0</v>
      </c>
    </row>
    <row r="2096" ht="15.75" customHeight="1">
      <c r="A2096" s="35" t="s">
        <v>6648</v>
      </c>
      <c r="B2096" s="35"/>
      <c r="C2096" s="35">
        <v>4.0</v>
      </c>
      <c r="D2096" s="35" t="s">
        <v>4635</v>
      </c>
      <c r="E2096" s="35">
        <v>46027.0</v>
      </c>
      <c r="F2096" s="35">
        <v>0.0</v>
      </c>
      <c r="G2096" s="35">
        <v>7.0</v>
      </c>
      <c r="H2096" s="35">
        <v>0.0</v>
      </c>
      <c r="I2096" s="35">
        <v>0.0</v>
      </c>
      <c r="J2096" s="35"/>
      <c r="K2096" s="35">
        <v>0.0</v>
      </c>
    </row>
    <row r="2097" ht="15.75" customHeight="1">
      <c r="A2097" s="35" t="s">
        <v>6650</v>
      </c>
      <c r="B2097" s="35"/>
      <c r="C2097" s="35">
        <v>4.0</v>
      </c>
      <c r="D2097" s="35" t="s">
        <v>4635</v>
      </c>
      <c r="E2097" s="35">
        <v>46027.0</v>
      </c>
      <c r="F2097" s="35">
        <v>0.0</v>
      </c>
      <c r="G2097" s="35">
        <v>0.0</v>
      </c>
      <c r="H2097" s="35">
        <v>1.0</v>
      </c>
      <c r="I2097" s="35">
        <v>0.0</v>
      </c>
      <c r="J2097" s="35"/>
      <c r="K2097" s="35">
        <v>0.0</v>
      </c>
    </row>
    <row r="2098" ht="15.75" customHeight="1">
      <c r="A2098" s="35" t="s">
        <v>6651</v>
      </c>
      <c r="B2098" s="35"/>
      <c r="C2098" s="35">
        <v>4.0</v>
      </c>
      <c r="D2098" s="35" t="s">
        <v>4635</v>
      </c>
      <c r="E2098" s="35">
        <v>46027.0</v>
      </c>
      <c r="F2098" s="35">
        <v>0.0</v>
      </c>
      <c r="G2098" s="35">
        <v>1.0</v>
      </c>
      <c r="H2098" s="35">
        <v>0.0</v>
      </c>
      <c r="I2098" s="35">
        <v>0.0</v>
      </c>
      <c r="J2098" s="35"/>
      <c r="K2098" s="35">
        <v>0.0</v>
      </c>
    </row>
    <row r="2099" ht="15.75" customHeight="1">
      <c r="A2099" s="35" t="s">
        <v>6653</v>
      </c>
      <c r="B2099" s="35"/>
      <c r="C2099" s="35">
        <v>4.0</v>
      </c>
      <c r="D2099" s="35">
        <v>264.0</v>
      </c>
      <c r="E2099" s="35">
        <v>46027.0</v>
      </c>
      <c r="F2099" s="35">
        <v>0.0</v>
      </c>
      <c r="G2099" s="35">
        <v>0.0</v>
      </c>
      <c r="H2099" s="35">
        <v>16.0</v>
      </c>
      <c r="I2099" s="35">
        <v>0.0</v>
      </c>
      <c r="J2099" s="35"/>
      <c r="K2099" s="35">
        <v>0.0</v>
      </c>
    </row>
    <row r="2100" ht="15.75" customHeight="1">
      <c r="A2100" s="35" t="s">
        <v>6654</v>
      </c>
      <c r="B2100" s="35"/>
      <c r="C2100" s="35">
        <v>4.0</v>
      </c>
      <c r="D2100" s="35" t="s">
        <v>4193</v>
      </c>
      <c r="E2100" s="35">
        <v>46027.0</v>
      </c>
      <c r="F2100" s="35">
        <v>0.0</v>
      </c>
      <c r="G2100" s="35">
        <v>1.0</v>
      </c>
      <c r="H2100" s="35">
        <v>0.0</v>
      </c>
      <c r="I2100" s="35">
        <v>0.0</v>
      </c>
      <c r="J2100" s="35"/>
      <c r="K2100" s="35">
        <v>0.0</v>
      </c>
    </row>
    <row r="2101" ht="15.75" customHeight="1">
      <c r="A2101" s="35" t="s">
        <v>6655</v>
      </c>
      <c r="B2101" s="35"/>
      <c r="C2101" s="35">
        <v>4.0</v>
      </c>
      <c r="D2101" s="35" t="s">
        <v>4635</v>
      </c>
      <c r="E2101" s="35">
        <v>46027.0</v>
      </c>
      <c r="F2101" s="35">
        <v>0.0</v>
      </c>
      <c r="G2101" s="35">
        <v>1.0</v>
      </c>
      <c r="H2101" s="35">
        <v>0.0</v>
      </c>
      <c r="I2101" s="35">
        <v>0.0</v>
      </c>
      <c r="J2101" s="35"/>
      <c r="K2101" s="35">
        <v>0.0</v>
      </c>
    </row>
    <row r="2102" ht="15.75" customHeight="1">
      <c r="A2102" s="35" t="s">
        <v>6657</v>
      </c>
      <c r="B2102" s="35"/>
      <c r="C2102" s="35">
        <v>4.0</v>
      </c>
      <c r="D2102" s="35" t="s">
        <v>4563</v>
      </c>
      <c r="E2102" s="35">
        <v>46027.0</v>
      </c>
      <c r="F2102" s="35">
        <v>0.0</v>
      </c>
      <c r="G2102" s="35">
        <v>18.0</v>
      </c>
      <c r="H2102" s="35">
        <v>0.0</v>
      </c>
      <c r="I2102" s="35">
        <v>0.0</v>
      </c>
      <c r="J2102" s="35"/>
      <c r="K2102" s="35">
        <v>0.0</v>
      </c>
    </row>
    <row r="2103" ht="15.75" customHeight="1">
      <c r="A2103" s="35" t="s">
        <v>6658</v>
      </c>
      <c r="B2103" s="35"/>
      <c r="C2103" s="35">
        <v>4.0</v>
      </c>
      <c r="D2103" s="35">
        <v>158.0</v>
      </c>
      <c r="E2103" s="35">
        <v>46027.0</v>
      </c>
      <c r="F2103" s="35">
        <v>0.0</v>
      </c>
      <c r="G2103" s="35">
        <v>1.0</v>
      </c>
      <c r="H2103" s="35">
        <v>0.0</v>
      </c>
      <c r="I2103" s="35">
        <v>0.0</v>
      </c>
      <c r="J2103" s="35"/>
      <c r="K2103" s="35">
        <v>0.0</v>
      </c>
    </row>
    <row r="2104" ht="15.75" customHeight="1">
      <c r="A2104" s="35" t="s">
        <v>6660</v>
      </c>
      <c r="B2104" s="35"/>
      <c r="C2104" s="35">
        <v>4.0</v>
      </c>
      <c r="D2104" s="35" t="s">
        <v>4846</v>
      </c>
      <c r="E2104" s="35">
        <v>46027.0</v>
      </c>
      <c r="F2104" s="35">
        <v>0.0</v>
      </c>
      <c r="G2104" s="35">
        <v>1.0</v>
      </c>
      <c r="H2104" s="35">
        <v>0.0</v>
      </c>
      <c r="I2104" s="35">
        <v>0.0</v>
      </c>
      <c r="J2104" s="35"/>
      <c r="K2104" s="35">
        <v>0.0</v>
      </c>
    </row>
    <row r="2105" ht="15.75" customHeight="1">
      <c r="A2105" s="35" t="s">
        <v>6661</v>
      </c>
      <c r="B2105" s="35"/>
      <c r="C2105" s="35">
        <v>4.0</v>
      </c>
      <c r="D2105" s="35">
        <v>60.0</v>
      </c>
      <c r="E2105" s="35">
        <v>46027.0</v>
      </c>
      <c r="F2105" s="35">
        <v>0.0</v>
      </c>
      <c r="G2105" s="35">
        <v>4.0</v>
      </c>
      <c r="H2105" s="35">
        <v>0.0</v>
      </c>
      <c r="I2105" s="35">
        <v>0.0</v>
      </c>
      <c r="J2105" s="35"/>
      <c r="K2105" s="35">
        <v>0.0</v>
      </c>
    </row>
    <row r="2106" ht="15.75" customHeight="1">
      <c r="A2106" s="35" t="s">
        <v>6662</v>
      </c>
      <c r="B2106" s="35"/>
      <c r="C2106" s="35">
        <v>4.0</v>
      </c>
      <c r="D2106" s="35" t="s">
        <v>2004</v>
      </c>
      <c r="E2106" s="35">
        <v>46027.0</v>
      </c>
      <c r="F2106" s="35">
        <v>0.0</v>
      </c>
      <c r="G2106" s="35">
        <v>1.0</v>
      </c>
      <c r="H2106" s="35">
        <v>0.0</v>
      </c>
      <c r="I2106" s="35">
        <v>0.0</v>
      </c>
      <c r="J2106" s="35"/>
      <c r="K2106" s="35">
        <v>0.0</v>
      </c>
    </row>
    <row r="2107" ht="15.75" customHeight="1">
      <c r="A2107" s="35" t="s">
        <v>6664</v>
      </c>
      <c r="B2107" s="35"/>
      <c r="C2107" s="35">
        <v>4.0</v>
      </c>
      <c r="D2107" s="35" t="s">
        <v>4635</v>
      </c>
      <c r="E2107" s="35">
        <v>46027.0</v>
      </c>
      <c r="F2107" s="35">
        <v>0.0</v>
      </c>
      <c r="G2107" s="35">
        <v>3.0</v>
      </c>
      <c r="H2107" s="35">
        <v>0.0</v>
      </c>
      <c r="I2107" s="35">
        <v>0.0</v>
      </c>
      <c r="J2107" s="35"/>
      <c r="K2107" s="35">
        <v>0.0</v>
      </c>
    </row>
    <row r="2108" ht="15.75" customHeight="1">
      <c r="A2108" s="35" t="s">
        <v>6665</v>
      </c>
      <c r="B2108" s="35"/>
      <c r="C2108" s="35">
        <v>4.0</v>
      </c>
      <c r="D2108" s="35">
        <v>59.0</v>
      </c>
      <c r="E2108" s="35">
        <v>46027.0</v>
      </c>
      <c r="F2108" s="35">
        <v>0.0</v>
      </c>
      <c r="G2108" s="35">
        <v>2.0</v>
      </c>
      <c r="H2108" s="35">
        <v>0.0</v>
      </c>
      <c r="I2108" s="35">
        <v>0.0</v>
      </c>
      <c r="J2108" s="35"/>
      <c r="K2108" s="35">
        <v>0.0</v>
      </c>
    </row>
    <row r="2109" ht="15.75" customHeight="1">
      <c r="A2109" s="35" t="s">
        <v>6666</v>
      </c>
      <c r="B2109" s="35"/>
      <c r="C2109" s="35">
        <v>4.0</v>
      </c>
      <c r="D2109" s="35" t="s">
        <v>4635</v>
      </c>
      <c r="E2109" s="35">
        <v>46027.0</v>
      </c>
      <c r="F2109" s="35">
        <v>0.0</v>
      </c>
      <c r="G2109" s="35">
        <v>2.0</v>
      </c>
      <c r="H2109" s="35">
        <v>0.0</v>
      </c>
      <c r="I2109" s="35">
        <v>0.0</v>
      </c>
      <c r="J2109" s="35"/>
      <c r="K2109" s="35">
        <v>0.0</v>
      </c>
    </row>
    <row r="2110" ht="15.75" customHeight="1">
      <c r="A2110" s="35" t="s">
        <v>6668</v>
      </c>
      <c r="B2110" s="35"/>
      <c r="C2110" s="35">
        <v>4.0</v>
      </c>
      <c r="D2110" s="35" t="s">
        <v>4635</v>
      </c>
      <c r="E2110" s="35">
        <v>46027.0</v>
      </c>
      <c r="F2110" s="35">
        <v>0.0</v>
      </c>
      <c r="G2110" s="35">
        <v>2.0</v>
      </c>
      <c r="H2110" s="35">
        <v>0.0</v>
      </c>
      <c r="I2110" s="35">
        <v>0.0</v>
      </c>
      <c r="J2110" s="35"/>
      <c r="K2110" s="35">
        <v>0.0</v>
      </c>
    </row>
    <row r="2111" ht="15.75" customHeight="1">
      <c r="A2111" s="35" t="s">
        <v>6669</v>
      </c>
      <c r="B2111" s="35"/>
      <c r="C2111" s="35">
        <v>4.0</v>
      </c>
      <c r="D2111" s="35">
        <v>513.0</v>
      </c>
      <c r="E2111" s="35">
        <v>46027.0</v>
      </c>
      <c r="F2111" s="35">
        <v>0.0</v>
      </c>
      <c r="G2111" s="35">
        <v>1.0</v>
      </c>
      <c r="H2111" s="35">
        <v>0.0</v>
      </c>
      <c r="I2111" s="35">
        <v>0.0</v>
      </c>
      <c r="J2111" s="35"/>
      <c r="K2111" s="35">
        <v>0.0</v>
      </c>
    </row>
    <row r="2112" ht="15.75" customHeight="1">
      <c r="A2112" s="35" t="s">
        <v>6671</v>
      </c>
      <c r="B2112" s="35"/>
      <c r="C2112" s="35">
        <v>4.0</v>
      </c>
      <c r="D2112" s="35" t="s">
        <v>4703</v>
      </c>
      <c r="E2112" s="35">
        <v>46027.0</v>
      </c>
      <c r="F2112" s="35">
        <v>0.0</v>
      </c>
      <c r="G2112" s="35">
        <v>22.0</v>
      </c>
      <c r="H2112" s="35">
        <v>0.0</v>
      </c>
      <c r="I2112" s="35">
        <v>0.0</v>
      </c>
      <c r="J2112" s="35"/>
      <c r="K2112" s="35">
        <v>0.0</v>
      </c>
    </row>
    <row r="2113" ht="15.75" customHeight="1">
      <c r="A2113" s="35" t="s">
        <v>6672</v>
      </c>
      <c r="B2113" s="35"/>
      <c r="C2113" s="35">
        <v>4.0</v>
      </c>
      <c r="D2113" s="35">
        <v>262.0</v>
      </c>
      <c r="E2113" s="35">
        <v>46027.0</v>
      </c>
      <c r="F2113" s="35">
        <v>0.0</v>
      </c>
      <c r="G2113" s="35">
        <v>1.0</v>
      </c>
      <c r="H2113" s="35">
        <v>0.0</v>
      </c>
      <c r="I2113" s="35">
        <v>0.0</v>
      </c>
      <c r="J2113" s="35"/>
      <c r="K2113" s="35">
        <v>0.0</v>
      </c>
    </row>
    <row r="2114" ht="15.75" customHeight="1">
      <c r="A2114" s="35" t="s">
        <v>6673</v>
      </c>
      <c r="B2114" s="35"/>
      <c r="C2114" s="35">
        <v>4.0</v>
      </c>
      <c r="D2114" s="35" t="s">
        <v>2039</v>
      </c>
      <c r="E2114" s="35">
        <v>46027.0</v>
      </c>
      <c r="F2114" s="35">
        <v>0.0</v>
      </c>
      <c r="G2114" s="35">
        <v>1.0</v>
      </c>
      <c r="H2114" s="35">
        <v>0.0</v>
      </c>
      <c r="I2114" s="35">
        <v>0.0</v>
      </c>
      <c r="J2114" s="35"/>
      <c r="K2114" s="35">
        <v>0.0</v>
      </c>
    </row>
    <row r="2115" ht="15.75" customHeight="1">
      <c r="A2115" s="35" t="s">
        <v>6675</v>
      </c>
      <c r="B2115" s="35"/>
      <c r="C2115" s="35">
        <v>4.0</v>
      </c>
      <c r="D2115" s="35" t="s">
        <v>4380</v>
      </c>
      <c r="E2115" s="35">
        <v>46027.0</v>
      </c>
      <c r="F2115" s="35">
        <v>0.0</v>
      </c>
      <c r="G2115" s="35">
        <v>1.0</v>
      </c>
      <c r="H2115" s="35">
        <v>0.0</v>
      </c>
      <c r="I2115" s="35">
        <v>0.0</v>
      </c>
      <c r="J2115" s="35"/>
      <c r="K2115" s="35">
        <v>0.0</v>
      </c>
    </row>
    <row r="2116" ht="15.75" customHeight="1">
      <c r="A2116" s="35" t="s">
        <v>6676</v>
      </c>
      <c r="B2116" s="35"/>
      <c r="C2116" s="35">
        <v>4.0</v>
      </c>
      <c r="D2116" s="35" t="s">
        <v>4635</v>
      </c>
      <c r="E2116" s="35">
        <v>46027.0</v>
      </c>
      <c r="F2116" s="35">
        <v>0.0</v>
      </c>
      <c r="G2116" s="35">
        <v>2.0</v>
      </c>
      <c r="H2116" s="35">
        <v>0.0</v>
      </c>
      <c r="I2116" s="35">
        <v>0.0</v>
      </c>
      <c r="J2116" s="35"/>
      <c r="K2116" s="35">
        <v>0.0</v>
      </c>
    </row>
    <row r="2117" ht="15.75" customHeight="1">
      <c r="A2117" s="35" t="s">
        <v>6677</v>
      </c>
      <c r="B2117" s="35"/>
      <c r="C2117" s="35">
        <v>4.0</v>
      </c>
      <c r="D2117" s="35" t="s">
        <v>4061</v>
      </c>
      <c r="E2117" s="35">
        <v>46027.0</v>
      </c>
      <c r="F2117" s="35">
        <v>0.0</v>
      </c>
      <c r="G2117" s="35">
        <v>2.0</v>
      </c>
      <c r="H2117" s="35">
        <v>0.0</v>
      </c>
      <c r="I2117" s="35">
        <v>0.0</v>
      </c>
      <c r="J2117" s="35"/>
      <c r="K2117" s="35">
        <v>0.0</v>
      </c>
    </row>
    <row r="2118" ht="15.75" customHeight="1">
      <c r="A2118" s="35" t="s">
        <v>6679</v>
      </c>
      <c r="B2118" s="35"/>
      <c r="C2118" s="35">
        <v>4.0</v>
      </c>
      <c r="D2118" s="35">
        <v>544.0</v>
      </c>
      <c r="E2118" s="35">
        <v>46027.0</v>
      </c>
      <c r="F2118" s="35">
        <v>0.0</v>
      </c>
      <c r="G2118" s="35">
        <v>1.0</v>
      </c>
      <c r="H2118" s="35">
        <v>0.0</v>
      </c>
      <c r="I2118" s="35">
        <v>0.0</v>
      </c>
      <c r="J2118" s="35"/>
      <c r="K2118" s="35">
        <v>0.0</v>
      </c>
    </row>
    <row r="2119" ht="15.75" customHeight="1">
      <c r="A2119" s="35" t="s">
        <v>6680</v>
      </c>
      <c r="B2119" s="35"/>
      <c r="C2119" s="35">
        <v>4.0</v>
      </c>
      <c r="D2119" s="35" t="s">
        <v>4284</v>
      </c>
      <c r="E2119" s="35">
        <v>46027.0</v>
      </c>
      <c r="F2119" s="35">
        <v>0.0</v>
      </c>
      <c r="G2119" s="35">
        <v>1.0</v>
      </c>
      <c r="H2119" s="35">
        <v>0.0</v>
      </c>
      <c r="I2119" s="35">
        <v>0.0</v>
      </c>
      <c r="J2119" s="35"/>
      <c r="K2119" s="35">
        <v>0.0</v>
      </c>
    </row>
    <row r="2120" ht="15.75" customHeight="1">
      <c r="A2120" s="35" t="s">
        <v>6682</v>
      </c>
      <c r="B2120" s="35"/>
      <c r="C2120" s="35">
        <v>4.0</v>
      </c>
      <c r="D2120" s="35">
        <v>312.0</v>
      </c>
      <c r="E2120" s="35">
        <v>46027.0</v>
      </c>
      <c r="F2120" s="35">
        <v>0.0</v>
      </c>
      <c r="G2120" s="35">
        <v>8.0</v>
      </c>
      <c r="H2120" s="35">
        <v>0.0</v>
      </c>
      <c r="I2120" s="35">
        <v>0.0</v>
      </c>
      <c r="J2120" s="35"/>
      <c r="K2120" s="35">
        <v>0.0</v>
      </c>
    </row>
    <row r="2121" ht="15.75" customHeight="1">
      <c r="A2121" s="35" t="s">
        <v>6683</v>
      </c>
      <c r="B2121" s="35"/>
      <c r="C2121" s="35">
        <v>4.0</v>
      </c>
      <c r="D2121" s="35" t="s">
        <v>4197</v>
      </c>
      <c r="E2121" s="35">
        <v>46027.0</v>
      </c>
      <c r="F2121" s="35">
        <v>0.0</v>
      </c>
      <c r="G2121" s="35">
        <v>1.0</v>
      </c>
      <c r="H2121" s="35">
        <v>0.0</v>
      </c>
      <c r="I2121" s="35">
        <v>0.0</v>
      </c>
      <c r="J2121" s="35"/>
      <c r="K2121" s="35">
        <v>0.0</v>
      </c>
    </row>
    <row r="2122" ht="15.75" customHeight="1">
      <c r="A2122" s="35" t="s">
        <v>6684</v>
      </c>
      <c r="B2122" s="35"/>
      <c r="C2122" s="35">
        <v>4.0</v>
      </c>
      <c r="D2122" s="35">
        <v>474.0</v>
      </c>
      <c r="E2122" s="35">
        <v>46027.0</v>
      </c>
      <c r="F2122" s="35">
        <v>0.0</v>
      </c>
      <c r="G2122" s="35">
        <v>2.0</v>
      </c>
      <c r="H2122" s="35">
        <v>0.0</v>
      </c>
      <c r="I2122" s="35">
        <v>0.0</v>
      </c>
      <c r="J2122" s="35"/>
      <c r="K2122" s="35">
        <v>0.0</v>
      </c>
    </row>
    <row r="2123" ht="15.75" customHeight="1">
      <c r="A2123" s="35" t="s">
        <v>6686</v>
      </c>
      <c r="B2123" s="35"/>
      <c r="C2123" s="35">
        <v>4.0</v>
      </c>
      <c r="D2123" s="35" t="s">
        <v>2016</v>
      </c>
      <c r="E2123" s="35">
        <v>46027.0</v>
      </c>
      <c r="F2123" s="35">
        <v>0.0</v>
      </c>
      <c r="G2123" s="35">
        <v>7.0</v>
      </c>
      <c r="H2123" s="35">
        <v>0.0</v>
      </c>
      <c r="I2123" s="35">
        <v>0.0</v>
      </c>
      <c r="J2123" s="35"/>
      <c r="K2123" s="35">
        <v>0.0</v>
      </c>
    </row>
    <row r="2124" ht="15.75" customHeight="1">
      <c r="A2124" s="35" t="s">
        <v>6687</v>
      </c>
      <c r="B2124" s="35"/>
      <c r="C2124" s="35">
        <v>4.0</v>
      </c>
      <c r="D2124" s="35">
        <v>753.0</v>
      </c>
      <c r="E2124" s="35">
        <v>46027.0</v>
      </c>
      <c r="F2124" s="35">
        <v>0.0</v>
      </c>
      <c r="G2124" s="35">
        <v>4.0</v>
      </c>
      <c r="H2124" s="35">
        <v>0.0</v>
      </c>
      <c r="I2124" s="35">
        <v>0.0</v>
      </c>
      <c r="J2124" s="35"/>
      <c r="K2124" s="35">
        <v>0.0</v>
      </c>
    </row>
    <row r="2125" ht="15.75" customHeight="1">
      <c r="A2125" s="35" t="s">
        <v>6689</v>
      </c>
      <c r="B2125" s="35"/>
      <c r="C2125" s="35">
        <v>4.0</v>
      </c>
      <c r="D2125" s="35">
        <v>55.0</v>
      </c>
      <c r="E2125" s="35">
        <v>46027.0</v>
      </c>
      <c r="F2125" s="35">
        <v>0.0</v>
      </c>
      <c r="G2125" s="35">
        <v>1.0</v>
      </c>
      <c r="H2125" s="35">
        <v>0.0</v>
      </c>
      <c r="I2125" s="35">
        <v>0.0</v>
      </c>
      <c r="J2125" s="35"/>
      <c r="K2125" s="35">
        <v>0.0</v>
      </c>
    </row>
    <row r="2126" ht="15.75" customHeight="1">
      <c r="A2126" s="35" t="s">
        <v>6690</v>
      </c>
      <c r="B2126" s="35"/>
      <c r="C2126" s="35">
        <v>4.0</v>
      </c>
      <c r="D2126" s="35" t="s">
        <v>4635</v>
      </c>
      <c r="E2126" s="35">
        <v>46027.0</v>
      </c>
      <c r="F2126" s="35">
        <v>0.0</v>
      </c>
      <c r="G2126" s="35">
        <v>0.0</v>
      </c>
      <c r="H2126" s="35">
        <v>1.0</v>
      </c>
      <c r="I2126" s="35">
        <v>0.0</v>
      </c>
      <c r="J2126" s="35"/>
      <c r="K2126" s="35">
        <v>0.0</v>
      </c>
    </row>
    <row r="2127" ht="15.75" customHeight="1">
      <c r="A2127" s="35" t="s">
        <v>6692</v>
      </c>
      <c r="B2127" s="35"/>
      <c r="C2127" s="35">
        <v>4.0</v>
      </c>
      <c r="D2127" s="35" t="s">
        <v>2005</v>
      </c>
      <c r="E2127" s="35">
        <v>46027.0</v>
      </c>
      <c r="F2127" s="35">
        <v>0.0</v>
      </c>
      <c r="G2127" s="35">
        <v>1.0</v>
      </c>
      <c r="H2127" s="35">
        <v>0.0</v>
      </c>
      <c r="I2127" s="35">
        <v>0.0</v>
      </c>
      <c r="J2127" s="35"/>
      <c r="K2127" s="35">
        <v>0.0</v>
      </c>
    </row>
    <row r="2128" ht="15.75" customHeight="1">
      <c r="A2128" s="35" t="s">
        <v>6694</v>
      </c>
      <c r="B2128" s="35"/>
      <c r="C2128" s="35">
        <v>4.0</v>
      </c>
      <c r="D2128" s="35" t="s">
        <v>2144</v>
      </c>
      <c r="E2128" s="35">
        <v>46027.0</v>
      </c>
      <c r="F2128" s="35">
        <v>0.0</v>
      </c>
      <c r="G2128" s="35">
        <v>2.0</v>
      </c>
      <c r="H2128" s="35">
        <v>0.0</v>
      </c>
      <c r="I2128" s="35">
        <v>0.0</v>
      </c>
      <c r="J2128" s="35"/>
      <c r="K2128" s="35">
        <v>0.0</v>
      </c>
    </row>
    <row r="2129" ht="15.75" customHeight="1">
      <c r="A2129" s="35" t="s">
        <v>6695</v>
      </c>
      <c r="B2129" s="35"/>
      <c r="C2129" s="35">
        <v>4.0</v>
      </c>
      <c r="D2129" s="35" t="s">
        <v>2018</v>
      </c>
      <c r="E2129" s="35">
        <v>46027.0</v>
      </c>
      <c r="F2129" s="35">
        <v>0.0</v>
      </c>
      <c r="G2129" s="35">
        <v>3.0</v>
      </c>
      <c r="H2129" s="35">
        <v>0.0</v>
      </c>
      <c r="I2129" s="35">
        <v>0.0</v>
      </c>
      <c r="J2129" s="35"/>
      <c r="K2129" s="35">
        <v>0.0</v>
      </c>
    </row>
    <row r="2130" ht="15.75" customHeight="1">
      <c r="A2130" s="35" t="s">
        <v>6697</v>
      </c>
      <c r="B2130" s="35"/>
      <c r="C2130" s="35">
        <v>4.0</v>
      </c>
      <c r="D2130" s="35" t="s">
        <v>4197</v>
      </c>
      <c r="E2130" s="35">
        <v>46027.0</v>
      </c>
      <c r="F2130" s="35">
        <v>0.0</v>
      </c>
      <c r="G2130" s="35">
        <v>3.0</v>
      </c>
      <c r="H2130" s="35">
        <v>0.0</v>
      </c>
      <c r="I2130" s="35">
        <v>0.0</v>
      </c>
      <c r="J2130" s="35"/>
      <c r="K2130" s="35">
        <v>0.0</v>
      </c>
    </row>
    <row r="2131" ht="15.75" customHeight="1">
      <c r="A2131" s="35" t="s">
        <v>6698</v>
      </c>
      <c r="B2131" s="35"/>
      <c r="C2131" s="35">
        <v>4.0</v>
      </c>
      <c r="D2131" s="35" t="s">
        <v>4042</v>
      </c>
      <c r="E2131" s="35">
        <v>46027.0</v>
      </c>
      <c r="F2131" s="35">
        <v>0.0</v>
      </c>
      <c r="G2131" s="35">
        <v>0.0</v>
      </c>
      <c r="H2131" s="35">
        <v>74.0</v>
      </c>
      <c r="I2131" s="35">
        <v>0.0</v>
      </c>
      <c r="J2131" s="35"/>
      <c r="K2131" s="35">
        <v>0.0</v>
      </c>
    </row>
    <row r="2132" ht="15.75" customHeight="1">
      <c r="A2132" s="35" t="s">
        <v>6700</v>
      </c>
      <c r="B2132" s="35"/>
      <c r="C2132" s="35">
        <v>4.0</v>
      </c>
      <c r="D2132" s="35" t="s">
        <v>4635</v>
      </c>
      <c r="E2132" s="35">
        <v>46027.0</v>
      </c>
      <c r="F2132" s="35">
        <v>0.0</v>
      </c>
      <c r="G2132" s="35">
        <v>1.0</v>
      </c>
      <c r="H2132" s="35">
        <v>0.0</v>
      </c>
      <c r="I2132" s="35">
        <v>0.0</v>
      </c>
      <c r="J2132" s="35"/>
      <c r="K2132" s="35">
        <v>0.0</v>
      </c>
    </row>
    <row r="2133" ht="15.75" customHeight="1">
      <c r="A2133" s="35" t="s">
        <v>6701</v>
      </c>
      <c r="B2133" s="35"/>
      <c r="C2133" s="35">
        <v>4.0</v>
      </c>
      <c r="D2133" s="35">
        <v>94.0</v>
      </c>
      <c r="E2133" s="35">
        <v>46027.0</v>
      </c>
      <c r="F2133" s="35">
        <v>0.0</v>
      </c>
      <c r="G2133" s="35">
        <v>1.0</v>
      </c>
      <c r="H2133" s="35">
        <v>0.0</v>
      </c>
      <c r="I2133" s="35">
        <v>0.0</v>
      </c>
      <c r="J2133" s="35"/>
      <c r="K2133" s="35">
        <v>0.0</v>
      </c>
    </row>
    <row r="2134" ht="15.75" customHeight="1">
      <c r="A2134" s="35" t="s">
        <v>6703</v>
      </c>
      <c r="B2134" s="35"/>
      <c r="C2134" s="35">
        <v>4.0</v>
      </c>
      <c r="D2134" s="35">
        <v>10.0</v>
      </c>
      <c r="E2134" s="35">
        <v>46027.0</v>
      </c>
      <c r="F2134" s="35">
        <v>0.0</v>
      </c>
      <c r="G2134" s="35">
        <v>1.0</v>
      </c>
      <c r="H2134" s="35">
        <v>0.0</v>
      </c>
      <c r="I2134" s="35">
        <v>0.0</v>
      </c>
      <c r="J2134" s="35"/>
      <c r="K2134" s="35">
        <v>0.0</v>
      </c>
    </row>
    <row r="2135" ht="15.75" customHeight="1">
      <c r="A2135" s="35" t="s">
        <v>6704</v>
      </c>
      <c r="B2135" s="35"/>
      <c r="C2135" s="35">
        <v>4.0</v>
      </c>
      <c r="D2135" s="35" t="s">
        <v>4635</v>
      </c>
      <c r="E2135" s="35">
        <v>46027.0</v>
      </c>
      <c r="F2135" s="35">
        <v>0.0</v>
      </c>
      <c r="G2135" s="35">
        <v>3.0</v>
      </c>
      <c r="H2135" s="35">
        <v>0.0</v>
      </c>
      <c r="I2135" s="35">
        <v>0.0</v>
      </c>
      <c r="J2135" s="35"/>
      <c r="K2135" s="35">
        <v>0.0</v>
      </c>
    </row>
    <row r="2136" ht="15.75" customHeight="1">
      <c r="A2136" s="35" t="s">
        <v>6706</v>
      </c>
      <c r="B2136" s="35"/>
      <c r="C2136" s="35">
        <v>4.0</v>
      </c>
      <c r="D2136" s="35">
        <v>171.0</v>
      </c>
      <c r="E2136" s="35">
        <v>46027.0</v>
      </c>
      <c r="F2136" s="35">
        <v>0.0</v>
      </c>
      <c r="G2136" s="35">
        <v>2.0</v>
      </c>
      <c r="H2136" s="35">
        <v>0.0</v>
      </c>
      <c r="I2136" s="35">
        <v>0.0</v>
      </c>
      <c r="J2136" s="35"/>
      <c r="K2136" s="35">
        <v>0.0</v>
      </c>
    </row>
    <row r="2137" ht="15.75" customHeight="1">
      <c r="A2137" s="35" t="s">
        <v>6707</v>
      </c>
      <c r="B2137" s="35"/>
      <c r="C2137" s="35">
        <v>4.0</v>
      </c>
      <c r="D2137" s="35">
        <v>999.0</v>
      </c>
      <c r="E2137" s="35">
        <v>46027.0</v>
      </c>
      <c r="F2137" s="35">
        <v>0.0</v>
      </c>
      <c r="G2137" s="35">
        <v>4.0</v>
      </c>
      <c r="H2137" s="35">
        <v>0.0</v>
      </c>
      <c r="I2137" s="35">
        <v>0.0</v>
      </c>
      <c r="J2137" s="35"/>
      <c r="K2137" s="35">
        <v>0.0</v>
      </c>
    </row>
    <row r="2138" ht="15.75" customHeight="1">
      <c r="A2138" s="35" t="s">
        <v>6708</v>
      </c>
      <c r="B2138" s="35"/>
      <c r="C2138" s="35">
        <v>4.0</v>
      </c>
      <c r="D2138" s="35" t="s">
        <v>4635</v>
      </c>
      <c r="E2138" s="35">
        <v>46027.0</v>
      </c>
      <c r="F2138" s="35">
        <v>0.0</v>
      </c>
      <c r="G2138" s="35">
        <v>1.0</v>
      </c>
      <c r="H2138" s="35">
        <v>0.0</v>
      </c>
      <c r="I2138" s="35">
        <v>0.0</v>
      </c>
      <c r="J2138" s="35"/>
      <c r="K2138" s="35">
        <v>0.0</v>
      </c>
    </row>
    <row r="2139" ht="15.75" customHeight="1">
      <c r="A2139" s="35" t="s">
        <v>6710</v>
      </c>
      <c r="B2139" s="35"/>
      <c r="C2139" s="35">
        <v>4.0</v>
      </c>
      <c r="D2139" s="35">
        <v>173.0</v>
      </c>
      <c r="E2139" s="35">
        <v>46027.0</v>
      </c>
      <c r="F2139" s="35">
        <v>0.0</v>
      </c>
      <c r="G2139" s="35">
        <v>2.0</v>
      </c>
      <c r="H2139" s="35">
        <v>0.0</v>
      </c>
      <c r="I2139" s="35">
        <v>0.0</v>
      </c>
      <c r="J2139" s="35"/>
      <c r="K2139" s="35">
        <v>0.0</v>
      </c>
    </row>
    <row r="2140" ht="15.75" customHeight="1">
      <c r="A2140" s="35" t="s">
        <v>6711</v>
      </c>
      <c r="B2140" s="35"/>
      <c r="C2140" s="35">
        <v>4.0</v>
      </c>
      <c r="D2140" s="35" t="s">
        <v>4635</v>
      </c>
      <c r="E2140" s="35">
        <v>46027.0</v>
      </c>
      <c r="F2140" s="35">
        <v>0.0</v>
      </c>
      <c r="G2140" s="35">
        <v>2.0</v>
      </c>
      <c r="H2140" s="35">
        <v>0.0</v>
      </c>
      <c r="I2140" s="35">
        <v>0.0</v>
      </c>
      <c r="J2140" s="35"/>
      <c r="K2140" s="35">
        <v>0.0</v>
      </c>
    </row>
    <row r="2141" ht="15.75" customHeight="1">
      <c r="A2141" s="35" t="s">
        <v>6712</v>
      </c>
      <c r="B2141" s="35"/>
      <c r="C2141" s="35">
        <v>4.0</v>
      </c>
      <c r="D2141" s="35">
        <v>433.0</v>
      </c>
      <c r="E2141" s="35">
        <v>46027.0</v>
      </c>
      <c r="F2141" s="35">
        <v>0.0</v>
      </c>
      <c r="G2141" s="35">
        <v>1.0</v>
      </c>
      <c r="H2141" s="35">
        <v>0.0</v>
      </c>
      <c r="I2141" s="35">
        <v>0.0</v>
      </c>
      <c r="J2141" s="35"/>
      <c r="K2141" s="35">
        <v>0.0</v>
      </c>
    </row>
    <row r="2142" ht="15.75" customHeight="1">
      <c r="A2142" s="35" t="s">
        <v>6713</v>
      </c>
      <c r="B2142" s="35"/>
      <c r="C2142" s="35">
        <v>4.0</v>
      </c>
      <c r="D2142" s="35">
        <v>277.0</v>
      </c>
      <c r="E2142" s="35">
        <v>46027.0</v>
      </c>
      <c r="F2142" s="35">
        <v>0.0</v>
      </c>
      <c r="G2142" s="35">
        <v>1.0</v>
      </c>
      <c r="H2142" s="35">
        <v>0.0</v>
      </c>
      <c r="I2142" s="35">
        <v>0.0</v>
      </c>
      <c r="J2142" s="35"/>
      <c r="K2142" s="35">
        <v>0.0</v>
      </c>
    </row>
    <row r="2143" ht="15.75" customHeight="1">
      <c r="A2143" s="35" t="s">
        <v>6715</v>
      </c>
      <c r="B2143" s="35"/>
      <c r="C2143" s="35">
        <v>4.0</v>
      </c>
      <c r="D2143" s="35" t="s">
        <v>2018</v>
      </c>
      <c r="E2143" s="35">
        <v>46027.0</v>
      </c>
      <c r="F2143" s="35">
        <v>0.0</v>
      </c>
      <c r="G2143" s="35">
        <v>2.0</v>
      </c>
      <c r="H2143" s="35">
        <v>0.0</v>
      </c>
      <c r="I2143" s="35">
        <v>0.0</v>
      </c>
      <c r="J2143" s="35"/>
      <c r="K2143" s="35">
        <v>0.0</v>
      </c>
    </row>
    <row r="2144" ht="15.75" customHeight="1">
      <c r="A2144" s="35" t="s">
        <v>6716</v>
      </c>
      <c r="B2144" s="35"/>
      <c r="C2144" s="35">
        <v>4.0</v>
      </c>
      <c r="D2144" s="35">
        <v>729.0</v>
      </c>
      <c r="E2144" s="35">
        <v>46027.0</v>
      </c>
      <c r="F2144" s="35">
        <v>0.0</v>
      </c>
      <c r="G2144" s="35">
        <v>2.0</v>
      </c>
      <c r="H2144" s="35">
        <v>0.0</v>
      </c>
      <c r="I2144" s="35">
        <v>0.0</v>
      </c>
      <c r="J2144" s="35"/>
      <c r="K2144" s="35">
        <v>0.0</v>
      </c>
    </row>
    <row r="2145" ht="15.75" customHeight="1">
      <c r="A2145" s="35" t="s">
        <v>6717</v>
      </c>
      <c r="B2145" s="35"/>
      <c r="C2145" s="35">
        <v>4.0</v>
      </c>
      <c r="D2145" s="35">
        <v>663.0</v>
      </c>
      <c r="E2145" s="35">
        <v>46027.0</v>
      </c>
      <c r="F2145" s="35">
        <v>0.0</v>
      </c>
      <c r="G2145" s="35">
        <v>6.0</v>
      </c>
      <c r="H2145" s="35">
        <v>0.0</v>
      </c>
      <c r="I2145" s="35">
        <v>0.0</v>
      </c>
      <c r="J2145" s="35"/>
      <c r="K2145" s="35">
        <v>0.0</v>
      </c>
    </row>
    <row r="2146" ht="15.75" customHeight="1">
      <c r="A2146" s="35" t="s">
        <v>6719</v>
      </c>
      <c r="B2146" s="35"/>
      <c r="C2146" s="35">
        <v>4.0</v>
      </c>
      <c r="D2146" s="35" t="s">
        <v>2018</v>
      </c>
      <c r="E2146" s="35">
        <v>46027.0</v>
      </c>
      <c r="F2146" s="35">
        <v>0.0</v>
      </c>
      <c r="G2146" s="35">
        <v>1.0</v>
      </c>
      <c r="H2146" s="35">
        <v>0.0</v>
      </c>
      <c r="I2146" s="35">
        <v>0.0</v>
      </c>
      <c r="J2146" s="35"/>
      <c r="K2146" s="35">
        <v>0.0</v>
      </c>
    </row>
    <row r="2147" ht="15.75" customHeight="1">
      <c r="A2147" s="35" t="s">
        <v>6720</v>
      </c>
      <c r="B2147" s="35"/>
      <c r="C2147" s="35">
        <v>4.0</v>
      </c>
      <c r="D2147" s="35" t="s">
        <v>2016</v>
      </c>
      <c r="E2147" s="35">
        <v>46027.0</v>
      </c>
      <c r="F2147" s="35">
        <v>0.0</v>
      </c>
      <c r="G2147" s="35">
        <v>4.0</v>
      </c>
      <c r="H2147" s="35">
        <v>0.0</v>
      </c>
      <c r="I2147" s="35">
        <v>0.0</v>
      </c>
      <c r="J2147" s="35"/>
      <c r="K2147" s="35">
        <v>0.0</v>
      </c>
    </row>
    <row r="2148" ht="15.75" customHeight="1">
      <c r="A2148" s="35" t="s">
        <v>6721</v>
      </c>
      <c r="B2148" s="35"/>
      <c r="C2148" s="35">
        <v>4.0</v>
      </c>
      <c r="D2148" s="35" t="s">
        <v>2055</v>
      </c>
      <c r="E2148" s="35">
        <v>46027.0</v>
      </c>
      <c r="F2148" s="35">
        <v>0.0</v>
      </c>
      <c r="G2148" s="35">
        <v>0.0</v>
      </c>
      <c r="H2148" s="35">
        <v>0.0</v>
      </c>
      <c r="I2148" s="35">
        <v>1.0</v>
      </c>
      <c r="J2148" s="35"/>
      <c r="K2148" s="35">
        <v>0.0</v>
      </c>
    </row>
    <row r="2149" ht="15.75" customHeight="1">
      <c r="A2149" s="35" t="s">
        <v>6723</v>
      </c>
      <c r="B2149" s="35"/>
      <c r="C2149" s="35">
        <v>4.0</v>
      </c>
      <c r="D2149" s="35" t="s">
        <v>4635</v>
      </c>
      <c r="E2149" s="35">
        <v>46027.0</v>
      </c>
      <c r="F2149" s="35">
        <v>0.0</v>
      </c>
      <c r="G2149" s="35">
        <v>3.0</v>
      </c>
      <c r="H2149" s="35">
        <v>0.0</v>
      </c>
      <c r="I2149" s="35">
        <v>0.0</v>
      </c>
      <c r="J2149" s="35"/>
      <c r="K2149" s="35">
        <v>0.0</v>
      </c>
    </row>
    <row r="2150" ht="15.75" customHeight="1">
      <c r="A2150" s="35" t="s">
        <v>6724</v>
      </c>
      <c r="B2150" s="35"/>
      <c r="C2150" s="35">
        <v>4.0</v>
      </c>
      <c r="D2150" s="35" t="s">
        <v>5210</v>
      </c>
      <c r="E2150" s="35">
        <v>46027.0</v>
      </c>
      <c r="F2150" s="35">
        <v>0.0</v>
      </c>
      <c r="G2150" s="35">
        <v>0.0</v>
      </c>
      <c r="H2150" s="35">
        <v>2.0</v>
      </c>
      <c r="I2150" s="35">
        <v>0.0</v>
      </c>
      <c r="J2150" s="35"/>
      <c r="K2150" s="35">
        <v>0.0</v>
      </c>
    </row>
    <row r="2151" ht="15.75" customHeight="1">
      <c r="A2151" s="35" t="s">
        <v>6725</v>
      </c>
      <c r="B2151" s="35"/>
      <c r="C2151" s="35">
        <v>4.0</v>
      </c>
      <c r="D2151" s="35">
        <v>363.0</v>
      </c>
      <c r="E2151" s="35">
        <v>46027.0</v>
      </c>
      <c r="F2151" s="35">
        <v>0.0</v>
      </c>
      <c r="G2151" s="35">
        <v>1.0</v>
      </c>
      <c r="H2151" s="35">
        <v>0.0</v>
      </c>
      <c r="I2151" s="35">
        <v>0.0</v>
      </c>
      <c r="J2151" s="35"/>
      <c r="K2151" s="35">
        <v>0.0</v>
      </c>
    </row>
    <row r="2152" ht="15.75" customHeight="1">
      <c r="A2152" s="35" t="s">
        <v>6726</v>
      </c>
      <c r="B2152" s="35"/>
      <c r="C2152" s="35">
        <v>4.0</v>
      </c>
      <c r="D2152" s="35" t="s">
        <v>4635</v>
      </c>
      <c r="E2152" s="35">
        <v>46027.0</v>
      </c>
      <c r="F2152" s="35">
        <v>0.0</v>
      </c>
      <c r="G2152" s="35">
        <v>2.0</v>
      </c>
      <c r="H2152" s="35">
        <v>0.0</v>
      </c>
      <c r="I2152" s="35">
        <v>0.0</v>
      </c>
      <c r="J2152" s="35"/>
      <c r="K2152" s="35">
        <v>0.0</v>
      </c>
    </row>
    <row r="2153" ht="15.75" customHeight="1">
      <c r="A2153" s="35" t="s">
        <v>6728</v>
      </c>
      <c r="B2153" s="35"/>
      <c r="C2153" s="35">
        <v>4.0</v>
      </c>
      <c r="D2153" s="35">
        <v>917.0</v>
      </c>
      <c r="E2153" s="35">
        <v>46027.0</v>
      </c>
      <c r="F2153" s="35">
        <v>0.0</v>
      </c>
      <c r="G2153" s="35">
        <v>1.0</v>
      </c>
      <c r="H2153" s="35">
        <v>0.0</v>
      </c>
      <c r="I2153" s="35">
        <v>0.0</v>
      </c>
      <c r="J2153" s="35"/>
      <c r="K2153" s="35">
        <v>0.0</v>
      </c>
    </row>
    <row r="2154" ht="15.75" customHeight="1">
      <c r="A2154" s="35" t="s">
        <v>6729</v>
      </c>
      <c r="B2154" s="35"/>
      <c r="C2154" s="35">
        <v>4.0</v>
      </c>
      <c r="D2154" s="35" t="s">
        <v>4635</v>
      </c>
      <c r="E2154" s="35">
        <v>46027.0</v>
      </c>
      <c r="F2154" s="35">
        <v>0.0</v>
      </c>
      <c r="G2154" s="35">
        <v>9.0</v>
      </c>
      <c r="H2154" s="35">
        <v>0.0</v>
      </c>
      <c r="I2154" s="35">
        <v>0.0</v>
      </c>
      <c r="J2154" s="35"/>
      <c r="K2154" s="35">
        <v>0.0</v>
      </c>
    </row>
    <row r="2155" ht="15.75" customHeight="1">
      <c r="A2155" s="35" t="s">
        <v>6731</v>
      </c>
      <c r="B2155" s="35"/>
      <c r="C2155" s="35">
        <v>4.0</v>
      </c>
      <c r="D2155" s="35" t="s">
        <v>4635</v>
      </c>
      <c r="E2155" s="35">
        <v>46027.0</v>
      </c>
      <c r="F2155" s="35">
        <v>0.0</v>
      </c>
      <c r="G2155" s="35">
        <v>2.0</v>
      </c>
      <c r="H2155" s="35">
        <v>0.0</v>
      </c>
      <c r="I2155" s="35">
        <v>0.0</v>
      </c>
      <c r="J2155" s="35"/>
      <c r="K2155" s="35">
        <v>0.0</v>
      </c>
    </row>
    <row r="2156" ht="15.75" customHeight="1">
      <c r="A2156" s="35" t="s">
        <v>6732</v>
      </c>
      <c r="B2156" s="35"/>
      <c r="C2156" s="35">
        <v>4.0</v>
      </c>
      <c r="D2156" s="35">
        <v>235.0</v>
      </c>
      <c r="E2156" s="35">
        <v>46027.0</v>
      </c>
      <c r="F2156" s="35">
        <v>0.0</v>
      </c>
      <c r="G2156" s="35">
        <v>0.0</v>
      </c>
      <c r="H2156" s="35">
        <v>1.0</v>
      </c>
      <c r="I2156" s="35">
        <v>0.0</v>
      </c>
      <c r="J2156" s="35"/>
      <c r="K2156" s="35">
        <v>0.0</v>
      </c>
    </row>
    <row r="2157" ht="15.75" customHeight="1">
      <c r="A2157" s="35" t="s">
        <v>6733</v>
      </c>
      <c r="B2157" s="35"/>
      <c r="C2157" s="35">
        <v>4.0</v>
      </c>
      <c r="D2157" s="35">
        <v>575.0</v>
      </c>
      <c r="E2157" s="35">
        <v>46027.0</v>
      </c>
      <c r="F2157" s="35">
        <v>0.0</v>
      </c>
      <c r="G2157" s="35">
        <v>11.0</v>
      </c>
      <c r="H2157" s="35">
        <v>0.0</v>
      </c>
      <c r="I2157" s="35">
        <v>0.0</v>
      </c>
      <c r="J2157" s="35"/>
      <c r="K2157" s="35">
        <v>0.0</v>
      </c>
    </row>
    <row r="2158" ht="15.75" customHeight="1">
      <c r="A2158" s="35" t="s">
        <v>6735</v>
      </c>
      <c r="B2158" s="35"/>
      <c r="C2158" s="35">
        <v>4.0</v>
      </c>
      <c r="D2158" s="35" t="s">
        <v>4635</v>
      </c>
      <c r="E2158" s="35">
        <v>46027.0</v>
      </c>
      <c r="F2158" s="35">
        <v>0.0</v>
      </c>
      <c r="G2158" s="35">
        <v>1.0</v>
      </c>
      <c r="H2158" s="35">
        <v>0.0</v>
      </c>
      <c r="I2158" s="35">
        <v>0.0</v>
      </c>
      <c r="J2158" s="35"/>
      <c r="K2158" s="35">
        <v>0.0</v>
      </c>
    </row>
    <row r="2159" ht="15.75" customHeight="1">
      <c r="A2159" s="35" t="s">
        <v>6736</v>
      </c>
      <c r="B2159" s="35"/>
      <c r="C2159" s="35">
        <v>4.0</v>
      </c>
      <c r="D2159" s="35" t="s">
        <v>2039</v>
      </c>
      <c r="E2159" s="35">
        <v>46027.0</v>
      </c>
      <c r="F2159" s="35">
        <v>0.0</v>
      </c>
      <c r="G2159" s="35">
        <v>3.0</v>
      </c>
      <c r="H2159" s="35">
        <v>0.0</v>
      </c>
      <c r="I2159" s="35">
        <v>0.0</v>
      </c>
      <c r="J2159" s="35"/>
      <c r="K2159" s="35">
        <v>0.0</v>
      </c>
    </row>
    <row r="2160" ht="15.75" customHeight="1">
      <c r="A2160" s="35" t="s">
        <v>6738</v>
      </c>
      <c r="B2160" s="35"/>
      <c r="C2160" s="35">
        <v>4.0</v>
      </c>
      <c r="D2160" s="35">
        <v>139.0</v>
      </c>
      <c r="E2160" s="35">
        <v>46027.0</v>
      </c>
      <c r="F2160" s="35">
        <v>0.0</v>
      </c>
      <c r="G2160" s="35">
        <v>2.0</v>
      </c>
      <c r="H2160" s="35">
        <v>0.0</v>
      </c>
      <c r="I2160" s="35">
        <v>0.0</v>
      </c>
      <c r="J2160" s="35"/>
      <c r="K2160" s="35">
        <v>0.0</v>
      </c>
    </row>
    <row r="2161" ht="15.75" customHeight="1">
      <c r="A2161" s="35" t="s">
        <v>6739</v>
      </c>
      <c r="B2161" s="35"/>
      <c r="C2161" s="35">
        <v>4.0</v>
      </c>
      <c r="D2161" s="35" t="s">
        <v>5031</v>
      </c>
      <c r="E2161" s="35">
        <v>46027.0</v>
      </c>
      <c r="F2161" s="35">
        <v>0.0</v>
      </c>
      <c r="G2161" s="35">
        <v>5.0</v>
      </c>
      <c r="H2161" s="35">
        <v>0.0</v>
      </c>
      <c r="I2161" s="35">
        <v>0.0</v>
      </c>
      <c r="J2161" s="35"/>
      <c r="K2161" s="35">
        <v>0.0</v>
      </c>
    </row>
    <row r="2162" ht="15.75" customHeight="1">
      <c r="A2162" s="35" t="s">
        <v>6741</v>
      </c>
      <c r="B2162" s="35"/>
      <c r="C2162" s="35">
        <v>4.0</v>
      </c>
      <c r="D2162" s="35" t="s">
        <v>4394</v>
      </c>
      <c r="E2162" s="35">
        <v>46027.0</v>
      </c>
      <c r="F2162" s="35">
        <v>0.0</v>
      </c>
      <c r="G2162" s="35">
        <v>15.0</v>
      </c>
      <c r="H2162" s="35">
        <v>0.0</v>
      </c>
      <c r="I2162" s="35">
        <v>0.0</v>
      </c>
      <c r="J2162" s="35"/>
      <c r="K2162" s="35">
        <v>0.0</v>
      </c>
    </row>
    <row r="2163" ht="15.75" customHeight="1">
      <c r="A2163" s="35" t="s">
        <v>6742</v>
      </c>
      <c r="B2163" s="35"/>
      <c r="C2163" s="35">
        <v>4.0</v>
      </c>
      <c r="D2163" s="35" t="s">
        <v>5031</v>
      </c>
      <c r="E2163" s="35">
        <v>46027.0</v>
      </c>
      <c r="F2163" s="35">
        <v>0.0</v>
      </c>
      <c r="G2163" s="35">
        <v>18.0</v>
      </c>
      <c r="H2163" s="35">
        <v>0.0</v>
      </c>
      <c r="I2163" s="35">
        <v>0.0</v>
      </c>
      <c r="J2163" s="35"/>
      <c r="K2163" s="35">
        <v>0.0</v>
      </c>
    </row>
    <row r="2164" ht="15.75" customHeight="1">
      <c r="A2164" s="35" t="s">
        <v>6744</v>
      </c>
      <c r="B2164" s="35"/>
      <c r="C2164" s="35">
        <v>4.0</v>
      </c>
      <c r="D2164" s="35" t="s">
        <v>4446</v>
      </c>
      <c r="E2164" s="35">
        <v>46027.0</v>
      </c>
      <c r="F2164" s="35">
        <v>0.0</v>
      </c>
      <c r="G2164" s="35">
        <v>7.0</v>
      </c>
      <c r="H2164" s="35">
        <v>0.0</v>
      </c>
      <c r="I2164" s="35">
        <v>0.0</v>
      </c>
      <c r="J2164" s="35"/>
      <c r="K2164" s="35">
        <v>0.0</v>
      </c>
    </row>
    <row r="2165" ht="15.75" customHeight="1">
      <c r="A2165" s="35" t="s">
        <v>6745</v>
      </c>
      <c r="B2165" s="35"/>
      <c r="C2165" s="35">
        <v>4.0</v>
      </c>
      <c r="D2165" s="35" t="s">
        <v>4377</v>
      </c>
      <c r="E2165" s="35">
        <v>46027.0</v>
      </c>
      <c r="F2165" s="35">
        <v>0.0</v>
      </c>
      <c r="G2165" s="35">
        <v>14.0</v>
      </c>
      <c r="H2165" s="35">
        <v>0.0</v>
      </c>
      <c r="I2165" s="35">
        <v>0.0</v>
      </c>
      <c r="J2165" s="35"/>
      <c r="K2165" s="35">
        <v>0.0</v>
      </c>
    </row>
    <row r="2166" ht="15.75" customHeight="1">
      <c r="A2166" s="35" t="s">
        <v>6746</v>
      </c>
      <c r="B2166" s="35"/>
      <c r="C2166" s="35">
        <v>3.0</v>
      </c>
      <c r="D2166" s="35" t="s">
        <v>4348</v>
      </c>
      <c r="E2166" s="35">
        <v>46058.0</v>
      </c>
      <c r="F2166" s="35">
        <v>0.0</v>
      </c>
      <c r="G2166" s="35">
        <v>3.0</v>
      </c>
      <c r="H2166" s="35">
        <v>1.0</v>
      </c>
      <c r="I2166" s="35">
        <v>0.0</v>
      </c>
      <c r="J2166" s="35"/>
      <c r="K2166" s="35">
        <v>0.0</v>
      </c>
    </row>
    <row r="2167" ht="15.75" customHeight="1">
      <c r="A2167" s="35" t="s">
        <v>6748</v>
      </c>
      <c r="B2167" s="35"/>
      <c r="C2167" s="35">
        <v>3.0</v>
      </c>
      <c r="D2167" s="35" t="s">
        <v>4791</v>
      </c>
      <c r="E2167" s="35">
        <v>46058.0</v>
      </c>
      <c r="F2167" s="35">
        <v>0.0</v>
      </c>
      <c r="G2167" s="35">
        <v>6.0</v>
      </c>
      <c r="H2167" s="35">
        <v>3.0</v>
      </c>
      <c r="I2167" s="35">
        <v>0.0</v>
      </c>
      <c r="J2167" s="35"/>
      <c r="K2167" s="35">
        <v>0.0</v>
      </c>
    </row>
    <row r="2168" ht="15.75" customHeight="1">
      <c r="A2168" s="35" t="s">
        <v>6749</v>
      </c>
      <c r="B2168" s="35"/>
      <c r="C2168" s="35">
        <v>3.0</v>
      </c>
      <c r="D2168" s="35" t="s">
        <v>2049</v>
      </c>
      <c r="E2168" s="35">
        <v>46058.0</v>
      </c>
      <c r="F2168" s="35">
        <v>0.0</v>
      </c>
      <c r="G2168" s="35">
        <v>2.0</v>
      </c>
      <c r="H2168" s="35">
        <v>0.0</v>
      </c>
      <c r="I2168" s="35">
        <v>1.0</v>
      </c>
      <c r="J2168" s="35"/>
      <c r="K2168" s="35">
        <v>0.0</v>
      </c>
    </row>
    <row r="2169" ht="15.75" customHeight="1">
      <c r="A2169" s="35" t="s">
        <v>6751</v>
      </c>
      <c r="B2169" s="35"/>
      <c r="C2169" s="35">
        <v>3.0</v>
      </c>
      <c r="D2169" s="35">
        <v>291.0</v>
      </c>
      <c r="E2169" s="35">
        <v>46058.0</v>
      </c>
      <c r="F2169" s="35">
        <v>0.0</v>
      </c>
      <c r="G2169" s="35">
        <v>1.0</v>
      </c>
      <c r="H2169" s="35">
        <v>1.0</v>
      </c>
      <c r="I2169" s="35">
        <v>0.0</v>
      </c>
      <c r="J2169" s="35"/>
      <c r="K2169" s="35">
        <v>0.0</v>
      </c>
    </row>
    <row r="2170" ht="15.75" customHeight="1">
      <c r="A2170" s="35" t="s">
        <v>6752</v>
      </c>
      <c r="B2170" s="35"/>
      <c r="C2170" s="35">
        <v>3.0</v>
      </c>
      <c r="D2170" s="35" t="s">
        <v>4343</v>
      </c>
      <c r="E2170" s="35">
        <v>46058.0</v>
      </c>
      <c r="F2170" s="35">
        <v>0.0</v>
      </c>
      <c r="G2170" s="35">
        <v>12.0</v>
      </c>
      <c r="H2170" s="35">
        <v>2.0</v>
      </c>
      <c r="I2170" s="35">
        <v>0.0</v>
      </c>
      <c r="J2170" s="35"/>
      <c r="K2170" s="35">
        <v>0.0</v>
      </c>
    </row>
    <row r="2171" ht="15.75" customHeight="1">
      <c r="A2171" s="35" t="s">
        <v>6754</v>
      </c>
      <c r="B2171" s="35"/>
      <c r="C2171" s="35">
        <v>3.0</v>
      </c>
      <c r="D2171" s="35" t="s">
        <v>4635</v>
      </c>
      <c r="E2171" s="35">
        <v>46027.0</v>
      </c>
      <c r="F2171" s="35">
        <v>0.0</v>
      </c>
      <c r="G2171" s="35">
        <v>40.0</v>
      </c>
      <c r="H2171" s="35">
        <v>0.0</v>
      </c>
      <c r="I2171" s="35">
        <v>0.0</v>
      </c>
      <c r="J2171" s="35"/>
      <c r="K2171" s="35">
        <v>0.0</v>
      </c>
    </row>
    <row r="2172" ht="15.75" customHeight="1">
      <c r="A2172" s="35" t="s">
        <v>6755</v>
      </c>
      <c r="B2172" s="35"/>
      <c r="C2172" s="35">
        <v>3.0</v>
      </c>
      <c r="D2172" s="35">
        <v>280.0</v>
      </c>
      <c r="E2172" s="35">
        <v>46027.0</v>
      </c>
      <c r="F2172" s="35">
        <v>0.0</v>
      </c>
      <c r="G2172" s="35">
        <v>2.0</v>
      </c>
      <c r="H2172" s="35">
        <v>0.0</v>
      </c>
      <c r="I2172" s="35">
        <v>0.0</v>
      </c>
      <c r="J2172" s="35"/>
      <c r="K2172" s="35">
        <v>0.0</v>
      </c>
    </row>
    <row r="2173" ht="15.75" customHeight="1">
      <c r="A2173" s="35" t="s">
        <v>6757</v>
      </c>
      <c r="B2173" s="35"/>
      <c r="C2173" s="35">
        <v>3.0</v>
      </c>
      <c r="D2173" s="35" t="s">
        <v>3776</v>
      </c>
      <c r="E2173" s="35">
        <v>46027.0</v>
      </c>
      <c r="F2173" s="35">
        <v>0.0</v>
      </c>
      <c r="G2173" s="35">
        <v>1.0</v>
      </c>
      <c r="H2173" s="35">
        <v>0.0</v>
      </c>
      <c r="I2173" s="35">
        <v>0.0</v>
      </c>
      <c r="J2173" s="35"/>
      <c r="K2173" s="35">
        <v>0.0</v>
      </c>
    </row>
    <row r="2174" ht="15.75" customHeight="1">
      <c r="A2174" s="35" t="s">
        <v>6758</v>
      </c>
      <c r="B2174" s="35"/>
      <c r="C2174" s="35">
        <v>3.0</v>
      </c>
      <c r="D2174" s="35" t="s">
        <v>4563</v>
      </c>
      <c r="E2174" s="35">
        <v>46027.0</v>
      </c>
      <c r="F2174" s="35">
        <v>0.0</v>
      </c>
      <c r="G2174" s="35">
        <v>1.0</v>
      </c>
      <c r="H2174" s="35">
        <v>0.0</v>
      </c>
      <c r="I2174" s="35">
        <v>0.0</v>
      </c>
      <c r="J2174" s="35"/>
      <c r="K2174" s="35">
        <v>0.0</v>
      </c>
    </row>
    <row r="2175" ht="15.75" customHeight="1">
      <c r="A2175" s="35" t="s">
        <v>6759</v>
      </c>
      <c r="B2175" s="35"/>
      <c r="C2175" s="35">
        <v>3.0</v>
      </c>
      <c r="D2175" s="35" t="s">
        <v>2038</v>
      </c>
      <c r="E2175" s="35">
        <v>46027.0</v>
      </c>
      <c r="F2175" s="35">
        <v>0.0</v>
      </c>
      <c r="G2175" s="35">
        <v>1.0</v>
      </c>
      <c r="H2175" s="35">
        <v>0.0</v>
      </c>
      <c r="I2175" s="35">
        <v>0.0</v>
      </c>
      <c r="J2175" s="35"/>
      <c r="K2175" s="35">
        <v>0.0</v>
      </c>
    </row>
    <row r="2176" ht="15.75" customHeight="1">
      <c r="A2176" s="35" t="s">
        <v>6761</v>
      </c>
      <c r="B2176" s="35"/>
      <c r="C2176" s="35">
        <v>3.0</v>
      </c>
      <c r="D2176" s="35" t="s">
        <v>2016</v>
      </c>
      <c r="E2176" s="35">
        <v>46027.0</v>
      </c>
      <c r="F2176" s="35">
        <v>0.0</v>
      </c>
      <c r="G2176" s="35">
        <v>1.0</v>
      </c>
      <c r="H2176" s="35">
        <v>0.0</v>
      </c>
      <c r="I2176" s="35">
        <v>0.0</v>
      </c>
      <c r="J2176" s="35"/>
      <c r="K2176" s="35">
        <v>0.0</v>
      </c>
    </row>
    <row r="2177" ht="15.75" customHeight="1">
      <c r="A2177" s="35" t="s">
        <v>6762</v>
      </c>
      <c r="B2177" s="35"/>
      <c r="C2177" s="35">
        <v>3.0</v>
      </c>
      <c r="D2177" s="35" t="s">
        <v>2043</v>
      </c>
      <c r="E2177" s="35">
        <v>46027.0</v>
      </c>
      <c r="F2177" s="35">
        <v>0.0</v>
      </c>
      <c r="G2177" s="35">
        <v>1.0</v>
      </c>
      <c r="H2177" s="35">
        <v>0.0</v>
      </c>
      <c r="I2177" s="35">
        <v>0.0</v>
      </c>
      <c r="J2177" s="35"/>
      <c r="K2177" s="35">
        <v>0.0</v>
      </c>
    </row>
    <row r="2178" ht="15.75" customHeight="1">
      <c r="A2178" s="35" t="s">
        <v>6764</v>
      </c>
      <c r="B2178" s="35"/>
      <c r="C2178" s="35">
        <v>3.0</v>
      </c>
      <c r="D2178" s="35" t="s">
        <v>4538</v>
      </c>
      <c r="E2178" s="35">
        <v>46027.0</v>
      </c>
      <c r="F2178" s="35">
        <v>0.0</v>
      </c>
      <c r="G2178" s="35">
        <v>2.0</v>
      </c>
      <c r="H2178" s="35">
        <v>0.0</v>
      </c>
      <c r="I2178" s="35">
        <v>0.0</v>
      </c>
      <c r="J2178" s="35"/>
      <c r="K2178" s="35">
        <v>0.0</v>
      </c>
    </row>
    <row r="2179" ht="15.75" customHeight="1">
      <c r="A2179" s="35" t="s">
        <v>6765</v>
      </c>
      <c r="B2179" s="35"/>
      <c r="C2179" s="35">
        <v>3.0</v>
      </c>
      <c r="D2179" s="35" t="s">
        <v>3577</v>
      </c>
      <c r="E2179" s="35">
        <v>46027.0</v>
      </c>
      <c r="F2179" s="35">
        <v>0.0</v>
      </c>
      <c r="G2179" s="35">
        <v>2.0</v>
      </c>
      <c r="H2179" s="35">
        <v>0.0</v>
      </c>
      <c r="I2179" s="35">
        <v>0.0</v>
      </c>
      <c r="J2179" s="35"/>
      <c r="K2179" s="35">
        <v>0.0</v>
      </c>
    </row>
    <row r="2180" ht="15.75" customHeight="1">
      <c r="A2180" s="35" t="s">
        <v>6766</v>
      </c>
      <c r="B2180" s="35"/>
      <c r="C2180" s="35">
        <v>3.0</v>
      </c>
      <c r="D2180" s="35" t="s">
        <v>4186</v>
      </c>
      <c r="E2180" s="35">
        <v>46027.0</v>
      </c>
      <c r="F2180" s="35">
        <v>0.0</v>
      </c>
      <c r="G2180" s="35">
        <v>2.0</v>
      </c>
      <c r="H2180" s="35">
        <v>0.0</v>
      </c>
      <c r="I2180" s="35">
        <v>0.0</v>
      </c>
      <c r="J2180" s="35"/>
      <c r="K2180" s="35">
        <v>0.0</v>
      </c>
    </row>
    <row r="2181" ht="15.75" customHeight="1">
      <c r="A2181" s="35" t="s">
        <v>6768</v>
      </c>
      <c r="B2181" s="35"/>
      <c r="C2181" s="35">
        <v>3.0</v>
      </c>
      <c r="D2181" s="35" t="s">
        <v>2016</v>
      </c>
      <c r="E2181" s="35">
        <v>46027.0</v>
      </c>
      <c r="F2181" s="35">
        <v>0.0</v>
      </c>
      <c r="G2181" s="35">
        <v>1.0</v>
      </c>
      <c r="H2181" s="35">
        <v>0.0</v>
      </c>
      <c r="I2181" s="35">
        <v>0.0</v>
      </c>
      <c r="J2181" s="35"/>
      <c r="K2181" s="35">
        <v>0.0</v>
      </c>
    </row>
    <row r="2182" ht="15.75" customHeight="1">
      <c r="A2182" s="35" t="s">
        <v>6769</v>
      </c>
      <c r="B2182" s="35"/>
      <c r="C2182" s="35">
        <v>3.0</v>
      </c>
      <c r="D2182" s="35" t="s">
        <v>3665</v>
      </c>
      <c r="E2182" s="35">
        <v>46027.0</v>
      </c>
      <c r="F2182" s="35">
        <v>0.0</v>
      </c>
      <c r="G2182" s="35">
        <v>0.0</v>
      </c>
      <c r="H2182" s="35">
        <v>2.0</v>
      </c>
      <c r="I2182" s="35">
        <v>0.0</v>
      </c>
      <c r="J2182" s="35"/>
      <c r="K2182" s="35">
        <v>0.0</v>
      </c>
    </row>
    <row r="2183" ht="15.75" customHeight="1">
      <c r="A2183" s="35" t="s">
        <v>6771</v>
      </c>
      <c r="B2183" s="35"/>
      <c r="C2183" s="35">
        <v>3.0</v>
      </c>
      <c r="D2183" s="35">
        <v>977.0</v>
      </c>
      <c r="E2183" s="35">
        <v>46027.0</v>
      </c>
      <c r="F2183" s="35">
        <v>0.0</v>
      </c>
      <c r="G2183" s="35">
        <v>0.0</v>
      </c>
      <c r="H2183" s="35">
        <v>2.0</v>
      </c>
      <c r="I2183" s="35">
        <v>0.0</v>
      </c>
      <c r="J2183" s="35"/>
      <c r="K2183" s="35">
        <v>0.0</v>
      </c>
    </row>
    <row r="2184" ht="15.75" customHeight="1">
      <c r="A2184" s="35" t="s">
        <v>6772</v>
      </c>
      <c r="B2184" s="35"/>
      <c r="C2184" s="35">
        <v>3.0</v>
      </c>
      <c r="D2184" s="35" t="s">
        <v>2010</v>
      </c>
      <c r="E2184" s="35">
        <v>46027.0</v>
      </c>
      <c r="F2184" s="35">
        <v>0.0</v>
      </c>
      <c r="G2184" s="35">
        <v>2.0</v>
      </c>
      <c r="H2184" s="35">
        <v>0.0</v>
      </c>
      <c r="I2184" s="35">
        <v>0.0</v>
      </c>
      <c r="J2184" s="35"/>
      <c r="K2184" s="35">
        <v>0.0</v>
      </c>
    </row>
    <row r="2185" ht="15.75" customHeight="1">
      <c r="A2185" s="35" t="s">
        <v>6773</v>
      </c>
      <c r="B2185" s="35"/>
      <c r="C2185" s="35">
        <v>3.0</v>
      </c>
      <c r="D2185" s="35">
        <v>445.0</v>
      </c>
      <c r="E2185" s="35">
        <v>46027.0</v>
      </c>
      <c r="F2185" s="35">
        <v>0.0</v>
      </c>
      <c r="G2185" s="35">
        <v>8.0</v>
      </c>
      <c r="H2185" s="35">
        <v>0.0</v>
      </c>
      <c r="I2185" s="35">
        <v>0.0</v>
      </c>
      <c r="J2185" s="35"/>
      <c r="K2185" s="35">
        <v>0.0</v>
      </c>
    </row>
    <row r="2186" ht="15.75" customHeight="1">
      <c r="A2186" s="35" t="s">
        <v>6775</v>
      </c>
      <c r="B2186" s="35"/>
      <c r="C2186" s="35">
        <v>3.0</v>
      </c>
      <c r="D2186" s="35">
        <v>965.0</v>
      </c>
      <c r="E2186" s="35">
        <v>46027.0</v>
      </c>
      <c r="F2186" s="35">
        <v>0.0</v>
      </c>
      <c r="G2186" s="35">
        <v>2.0</v>
      </c>
      <c r="H2186" s="35">
        <v>0.0</v>
      </c>
      <c r="I2186" s="35">
        <v>0.0</v>
      </c>
      <c r="J2186" s="35"/>
      <c r="K2186" s="35">
        <v>0.0</v>
      </c>
    </row>
    <row r="2187" ht="15.75" customHeight="1">
      <c r="A2187" s="35" t="s">
        <v>6776</v>
      </c>
      <c r="B2187" s="35"/>
      <c r="C2187" s="35">
        <v>3.0</v>
      </c>
      <c r="D2187" s="35">
        <v>53.0</v>
      </c>
      <c r="E2187" s="35">
        <v>46027.0</v>
      </c>
      <c r="F2187" s="35">
        <v>0.0</v>
      </c>
      <c r="G2187" s="35">
        <v>8.0</v>
      </c>
      <c r="H2187" s="35">
        <v>0.0</v>
      </c>
      <c r="I2187" s="35">
        <v>0.0</v>
      </c>
      <c r="J2187" s="35"/>
      <c r="K2187" s="35">
        <v>0.0</v>
      </c>
    </row>
    <row r="2188" ht="15.75" customHeight="1">
      <c r="A2188" s="35" t="s">
        <v>6778</v>
      </c>
      <c r="B2188" s="35"/>
      <c r="C2188" s="35">
        <v>3.0</v>
      </c>
      <c r="D2188" s="35">
        <v>822.0</v>
      </c>
      <c r="E2188" s="35">
        <v>46027.0</v>
      </c>
      <c r="F2188" s="35">
        <v>0.0</v>
      </c>
      <c r="G2188" s="35">
        <v>60.0</v>
      </c>
      <c r="H2188" s="35">
        <v>0.0</v>
      </c>
      <c r="I2188" s="35">
        <v>0.0</v>
      </c>
      <c r="J2188" s="35"/>
      <c r="K2188" s="35">
        <v>0.0</v>
      </c>
    </row>
    <row r="2189" ht="15.75" customHeight="1">
      <c r="A2189" s="35" t="s">
        <v>6779</v>
      </c>
      <c r="B2189" s="35"/>
      <c r="C2189" s="35">
        <v>3.0</v>
      </c>
      <c r="D2189" s="35" t="s">
        <v>4319</v>
      </c>
      <c r="E2189" s="35">
        <v>46027.0</v>
      </c>
      <c r="F2189" s="35">
        <v>0.0</v>
      </c>
      <c r="G2189" s="35">
        <v>2.0</v>
      </c>
      <c r="H2189" s="35">
        <v>0.0</v>
      </c>
      <c r="I2189" s="35">
        <v>0.0</v>
      </c>
      <c r="J2189" s="35"/>
      <c r="K2189" s="35">
        <v>0.0</v>
      </c>
    </row>
    <row r="2190" ht="15.75" customHeight="1">
      <c r="A2190" s="35" t="s">
        <v>6781</v>
      </c>
      <c r="B2190" s="35"/>
      <c r="C2190" s="35">
        <v>3.0</v>
      </c>
      <c r="D2190" s="35" t="s">
        <v>4154</v>
      </c>
      <c r="E2190" s="35">
        <v>46027.0</v>
      </c>
      <c r="F2190" s="35">
        <v>0.0</v>
      </c>
      <c r="G2190" s="35">
        <v>1.0</v>
      </c>
      <c r="H2190" s="35">
        <v>0.0</v>
      </c>
      <c r="I2190" s="35">
        <v>0.0</v>
      </c>
      <c r="J2190" s="35"/>
      <c r="K2190" s="35">
        <v>0.0</v>
      </c>
    </row>
    <row r="2191" ht="15.75" customHeight="1">
      <c r="A2191" s="35" t="s">
        <v>6782</v>
      </c>
      <c r="B2191" s="35"/>
      <c r="C2191" s="35">
        <v>3.0</v>
      </c>
      <c r="D2191" s="35">
        <v>301.0</v>
      </c>
      <c r="E2191" s="35">
        <v>46027.0</v>
      </c>
      <c r="F2191" s="35">
        <v>0.0</v>
      </c>
      <c r="G2191" s="35">
        <v>0.0</v>
      </c>
      <c r="H2191" s="35">
        <v>16.0</v>
      </c>
      <c r="I2191" s="35">
        <v>0.0</v>
      </c>
      <c r="J2191" s="35"/>
      <c r="K2191" s="35">
        <v>0.0</v>
      </c>
    </row>
    <row r="2192" ht="15.75" customHeight="1">
      <c r="A2192" s="35" t="s">
        <v>6784</v>
      </c>
      <c r="B2192" s="35"/>
      <c r="C2192" s="35">
        <v>3.0</v>
      </c>
      <c r="D2192" s="35" t="s">
        <v>4635</v>
      </c>
      <c r="E2192" s="35">
        <v>46027.0</v>
      </c>
      <c r="F2192" s="35">
        <v>0.0</v>
      </c>
      <c r="G2192" s="35">
        <v>4.0</v>
      </c>
      <c r="H2192" s="35">
        <v>0.0</v>
      </c>
      <c r="I2192" s="35">
        <v>0.0</v>
      </c>
      <c r="J2192" s="35"/>
      <c r="K2192" s="35">
        <v>0.0</v>
      </c>
    </row>
    <row r="2193" ht="15.75" customHeight="1">
      <c r="A2193" s="35" t="s">
        <v>6785</v>
      </c>
      <c r="B2193" s="35"/>
      <c r="C2193" s="35">
        <v>3.0</v>
      </c>
      <c r="D2193" s="35">
        <v>233.0</v>
      </c>
      <c r="E2193" s="35">
        <v>46027.0</v>
      </c>
      <c r="F2193" s="35">
        <v>0.0</v>
      </c>
      <c r="G2193" s="35">
        <v>0.0</v>
      </c>
      <c r="H2193" s="35">
        <v>16.0</v>
      </c>
      <c r="I2193" s="35">
        <v>0.0</v>
      </c>
      <c r="J2193" s="35"/>
      <c r="K2193" s="35">
        <v>0.0</v>
      </c>
    </row>
    <row r="2194" ht="15.75" customHeight="1">
      <c r="A2194" s="35" t="s">
        <v>6786</v>
      </c>
      <c r="B2194" s="35"/>
      <c r="C2194" s="35">
        <v>3.0</v>
      </c>
      <c r="D2194" s="35" t="s">
        <v>4635</v>
      </c>
      <c r="E2194" s="35">
        <v>46027.0</v>
      </c>
      <c r="F2194" s="35">
        <v>0.0</v>
      </c>
      <c r="G2194" s="35">
        <v>1.0</v>
      </c>
      <c r="H2194" s="35">
        <v>0.0</v>
      </c>
      <c r="I2194" s="35">
        <v>0.0</v>
      </c>
      <c r="J2194" s="35"/>
      <c r="K2194" s="35">
        <v>0.0</v>
      </c>
    </row>
    <row r="2195" ht="15.75" customHeight="1">
      <c r="A2195" s="35" t="s">
        <v>6788</v>
      </c>
      <c r="B2195" s="35"/>
      <c r="C2195" s="35">
        <v>3.0</v>
      </c>
      <c r="D2195" s="35">
        <v>706.0</v>
      </c>
      <c r="E2195" s="35">
        <v>46027.0</v>
      </c>
      <c r="F2195" s="35">
        <v>0.0</v>
      </c>
      <c r="G2195" s="35">
        <v>49.0</v>
      </c>
      <c r="H2195" s="35">
        <v>0.0</v>
      </c>
      <c r="I2195" s="35">
        <v>0.0</v>
      </c>
      <c r="J2195" s="35"/>
      <c r="K2195" s="35">
        <v>0.0</v>
      </c>
    </row>
    <row r="2196" ht="15.75" customHeight="1">
      <c r="A2196" s="35" t="s">
        <v>6789</v>
      </c>
      <c r="B2196" s="35"/>
      <c r="C2196" s="35">
        <v>3.0</v>
      </c>
      <c r="D2196" s="35" t="s">
        <v>4635</v>
      </c>
      <c r="E2196" s="35">
        <v>46027.0</v>
      </c>
      <c r="F2196" s="35">
        <v>0.0</v>
      </c>
      <c r="G2196" s="35">
        <v>1.0</v>
      </c>
      <c r="H2196" s="35">
        <v>0.0</v>
      </c>
      <c r="I2196" s="35">
        <v>0.0</v>
      </c>
      <c r="J2196" s="35"/>
      <c r="K2196" s="35">
        <v>0.0</v>
      </c>
    </row>
    <row r="2197" ht="15.75" customHeight="1">
      <c r="A2197" s="35" t="s">
        <v>6791</v>
      </c>
      <c r="B2197" s="35"/>
      <c r="C2197" s="35">
        <v>3.0</v>
      </c>
      <c r="D2197" s="35">
        <v>440.0</v>
      </c>
      <c r="E2197" s="35">
        <v>46027.0</v>
      </c>
      <c r="F2197" s="35">
        <v>0.0</v>
      </c>
      <c r="G2197" s="35">
        <v>1.0</v>
      </c>
      <c r="H2197" s="35">
        <v>0.0</v>
      </c>
      <c r="I2197" s="35">
        <v>0.0</v>
      </c>
      <c r="J2197" s="35"/>
      <c r="K2197" s="35">
        <v>0.0</v>
      </c>
    </row>
    <row r="2198" ht="15.75" customHeight="1">
      <c r="A2198" s="35" t="s">
        <v>6792</v>
      </c>
      <c r="B2198" s="35"/>
      <c r="C2198" s="35">
        <v>3.0</v>
      </c>
      <c r="D2198" s="35">
        <v>247.0</v>
      </c>
      <c r="E2198" s="35">
        <v>46027.0</v>
      </c>
      <c r="F2198" s="35">
        <v>0.0</v>
      </c>
      <c r="G2198" s="35">
        <v>4.0</v>
      </c>
      <c r="H2198" s="35">
        <v>0.0</v>
      </c>
      <c r="I2198" s="35">
        <v>0.0</v>
      </c>
      <c r="J2198" s="35"/>
      <c r="K2198" s="35">
        <v>0.0</v>
      </c>
    </row>
    <row r="2199" ht="15.75" customHeight="1">
      <c r="A2199" s="35" t="s">
        <v>6794</v>
      </c>
      <c r="B2199" s="35"/>
      <c r="C2199" s="35">
        <v>3.0</v>
      </c>
      <c r="D2199" s="35">
        <v>174.0</v>
      </c>
      <c r="E2199" s="35">
        <v>46027.0</v>
      </c>
      <c r="F2199" s="35">
        <v>0.0</v>
      </c>
      <c r="G2199" s="35">
        <v>12.0</v>
      </c>
      <c r="H2199" s="35">
        <v>0.0</v>
      </c>
      <c r="I2199" s="35">
        <v>0.0</v>
      </c>
      <c r="J2199" s="35"/>
      <c r="K2199" s="35">
        <v>0.0</v>
      </c>
    </row>
    <row r="2200" ht="15.75" customHeight="1">
      <c r="A2200" s="35" t="s">
        <v>6795</v>
      </c>
      <c r="B2200" s="35"/>
      <c r="C2200" s="35">
        <v>3.0</v>
      </c>
      <c r="D2200" s="35" t="s">
        <v>4635</v>
      </c>
      <c r="E2200" s="35">
        <v>46027.0</v>
      </c>
      <c r="F2200" s="35">
        <v>0.0</v>
      </c>
      <c r="G2200" s="35">
        <v>0.0</v>
      </c>
      <c r="H2200" s="35">
        <v>1.0</v>
      </c>
      <c r="I2200" s="35">
        <v>0.0</v>
      </c>
      <c r="J2200" s="35"/>
      <c r="K2200" s="35">
        <v>0.0</v>
      </c>
    </row>
    <row r="2201" ht="15.75" customHeight="1">
      <c r="A2201" s="35" t="s">
        <v>6796</v>
      </c>
      <c r="B2201" s="35"/>
      <c r="C2201" s="35">
        <v>3.0</v>
      </c>
      <c r="D2201" s="35">
        <v>51.0</v>
      </c>
      <c r="E2201" s="35">
        <v>46027.0</v>
      </c>
      <c r="F2201" s="35">
        <v>0.0</v>
      </c>
      <c r="G2201" s="35">
        <v>18.0</v>
      </c>
      <c r="H2201" s="35">
        <v>0.0</v>
      </c>
      <c r="I2201" s="35">
        <v>0.0</v>
      </c>
      <c r="J2201" s="35"/>
      <c r="K2201" s="35">
        <v>0.0</v>
      </c>
    </row>
    <row r="2202" ht="15.75" customHeight="1">
      <c r="A2202" s="35" t="s">
        <v>6798</v>
      </c>
      <c r="B2202" s="35"/>
      <c r="C2202" s="35">
        <v>3.0</v>
      </c>
      <c r="D2202" s="35" t="s">
        <v>2055</v>
      </c>
      <c r="E2202" s="35">
        <v>46027.0</v>
      </c>
      <c r="F2202" s="35">
        <v>0.0</v>
      </c>
      <c r="G2202" s="35">
        <v>1.0</v>
      </c>
      <c r="H2202" s="35">
        <v>0.0</v>
      </c>
      <c r="I2202" s="35">
        <v>0.0</v>
      </c>
      <c r="J2202" s="35"/>
      <c r="K2202" s="35">
        <v>0.0</v>
      </c>
    </row>
    <row r="2203" ht="15.75" customHeight="1">
      <c r="A2203" s="35" t="s">
        <v>6799</v>
      </c>
      <c r="B2203" s="35"/>
      <c r="C2203" s="35">
        <v>3.0</v>
      </c>
      <c r="D2203" s="35" t="s">
        <v>4635</v>
      </c>
      <c r="E2203" s="35">
        <v>46027.0</v>
      </c>
      <c r="F2203" s="35">
        <v>0.0</v>
      </c>
      <c r="G2203" s="35">
        <v>3.0</v>
      </c>
      <c r="H2203" s="35">
        <v>0.0</v>
      </c>
      <c r="I2203" s="35">
        <v>0.0</v>
      </c>
      <c r="J2203" s="35"/>
      <c r="K2203" s="35">
        <v>0.0</v>
      </c>
    </row>
    <row r="2204" ht="15.75" customHeight="1">
      <c r="A2204" s="35" t="s">
        <v>6801</v>
      </c>
      <c r="B2204" s="35"/>
      <c r="C2204" s="35">
        <v>3.0</v>
      </c>
      <c r="D2204" s="35" t="s">
        <v>2040</v>
      </c>
      <c r="E2204" s="35">
        <v>46027.0</v>
      </c>
      <c r="F2204" s="35">
        <v>0.0</v>
      </c>
      <c r="G2204" s="35">
        <v>10.0</v>
      </c>
      <c r="H2204" s="35">
        <v>0.0</v>
      </c>
      <c r="I2204" s="35">
        <v>0.0</v>
      </c>
      <c r="J2204" s="35"/>
      <c r="K2204" s="35">
        <v>0.0</v>
      </c>
    </row>
    <row r="2205" ht="15.75" customHeight="1">
      <c r="A2205" s="35" t="s">
        <v>6802</v>
      </c>
      <c r="B2205" s="35"/>
      <c r="C2205" s="35">
        <v>3.0</v>
      </c>
      <c r="D2205" s="35" t="s">
        <v>4722</v>
      </c>
      <c r="E2205" s="35">
        <v>46027.0</v>
      </c>
      <c r="F2205" s="35">
        <v>0.0</v>
      </c>
      <c r="G2205" s="35">
        <v>11.0</v>
      </c>
      <c r="H2205" s="35">
        <v>0.0</v>
      </c>
      <c r="I2205" s="35">
        <v>0.0</v>
      </c>
      <c r="J2205" s="35"/>
      <c r="K2205" s="35">
        <v>0.0</v>
      </c>
    </row>
    <row r="2206" ht="15.75" customHeight="1">
      <c r="A2206" s="35" t="s">
        <v>6804</v>
      </c>
      <c r="B2206" s="35"/>
      <c r="C2206" s="35">
        <v>3.0</v>
      </c>
      <c r="D2206" s="35" t="s">
        <v>4635</v>
      </c>
      <c r="E2206" s="35">
        <v>46027.0</v>
      </c>
      <c r="F2206" s="35">
        <v>0.0</v>
      </c>
      <c r="G2206" s="35">
        <v>12.0</v>
      </c>
      <c r="H2206" s="35">
        <v>0.0</v>
      </c>
      <c r="I2206" s="35">
        <v>0.0</v>
      </c>
      <c r="J2206" s="35"/>
      <c r="K2206" s="35">
        <v>0.0</v>
      </c>
    </row>
    <row r="2207" ht="15.75" customHeight="1">
      <c r="A2207" s="35" t="s">
        <v>6805</v>
      </c>
      <c r="B2207" s="35"/>
      <c r="C2207" s="35">
        <v>3.0</v>
      </c>
      <c r="D2207" s="35" t="s">
        <v>4635</v>
      </c>
      <c r="E2207" s="35">
        <v>46027.0</v>
      </c>
      <c r="F2207" s="35">
        <v>0.0</v>
      </c>
      <c r="G2207" s="35">
        <v>2.0</v>
      </c>
      <c r="H2207" s="35">
        <v>0.0</v>
      </c>
      <c r="I2207" s="35">
        <v>0.0</v>
      </c>
      <c r="J2207" s="35"/>
      <c r="K2207" s="35">
        <v>0.0</v>
      </c>
    </row>
    <row r="2208" ht="15.75" customHeight="1">
      <c r="A2208" s="35" t="s">
        <v>6807</v>
      </c>
      <c r="B2208" s="35"/>
      <c r="C2208" s="35">
        <v>3.0</v>
      </c>
      <c r="D2208" s="35">
        <v>230.0</v>
      </c>
      <c r="E2208" s="35">
        <v>46027.0</v>
      </c>
      <c r="F2208" s="35">
        <v>0.0</v>
      </c>
      <c r="G2208" s="35">
        <v>1.0</v>
      </c>
      <c r="H2208" s="35">
        <v>0.0</v>
      </c>
      <c r="I2208" s="35">
        <v>0.0</v>
      </c>
      <c r="J2208" s="35"/>
      <c r="K2208" s="35">
        <v>0.0</v>
      </c>
    </row>
    <row r="2209" ht="15.75" customHeight="1">
      <c r="A2209" s="35" t="s">
        <v>6808</v>
      </c>
      <c r="B2209" s="35"/>
      <c r="C2209" s="35">
        <v>3.0</v>
      </c>
      <c r="D2209" s="35">
        <v>208.0</v>
      </c>
      <c r="E2209" s="35">
        <v>46027.0</v>
      </c>
      <c r="F2209" s="35">
        <v>0.0</v>
      </c>
      <c r="G2209" s="35">
        <v>2.0</v>
      </c>
      <c r="H2209" s="35">
        <v>0.0</v>
      </c>
      <c r="I2209" s="35">
        <v>0.0</v>
      </c>
      <c r="J2209" s="35"/>
      <c r="K2209" s="35">
        <v>0.0</v>
      </c>
    </row>
    <row r="2210" ht="15.75" customHeight="1">
      <c r="A2210" s="35" t="s">
        <v>6809</v>
      </c>
      <c r="B2210" s="35"/>
      <c r="C2210" s="35">
        <v>3.0</v>
      </c>
      <c r="D2210" s="35">
        <v>256.0</v>
      </c>
      <c r="E2210" s="35">
        <v>46027.0</v>
      </c>
      <c r="F2210" s="35">
        <v>0.0</v>
      </c>
      <c r="G2210" s="35">
        <v>3.0</v>
      </c>
      <c r="H2210" s="35">
        <v>0.0</v>
      </c>
      <c r="I2210" s="35">
        <v>0.0</v>
      </c>
      <c r="J2210" s="35"/>
      <c r="K2210" s="35">
        <v>0.0</v>
      </c>
    </row>
    <row r="2211" ht="15.75" customHeight="1">
      <c r="A2211" s="35" t="s">
        <v>6811</v>
      </c>
      <c r="B2211" s="35"/>
      <c r="C2211" s="35">
        <v>3.0</v>
      </c>
      <c r="D2211" s="35" t="s">
        <v>2032</v>
      </c>
      <c r="E2211" s="35">
        <v>46027.0</v>
      </c>
      <c r="F2211" s="35">
        <v>0.0</v>
      </c>
      <c r="G2211" s="35">
        <v>1.0</v>
      </c>
      <c r="H2211" s="35">
        <v>0.0</v>
      </c>
      <c r="I2211" s="35">
        <v>0.0</v>
      </c>
      <c r="J2211" s="35"/>
      <c r="K2211" s="35">
        <v>0.0</v>
      </c>
    </row>
    <row r="2212" ht="15.75" customHeight="1">
      <c r="A2212" s="35" t="s">
        <v>6812</v>
      </c>
      <c r="B2212" s="35"/>
      <c r="C2212" s="35">
        <v>3.0</v>
      </c>
      <c r="D2212" s="35" t="s">
        <v>4546</v>
      </c>
      <c r="E2212" s="35">
        <v>46027.0</v>
      </c>
      <c r="F2212" s="35">
        <v>0.0</v>
      </c>
      <c r="G2212" s="35">
        <v>1.0</v>
      </c>
      <c r="H2212" s="35">
        <v>0.0</v>
      </c>
      <c r="I2212" s="35">
        <v>0.0</v>
      </c>
      <c r="J2212" s="35"/>
      <c r="K2212" s="35">
        <v>0.0</v>
      </c>
    </row>
    <row r="2213" ht="15.75" customHeight="1">
      <c r="A2213" s="35" t="s">
        <v>6814</v>
      </c>
      <c r="B2213" s="35"/>
      <c r="C2213" s="35">
        <v>3.0</v>
      </c>
      <c r="D2213" s="35">
        <v>132.0</v>
      </c>
      <c r="E2213" s="35">
        <v>46027.0</v>
      </c>
      <c r="F2213" s="35">
        <v>0.0</v>
      </c>
      <c r="G2213" s="35">
        <v>0.0</v>
      </c>
      <c r="H2213" s="35">
        <v>0.0</v>
      </c>
      <c r="I2213" s="35">
        <v>2.0</v>
      </c>
      <c r="J2213" s="35"/>
      <c r="K2213" s="35">
        <v>0.0</v>
      </c>
    </row>
    <row r="2214" ht="15.75" customHeight="1">
      <c r="A2214" s="35" t="s">
        <v>6815</v>
      </c>
      <c r="B2214" s="35"/>
      <c r="C2214" s="35">
        <v>3.0</v>
      </c>
      <c r="D2214" s="35">
        <v>339.0</v>
      </c>
      <c r="E2214" s="35">
        <v>46027.0</v>
      </c>
      <c r="F2214" s="35">
        <v>0.0</v>
      </c>
      <c r="G2214" s="35">
        <v>1.0</v>
      </c>
      <c r="H2214" s="35">
        <v>0.0</v>
      </c>
      <c r="I2214" s="35">
        <v>0.0</v>
      </c>
      <c r="J2214" s="35"/>
      <c r="K2214" s="35">
        <v>0.0</v>
      </c>
    </row>
    <row r="2215" ht="15.75" customHeight="1">
      <c r="A2215" s="35" t="s">
        <v>6817</v>
      </c>
      <c r="B2215" s="35"/>
      <c r="C2215" s="35">
        <v>3.0</v>
      </c>
      <c r="D2215" s="35" t="s">
        <v>5861</v>
      </c>
      <c r="E2215" s="35">
        <v>46027.0</v>
      </c>
      <c r="F2215" s="35">
        <v>0.0</v>
      </c>
      <c r="G2215" s="35">
        <v>1.0</v>
      </c>
      <c r="H2215" s="35">
        <v>0.0</v>
      </c>
      <c r="I2215" s="35">
        <v>0.0</v>
      </c>
      <c r="J2215" s="35"/>
      <c r="K2215" s="35">
        <v>0.0</v>
      </c>
    </row>
    <row r="2216" ht="15.75" customHeight="1">
      <c r="A2216" s="35" t="s">
        <v>6818</v>
      </c>
      <c r="B2216" s="35"/>
      <c r="C2216" s="35">
        <v>3.0</v>
      </c>
      <c r="D2216" s="35">
        <v>74.0</v>
      </c>
      <c r="E2216" s="35">
        <v>46027.0</v>
      </c>
      <c r="F2216" s="35">
        <v>0.0</v>
      </c>
      <c r="G2216" s="35">
        <v>1.0</v>
      </c>
      <c r="H2216" s="35">
        <v>0.0</v>
      </c>
      <c r="I2216" s="35">
        <v>0.0</v>
      </c>
      <c r="J2216" s="35"/>
      <c r="K2216" s="35">
        <v>0.0</v>
      </c>
    </row>
    <row r="2217" ht="15.75" customHeight="1">
      <c r="A2217" s="35" t="s">
        <v>6820</v>
      </c>
      <c r="B2217" s="35"/>
      <c r="C2217" s="35">
        <v>3.0</v>
      </c>
      <c r="D2217" s="35">
        <v>724.0</v>
      </c>
      <c r="E2217" s="35">
        <v>46027.0</v>
      </c>
      <c r="F2217" s="35">
        <v>0.0</v>
      </c>
      <c r="G2217" s="35">
        <v>0.0</v>
      </c>
      <c r="H2217" s="35">
        <v>1.0</v>
      </c>
      <c r="I2217" s="35">
        <v>0.0</v>
      </c>
      <c r="J2217" s="35"/>
      <c r="K2217" s="35">
        <v>0.0</v>
      </c>
    </row>
    <row r="2218" ht="15.75" customHeight="1">
      <c r="A2218" s="35" t="s">
        <v>6821</v>
      </c>
      <c r="B2218" s="35"/>
      <c r="C2218" s="35">
        <v>3.0</v>
      </c>
      <c r="D2218" s="35">
        <v>556.0</v>
      </c>
      <c r="E2218" s="35">
        <v>46027.0</v>
      </c>
      <c r="F2218" s="35">
        <v>0.0</v>
      </c>
      <c r="G2218" s="35">
        <v>10.0</v>
      </c>
      <c r="H2218" s="35">
        <v>0.0</v>
      </c>
      <c r="I2218" s="35">
        <v>0.0</v>
      </c>
      <c r="J2218" s="35"/>
      <c r="K2218" s="35">
        <v>0.0</v>
      </c>
    </row>
    <row r="2219" ht="15.75" customHeight="1">
      <c r="A2219" s="35" t="s">
        <v>6822</v>
      </c>
      <c r="B2219" s="35"/>
      <c r="C2219" s="35">
        <v>3.0</v>
      </c>
      <c r="D2219" s="35" t="s">
        <v>2016</v>
      </c>
      <c r="E2219" s="35">
        <v>46027.0</v>
      </c>
      <c r="F2219" s="35">
        <v>0.0</v>
      </c>
      <c r="G2219" s="35">
        <v>1.0</v>
      </c>
      <c r="H2219" s="35">
        <v>0.0</v>
      </c>
      <c r="I2219" s="35">
        <v>0.0</v>
      </c>
      <c r="J2219" s="35"/>
      <c r="K2219" s="35">
        <v>0.0</v>
      </c>
    </row>
    <row r="2220" ht="15.75" customHeight="1">
      <c r="A2220" s="35" t="s">
        <v>6824</v>
      </c>
      <c r="B2220" s="35"/>
      <c r="C2220" s="35">
        <v>3.0</v>
      </c>
      <c r="D2220" s="35" t="s">
        <v>4326</v>
      </c>
      <c r="E2220" s="35">
        <v>46027.0</v>
      </c>
      <c r="F2220" s="35">
        <v>0.0</v>
      </c>
      <c r="G2220" s="35">
        <v>4.0</v>
      </c>
      <c r="H2220" s="35">
        <v>0.0</v>
      </c>
      <c r="I2220" s="35">
        <v>0.0</v>
      </c>
      <c r="J2220" s="35"/>
      <c r="K2220" s="35">
        <v>0.0</v>
      </c>
    </row>
    <row r="2221" ht="15.75" customHeight="1">
      <c r="A2221" s="35" t="s">
        <v>6825</v>
      </c>
      <c r="B2221" s="35"/>
      <c r="C2221" s="35">
        <v>3.0</v>
      </c>
      <c r="D2221" s="35">
        <v>377.0</v>
      </c>
      <c r="E2221" s="35">
        <v>46027.0</v>
      </c>
      <c r="F2221" s="35">
        <v>0.0</v>
      </c>
      <c r="G2221" s="35">
        <v>1.0</v>
      </c>
      <c r="H2221" s="35">
        <v>0.0</v>
      </c>
      <c r="I2221" s="35">
        <v>0.0</v>
      </c>
      <c r="J2221" s="35"/>
      <c r="K2221" s="35">
        <v>0.0</v>
      </c>
    </row>
    <row r="2222" ht="15.75" customHeight="1">
      <c r="A2222" s="35" t="s">
        <v>6827</v>
      </c>
      <c r="B2222" s="35"/>
      <c r="C2222" s="35">
        <v>3.0</v>
      </c>
      <c r="D2222" s="35">
        <v>240.0</v>
      </c>
      <c r="E2222" s="35">
        <v>46027.0</v>
      </c>
      <c r="F2222" s="35">
        <v>0.0</v>
      </c>
      <c r="G2222" s="35">
        <v>1.0</v>
      </c>
      <c r="H2222" s="35">
        <v>0.0</v>
      </c>
      <c r="I2222" s="35">
        <v>0.0</v>
      </c>
      <c r="J2222" s="35"/>
      <c r="K2222" s="35">
        <v>0.0</v>
      </c>
    </row>
    <row r="2223" ht="15.75" customHeight="1">
      <c r="A2223" s="35" t="s">
        <v>6828</v>
      </c>
      <c r="B2223" s="35"/>
      <c r="C2223" s="35">
        <v>3.0</v>
      </c>
      <c r="D2223" s="35" t="s">
        <v>4635</v>
      </c>
      <c r="E2223" s="35">
        <v>46027.0</v>
      </c>
      <c r="F2223" s="35">
        <v>0.0</v>
      </c>
      <c r="G2223" s="35">
        <v>1.0</v>
      </c>
      <c r="H2223" s="35">
        <v>0.0</v>
      </c>
      <c r="I2223" s="35">
        <v>0.0</v>
      </c>
      <c r="J2223" s="35"/>
      <c r="K2223" s="35">
        <v>0.0</v>
      </c>
    </row>
    <row r="2224" ht="15.75" customHeight="1">
      <c r="A2224" s="35" t="s">
        <v>6830</v>
      </c>
      <c r="B2224" s="35"/>
      <c r="C2224" s="35">
        <v>3.0</v>
      </c>
      <c r="D2224" s="35" t="s">
        <v>4692</v>
      </c>
      <c r="E2224" s="35">
        <v>46027.0</v>
      </c>
      <c r="F2224" s="35">
        <v>0.0</v>
      </c>
      <c r="G2224" s="35">
        <v>1.0</v>
      </c>
      <c r="H2224" s="35">
        <v>0.0</v>
      </c>
      <c r="I2224" s="35">
        <v>0.0</v>
      </c>
      <c r="J2224" s="35"/>
      <c r="K2224" s="35">
        <v>0.0</v>
      </c>
    </row>
    <row r="2225" ht="15.75" customHeight="1">
      <c r="A2225" s="35" t="s">
        <v>6831</v>
      </c>
      <c r="B2225" s="35"/>
      <c r="C2225" s="35">
        <v>3.0</v>
      </c>
      <c r="D2225" s="35" t="s">
        <v>1964</v>
      </c>
      <c r="E2225" s="35">
        <v>46027.0</v>
      </c>
      <c r="F2225" s="35">
        <v>0.0</v>
      </c>
      <c r="G2225" s="35">
        <v>1.0</v>
      </c>
      <c r="H2225" s="35">
        <v>0.0</v>
      </c>
      <c r="I2225" s="35">
        <v>0.0</v>
      </c>
      <c r="J2225" s="35"/>
      <c r="K2225" s="35">
        <v>0.0</v>
      </c>
    </row>
    <row r="2226" ht="15.75" customHeight="1">
      <c r="A2226" s="35" t="s">
        <v>6833</v>
      </c>
      <c r="B2226" s="35"/>
      <c r="C2226" s="35">
        <v>3.0</v>
      </c>
      <c r="D2226" s="35" t="s">
        <v>2040</v>
      </c>
      <c r="E2226" s="35">
        <v>46027.0</v>
      </c>
      <c r="F2226" s="35">
        <v>0.0</v>
      </c>
      <c r="G2226" s="35">
        <v>1.0</v>
      </c>
      <c r="H2226" s="35">
        <v>0.0</v>
      </c>
      <c r="I2226" s="35">
        <v>0.0</v>
      </c>
      <c r="J2226" s="35"/>
      <c r="K2226" s="35">
        <v>0.0</v>
      </c>
    </row>
    <row r="2227" ht="15.75" customHeight="1">
      <c r="A2227" s="35" t="s">
        <v>6834</v>
      </c>
      <c r="B2227" s="35"/>
      <c r="C2227" s="35">
        <v>3.0</v>
      </c>
      <c r="D2227" s="35" t="s">
        <v>2019</v>
      </c>
      <c r="E2227" s="35">
        <v>46027.0</v>
      </c>
      <c r="F2227" s="35">
        <v>0.0</v>
      </c>
      <c r="G2227" s="35">
        <v>7.0</v>
      </c>
      <c r="H2227" s="35">
        <v>0.0</v>
      </c>
      <c r="I2227" s="35">
        <v>0.0</v>
      </c>
      <c r="J2227" s="35"/>
      <c r="K2227" s="35">
        <v>0.0</v>
      </c>
    </row>
    <row r="2228" ht="15.75" customHeight="1">
      <c r="A2228" s="35" t="s">
        <v>6835</v>
      </c>
      <c r="B2228" s="35"/>
      <c r="C2228" s="35">
        <v>3.0</v>
      </c>
      <c r="D2228" s="35">
        <v>730.0</v>
      </c>
      <c r="E2228" s="35">
        <v>46027.0</v>
      </c>
      <c r="F2228" s="35">
        <v>0.0</v>
      </c>
      <c r="G2228" s="35">
        <v>1.0</v>
      </c>
      <c r="H2228" s="35">
        <v>0.0</v>
      </c>
      <c r="I2228" s="35">
        <v>0.0</v>
      </c>
      <c r="J2228" s="35"/>
      <c r="K2228" s="35">
        <v>0.0</v>
      </c>
    </row>
    <row r="2229" ht="15.75" customHeight="1">
      <c r="A2229" s="35" t="s">
        <v>6837</v>
      </c>
      <c r="B2229" s="35"/>
      <c r="C2229" s="35">
        <v>3.0</v>
      </c>
      <c r="D2229" s="35" t="s">
        <v>4635</v>
      </c>
      <c r="E2229" s="35">
        <v>46027.0</v>
      </c>
      <c r="F2229" s="35">
        <v>0.0</v>
      </c>
      <c r="G2229" s="35">
        <v>2.0</v>
      </c>
      <c r="H2229" s="35">
        <v>0.0</v>
      </c>
      <c r="I2229" s="35">
        <v>0.0</v>
      </c>
      <c r="J2229" s="35"/>
      <c r="K2229" s="35">
        <v>0.0</v>
      </c>
    </row>
    <row r="2230" ht="15.75" customHeight="1">
      <c r="A2230" s="35" t="s">
        <v>6838</v>
      </c>
      <c r="B2230" s="35"/>
      <c r="C2230" s="35">
        <v>3.0</v>
      </c>
      <c r="D2230" s="35">
        <v>55.0</v>
      </c>
      <c r="E2230" s="35">
        <v>46027.0</v>
      </c>
      <c r="F2230" s="35">
        <v>0.0</v>
      </c>
      <c r="G2230" s="35">
        <v>10.0</v>
      </c>
      <c r="H2230" s="35">
        <v>0.0</v>
      </c>
      <c r="I2230" s="35">
        <v>0.0</v>
      </c>
      <c r="J2230" s="35"/>
      <c r="K2230" s="35">
        <v>0.0</v>
      </c>
    </row>
    <row r="2231" ht="15.75" customHeight="1">
      <c r="A2231" s="35" t="s">
        <v>6840</v>
      </c>
      <c r="B2231" s="35"/>
      <c r="C2231" s="35">
        <v>3.0</v>
      </c>
      <c r="D2231" s="35">
        <v>294.0</v>
      </c>
      <c r="E2231" s="35">
        <v>46027.0</v>
      </c>
      <c r="F2231" s="35">
        <v>0.0</v>
      </c>
      <c r="G2231" s="35">
        <v>9.0</v>
      </c>
      <c r="H2231" s="35">
        <v>0.0</v>
      </c>
      <c r="I2231" s="35">
        <v>0.0</v>
      </c>
      <c r="J2231" s="35"/>
      <c r="K2231" s="35">
        <v>0.0</v>
      </c>
    </row>
    <row r="2232" ht="15.75" customHeight="1">
      <c r="A2232" s="35" t="s">
        <v>6841</v>
      </c>
      <c r="B2232" s="35"/>
      <c r="C2232" s="35">
        <v>3.0</v>
      </c>
      <c r="D2232" s="35" t="s">
        <v>3004</v>
      </c>
      <c r="E2232" s="35">
        <v>46027.0</v>
      </c>
      <c r="F2232" s="35">
        <v>0.0</v>
      </c>
      <c r="G2232" s="35">
        <v>3.0</v>
      </c>
      <c r="H2232" s="35">
        <v>0.0</v>
      </c>
      <c r="I2232" s="35">
        <v>0.0</v>
      </c>
      <c r="J2232" s="35"/>
      <c r="K2232" s="35">
        <v>0.0</v>
      </c>
    </row>
    <row r="2233" ht="15.75" customHeight="1">
      <c r="A2233" s="35" t="s">
        <v>6843</v>
      </c>
      <c r="B2233" s="35"/>
      <c r="C2233" s="35">
        <v>3.0</v>
      </c>
      <c r="D2233" s="35" t="s">
        <v>4154</v>
      </c>
      <c r="E2233" s="35">
        <v>46027.0</v>
      </c>
      <c r="F2233" s="35">
        <v>0.0</v>
      </c>
      <c r="G2233" s="35">
        <v>1.0</v>
      </c>
      <c r="H2233" s="35">
        <v>0.0</v>
      </c>
      <c r="I2233" s="35">
        <v>0.0</v>
      </c>
      <c r="J2233" s="35"/>
      <c r="K2233" s="35">
        <v>0.0</v>
      </c>
    </row>
    <row r="2234" ht="15.75" customHeight="1">
      <c r="A2234" s="35" t="s">
        <v>6844</v>
      </c>
      <c r="B2234" s="35"/>
      <c r="C2234" s="35">
        <v>3.0</v>
      </c>
      <c r="D2234" s="35">
        <v>357.0</v>
      </c>
      <c r="E2234" s="35">
        <v>46027.0</v>
      </c>
      <c r="F2234" s="35">
        <v>0.0</v>
      </c>
      <c r="G2234" s="35">
        <v>1.0</v>
      </c>
      <c r="H2234" s="35">
        <v>0.0</v>
      </c>
      <c r="I2234" s="35">
        <v>0.0</v>
      </c>
      <c r="J2234" s="35"/>
      <c r="K2234" s="35">
        <v>0.0</v>
      </c>
    </row>
    <row r="2235" ht="15.75" customHeight="1">
      <c r="A2235" s="35" t="s">
        <v>6846</v>
      </c>
      <c r="B2235" s="35"/>
      <c r="C2235" s="35">
        <v>3.0</v>
      </c>
      <c r="D2235" s="35" t="s">
        <v>2005</v>
      </c>
      <c r="E2235" s="35">
        <v>46027.0</v>
      </c>
      <c r="F2235" s="35">
        <v>0.0</v>
      </c>
      <c r="G2235" s="35">
        <v>3.0</v>
      </c>
      <c r="H2235" s="35">
        <v>0.0</v>
      </c>
      <c r="I2235" s="35">
        <v>0.0</v>
      </c>
      <c r="J2235" s="35"/>
      <c r="K2235" s="35">
        <v>0.0</v>
      </c>
    </row>
    <row r="2236" ht="15.75" customHeight="1">
      <c r="A2236" s="35" t="s">
        <v>6847</v>
      </c>
      <c r="B2236" s="35"/>
      <c r="C2236" s="35">
        <v>3.0</v>
      </c>
      <c r="D2236" s="35">
        <v>45.0</v>
      </c>
      <c r="E2236" s="35">
        <v>46027.0</v>
      </c>
      <c r="F2236" s="35">
        <v>0.0</v>
      </c>
      <c r="G2236" s="35">
        <v>2.0</v>
      </c>
      <c r="H2236" s="35">
        <v>0.0</v>
      </c>
      <c r="I2236" s="35">
        <v>0.0</v>
      </c>
      <c r="J2236" s="35"/>
      <c r="K2236" s="35">
        <v>0.0</v>
      </c>
    </row>
    <row r="2237" ht="15.75" customHeight="1">
      <c r="A2237" s="35" t="s">
        <v>6849</v>
      </c>
      <c r="B2237" s="35"/>
      <c r="C2237" s="35">
        <v>3.0</v>
      </c>
      <c r="D2237" s="35" t="s">
        <v>2016</v>
      </c>
      <c r="E2237" s="35">
        <v>46027.0</v>
      </c>
      <c r="F2237" s="35">
        <v>0.0</v>
      </c>
      <c r="G2237" s="35">
        <v>2.0</v>
      </c>
      <c r="H2237" s="35">
        <v>0.0</v>
      </c>
      <c r="I2237" s="35">
        <v>0.0</v>
      </c>
      <c r="J2237" s="35"/>
      <c r="K2237" s="35">
        <v>0.0</v>
      </c>
    </row>
    <row r="2238" ht="15.75" customHeight="1">
      <c r="A2238" s="35" t="s">
        <v>6850</v>
      </c>
      <c r="B2238" s="35"/>
      <c r="C2238" s="35">
        <v>3.0</v>
      </c>
      <c r="D2238" s="35" t="s">
        <v>4642</v>
      </c>
      <c r="E2238" s="35">
        <v>46027.0</v>
      </c>
      <c r="F2238" s="35">
        <v>0.0</v>
      </c>
      <c r="G2238" s="35">
        <v>1.0</v>
      </c>
      <c r="H2238" s="35">
        <v>0.0</v>
      </c>
      <c r="I2238" s="35">
        <v>0.0</v>
      </c>
      <c r="J2238" s="35"/>
      <c r="K2238" s="35">
        <v>0.0</v>
      </c>
    </row>
    <row r="2239" ht="15.75" customHeight="1">
      <c r="A2239" s="35" t="s">
        <v>6851</v>
      </c>
      <c r="B2239" s="35"/>
      <c r="C2239" s="35">
        <v>3.0</v>
      </c>
      <c r="D2239" s="35" t="s">
        <v>2032</v>
      </c>
      <c r="E2239" s="35">
        <v>46027.0</v>
      </c>
      <c r="F2239" s="35">
        <v>0.0</v>
      </c>
      <c r="G2239" s="35">
        <v>1.0</v>
      </c>
      <c r="H2239" s="35">
        <v>0.0</v>
      </c>
      <c r="I2239" s="35">
        <v>0.0</v>
      </c>
      <c r="J2239" s="35"/>
      <c r="K2239" s="35">
        <v>0.0</v>
      </c>
    </row>
    <row r="2240" ht="15.75" customHeight="1">
      <c r="A2240" s="35" t="s">
        <v>6853</v>
      </c>
      <c r="B2240" s="35"/>
      <c r="C2240" s="35">
        <v>3.0</v>
      </c>
      <c r="D2240" s="35" t="s">
        <v>4231</v>
      </c>
      <c r="E2240" s="35">
        <v>46027.0</v>
      </c>
      <c r="F2240" s="35">
        <v>0.0</v>
      </c>
      <c r="G2240" s="35">
        <v>2.0</v>
      </c>
      <c r="H2240" s="35">
        <v>0.0</v>
      </c>
      <c r="I2240" s="35">
        <v>0.0</v>
      </c>
      <c r="J2240" s="35"/>
      <c r="K2240" s="35">
        <v>0.0</v>
      </c>
    </row>
    <row r="2241" ht="15.75" customHeight="1">
      <c r="A2241" s="35" t="s">
        <v>6854</v>
      </c>
      <c r="B2241" s="35"/>
      <c r="C2241" s="35">
        <v>3.0</v>
      </c>
      <c r="D2241" s="35" t="s">
        <v>2016</v>
      </c>
      <c r="E2241" s="35">
        <v>46027.0</v>
      </c>
      <c r="F2241" s="35">
        <v>0.0</v>
      </c>
      <c r="G2241" s="35">
        <v>3.0</v>
      </c>
      <c r="H2241" s="35">
        <v>0.0</v>
      </c>
      <c r="I2241" s="35">
        <v>0.0</v>
      </c>
      <c r="J2241" s="35"/>
      <c r="K2241" s="35">
        <v>0.0</v>
      </c>
    </row>
    <row r="2242" ht="15.75" customHeight="1">
      <c r="A2242" s="35" t="s">
        <v>6856</v>
      </c>
      <c r="B2242" s="35"/>
      <c r="C2242" s="35">
        <v>3.0</v>
      </c>
      <c r="D2242" s="35" t="s">
        <v>4635</v>
      </c>
      <c r="E2242" s="35">
        <v>46027.0</v>
      </c>
      <c r="F2242" s="35">
        <v>0.0</v>
      </c>
      <c r="G2242" s="35">
        <v>1.0</v>
      </c>
      <c r="H2242" s="35">
        <v>0.0</v>
      </c>
      <c r="I2242" s="35">
        <v>0.0</v>
      </c>
      <c r="J2242" s="35"/>
      <c r="K2242" s="35">
        <v>0.0</v>
      </c>
    </row>
    <row r="2243" ht="15.75" customHeight="1">
      <c r="A2243" s="35" t="s">
        <v>6857</v>
      </c>
      <c r="B2243" s="35"/>
      <c r="C2243" s="35">
        <v>3.0</v>
      </c>
      <c r="D2243" s="35" t="s">
        <v>2016</v>
      </c>
      <c r="E2243" s="35">
        <v>46027.0</v>
      </c>
      <c r="F2243" s="35">
        <v>0.0</v>
      </c>
      <c r="G2243" s="35">
        <v>1.0</v>
      </c>
      <c r="H2243" s="35">
        <v>0.0</v>
      </c>
      <c r="I2243" s="35">
        <v>0.0</v>
      </c>
      <c r="J2243" s="35"/>
      <c r="K2243" s="35">
        <v>0.0</v>
      </c>
    </row>
    <row r="2244" ht="15.75" customHeight="1">
      <c r="A2244" s="35" t="s">
        <v>6858</v>
      </c>
      <c r="B2244" s="35"/>
      <c r="C2244" s="35">
        <v>3.0</v>
      </c>
      <c r="D2244" s="35" t="s">
        <v>2032</v>
      </c>
      <c r="E2244" s="35">
        <v>46027.0</v>
      </c>
      <c r="F2244" s="35">
        <v>0.0</v>
      </c>
      <c r="G2244" s="35">
        <v>2.0</v>
      </c>
      <c r="H2244" s="35">
        <v>0.0</v>
      </c>
      <c r="I2244" s="35">
        <v>0.0</v>
      </c>
      <c r="J2244" s="35"/>
      <c r="K2244" s="35">
        <v>0.0</v>
      </c>
    </row>
    <row r="2245" ht="15.75" customHeight="1">
      <c r="A2245" s="35" t="s">
        <v>6859</v>
      </c>
      <c r="B2245" s="35"/>
      <c r="C2245" s="35">
        <v>3.0</v>
      </c>
      <c r="D2245" s="35" t="s">
        <v>2016</v>
      </c>
      <c r="E2245" s="35">
        <v>46027.0</v>
      </c>
      <c r="F2245" s="35">
        <v>0.0</v>
      </c>
      <c r="G2245" s="35">
        <v>1.0</v>
      </c>
      <c r="H2245" s="35">
        <v>0.0</v>
      </c>
      <c r="I2245" s="35">
        <v>0.0</v>
      </c>
      <c r="J2245" s="35"/>
      <c r="K2245" s="35">
        <v>0.0</v>
      </c>
    </row>
    <row r="2246" ht="15.75" customHeight="1">
      <c r="A2246" s="35" t="s">
        <v>6861</v>
      </c>
      <c r="B2246" s="35"/>
      <c r="C2246" s="35">
        <v>3.0</v>
      </c>
      <c r="D2246" s="35" t="s">
        <v>2005</v>
      </c>
      <c r="E2246" s="35">
        <v>46027.0</v>
      </c>
      <c r="F2246" s="35">
        <v>0.0</v>
      </c>
      <c r="G2246" s="35">
        <v>3.0</v>
      </c>
      <c r="H2246" s="35">
        <v>0.0</v>
      </c>
      <c r="I2246" s="35">
        <v>0.0</v>
      </c>
      <c r="J2246" s="35"/>
      <c r="K2246" s="35">
        <v>0.0</v>
      </c>
    </row>
    <row r="2247" ht="15.75" customHeight="1">
      <c r="A2247" s="35" t="s">
        <v>6862</v>
      </c>
      <c r="B2247" s="35"/>
      <c r="C2247" s="35">
        <v>3.0</v>
      </c>
      <c r="D2247" s="35">
        <v>176.0</v>
      </c>
      <c r="E2247" s="35">
        <v>46027.0</v>
      </c>
      <c r="F2247" s="35">
        <v>0.0</v>
      </c>
      <c r="G2247" s="35">
        <v>1.0</v>
      </c>
      <c r="H2247" s="35">
        <v>0.0</v>
      </c>
      <c r="I2247" s="35">
        <v>0.0</v>
      </c>
      <c r="J2247" s="35"/>
      <c r="K2247" s="35">
        <v>0.0</v>
      </c>
    </row>
    <row r="2248" ht="15.75" customHeight="1">
      <c r="A2248" s="35" t="s">
        <v>6864</v>
      </c>
      <c r="B2248" s="35"/>
      <c r="C2248" s="35">
        <v>3.0</v>
      </c>
      <c r="D2248" s="35" t="s">
        <v>2043</v>
      </c>
      <c r="E2248" s="35">
        <v>46027.0</v>
      </c>
      <c r="F2248" s="35">
        <v>0.0</v>
      </c>
      <c r="G2248" s="35">
        <v>1.0</v>
      </c>
      <c r="H2248" s="35">
        <v>0.0</v>
      </c>
      <c r="I2248" s="35">
        <v>0.0</v>
      </c>
      <c r="J2248" s="35"/>
      <c r="K2248" s="35">
        <v>0.0</v>
      </c>
    </row>
    <row r="2249" ht="15.75" customHeight="1">
      <c r="A2249" s="35" t="s">
        <v>6865</v>
      </c>
      <c r="B2249" s="35"/>
      <c r="C2249" s="35">
        <v>3.0</v>
      </c>
      <c r="D2249" s="35" t="s">
        <v>4635</v>
      </c>
      <c r="E2249" s="35">
        <v>46027.0</v>
      </c>
      <c r="F2249" s="35">
        <v>0.0</v>
      </c>
      <c r="G2249" s="35">
        <v>4.0</v>
      </c>
      <c r="H2249" s="35">
        <v>0.0</v>
      </c>
      <c r="I2249" s="35">
        <v>0.0</v>
      </c>
      <c r="J2249" s="35"/>
      <c r="K2249" s="35">
        <v>0.0</v>
      </c>
    </row>
    <row r="2250" ht="15.75" customHeight="1">
      <c r="A2250" s="35" t="s">
        <v>6866</v>
      </c>
      <c r="B2250" s="35"/>
      <c r="C2250" s="35">
        <v>3.0</v>
      </c>
      <c r="D2250" s="35">
        <v>110.0</v>
      </c>
      <c r="E2250" s="35">
        <v>46027.0</v>
      </c>
      <c r="F2250" s="35">
        <v>0.0</v>
      </c>
      <c r="G2250" s="35">
        <v>1.0</v>
      </c>
      <c r="H2250" s="35">
        <v>0.0</v>
      </c>
      <c r="I2250" s="35">
        <v>0.0</v>
      </c>
      <c r="J2250" s="35"/>
      <c r="K2250" s="35">
        <v>0.0</v>
      </c>
    </row>
    <row r="2251" ht="15.75" customHeight="1">
      <c r="A2251" s="35" t="s">
        <v>6868</v>
      </c>
      <c r="B2251" s="35"/>
      <c r="C2251" s="35">
        <v>3.0</v>
      </c>
      <c r="D2251" s="35">
        <v>356.0</v>
      </c>
      <c r="E2251" s="35">
        <v>46027.0</v>
      </c>
      <c r="F2251" s="35">
        <v>0.0</v>
      </c>
      <c r="G2251" s="35">
        <v>2.0</v>
      </c>
      <c r="H2251" s="35">
        <v>0.0</v>
      </c>
      <c r="I2251" s="35">
        <v>0.0</v>
      </c>
      <c r="J2251" s="35"/>
      <c r="K2251" s="35">
        <v>0.0</v>
      </c>
    </row>
    <row r="2252" ht="15.75" customHeight="1">
      <c r="A2252" s="35" t="s">
        <v>6869</v>
      </c>
      <c r="B2252" s="35"/>
      <c r="C2252" s="35">
        <v>3.0</v>
      </c>
      <c r="D2252" s="35">
        <v>132.0</v>
      </c>
      <c r="E2252" s="35">
        <v>46027.0</v>
      </c>
      <c r="F2252" s="35">
        <v>0.0</v>
      </c>
      <c r="G2252" s="35">
        <v>2.0</v>
      </c>
      <c r="H2252" s="35">
        <v>0.0</v>
      </c>
      <c r="I2252" s="35">
        <v>0.0</v>
      </c>
      <c r="J2252" s="35"/>
      <c r="K2252" s="35">
        <v>0.0</v>
      </c>
    </row>
    <row r="2253" ht="15.75" customHeight="1">
      <c r="A2253" s="35" t="s">
        <v>6871</v>
      </c>
      <c r="B2253" s="35"/>
      <c r="C2253" s="35">
        <v>3.0</v>
      </c>
      <c r="D2253" s="35">
        <v>486.0</v>
      </c>
      <c r="E2253" s="35">
        <v>46027.0</v>
      </c>
      <c r="F2253" s="35">
        <v>0.0</v>
      </c>
      <c r="G2253" s="35">
        <v>4.0</v>
      </c>
      <c r="H2253" s="35">
        <v>0.0</v>
      </c>
      <c r="I2253" s="35">
        <v>0.0</v>
      </c>
      <c r="J2253" s="35"/>
      <c r="K2253" s="35">
        <v>0.0</v>
      </c>
    </row>
    <row r="2254" ht="15.75" customHeight="1">
      <c r="A2254" s="35" t="s">
        <v>6872</v>
      </c>
      <c r="B2254" s="35"/>
      <c r="C2254" s="35">
        <v>3.0</v>
      </c>
      <c r="D2254" s="35" t="s">
        <v>4489</v>
      </c>
      <c r="E2254" s="35">
        <v>46027.0</v>
      </c>
      <c r="F2254" s="35">
        <v>0.0</v>
      </c>
      <c r="G2254" s="35">
        <v>94.0</v>
      </c>
      <c r="H2254" s="35">
        <v>0.0</v>
      </c>
      <c r="I2254" s="35">
        <v>0.0</v>
      </c>
      <c r="J2254" s="35"/>
      <c r="K2254" s="35">
        <v>0.0</v>
      </c>
    </row>
    <row r="2255" ht="15.75" customHeight="1">
      <c r="A2255" s="35" t="s">
        <v>6873</v>
      </c>
      <c r="B2255" s="35"/>
      <c r="C2255" s="35">
        <v>3.0</v>
      </c>
      <c r="D2255" s="35" t="s">
        <v>5330</v>
      </c>
      <c r="E2255" s="35">
        <v>46027.0</v>
      </c>
      <c r="F2255" s="35">
        <v>0.0</v>
      </c>
      <c r="G2255" s="35">
        <v>2.0</v>
      </c>
      <c r="H2255" s="35">
        <v>0.0</v>
      </c>
      <c r="I2255" s="35">
        <v>0.0</v>
      </c>
      <c r="J2255" s="35"/>
      <c r="K2255" s="35">
        <v>0.0</v>
      </c>
    </row>
    <row r="2256" ht="15.75" customHeight="1">
      <c r="A2256" s="35" t="s">
        <v>6875</v>
      </c>
      <c r="B2256" s="35"/>
      <c r="C2256" s="35">
        <v>3.0</v>
      </c>
      <c r="D2256" s="35" t="s">
        <v>4635</v>
      </c>
      <c r="E2256" s="35">
        <v>46027.0</v>
      </c>
      <c r="F2256" s="35">
        <v>0.0</v>
      </c>
      <c r="G2256" s="35">
        <v>1.0</v>
      </c>
      <c r="H2256" s="35">
        <v>0.0</v>
      </c>
      <c r="I2256" s="35">
        <v>0.0</v>
      </c>
      <c r="J2256" s="35"/>
      <c r="K2256" s="35">
        <v>0.0</v>
      </c>
    </row>
    <row r="2257" ht="15.75" customHeight="1">
      <c r="A2257" s="35" t="s">
        <v>6876</v>
      </c>
      <c r="B2257" s="35"/>
      <c r="C2257" s="35">
        <v>3.0</v>
      </c>
      <c r="D2257" s="35" t="s">
        <v>3776</v>
      </c>
      <c r="E2257" s="35">
        <v>46027.0</v>
      </c>
      <c r="F2257" s="35">
        <v>0.0</v>
      </c>
      <c r="G2257" s="35">
        <v>2.0</v>
      </c>
      <c r="H2257" s="35">
        <v>0.0</v>
      </c>
      <c r="I2257" s="35">
        <v>0.0</v>
      </c>
      <c r="J2257" s="35"/>
      <c r="K2257" s="35">
        <v>0.0</v>
      </c>
    </row>
    <row r="2258" ht="15.75" customHeight="1">
      <c r="A2258" s="35" t="s">
        <v>6878</v>
      </c>
      <c r="B2258" s="35"/>
      <c r="C2258" s="35">
        <v>3.0</v>
      </c>
      <c r="D2258" s="35">
        <v>769.0</v>
      </c>
      <c r="E2258" s="35">
        <v>46027.0</v>
      </c>
      <c r="F2258" s="35">
        <v>0.0</v>
      </c>
      <c r="G2258" s="35">
        <v>0.0</v>
      </c>
      <c r="H2258" s="35">
        <v>0.0</v>
      </c>
      <c r="I2258" s="35">
        <v>4.0</v>
      </c>
      <c r="J2258" s="35"/>
      <c r="K2258" s="35">
        <v>0.0</v>
      </c>
    </row>
    <row r="2259" ht="15.75" customHeight="1">
      <c r="A2259" s="35" t="s">
        <v>6879</v>
      </c>
      <c r="B2259" s="35"/>
      <c r="C2259" s="35">
        <v>3.0</v>
      </c>
      <c r="D2259" s="35" t="s">
        <v>4635</v>
      </c>
      <c r="E2259" s="35">
        <v>46027.0</v>
      </c>
      <c r="F2259" s="35">
        <v>0.0</v>
      </c>
      <c r="G2259" s="35">
        <v>1.0</v>
      </c>
      <c r="H2259" s="35">
        <v>0.0</v>
      </c>
      <c r="I2259" s="35">
        <v>0.0</v>
      </c>
      <c r="J2259" s="35"/>
      <c r="K2259" s="35">
        <v>0.0</v>
      </c>
    </row>
    <row r="2260" ht="15.75" customHeight="1">
      <c r="A2260" s="35" t="s">
        <v>6881</v>
      </c>
      <c r="B2260" s="35"/>
      <c r="C2260" s="35">
        <v>3.0</v>
      </c>
      <c r="D2260" s="35" t="s">
        <v>2144</v>
      </c>
      <c r="E2260" s="35">
        <v>46027.0</v>
      </c>
      <c r="F2260" s="35">
        <v>0.0</v>
      </c>
      <c r="G2260" s="35">
        <v>1.0</v>
      </c>
      <c r="H2260" s="35">
        <v>0.0</v>
      </c>
      <c r="I2260" s="35">
        <v>0.0</v>
      </c>
      <c r="J2260" s="35"/>
      <c r="K2260" s="35">
        <v>0.0</v>
      </c>
    </row>
    <row r="2261" ht="15.75" customHeight="1">
      <c r="A2261" s="35" t="s">
        <v>6882</v>
      </c>
      <c r="B2261" s="35"/>
      <c r="C2261" s="35">
        <v>3.0</v>
      </c>
      <c r="D2261" s="35">
        <v>125.0</v>
      </c>
      <c r="E2261" s="35">
        <v>46027.0</v>
      </c>
      <c r="F2261" s="35">
        <v>0.0</v>
      </c>
      <c r="G2261" s="35">
        <v>2.0</v>
      </c>
      <c r="H2261" s="35">
        <v>0.0</v>
      </c>
      <c r="I2261" s="35">
        <v>0.0</v>
      </c>
      <c r="J2261" s="35"/>
      <c r="K2261" s="35">
        <v>0.0</v>
      </c>
    </row>
    <row r="2262" ht="15.75" customHeight="1">
      <c r="A2262" s="35" t="s">
        <v>6884</v>
      </c>
      <c r="B2262" s="35"/>
      <c r="C2262" s="35">
        <v>3.0</v>
      </c>
      <c r="D2262" s="35" t="s">
        <v>4635</v>
      </c>
      <c r="E2262" s="35">
        <v>46027.0</v>
      </c>
      <c r="F2262" s="35">
        <v>0.0</v>
      </c>
      <c r="G2262" s="35">
        <v>3.0</v>
      </c>
      <c r="H2262" s="35">
        <v>0.0</v>
      </c>
      <c r="I2262" s="35">
        <v>0.0</v>
      </c>
      <c r="J2262" s="35"/>
      <c r="K2262" s="35">
        <v>0.0</v>
      </c>
    </row>
    <row r="2263" ht="15.75" customHeight="1">
      <c r="A2263" s="35" t="s">
        <v>6885</v>
      </c>
      <c r="B2263" s="35"/>
      <c r="C2263" s="35">
        <v>3.0</v>
      </c>
      <c r="D2263" s="35" t="s">
        <v>2005</v>
      </c>
      <c r="E2263" s="35">
        <v>46027.0</v>
      </c>
      <c r="F2263" s="35">
        <v>0.0</v>
      </c>
      <c r="G2263" s="35">
        <v>1.0</v>
      </c>
      <c r="H2263" s="35">
        <v>0.0</v>
      </c>
      <c r="I2263" s="35">
        <v>0.0</v>
      </c>
      <c r="J2263" s="35"/>
      <c r="K2263" s="35">
        <v>0.0</v>
      </c>
    </row>
    <row r="2264" ht="15.75" customHeight="1">
      <c r="A2264" s="35" t="s">
        <v>6887</v>
      </c>
      <c r="B2264" s="35"/>
      <c r="C2264" s="35">
        <v>3.0</v>
      </c>
      <c r="D2264" s="35">
        <v>293.0</v>
      </c>
      <c r="E2264" s="35">
        <v>46027.0</v>
      </c>
      <c r="F2264" s="35">
        <v>0.0</v>
      </c>
      <c r="G2264" s="35">
        <v>1.0</v>
      </c>
      <c r="H2264" s="35">
        <v>0.0</v>
      </c>
      <c r="I2264" s="35">
        <v>0.0</v>
      </c>
      <c r="J2264" s="35"/>
      <c r="K2264" s="35">
        <v>0.0</v>
      </c>
    </row>
    <row r="2265" ht="15.75" customHeight="1">
      <c r="A2265" s="35" t="s">
        <v>6889</v>
      </c>
      <c r="B2265" s="35"/>
      <c r="C2265" s="35">
        <v>3.0</v>
      </c>
      <c r="D2265" s="35">
        <v>372.0</v>
      </c>
      <c r="E2265" s="35">
        <v>46027.0</v>
      </c>
      <c r="F2265" s="35">
        <v>0.0</v>
      </c>
      <c r="G2265" s="35">
        <v>1.0</v>
      </c>
      <c r="H2265" s="35">
        <v>0.0</v>
      </c>
      <c r="I2265" s="35">
        <v>0.0</v>
      </c>
      <c r="J2265" s="35"/>
      <c r="K2265" s="35">
        <v>0.0</v>
      </c>
    </row>
    <row r="2266" ht="15.75" customHeight="1">
      <c r="A2266" s="35" t="s">
        <v>6890</v>
      </c>
      <c r="B2266" s="35"/>
      <c r="C2266" s="35">
        <v>3.0</v>
      </c>
      <c r="D2266" s="35">
        <v>243.0</v>
      </c>
      <c r="E2266" s="35">
        <v>46027.0</v>
      </c>
      <c r="F2266" s="35">
        <v>0.0</v>
      </c>
      <c r="G2266" s="35">
        <v>4.0</v>
      </c>
      <c r="H2266" s="35">
        <v>0.0</v>
      </c>
      <c r="I2266" s="35">
        <v>0.0</v>
      </c>
      <c r="J2266" s="35"/>
      <c r="K2266" s="35">
        <v>0.0</v>
      </c>
    </row>
    <row r="2267" ht="15.75" customHeight="1">
      <c r="A2267" s="35" t="s">
        <v>6892</v>
      </c>
      <c r="B2267" s="35"/>
      <c r="C2267" s="35">
        <v>3.0</v>
      </c>
      <c r="D2267" s="35" t="s">
        <v>2039</v>
      </c>
      <c r="E2267" s="35">
        <v>46027.0</v>
      </c>
      <c r="F2267" s="35">
        <v>0.0</v>
      </c>
      <c r="G2267" s="35">
        <v>1.0</v>
      </c>
      <c r="H2267" s="35">
        <v>0.0</v>
      </c>
      <c r="I2267" s="35">
        <v>0.0</v>
      </c>
      <c r="J2267" s="35"/>
      <c r="K2267" s="35">
        <v>0.0</v>
      </c>
    </row>
    <row r="2268" ht="15.75" customHeight="1">
      <c r="A2268" s="35" t="s">
        <v>6893</v>
      </c>
      <c r="B2268" s="35"/>
      <c r="C2268" s="35">
        <v>3.0</v>
      </c>
      <c r="D2268" s="35" t="s">
        <v>4446</v>
      </c>
      <c r="E2268" s="35">
        <v>46027.0</v>
      </c>
      <c r="F2268" s="35">
        <v>0.0</v>
      </c>
      <c r="G2268" s="35">
        <v>2.0</v>
      </c>
      <c r="H2268" s="35">
        <v>0.0</v>
      </c>
      <c r="I2268" s="35">
        <v>0.0</v>
      </c>
      <c r="J2268" s="35"/>
      <c r="K2268" s="35">
        <v>0.0</v>
      </c>
    </row>
    <row r="2269" ht="15.75" customHeight="1">
      <c r="A2269" s="35" t="s">
        <v>6895</v>
      </c>
      <c r="B2269" s="35"/>
      <c r="C2269" s="35">
        <v>3.0</v>
      </c>
      <c r="D2269" s="35">
        <v>669.0</v>
      </c>
      <c r="E2269" s="35">
        <v>46027.0</v>
      </c>
      <c r="F2269" s="35">
        <v>0.0</v>
      </c>
      <c r="G2269" s="35">
        <v>2.0</v>
      </c>
      <c r="H2269" s="35">
        <v>0.0</v>
      </c>
      <c r="I2269" s="35">
        <v>0.0</v>
      </c>
      <c r="J2269" s="35"/>
      <c r="K2269" s="35">
        <v>0.0</v>
      </c>
    </row>
    <row r="2270" ht="15.75" customHeight="1">
      <c r="A2270" s="35" t="s">
        <v>6896</v>
      </c>
      <c r="B2270" s="35"/>
      <c r="C2270" s="35">
        <v>3.0</v>
      </c>
      <c r="D2270" s="35" t="s">
        <v>2016</v>
      </c>
      <c r="E2270" s="35">
        <v>46027.0</v>
      </c>
      <c r="F2270" s="35">
        <v>0.0</v>
      </c>
      <c r="G2270" s="35">
        <v>1.0</v>
      </c>
      <c r="H2270" s="35">
        <v>0.0</v>
      </c>
      <c r="I2270" s="35">
        <v>0.0</v>
      </c>
      <c r="J2270" s="35"/>
      <c r="K2270" s="35">
        <v>0.0</v>
      </c>
    </row>
    <row r="2271" ht="15.75" customHeight="1">
      <c r="A2271" s="35" t="s">
        <v>6898</v>
      </c>
      <c r="B2271" s="35"/>
      <c r="C2271" s="35">
        <v>3.0</v>
      </c>
      <c r="D2271" s="35">
        <v>270.0</v>
      </c>
      <c r="E2271" s="35">
        <v>46027.0</v>
      </c>
      <c r="F2271" s="35">
        <v>0.0</v>
      </c>
      <c r="G2271" s="35">
        <v>1.0</v>
      </c>
      <c r="H2271" s="35">
        <v>0.0</v>
      </c>
      <c r="I2271" s="35">
        <v>0.0</v>
      </c>
      <c r="J2271" s="35"/>
      <c r="K2271" s="35">
        <v>0.0</v>
      </c>
    </row>
    <row r="2272" ht="15.75" customHeight="1">
      <c r="A2272" s="35" t="s">
        <v>6899</v>
      </c>
      <c r="B2272" s="35"/>
      <c r="C2272" s="35">
        <v>3.0</v>
      </c>
      <c r="D2272" s="35" t="s">
        <v>2039</v>
      </c>
      <c r="E2272" s="35">
        <v>46027.0</v>
      </c>
      <c r="F2272" s="35">
        <v>0.0</v>
      </c>
      <c r="G2272" s="35">
        <v>232.0</v>
      </c>
      <c r="H2272" s="35">
        <v>0.0</v>
      </c>
      <c r="I2272" s="35">
        <v>0.0</v>
      </c>
      <c r="J2272" s="35"/>
      <c r="K2272" s="35">
        <v>0.0</v>
      </c>
    </row>
    <row r="2273" ht="15.75" customHeight="1">
      <c r="A2273" s="35" t="s">
        <v>6901</v>
      </c>
      <c r="B2273" s="35"/>
      <c r="C2273" s="35">
        <v>3.0</v>
      </c>
      <c r="D2273" s="35">
        <v>641.0</v>
      </c>
      <c r="E2273" s="35">
        <v>46027.0</v>
      </c>
      <c r="F2273" s="35">
        <v>0.0</v>
      </c>
      <c r="G2273" s="35">
        <v>2.0</v>
      </c>
      <c r="H2273" s="35">
        <v>0.0</v>
      </c>
      <c r="I2273" s="35">
        <v>0.0</v>
      </c>
      <c r="J2273" s="35"/>
      <c r="K2273" s="35">
        <v>0.0</v>
      </c>
    </row>
    <row r="2274" ht="15.75" customHeight="1">
      <c r="A2274" s="35" t="s">
        <v>6902</v>
      </c>
      <c r="B2274" s="35"/>
      <c r="C2274" s="35">
        <v>3.0</v>
      </c>
      <c r="D2274" s="35">
        <v>210.0</v>
      </c>
      <c r="E2274" s="35">
        <v>46027.0</v>
      </c>
      <c r="F2274" s="35">
        <v>0.0</v>
      </c>
      <c r="G2274" s="35">
        <v>2.0</v>
      </c>
      <c r="H2274" s="35">
        <v>0.0</v>
      </c>
      <c r="I2274" s="35">
        <v>0.0</v>
      </c>
      <c r="J2274" s="35"/>
      <c r="K2274" s="35">
        <v>0.0</v>
      </c>
    </row>
    <row r="2275" ht="15.75" customHeight="1">
      <c r="A2275" s="35" t="s">
        <v>6903</v>
      </c>
      <c r="B2275" s="35"/>
      <c r="C2275" s="35">
        <v>3.0</v>
      </c>
      <c r="D2275" s="35" t="s">
        <v>4635</v>
      </c>
      <c r="E2275" s="35">
        <v>46027.0</v>
      </c>
      <c r="F2275" s="35">
        <v>0.0</v>
      </c>
      <c r="G2275" s="35">
        <v>2.0</v>
      </c>
      <c r="H2275" s="35">
        <v>0.0</v>
      </c>
      <c r="I2275" s="35">
        <v>0.0</v>
      </c>
      <c r="J2275" s="35"/>
      <c r="K2275" s="35">
        <v>0.0</v>
      </c>
    </row>
    <row r="2276" ht="15.75" customHeight="1">
      <c r="A2276" s="35" t="s">
        <v>6905</v>
      </c>
      <c r="B2276" s="35"/>
      <c r="C2276" s="35">
        <v>3.0</v>
      </c>
      <c r="D2276" s="35">
        <v>89.0</v>
      </c>
      <c r="E2276" s="35">
        <v>46027.0</v>
      </c>
      <c r="F2276" s="35">
        <v>0.0</v>
      </c>
      <c r="G2276" s="35">
        <v>1.0</v>
      </c>
      <c r="H2276" s="35">
        <v>0.0</v>
      </c>
      <c r="I2276" s="35">
        <v>0.0</v>
      </c>
      <c r="J2276" s="35"/>
      <c r="K2276" s="35">
        <v>0.0</v>
      </c>
    </row>
    <row r="2277" ht="15.75" customHeight="1">
      <c r="A2277" s="35" t="s">
        <v>6906</v>
      </c>
      <c r="B2277" s="35"/>
      <c r="C2277" s="35">
        <v>3.0</v>
      </c>
      <c r="D2277" s="35" t="s">
        <v>4635</v>
      </c>
      <c r="E2277" s="35">
        <v>46027.0</v>
      </c>
      <c r="F2277" s="35">
        <v>0.0</v>
      </c>
      <c r="G2277" s="35">
        <v>18.0</v>
      </c>
      <c r="H2277" s="35">
        <v>0.0</v>
      </c>
      <c r="I2277" s="35">
        <v>0.0</v>
      </c>
      <c r="J2277" s="35"/>
      <c r="K2277" s="35">
        <v>0.0</v>
      </c>
    </row>
    <row r="2278" ht="15.75" customHeight="1">
      <c r="A2278" s="35" t="s">
        <v>6908</v>
      </c>
      <c r="B2278" s="35"/>
      <c r="C2278" s="35">
        <v>3.0</v>
      </c>
      <c r="D2278" s="35" t="s">
        <v>5444</v>
      </c>
      <c r="E2278" s="35">
        <v>46027.0</v>
      </c>
      <c r="F2278" s="35">
        <v>0.0</v>
      </c>
      <c r="G2278" s="35">
        <v>1.0</v>
      </c>
      <c r="H2278" s="35">
        <v>0.0</v>
      </c>
      <c r="I2278" s="35">
        <v>0.0</v>
      </c>
      <c r="J2278" s="35"/>
      <c r="K2278" s="35">
        <v>0.0</v>
      </c>
    </row>
    <row r="2279" ht="15.75" customHeight="1">
      <c r="A2279" s="35" t="s">
        <v>6909</v>
      </c>
      <c r="B2279" s="35"/>
      <c r="C2279" s="35">
        <v>2.0</v>
      </c>
      <c r="D2279" s="35" t="s">
        <v>4394</v>
      </c>
      <c r="E2279" s="35">
        <v>46117.0</v>
      </c>
      <c r="F2279" s="35">
        <v>0.0</v>
      </c>
      <c r="G2279" s="35">
        <v>9.0</v>
      </c>
      <c r="H2279" s="35">
        <v>2.0</v>
      </c>
      <c r="I2279" s="35">
        <v>2.0</v>
      </c>
      <c r="J2279" s="35"/>
      <c r="K2279" s="35">
        <v>3.0</v>
      </c>
    </row>
    <row r="2280" ht="15.75" customHeight="1">
      <c r="A2280" s="35" t="s">
        <v>6911</v>
      </c>
      <c r="B2280" s="35"/>
      <c r="C2280" s="35">
        <v>2.0</v>
      </c>
      <c r="D2280" s="35" t="s">
        <v>5861</v>
      </c>
      <c r="E2280" s="35">
        <v>46117.0</v>
      </c>
      <c r="F2280" s="35">
        <v>0.0</v>
      </c>
      <c r="G2280" s="35">
        <v>15.0</v>
      </c>
      <c r="H2280" s="35">
        <v>1.0</v>
      </c>
      <c r="I2280" s="35">
        <v>1.0</v>
      </c>
      <c r="J2280" s="35"/>
      <c r="K2280" s="35">
        <v>2.0</v>
      </c>
    </row>
    <row r="2281" ht="15.75" customHeight="1">
      <c r="A2281" s="35" t="s">
        <v>6912</v>
      </c>
      <c r="B2281" s="35"/>
      <c r="C2281" s="35">
        <v>2.0</v>
      </c>
      <c r="D2281" s="35" t="s">
        <v>6914</v>
      </c>
      <c r="E2281" s="35">
        <v>46117.0</v>
      </c>
      <c r="F2281" s="35">
        <v>0.0</v>
      </c>
      <c r="G2281" s="35">
        <v>15.0</v>
      </c>
      <c r="H2281" s="35">
        <v>1.0</v>
      </c>
      <c r="I2281" s="35">
        <v>3.0</v>
      </c>
      <c r="J2281" s="35"/>
      <c r="K2281" s="35">
        <v>1.0</v>
      </c>
    </row>
    <row r="2282" ht="15.75" customHeight="1">
      <c r="A2282" s="35" t="s">
        <v>6915</v>
      </c>
      <c r="B2282" s="35"/>
      <c r="C2282" s="35">
        <v>2.0</v>
      </c>
      <c r="D2282" s="35" t="s">
        <v>4558</v>
      </c>
      <c r="E2282" s="35">
        <v>46117.0</v>
      </c>
      <c r="F2282" s="35">
        <v>0.0</v>
      </c>
      <c r="G2282" s="35">
        <v>9.0</v>
      </c>
      <c r="H2282" s="35">
        <v>1.0</v>
      </c>
      <c r="I2282" s="35">
        <v>1.0</v>
      </c>
      <c r="J2282" s="35"/>
      <c r="K2282" s="35">
        <v>2.0</v>
      </c>
    </row>
    <row r="2283" ht="15.75" customHeight="1">
      <c r="A2283" s="35" t="s">
        <v>6916</v>
      </c>
      <c r="B2283" s="35"/>
      <c r="C2283" s="35">
        <v>2.0</v>
      </c>
      <c r="D2283" s="35" t="s">
        <v>6397</v>
      </c>
      <c r="E2283" s="35">
        <v>46117.0</v>
      </c>
      <c r="F2283" s="35">
        <v>0.0</v>
      </c>
      <c r="G2283" s="35">
        <v>20.0</v>
      </c>
      <c r="H2283" s="35">
        <v>2.0</v>
      </c>
      <c r="I2283" s="35">
        <v>6.0</v>
      </c>
      <c r="J2283" s="35"/>
      <c r="K2283" s="35">
        <v>2.0</v>
      </c>
    </row>
    <row r="2284" ht="15.75" customHeight="1">
      <c r="A2284" s="35" t="s">
        <v>6918</v>
      </c>
      <c r="B2284" s="35"/>
      <c r="C2284" s="35">
        <v>2.0</v>
      </c>
      <c r="D2284" s="35" t="s">
        <v>4838</v>
      </c>
      <c r="E2284" s="35">
        <v>46117.0</v>
      </c>
      <c r="F2284" s="35">
        <v>0.0</v>
      </c>
      <c r="G2284" s="35">
        <v>11.0</v>
      </c>
      <c r="H2284" s="35">
        <v>1.0</v>
      </c>
      <c r="I2284" s="35">
        <v>2.0</v>
      </c>
      <c r="J2284" s="35"/>
      <c r="K2284" s="35">
        <v>1.0</v>
      </c>
    </row>
    <row r="2285" ht="15.75" customHeight="1">
      <c r="A2285" s="35" t="s">
        <v>6919</v>
      </c>
      <c r="B2285" s="35"/>
      <c r="C2285" s="35">
        <v>2.0</v>
      </c>
      <c r="D2285" s="35" t="s">
        <v>2040</v>
      </c>
      <c r="E2285" s="35">
        <v>46117.0</v>
      </c>
      <c r="F2285" s="35">
        <v>0.0</v>
      </c>
      <c r="G2285" s="35">
        <v>8.0</v>
      </c>
      <c r="H2285" s="35">
        <v>1.0</v>
      </c>
      <c r="I2285" s="35">
        <v>1.0</v>
      </c>
      <c r="J2285" s="35"/>
      <c r="K2285" s="35">
        <v>1.0</v>
      </c>
    </row>
    <row r="2286" ht="15.75" customHeight="1">
      <c r="A2286" s="35" t="s">
        <v>6921</v>
      </c>
      <c r="B2286" s="35"/>
      <c r="C2286" s="35">
        <v>2.0</v>
      </c>
      <c r="D2286" s="35" t="s">
        <v>3891</v>
      </c>
      <c r="E2286" s="35">
        <v>46086.0</v>
      </c>
      <c r="F2286" s="35">
        <v>0.0</v>
      </c>
      <c r="G2286" s="35">
        <v>14.0</v>
      </c>
      <c r="H2286" s="35">
        <v>2.0</v>
      </c>
      <c r="I2286" s="35">
        <v>3.0</v>
      </c>
      <c r="J2286" s="35"/>
      <c r="K2286" s="35">
        <v>0.0</v>
      </c>
    </row>
    <row r="2287" ht="15.75" customHeight="1">
      <c r="A2287" s="35" t="s">
        <v>6922</v>
      </c>
      <c r="B2287" s="35"/>
      <c r="C2287" s="35">
        <v>2.0</v>
      </c>
      <c r="D2287" s="35" t="s">
        <v>6180</v>
      </c>
      <c r="E2287" s="35">
        <v>46086.0</v>
      </c>
      <c r="F2287" s="35">
        <v>0.0</v>
      </c>
      <c r="G2287" s="35">
        <v>11.0</v>
      </c>
      <c r="H2287" s="35">
        <v>1.0</v>
      </c>
      <c r="I2287" s="35">
        <v>1.0</v>
      </c>
      <c r="J2287" s="35"/>
      <c r="K2287" s="35">
        <v>0.0</v>
      </c>
    </row>
    <row r="2288" ht="15.75" customHeight="1">
      <c r="A2288" s="35" t="s">
        <v>6924</v>
      </c>
      <c r="B2288" s="35"/>
      <c r="C2288" s="35">
        <v>2.0</v>
      </c>
      <c r="D2288" s="35" t="s">
        <v>6925</v>
      </c>
      <c r="E2288" s="35">
        <v>46086.0</v>
      </c>
      <c r="F2288" s="35">
        <v>0.0</v>
      </c>
      <c r="G2288" s="35">
        <v>148.0</v>
      </c>
      <c r="H2288" s="35">
        <v>4.0</v>
      </c>
      <c r="I2288" s="35">
        <v>0.0</v>
      </c>
      <c r="J2288" s="35"/>
      <c r="K2288" s="35">
        <v>8.0</v>
      </c>
    </row>
    <row r="2289" ht="15.75" customHeight="1">
      <c r="A2289" s="35" t="s">
        <v>6926</v>
      </c>
      <c r="B2289" s="35"/>
      <c r="C2289" s="35">
        <v>2.0</v>
      </c>
      <c r="D2289" s="35" t="s">
        <v>4635</v>
      </c>
      <c r="E2289" s="35">
        <v>46086.0</v>
      </c>
      <c r="F2289" s="35">
        <v>0.0</v>
      </c>
      <c r="G2289" s="35">
        <v>13.0</v>
      </c>
      <c r="H2289" s="35">
        <v>1.0</v>
      </c>
      <c r="I2289" s="35">
        <v>0.0</v>
      </c>
      <c r="J2289" s="35"/>
      <c r="K2289" s="35">
        <v>1.0</v>
      </c>
    </row>
    <row r="2290" ht="15.75" customHeight="1">
      <c r="A2290" s="35" t="s">
        <v>6928</v>
      </c>
      <c r="B2290" s="35"/>
      <c r="C2290" s="35">
        <v>2.0</v>
      </c>
      <c r="D2290" s="35" t="s">
        <v>4635</v>
      </c>
      <c r="E2290" s="35">
        <v>46086.0</v>
      </c>
      <c r="F2290" s="35">
        <v>0.0</v>
      </c>
      <c r="G2290" s="35">
        <v>10.0</v>
      </c>
      <c r="H2290" s="35">
        <v>1.0</v>
      </c>
      <c r="I2290" s="35">
        <v>0.0</v>
      </c>
      <c r="J2290" s="35"/>
      <c r="K2290" s="35">
        <v>2.0</v>
      </c>
    </row>
    <row r="2291" ht="15.75" customHeight="1">
      <c r="A2291" s="35" t="s">
        <v>6929</v>
      </c>
      <c r="B2291" s="35"/>
      <c r="C2291" s="35">
        <v>2.0</v>
      </c>
      <c r="D2291" s="35" t="s">
        <v>4288</v>
      </c>
      <c r="E2291" s="35">
        <v>46086.0</v>
      </c>
      <c r="F2291" s="35">
        <v>0.0</v>
      </c>
      <c r="G2291" s="35">
        <v>11.0</v>
      </c>
      <c r="H2291" s="35">
        <v>0.0</v>
      </c>
      <c r="I2291" s="35">
        <v>1.0</v>
      </c>
      <c r="J2291" s="35"/>
      <c r="K2291" s="35">
        <v>3.0</v>
      </c>
    </row>
    <row r="2292" ht="15.75" customHeight="1">
      <c r="A2292" s="35" t="s">
        <v>6931</v>
      </c>
      <c r="B2292" s="35"/>
      <c r="C2292" s="35">
        <v>2.0</v>
      </c>
      <c r="D2292" s="35" t="s">
        <v>4635</v>
      </c>
      <c r="E2292" s="35">
        <v>46058.0</v>
      </c>
      <c r="F2292" s="35">
        <v>0.0</v>
      </c>
      <c r="G2292" s="35">
        <v>2.0</v>
      </c>
      <c r="H2292" s="35">
        <v>1.0</v>
      </c>
      <c r="I2292" s="35">
        <v>0.0</v>
      </c>
      <c r="J2292" s="35"/>
      <c r="K2292" s="35">
        <v>0.0</v>
      </c>
    </row>
    <row r="2293" ht="15.75" customHeight="1">
      <c r="A2293" s="35" t="s">
        <v>6932</v>
      </c>
      <c r="B2293" s="35"/>
      <c r="C2293" s="35">
        <v>2.0</v>
      </c>
      <c r="D2293" s="35" t="s">
        <v>5134</v>
      </c>
      <c r="E2293" s="35">
        <v>46058.0</v>
      </c>
      <c r="F2293" s="35">
        <v>0.0</v>
      </c>
      <c r="G2293" s="35">
        <v>3.0</v>
      </c>
      <c r="H2293" s="35">
        <v>1.0</v>
      </c>
      <c r="I2293" s="35">
        <v>0.0</v>
      </c>
      <c r="J2293" s="35"/>
      <c r="K2293" s="35">
        <v>0.0</v>
      </c>
    </row>
    <row r="2294" ht="15.75" customHeight="1">
      <c r="A2294" s="35" t="s">
        <v>6934</v>
      </c>
      <c r="B2294" s="35"/>
      <c r="C2294" s="35">
        <v>2.0</v>
      </c>
      <c r="D2294" s="35">
        <v>795.0</v>
      </c>
      <c r="E2294" s="35">
        <v>46058.0</v>
      </c>
      <c r="F2294" s="35">
        <v>0.0</v>
      </c>
      <c r="G2294" s="35">
        <v>1.0</v>
      </c>
      <c r="H2294" s="35">
        <v>1.0</v>
      </c>
      <c r="I2294" s="35">
        <v>0.0</v>
      </c>
      <c r="J2294" s="35"/>
      <c r="K2294" s="35">
        <v>0.0</v>
      </c>
    </row>
    <row r="2295" ht="15.75" customHeight="1">
      <c r="A2295" s="35" t="s">
        <v>6935</v>
      </c>
      <c r="B2295" s="35"/>
      <c r="C2295" s="35">
        <v>2.0</v>
      </c>
      <c r="D2295" s="35" t="s">
        <v>4635</v>
      </c>
      <c r="E2295" s="35">
        <v>46058.0</v>
      </c>
      <c r="F2295" s="35">
        <v>0.0</v>
      </c>
      <c r="G2295" s="35">
        <v>7.0</v>
      </c>
      <c r="H2295" s="35">
        <v>1.0</v>
      </c>
      <c r="I2295" s="35">
        <v>0.0</v>
      </c>
      <c r="J2295" s="35"/>
      <c r="K2295" s="35">
        <v>0.0</v>
      </c>
    </row>
    <row r="2296" ht="15.75" customHeight="1">
      <c r="A2296" s="35" t="s">
        <v>6936</v>
      </c>
      <c r="B2296" s="35"/>
      <c r="C2296" s="35">
        <v>2.0</v>
      </c>
      <c r="D2296" s="35" t="s">
        <v>4635</v>
      </c>
      <c r="E2296" s="35">
        <v>46058.0</v>
      </c>
      <c r="F2296" s="35">
        <v>0.0</v>
      </c>
      <c r="G2296" s="35">
        <v>1.0</v>
      </c>
      <c r="H2296" s="35">
        <v>0.0</v>
      </c>
      <c r="I2296" s="35">
        <v>1.0</v>
      </c>
      <c r="J2296" s="35"/>
      <c r="K2296" s="35">
        <v>0.0</v>
      </c>
    </row>
    <row r="2297" ht="15.75" customHeight="1">
      <c r="A2297" s="35" t="s">
        <v>6938</v>
      </c>
      <c r="B2297" s="35"/>
      <c r="C2297" s="35">
        <v>2.0</v>
      </c>
      <c r="D2297" s="35" t="s">
        <v>4629</v>
      </c>
      <c r="E2297" s="35">
        <v>46058.0</v>
      </c>
      <c r="F2297" s="35">
        <v>0.0</v>
      </c>
      <c r="G2297" s="35">
        <v>1.0</v>
      </c>
      <c r="H2297" s="35">
        <v>123.0</v>
      </c>
      <c r="I2297" s="35">
        <v>0.0</v>
      </c>
      <c r="J2297" s="35"/>
      <c r="K2297" s="35">
        <v>0.0</v>
      </c>
    </row>
    <row r="2298" ht="15.75" customHeight="1">
      <c r="A2298" s="35" t="s">
        <v>6939</v>
      </c>
      <c r="B2298" s="35"/>
      <c r="C2298" s="35">
        <v>2.0</v>
      </c>
      <c r="D2298" s="35">
        <v>219.0</v>
      </c>
      <c r="E2298" s="35">
        <v>46058.0</v>
      </c>
      <c r="F2298" s="35">
        <v>0.0</v>
      </c>
      <c r="G2298" s="35">
        <v>1.0</v>
      </c>
      <c r="H2298" s="35">
        <v>1.0</v>
      </c>
      <c r="I2298" s="35">
        <v>0.0</v>
      </c>
      <c r="J2298" s="35"/>
      <c r="K2298" s="35">
        <v>0.0</v>
      </c>
    </row>
    <row r="2299" ht="15.75" customHeight="1">
      <c r="A2299" s="35" t="s">
        <v>6941</v>
      </c>
      <c r="B2299" s="35"/>
      <c r="C2299" s="35">
        <v>2.0</v>
      </c>
      <c r="D2299" s="35" t="s">
        <v>4197</v>
      </c>
      <c r="E2299" s="35">
        <v>46058.0</v>
      </c>
      <c r="F2299" s="35">
        <v>0.0</v>
      </c>
      <c r="G2299" s="35">
        <v>4.0</v>
      </c>
      <c r="H2299" s="35">
        <v>0.0</v>
      </c>
      <c r="I2299" s="35">
        <v>0.0</v>
      </c>
      <c r="J2299" s="35"/>
      <c r="K2299" s="35">
        <v>1.0</v>
      </c>
    </row>
    <row r="2300" ht="15.75" customHeight="1">
      <c r="A2300" s="35" t="s">
        <v>6942</v>
      </c>
      <c r="B2300" s="35"/>
      <c r="C2300" s="35">
        <v>2.0</v>
      </c>
      <c r="D2300" s="35" t="s">
        <v>2043</v>
      </c>
      <c r="E2300" s="35">
        <v>46058.0</v>
      </c>
      <c r="F2300" s="35">
        <v>0.0</v>
      </c>
      <c r="G2300" s="35">
        <v>10.0</v>
      </c>
      <c r="H2300" s="35">
        <v>0.0</v>
      </c>
      <c r="I2300" s="35">
        <v>0.0</v>
      </c>
      <c r="J2300" s="35"/>
      <c r="K2300" s="35">
        <v>1.0</v>
      </c>
    </row>
    <row r="2301" ht="15.75" customHeight="1">
      <c r="A2301" s="35" t="s">
        <v>6944</v>
      </c>
      <c r="B2301" s="35"/>
      <c r="C2301" s="35">
        <v>2.0</v>
      </c>
      <c r="D2301" s="35">
        <v>20.0</v>
      </c>
      <c r="E2301" s="35">
        <v>46058.0</v>
      </c>
      <c r="F2301" s="35">
        <v>0.0</v>
      </c>
      <c r="G2301" s="35">
        <v>0.0</v>
      </c>
      <c r="H2301" s="35">
        <v>1.0</v>
      </c>
      <c r="I2301" s="35">
        <v>1.0</v>
      </c>
      <c r="J2301" s="35"/>
      <c r="K2301" s="35">
        <v>0.0</v>
      </c>
    </row>
    <row r="2302" ht="15.75" customHeight="1">
      <c r="A2302" s="35" t="s">
        <v>6945</v>
      </c>
      <c r="B2302" s="35"/>
      <c r="C2302" s="35">
        <v>2.0</v>
      </c>
      <c r="D2302" s="35" t="s">
        <v>2018</v>
      </c>
      <c r="E2302" s="35">
        <v>46058.0</v>
      </c>
      <c r="F2302" s="35">
        <v>0.0</v>
      </c>
      <c r="G2302" s="35">
        <v>3.0</v>
      </c>
      <c r="H2302" s="35">
        <v>1.0</v>
      </c>
      <c r="I2302" s="35">
        <v>0.0</v>
      </c>
      <c r="J2302" s="35"/>
      <c r="K2302" s="35">
        <v>0.0</v>
      </c>
    </row>
    <row r="2303" ht="15.75" customHeight="1">
      <c r="A2303" s="35" t="s">
        <v>6947</v>
      </c>
      <c r="B2303" s="35"/>
      <c r="C2303" s="35">
        <v>2.0</v>
      </c>
      <c r="D2303" s="35" t="s">
        <v>4841</v>
      </c>
      <c r="E2303" s="35">
        <v>46058.0</v>
      </c>
      <c r="F2303" s="35">
        <v>0.0</v>
      </c>
      <c r="G2303" s="35">
        <v>2.0</v>
      </c>
      <c r="H2303" s="35">
        <v>0.0</v>
      </c>
      <c r="I2303" s="35">
        <v>1.0</v>
      </c>
      <c r="J2303" s="35"/>
      <c r="K2303" s="35">
        <v>0.0</v>
      </c>
    </row>
    <row r="2304" ht="15.75" customHeight="1">
      <c r="A2304" s="35" t="s">
        <v>6948</v>
      </c>
      <c r="B2304" s="35"/>
      <c r="C2304" s="35">
        <v>2.0</v>
      </c>
      <c r="D2304" s="35" t="s">
        <v>2005</v>
      </c>
      <c r="E2304" s="35">
        <v>46058.0</v>
      </c>
      <c r="F2304" s="35">
        <v>0.0</v>
      </c>
      <c r="G2304" s="35">
        <v>4.0</v>
      </c>
      <c r="H2304" s="35">
        <v>3.0</v>
      </c>
      <c r="I2304" s="35">
        <v>0.0</v>
      </c>
      <c r="J2304" s="35"/>
      <c r="K2304" s="35">
        <v>0.0</v>
      </c>
    </row>
    <row r="2305" ht="15.75" customHeight="1">
      <c r="A2305" s="35" t="s">
        <v>6950</v>
      </c>
      <c r="B2305" s="35"/>
      <c r="C2305" s="35">
        <v>2.0</v>
      </c>
      <c r="D2305" s="35" t="s">
        <v>4635</v>
      </c>
      <c r="E2305" s="35">
        <v>46058.0</v>
      </c>
      <c r="F2305" s="35">
        <v>0.0</v>
      </c>
      <c r="G2305" s="35">
        <v>0.0</v>
      </c>
      <c r="H2305" s="35">
        <v>24.0</v>
      </c>
      <c r="I2305" s="35">
        <v>21.0</v>
      </c>
      <c r="J2305" s="35"/>
      <c r="K2305" s="35">
        <v>0.0</v>
      </c>
    </row>
    <row r="2306" ht="15.75" customHeight="1">
      <c r="A2306" s="35" t="s">
        <v>6951</v>
      </c>
      <c r="B2306" s="35"/>
      <c r="C2306" s="35">
        <v>2.0</v>
      </c>
      <c r="D2306" s="35">
        <v>928.0</v>
      </c>
      <c r="E2306" s="35">
        <v>46058.0</v>
      </c>
      <c r="F2306" s="35">
        <v>0.0</v>
      </c>
      <c r="G2306" s="35">
        <v>2.0</v>
      </c>
      <c r="H2306" s="35">
        <v>1.0</v>
      </c>
      <c r="I2306" s="35">
        <v>0.0</v>
      </c>
      <c r="J2306" s="35"/>
      <c r="K2306" s="35">
        <v>0.0</v>
      </c>
    </row>
    <row r="2307" ht="15.75" customHeight="1">
      <c r="A2307" s="35" t="s">
        <v>6952</v>
      </c>
      <c r="B2307" s="35"/>
      <c r="C2307" s="35">
        <v>2.0</v>
      </c>
      <c r="D2307" s="35" t="s">
        <v>2018</v>
      </c>
      <c r="E2307" s="35">
        <v>46058.0</v>
      </c>
      <c r="F2307" s="35">
        <v>0.0</v>
      </c>
      <c r="G2307" s="35">
        <v>8.0</v>
      </c>
      <c r="H2307" s="35">
        <v>0.0</v>
      </c>
      <c r="I2307" s="35">
        <v>2.0</v>
      </c>
      <c r="J2307" s="35"/>
      <c r="K2307" s="35">
        <v>0.0</v>
      </c>
    </row>
    <row r="2308" ht="15.75" customHeight="1">
      <c r="A2308" s="35" t="s">
        <v>6954</v>
      </c>
      <c r="B2308" s="35"/>
      <c r="C2308" s="35">
        <v>2.0</v>
      </c>
      <c r="D2308" s="35" t="s">
        <v>2004</v>
      </c>
      <c r="E2308" s="35">
        <v>46058.0</v>
      </c>
      <c r="F2308" s="35">
        <v>0.0</v>
      </c>
      <c r="G2308" s="35">
        <v>5.0</v>
      </c>
      <c r="H2308" s="35">
        <v>14.0</v>
      </c>
      <c r="I2308" s="35">
        <v>0.0</v>
      </c>
      <c r="J2308" s="35"/>
      <c r="K2308" s="35">
        <v>0.0</v>
      </c>
    </row>
    <row r="2309" ht="15.75" customHeight="1">
      <c r="A2309" s="35" t="s">
        <v>6956</v>
      </c>
      <c r="B2309" s="35"/>
      <c r="C2309" s="35">
        <v>2.0</v>
      </c>
      <c r="D2309" s="35">
        <v>640.0</v>
      </c>
      <c r="E2309" s="35">
        <v>46058.0</v>
      </c>
      <c r="F2309" s="35">
        <v>0.0</v>
      </c>
      <c r="G2309" s="35">
        <v>5.0</v>
      </c>
      <c r="H2309" s="35">
        <v>14.0</v>
      </c>
      <c r="I2309" s="35">
        <v>0.0</v>
      </c>
      <c r="J2309" s="35"/>
      <c r="K2309" s="35">
        <v>0.0</v>
      </c>
    </row>
    <row r="2310" ht="15.75" customHeight="1">
      <c r="A2310" s="35" t="s">
        <v>6957</v>
      </c>
      <c r="B2310" s="35"/>
      <c r="C2310" s="35">
        <v>2.0</v>
      </c>
      <c r="D2310" s="35">
        <v>565.0</v>
      </c>
      <c r="E2310" s="35">
        <v>46058.0</v>
      </c>
      <c r="F2310" s="35">
        <v>0.0</v>
      </c>
      <c r="G2310" s="35">
        <v>5.0</v>
      </c>
      <c r="H2310" s="35">
        <v>14.0</v>
      </c>
      <c r="I2310" s="35">
        <v>0.0</v>
      </c>
      <c r="J2310" s="35"/>
      <c r="K2310" s="35">
        <v>0.0</v>
      </c>
    </row>
    <row r="2311" ht="15.75" customHeight="1">
      <c r="A2311" s="35" t="s">
        <v>6959</v>
      </c>
      <c r="B2311" s="35"/>
      <c r="C2311" s="35">
        <v>2.0</v>
      </c>
      <c r="D2311" s="35">
        <v>832.0</v>
      </c>
      <c r="E2311" s="35">
        <v>46058.0</v>
      </c>
      <c r="F2311" s="35">
        <v>0.0</v>
      </c>
      <c r="G2311" s="35">
        <v>5.0</v>
      </c>
      <c r="H2311" s="35">
        <v>14.0</v>
      </c>
      <c r="I2311" s="35">
        <v>0.0</v>
      </c>
      <c r="J2311" s="35"/>
      <c r="K2311" s="35">
        <v>0.0</v>
      </c>
    </row>
    <row r="2312" ht="15.75" customHeight="1">
      <c r="A2312" s="35" t="s">
        <v>6960</v>
      </c>
      <c r="B2312" s="35"/>
      <c r="C2312" s="35">
        <v>2.0</v>
      </c>
      <c r="D2312" s="35">
        <v>865.0</v>
      </c>
      <c r="E2312" s="35">
        <v>46058.0</v>
      </c>
      <c r="F2312" s="35">
        <v>0.0</v>
      </c>
      <c r="G2312" s="35">
        <v>5.0</v>
      </c>
      <c r="H2312" s="35">
        <v>14.0</v>
      </c>
      <c r="I2312" s="35">
        <v>0.0</v>
      </c>
      <c r="J2312" s="35"/>
      <c r="K2312" s="35">
        <v>0.0</v>
      </c>
    </row>
    <row r="2313" ht="15.75" customHeight="1">
      <c r="A2313" s="35" t="s">
        <v>6962</v>
      </c>
      <c r="B2313" s="35"/>
      <c r="C2313" s="35">
        <v>2.0</v>
      </c>
      <c r="D2313" s="35" t="s">
        <v>2039</v>
      </c>
      <c r="E2313" s="35">
        <v>46058.0</v>
      </c>
      <c r="F2313" s="35">
        <v>0.0</v>
      </c>
      <c r="G2313" s="35">
        <v>5.0</v>
      </c>
      <c r="H2313" s="35">
        <v>14.0</v>
      </c>
      <c r="I2313" s="35">
        <v>0.0</v>
      </c>
      <c r="J2313" s="35"/>
      <c r="K2313" s="35">
        <v>0.0</v>
      </c>
    </row>
    <row r="2314" ht="15.75" customHeight="1">
      <c r="A2314" s="35" t="s">
        <v>6963</v>
      </c>
      <c r="B2314" s="35"/>
      <c r="C2314" s="35">
        <v>2.0</v>
      </c>
      <c r="D2314" s="35">
        <v>767.0</v>
      </c>
      <c r="E2314" s="35">
        <v>46058.0</v>
      </c>
      <c r="F2314" s="35">
        <v>0.0</v>
      </c>
      <c r="G2314" s="35">
        <v>5.0</v>
      </c>
      <c r="H2314" s="35">
        <v>14.0</v>
      </c>
      <c r="I2314" s="35">
        <v>0.0</v>
      </c>
      <c r="J2314" s="35"/>
      <c r="K2314" s="35">
        <v>0.0</v>
      </c>
    </row>
    <row r="2315" ht="15.75" customHeight="1">
      <c r="A2315" s="35" t="s">
        <v>6965</v>
      </c>
      <c r="B2315" s="35"/>
      <c r="C2315" s="35">
        <v>2.0</v>
      </c>
      <c r="D2315" s="35">
        <v>734.0</v>
      </c>
      <c r="E2315" s="35">
        <v>46058.0</v>
      </c>
      <c r="F2315" s="35">
        <v>0.0</v>
      </c>
      <c r="G2315" s="35">
        <v>5.0</v>
      </c>
      <c r="H2315" s="35">
        <v>14.0</v>
      </c>
      <c r="I2315" s="35">
        <v>0.0</v>
      </c>
      <c r="J2315" s="35"/>
      <c r="K2315" s="35">
        <v>0.0</v>
      </c>
    </row>
    <row r="2316" ht="15.75" customHeight="1">
      <c r="A2316" s="35" t="s">
        <v>6966</v>
      </c>
      <c r="B2316" s="35"/>
      <c r="C2316" s="35">
        <v>2.0</v>
      </c>
      <c r="D2316" s="35">
        <v>715.0</v>
      </c>
      <c r="E2316" s="35">
        <v>46058.0</v>
      </c>
      <c r="F2316" s="35">
        <v>0.0</v>
      </c>
      <c r="G2316" s="35">
        <v>5.0</v>
      </c>
      <c r="H2316" s="35">
        <v>14.0</v>
      </c>
      <c r="I2316" s="35">
        <v>0.0</v>
      </c>
      <c r="J2316" s="35"/>
      <c r="K2316" s="35">
        <v>0.0</v>
      </c>
    </row>
    <row r="2317" ht="15.75" customHeight="1">
      <c r="A2317" s="35" t="s">
        <v>6968</v>
      </c>
      <c r="B2317" s="35"/>
      <c r="C2317" s="35">
        <v>2.0</v>
      </c>
      <c r="D2317" s="35">
        <v>657.0</v>
      </c>
      <c r="E2317" s="35">
        <v>46058.0</v>
      </c>
      <c r="F2317" s="35">
        <v>0.0</v>
      </c>
      <c r="G2317" s="35">
        <v>5.0</v>
      </c>
      <c r="H2317" s="35">
        <v>14.0</v>
      </c>
      <c r="I2317" s="35">
        <v>0.0</v>
      </c>
      <c r="J2317" s="35"/>
      <c r="K2317" s="35">
        <v>0.0</v>
      </c>
    </row>
    <row r="2318" ht="15.75" customHeight="1">
      <c r="A2318" s="35" t="s">
        <v>6969</v>
      </c>
      <c r="B2318" s="35"/>
      <c r="C2318" s="35">
        <v>2.0</v>
      </c>
      <c r="D2318" s="35">
        <v>527.0</v>
      </c>
      <c r="E2318" s="35">
        <v>46058.0</v>
      </c>
      <c r="F2318" s="35">
        <v>0.0</v>
      </c>
      <c r="G2318" s="35">
        <v>5.0</v>
      </c>
      <c r="H2318" s="35">
        <v>14.0</v>
      </c>
      <c r="I2318" s="35">
        <v>0.0</v>
      </c>
      <c r="J2318" s="35"/>
      <c r="K2318" s="35">
        <v>0.0</v>
      </c>
    </row>
    <row r="2319" ht="15.75" customHeight="1">
      <c r="A2319" s="35" t="s">
        <v>6970</v>
      </c>
      <c r="B2319" s="35"/>
      <c r="C2319" s="35">
        <v>2.0</v>
      </c>
      <c r="D2319" s="35">
        <v>859.0</v>
      </c>
      <c r="E2319" s="35">
        <v>46058.0</v>
      </c>
      <c r="F2319" s="35">
        <v>0.0</v>
      </c>
      <c r="G2319" s="35">
        <v>5.0</v>
      </c>
      <c r="H2319" s="35">
        <v>14.0</v>
      </c>
      <c r="I2319" s="35">
        <v>0.0</v>
      </c>
      <c r="J2319" s="35"/>
      <c r="K2319" s="35">
        <v>0.0</v>
      </c>
    </row>
    <row r="2320" ht="15.75" customHeight="1">
      <c r="A2320" s="35" t="s">
        <v>6972</v>
      </c>
      <c r="B2320" s="35"/>
      <c r="C2320" s="35">
        <v>2.0</v>
      </c>
      <c r="D2320" s="35">
        <v>736.0</v>
      </c>
      <c r="E2320" s="35">
        <v>46058.0</v>
      </c>
      <c r="F2320" s="35">
        <v>0.0</v>
      </c>
      <c r="G2320" s="35">
        <v>5.0</v>
      </c>
      <c r="H2320" s="35">
        <v>14.0</v>
      </c>
      <c r="I2320" s="35">
        <v>0.0</v>
      </c>
      <c r="J2320" s="35"/>
      <c r="K2320" s="35">
        <v>0.0</v>
      </c>
    </row>
    <row r="2321" ht="15.75" customHeight="1">
      <c r="A2321" s="35" t="s">
        <v>6973</v>
      </c>
      <c r="B2321" s="35"/>
      <c r="C2321" s="35">
        <v>2.0</v>
      </c>
      <c r="D2321" s="35">
        <v>552.0</v>
      </c>
      <c r="E2321" s="35">
        <v>46058.0</v>
      </c>
      <c r="F2321" s="35">
        <v>0.0</v>
      </c>
      <c r="G2321" s="35">
        <v>5.0</v>
      </c>
      <c r="H2321" s="35">
        <v>14.0</v>
      </c>
      <c r="I2321" s="35">
        <v>0.0</v>
      </c>
      <c r="J2321" s="35"/>
      <c r="K2321" s="35">
        <v>0.0</v>
      </c>
    </row>
    <row r="2322" ht="15.75" customHeight="1">
      <c r="A2322" s="35" t="s">
        <v>6975</v>
      </c>
      <c r="B2322" s="35"/>
      <c r="C2322" s="35">
        <v>2.0</v>
      </c>
      <c r="D2322" s="35">
        <v>734.0</v>
      </c>
      <c r="E2322" s="35">
        <v>46058.0</v>
      </c>
      <c r="F2322" s="35">
        <v>0.0</v>
      </c>
      <c r="G2322" s="35">
        <v>5.0</v>
      </c>
      <c r="H2322" s="35">
        <v>14.0</v>
      </c>
      <c r="I2322" s="35">
        <v>0.0</v>
      </c>
      <c r="J2322" s="35"/>
      <c r="K2322" s="35">
        <v>0.0</v>
      </c>
    </row>
    <row r="2323" ht="15.75" customHeight="1">
      <c r="A2323" s="35" t="s">
        <v>6976</v>
      </c>
      <c r="B2323" s="35"/>
      <c r="C2323" s="35">
        <v>2.0</v>
      </c>
      <c r="D2323" s="35">
        <v>536.0</v>
      </c>
      <c r="E2323" s="35">
        <v>46058.0</v>
      </c>
      <c r="F2323" s="35">
        <v>0.0</v>
      </c>
      <c r="G2323" s="35">
        <v>5.0</v>
      </c>
      <c r="H2323" s="35">
        <v>14.0</v>
      </c>
      <c r="I2323" s="35">
        <v>0.0</v>
      </c>
      <c r="J2323" s="35"/>
      <c r="K2323" s="35">
        <v>0.0</v>
      </c>
    </row>
    <row r="2324" ht="15.75" customHeight="1">
      <c r="A2324" s="35" t="s">
        <v>6978</v>
      </c>
      <c r="B2324" s="35"/>
      <c r="C2324" s="35">
        <v>2.0</v>
      </c>
      <c r="D2324" s="35">
        <v>407.0</v>
      </c>
      <c r="E2324" s="35">
        <v>46058.0</v>
      </c>
      <c r="F2324" s="35">
        <v>0.0</v>
      </c>
      <c r="G2324" s="35">
        <v>5.0</v>
      </c>
      <c r="H2324" s="35">
        <v>14.0</v>
      </c>
      <c r="I2324" s="35">
        <v>0.0</v>
      </c>
      <c r="J2324" s="35"/>
      <c r="K2324" s="35">
        <v>0.0</v>
      </c>
    </row>
    <row r="2325" ht="15.75" customHeight="1">
      <c r="A2325" s="35" t="s">
        <v>6979</v>
      </c>
      <c r="B2325" s="35"/>
      <c r="C2325" s="35">
        <v>2.0</v>
      </c>
      <c r="D2325" s="35">
        <v>408.0</v>
      </c>
      <c r="E2325" s="35">
        <v>46058.0</v>
      </c>
      <c r="F2325" s="35">
        <v>0.0</v>
      </c>
      <c r="G2325" s="35">
        <v>5.0</v>
      </c>
      <c r="H2325" s="35">
        <v>14.0</v>
      </c>
      <c r="I2325" s="35">
        <v>0.0</v>
      </c>
      <c r="J2325" s="35"/>
      <c r="K2325" s="35">
        <v>0.0</v>
      </c>
    </row>
    <row r="2326" ht="15.75" customHeight="1">
      <c r="A2326" s="35" t="s">
        <v>6981</v>
      </c>
      <c r="B2326" s="35"/>
      <c r="C2326" s="35">
        <v>2.0</v>
      </c>
      <c r="D2326" s="35">
        <v>278.0</v>
      </c>
      <c r="E2326" s="35">
        <v>46058.0</v>
      </c>
      <c r="F2326" s="35">
        <v>0.0</v>
      </c>
      <c r="G2326" s="35">
        <v>5.0</v>
      </c>
      <c r="H2326" s="35">
        <v>14.0</v>
      </c>
      <c r="I2326" s="35">
        <v>0.0</v>
      </c>
      <c r="J2326" s="35"/>
      <c r="K2326" s="35">
        <v>0.0</v>
      </c>
    </row>
    <row r="2327" ht="15.75" customHeight="1">
      <c r="A2327" s="35" t="s">
        <v>6982</v>
      </c>
      <c r="B2327" s="35"/>
      <c r="C2327" s="35">
        <v>2.0</v>
      </c>
      <c r="D2327" s="35">
        <v>529.0</v>
      </c>
      <c r="E2327" s="35">
        <v>46058.0</v>
      </c>
      <c r="F2327" s="35">
        <v>0.0</v>
      </c>
      <c r="G2327" s="35">
        <v>5.0</v>
      </c>
      <c r="H2327" s="35">
        <v>14.0</v>
      </c>
      <c r="I2327" s="35">
        <v>0.0</v>
      </c>
      <c r="J2327" s="35"/>
      <c r="K2327" s="35">
        <v>0.0</v>
      </c>
    </row>
    <row r="2328" ht="15.75" customHeight="1">
      <c r="A2328" s="35" t="s">
        <v>6983</v>
      </c>
      <c r="B2328" s="35"/>
      <c r="C2328" s="35">
        <v>2.0</v>
      </c>
      <c r="D2328" s="35">
        <v>302.0</v>
      </c>
      <c r="E2328" s="35">
        <v>46058.0</v>
      </c>
      <c r="F2328" s="35">
        <v>0.0</v>
      </c>
      <c r="G2328" s="35">
        <v>5.0</v>
      </c>
      <c r="H2328" s="35">
        <v>14.0</v>
      </c>
      <c r="I2328" s="35">
        <v>0.0</v>
      </c>
      <c r="J2328" s="35"/>
      <c r="K2328" s="35">
        <v>0.0</v>
      </c>
    </row>
    <row r="2329" ht="15.75" customHeight="1">
      <c r="A2329" s="35" t="s">
        <v>6985</v>
      </c>
      <c r="B2329" s="35"/>
      <c r="C2329" s="35">
        <v>2.0</v>
      </c>
      <c r="D2329" s="35">
        <v>737.0</v>
      </c>
      <c r="E2329" s="35">
        <v>46058.0</v>
      </c>
      <c r="F2329" s="35">
        <v>0.0</v>
      </c>
      <c r="G2329" s="35">
        <v>5.0</v>
      </c>
      <c r="H2329" s="35">
        <v>14.0</v>
      </c>
      <c r="I2329" s="35">
        <v>0.0</v>
      </c>
      <c r="J2329" s="35"/>
      <c r="K2329" s="35">
        <v>0.0</v>
      </c>
    </row>
    <row r="2330" ht="15.75" customHeight="1">
      <c r="A2330" s="35" t="s">
        <v>6986</v>
      </c>
      <c r="B2330" s="35"/>
      <c r="C2330" s="35">
        <v>2.0</v>
      </c>
      <c r="D2330" s="35">
        <v>607.0</v>
      </c>
      <c r="E2330" s="35">
        <v>46058.0</v>
      </c>
      <c r="F2330" s="35">
        <v>0.0</v>
      </c>
      <c r="G2330" s="35">
        <v>5.0</v>
      </c>
      <c r="H2330" s="35">
        <v>14.0</v>
      </c>
      <c r="I2330" s="35">
        <v>0.0</v>
      </c>
      <c r="J2330" s="35"/>
      <c r="K2330" s="35">
        <v>0.0</v>
      </c>
    </row>
    <row r="2331" ht="15.75" customHeight="1">
      <c r="A2331" s="35" t="s">
        <v>6988</v>
      </c>
      <c r="B2331" s="35"/>
      <c r="C2331" s="35">
        <v>2.0</v>
      </c>
      <c r="D2331" s="35">
        <v>479.0</v>
      </c>
      <c r="E2331" s="35">
        <v>46058.0</v>
      </c>
      <c r="F2331" s="35">
        <v>0.0</v>
      </c>
      <c r="G2331" s="35">
        <v>5.0</v>
      </c>
      <c r="H2331" s="35">
        <v>14.0</v>
      </c>
      <c r="I2331" s="35">
        <v>0.0</v>
      </c>
      <c r="J2331" s="35"/>
      <c r="K2331" s="35">
        <v>0.0</v>
      </c>
    </row>
    <row r="2332" ht="15.75" customHeight="1">
      <c r="A2332" s="35" t="s">
        <v>6989</v>
      </c>
      <c r="B2332" s="35"/>
      <c r="C2332" s="35">
        <v>2.0</v>
      </c>
      <c r="D2332" s="35">
        <v>733.0</v>
      </c>
      <c r="E2332" s="35">
        <v>46058.0</v>
      </c>
      <c r="F2332" s="35">
        <v>0.0</v>
      </c>
      <c r="G2332" s="35">
        <v>5.0</v>
      </c>
      <c r="H2332" s="35">
        <v>14.0</v>
      </c>
      <c r="I2332" s="35">
        <v>0.0</v>
      </c>
      <c r="J2332" s="35"/>
      <c r="K2332" s="35">
        <v>0.0</v>
      </c>
    </row>
    <row r="2333" ht="15.75" customHeight="1">
      <c r="A2333" s="35" t="s">
        <v>6992</v>
      </c>
      <c r="B2333" s="35"/>
      <c r="C2333" s="35">
        <v>2.0</v>
      </c>
      <c r="D2333" s="35">
        <v>349.0</v>
      </c>
      <c r="E2333" s="35">
        <v>46058.0</v>
      </c>
      <c r="F2333" s="35">
        <v>0.0</v>
      </c>
      <c r="G2333" s="35">
        <v>5.0</v>
      </c>
      <c r="H2333" s="35">
        <v>14.0</v>
      </c>
      <c r="I2333" s="35">
        <v>0.0</v>
      </c>
      <c r="J2333" s="35"/>
      <c r="K2333" s="35">
        <v>0.0</v>
      </c>
    </row>
    <row r="2334" ht="15.75" customHeight="1">
      <c r="A2334" s="35" t="s">
        <v>6993</v>
      </c>
      <c r="B2334" s="35"/>
      <c r="C2334" s="35">
        <v>2.0</v>
      </c>
      <c r="D2334" s="35">
        <v>434.0</v>
      </c>
      <c r="E2334" s="35">
        <v>46058.0</v>
      </c>
      <c r="F2334" s="35">
        <v>0.0</v>
      </c>
      <c r="G2334" s="35">
        <v>5.0</v>
      </c>
      <c r="H2334" s="35">
        <v>14.0</v>
      </c>
      <c r="I2334" s="35">
        <v>0.0</v>
      </c>
      <c r="J2334" s="35"/>
      <c r="K2334" s="35">
        <v>0.0</v>
      </c>
    </row>
    <row r="2335" ht="15.75" customHeight="1">
      <c r="A2335" s="35" t="s">
        <v>6994</v>
      </c>
      <c r="B2335" s="35"/>
      <c r="C2335" s="35">
        <v>2.0</v>
      </c>
      <c r="D2335" s="35">
        <v>732.0</v>
      </c>
      <c r="E2335" s="35">
        <v>46058.0</v>
      </c>
      <c r="F2335" s="35">
        <v>0.0</v>
      </c>
      <c r="G2335" s="35">
        <v>5.0</v>
      </c>
      <c r="H2335" s="35">
        <v>14.0</v>
      </c>
      <c r="I2335" s="35">
        <v>0.0</v>
      </c>
      <c r="J2335" s="35"/>
      <c r="K2335" s="35">
        <v>0.0</v>
      </c>
    </row>
    <row r="2336" ht="15.75" customHeight="1">
      <c r="A2336" s="35" t="s">
        <v>6996</v>
      </c>
      <c r="B2336" s="35"/>
      <c r="C2336" s="35">
        <v>2.0</v>
      </c>
      <c r="D2336" s="35">
        <v>425.0</v>
      </c>
      <c r="E2336" s="35">
        <v>46058.0</v>
      </c>
      <c r="F2336" s="35">
        <v>0.0</v>
      </c>
      <c r="G2336" s="35">
        <v>5.0</v>
      </c>
      <c r="H2336" s="35">
        <v>14.0</v>
      </c>
      <c r="I2336" s="35">
        <v>0.0</v>
      </c>
      <c r="J2336" s="35"/>
      <c r="K2336" s="35">
        <v>0.0</v>
      </c>
    </row>
    <row r="2337" ht="15.75" customHeight="1">
      <c r="A2337" s="35" t="s">
        <v>6997</v>
      </c>
      <c r="B2337" s="35"/>
      <c r="C2337" s="35">
        <v>2.0</v>
      </c>
      <c r="D2337" s="35">
        <v>375.0</v>
      </c>
      <c r="E2337" s="35">
        <v>46058.0</v>
      </c>
      <c r="F2337" s="35">
        <v>0.0</v>
      </c>
      <c r="G2337" s="35">
        <v>5.0</v>
      </c>
      <c r="H2337" s="35">
        <v>14.0</v>
      </c>
      <c r="I2337" s="35">
        <v>0.0</v>
      </c>
      <c r="J2337" s="35"/>
      <c r="K2337" s="35">
        <v>0.0</v>
      </c>
    </row>
    <row r="2338" ht="15.75" customHeight="1">
      <c r="A2338" s="35" t="s">
        <v>6999</v>
      </c>
      <c r="B2338" s="35"/>
      <c r="C2338" s="35">
        <v>2.0</v>
      </c>
      <c r="D2338" s="35">
        <v>535.0</v>
      </c>
      <c r="E2338" s="35">
        <v>46058.0</v>
      </c>
      <c r="F2338" s="35">
        <v>0.0</v>
      </c>
      <c r="G2338" s="35">
        <v>5.0</v>
      </c>
      <c r="H2338" s="35">
        <v>14.0</v>
      </c>
      <c r="I2338" s="35">
        <v>0.0</v>
      </c>
      <c r="J2338" s="35"/>
      <c r="K2338" s="35">
        <v>0.0</v>
      </c>
    </row>
    <row r="2339" ht="15.75" customHeight="1">
      <c r="A2339" s="35" t="s">
        <v>7000</v>
      </c>
      <c r="B2339" s="35"/>
      <c r="C2339" s="35">
        <v>2.0</v>
      </c>
      <c r="D2339" s="35">
        <v>385.0</v>
      </c>
      <c r="E2339" s="35">
        <v>46058.0</v>
      </c>
      <c r="F2339" s="35">
        <v>0.0</v>
      </c>
      <c r="G2339" s="35">
        <v>5.0</v>
      </c>
      <c r="H2339" s="35">
        <v>14.0</v>
      </c>
      <c r="I2339" s="35">
        <v>0.0</v>
      </c>
      <c r="J2339" s="35"/>
      <c r="K2339" s="35">
        <v>0.0</v>
      </c>
    </row>
    <row r="2340" ht="15.75" customHeight="1">
      <c r="A2340" s="35" t="s">
        <v>7002</v>
      </c>
      <c r="B2340" s="35"/>
      <c r="C2340" s="35">
        <v>2.0</v>
      </c>
      <c r="D2340" s="35">
        <v>383.0</v>
      </c>
      <c r="E2340" s="35">
        <v>46058.0</v>
      </c>
      <c r="F2340" s="35">
        <v>0.0</v>
      </c>
      <c r="G2340" s="35">
        <v>5.0</v>
      </c>
      <c r="H2340" s="35">
        <v>14.0</v>
      </c>
      <c r="I2340" s="35">
        <v>0.0</v>
      </c>
      <c r="J2340" s="35"/>
      <c r="K2340" s="35">
        <v>0.0</v>
      </c>
    </row>
    <row r="2341" ht="15.75" customHeight="1">
      <c r="A2341" s="35" t="s">
        <v>7003</v>
      </c>
      <c r="B2341" s="35"/>
      <c r="C2341" s="35">
        <v>2.0</v>
      </c>
      <c r="D2341" s="35">
        <v>322.0</v>
      </c>
      <c r="E2341" s="35">
        <v>46058.0</v>
      </c>
      <c r="F2341" s="35">
        <v>0.0</v>
      </c>
      <c r="G2341" s="35">
        <v>5.0</v>
      </c>
      <c r="H2341" s="35">
        <v>14.0</v>
      </c>
      <c r="I2341" s="35">
        <v>0.0</v>
      </c>
      <c r="J2341" s="35"/>
      <c r="K2341" s="35">
        <v>0.0</v>
      </c>
    </row>
    <row r="2342" ht="15.75" customHeight="1">
      <c r="A2342" s="35" t="s">
        <v>7005</v>
      </c>
      <c r="B2342" s="35"/>
      <c r="C2342" s="35">
        <v>2.0</v>
      </c>
      <c r="D2342" s="35">
        <v>407.0</v>
      </c>
      <c r="E2342" s="35">
        <v>46058.0</v>
      </c>
      <c r="F2342" s="35">
        <v>0.0</v>
      </c>
      <c r="G2342" s="35">
        <v>5.0</v>
      </c>
      <c r="H2342" s="35">
        <v>14.0</v>
      </c>
      <c r="I2342" s="35">
        <v>0.0</v>
      </c>
      <c r="J2342" s="35"/>
      <c r="K2342" s="35">
        <v>0.0</v>
      </c>
    </row>
    <row r="2343" ht="15.75" customHeight="1">
      <c r="A2343" s="35" t="s">
        <v>7006</v>
      </c>
      <c r="B2343" s="35"/>
      <c r="C2343" s="35">
        <v>2.0</v>
      </c>
      <c r="D2343" s="35">
        <v>585.0</v>
      </c>
      <c r="E2343" s="35">
        <v>46058.0</v>
      </c>
      <c r="F2343" s="35">
        <v>0.0</v>
      </c>
      <c r="G2343" s="35">
        <v>5.0</v>
      </c>
      <c r="H2343" s="35">
        <v>14.0</v>
      </c>
      <c r="I2343" s="35">
        <v>0.0</v>
      </c>
      <c r="J2343" s="35"/>
      <c r="K2343" s="35">
        <v>0.0</v>
      </c>
    </row>
    <row r="2344" ht="15.75" customHeight="1">
      <c r="A2344" s="35" t="s">
        <v>7008</v>
      </c>
      <c r="B2344" s="35"/>
      <c r="C2344" s="35">
        <v>2.0</v>
      </c>
      <c r="D2344" s="35">
        <v>454.0</v>
      </c>
      <c r="E2344" s="35">
        <v>46058.0</v>
      </c>
      <c r="F2344" s="35">
        <v>0.0</v>
      </c>
      <c r="G2344" s="35">
        <v>5.0</v>
      </c>
      <c r="H2344" s="35">
        <v>14.0</v>
      </c>
      <c r="I2344" s="35">
        <v>0.0</v>
      </c>
      <c r="J2344" s="35"/>
      <c r="K2344" s="35">
        <v>0.0</v>
      </c>
    </row>
    <row r="2345" ht="15.75" customHeight="1">
      <c r="A2345" s="35" t="s">
        <v>7009</v>
      </c>
      <c r="B2345" s="35"/>
      <c r="C2345" s="35">
        <v>2.0</v>
      </c>
      <c r="D2345" s="35">
        <v>259.0</v>
      </c>
      <c r="E2345" s="35">
        <v>46058.0</v>
      </c>
      <c r="F2345" s="35">
        <v>0.0</v>
      </c>
      <c r="G2345" s="35">
        <v>5.0</v>
      </c>
      <c r="H2345" s="35">
        <v>14.0</v>
      </c>
      <c r="I2345" s="35">
        <v>0.0</v>
      </c>
      <c r="J2345" s="35"/>
      <c r="K2345" s="35">
        <v>0.0</v>
      </c>
    </row>
    <row r="2346" ht="15.75" customHeight="1">
      <c r="A2346" s="35" t="s">
        <v>7010</v>
      </c>
      <c r="B2346" s="35"/>
      <c r="C2346" s="35">
        <v>2.0</v>
      </c>
      <c r="D2346" s="35">
        <v>293.0</v>
      </c>
      <c r="E2346" s="35">
        <v>46058.0</v>
      </c>
      <c r="F2346" s="35">
        <v>0.0</v>
      </c>
      <c r="G2346" s="35">
        <v>5.0</v>
      </c>
      <c r="H2346" s="35">
        <v>14.0</v>
      </c>
      <c r="I2346" s="35">
        <v>0.0</v>
      </c>
      <c r="J2346" s="35"/>
      <c r="K2346" s="35">
        <v>0.0</v>
      </c>
    </row>
    <row r="2347" ht="15.75" customHeight="1">
      <c r="A2347" s="35" t="s">
        <v>7012</v>
      </c>
      <c r="B2347" s="35"/>
      <c r="C2347" s="35">
        <v>2.0</v>
      </c>
      <c r="D2347" s="35">
        <v>449.0</v>
      </c>
      <c r="E2347" s="35">
        <v>46058.0</v>
      </c>
      <c r="F2347" s="35">
        <v>0.0</v>
      </c>
      <c r="G2347" s="35">
        <v>5.0</v>
      </c>
      <c r="H2347" s="35">
        <v>14.0</v>
      </c>
      <c r="I2347" s="35">
        <v>0.0</v>
      </c>
      <c r="J2347" s="35"/>
      <c r="K2347" s="35">
        <v>0.0</v>
      </c>
    </row>
    <row r="2348" ht="15.75" customHeight="1">
      <c r="A2348" s="35" t="s">
        <v>7013</v>
      </c>
      <c r="B2348" s="35"/>
      <c r="C2348" s="35">
        <v>2.0</v>
      </c>
      <c r="D2348" s="35">
        <v>535.0</v>
      </c>
      <c r="E2348" s="35">
        <v>46058.0</v>
      </c>
      <c r="F2348" s="35">
        <v>0.0</v>
      </c>
      <c r="G2348" s="35">
        <v>5.0</v>
      </c>
      <c r="H2348" s="35">
        <v>14.0</v>
      </c>
      <c r="I2348" s="35">
        <v>0.0</v>
      </c>
      <c r="J2348" s="35"/>
      <c r="K2348" s="35">
        <v>0.0</v>
      </c>
    </row>
    <row r="2349" ht="15.75" customHeight="1">
      <c r="A2349" s="35" t="s">
        <v>7015</v>
      </c>
      <c r="B2349" s="35"/>
      <c r="C2349" s="35">
        <v>2.0</v>
      </c>
      <c r="D2349" s="35">
        <v>318.0</v>
      </c>
      <c r="E2349" s="35">
        <v>46058.0</v>
      </c>
      <c r="F2349" s="35">
        <v>0.0</v>
      </c>
      <c r="G2349" s="35">
        <v>5.0</v>
      </c>
      <c r="H2349" s="35">
        <v>14.0</v>
      </c>
      <c r="I2349" s="35">
        <v>0.0</v>
      </c>
      <c r="J2349" s="35"/>
      <c r="K2349" s="35">
        <v>0.0</v>
      </c>
    </row>
    <row r="2350" ht="15.75" customHeight="1">
      <c r="A2350" s="35" t="s">
        <v>7016</v>
      </c>
      <c r="B2350" s="35"/>
      <c r="C2350" s="35">
        <v>2.0</v>
      </c>
      <c r="D2350" s="35">
        <v>216.0</v>
      </c>
      <c r="E2350" s="35">
        <v>46058.0</v>
      </c>
      <c r="F2350" s="35">
        <v>0.0</v>
      </c>
      <c r="G2350" s="35">
        <v>5.0</v>
      </c>
      <c r="H2350" s="35">
        <v>14.0</v>
      </c>
      <c r="I2350" s="35">
        <v>0.0</v>
      </c>
      <c r="J2350" s="35"/>
      <c r="K2350" s="35">
        <v>0.0</v>
      </c>
    </row>
    <row r="2351" ht="15.75" customHeight="1">
      <c r="A2351" s="35" t="s">
        <v>7018</v>
      </c>
      <c r="B2351" s="35"/>
      <c r="C2351" s="35">
        <v>2.0</v>
      </c>
      <c r="D2351" s="35">
        <v>630.0</v>
      </c>
      <c r="E2351" s="35">
        <v>46058.0</v>
      </c>
      <c r="F2351" s="35">
        <v>0.0</v>
      </c>
      <c r="G2351" s="35">
        <v>5.0</v>
      </c>
      <c r="H2351" s="35">
        <v>14.0</v>
      </c>
      <c r="I2351" s="35">
        <v>0.0</v>
      </c>
      <c r="J2351" s="35"/>
      <c r="K2351" s="35">
        <v>0.0</v>
      </c>
    </row>
    <row r="2352" ht="15.75" customHeight="1">
      <c r="A2352" s="35" t="s">
        <v>7019</v>
      </c>
      <c r="B2352" s="35"/>
      <c r="C2352" s="35">
        <v>2.0</v>
      </c>
      <c r="D2352" s="35">
        <v>350.0</v>
      </c>
      <c r="E2352" s="35">
        <v>46058.0</v>
      </c>
      <c r="F2352" s="35">
        <v>0.0</v>
      </c>
      <c r="G2352" s="35">
        <v>5.0</v>
      </c>
      <c r="H2352" s="35">
        <v>14.0</v>
      </c>
      <c r="I2352" s="35">
        <v>0.0</v>
      </c>
      <c r="J2352" s="35"/>
      <c r="K2352" s="35">
        <v>0.0</v>
      </c>
    </row>
    <row r="2353" ht="15.75" customHeight="1">
      <c r="A2353" s="35" t="s">
        <v>7020</v>
      </c>
      <c r="B2353" s="35"/>
      <c r="C2353" s="35">
        <v>2.0</v>
      </c>
      <c r="D2353" s="35">
        <v>400.0</v>
      </c>
      <c r="E2353" s="35">
        <v>46058.0</v>
      </c>
      <c r="F2353" s="35">
        <v>0.0</v>
      </c>
      <c r="G2353" s="35">
        <v>5.0</v>
      </c>
      <c r="H2353" s="35">
        <v>14.0</v>
      </c>
      <c r="I2353" s="35">
        <v>0.0</v>
      </c>
      <c r="J2353" s="35"/>
      <c r="K2353" s="35">
        <v>0.0</v>
      </c>
    </row>
    <row r="2354" ht="15.75" customHeight="1">
      <c r="A2354" s="35" t="s">
        <v>7022</v>
      </c>
      <c r="B2354" s="35"/>
      <c r="C2354" s="35">
        <v>2.0</v>
      </c>
      <c r="D2354" s="35">
        <v>110.0</v>
      </c>
      <c r="E2354" s="35">
        <v>46058.0</v>
      </c>
      <c r="F2354" s="35">
        <v>0.0</v>
      </c>
      <c r="G2354" s="35">
        <v>5.0</v>
      </c>
      <c r="H2354" s="35">
        <v>14.0</v>
      </c>
      <c r="I2354" s="35">
        <v>0.0</v>
      </c>
      <c r="J2354" s="35"/>
      <c r="K2354" s="35">
        <v>0.0</v>
      </c>
    </row>
    <row r="2355" ht="15.75" customHeight="1">
      <c r="A2355" s="35" t="s">
        <v>7023</v>
      </c>
      <c r="B2355" s="35"/>
      <c r="C2355" s="35">
        <v>2.0</v>
      </c>
      <c r="D2355" s="35">
        <v>325.0</v>
      </c>
      <c r="E2355" s="35">
        <v>46058.0</v>
      </c>
      <c r="F2355" s="35">
        <v>0.0</v>
      </c>
      <c r="G2355" s="35">
        <v>5.0</v>
      </c>
      <c r="H2355" s="35">
        <v>14.0</v>
      </c>
      <c r="I2355" s="35">
        <v>0.0</v>
      </c>
      <c r="J2355" s="35"/>
      <c r="K2355" s="35">
        <v>0.0</v>
      </c>
    </row>
    <row r="2356" ht="15.75" customHeight="1">
      <c r="A2356" s="35" t="s">
        <v>7025</v>
      </c>
      <c r="B2356" s="35"/>
      <c r="C2356" s="35">
        <v>2.0</v>
      </c>
      <c r="D2356" s="35">
        <v>458.0</v>
      </c>
      <c r="E2356" s="35">
        <v>46058.0</v>
      </c>
      <c r="F2356" s="35">
        <v>0.0</v>
      </c>
      <c r="G2356" s="35">
        <v>5.0</v>
      </c>
      <c r="H2356" s="35">
        <v>14.0</v>
      </c>
      <c r="I2356" s="35">
        <v>0.0</v>
      </c>
      <c r="J2356" s="35"/>
      <c r="K2356" s="35">
        <v>0.0</v>
      </c>
    </row>
    <row r="2357" ht="15.75" customHeight="1">
      <c r="A2357" s="35" t="s">
        <v>7026</v>
      </c>
      <c r="B2357" s="35"/>
      <c r="C2357" s="35">
        <v>2.0</v>
      </c>
      <c r="D2357" s="35">
        <v>125.0</v>
      </c>
      <c r="E2357" s="35">
        <v>46058.0</v>
      </c>
      <c r="F2357" s="35">
        <v>0.0</v>
      </c>
      <c r="G2357" s="35">
        <v>5.0</v>
      </c>
      <c r="H2357" s="35">
        <v>14.0</v>
      </c>
      <c r="I2357" s="35">
        <v>0.0</v>
      </c>
      <c r="J2357" s="35"/>
      <c r="K2357" s="35">
        <v>0.0</v>
      </c>
    </row>
    <row r="2358" ht="15.75" customHeight="1">
      <c r="A2358" s="35" t="s">
        <v>7028</v>
      </c>
      <c r="B2358" s="35"/>
      <c r="C2358" s="35">
        <v>2.0</v>
      </c>
      <c r="D2358" s="35">
        <v>246.0</v>
      </c>
      <c r="E2358" s="35">
        <v>46058.0</v>
      </c>
      <c r="F2358" s="35">
        <v>0.0</v>
      </c>
      <c r="G2358" s="35">
        <v>5.0</v>
      </c>
      <c r="H2358" s="35">
        <v>14.0</v>
      </c>
      <c r="I2358" s="35">
        <v>0.0</v>
      </c>
      <c r="J2358" s="35"/>
      <c r="K2358" s="35">
        <v>0.0</v>
      </c>
    </row>
    <row r="2359" ht="15.75" customHeight="1">
      <c r="A2359" s="35" t="s">
        <v>7030</v>
      </c>
      <c r="B2359" s="35"/>
      <c r="C2359" s="35">
        <v>2.0</v>
      </c>
      <c r="D2359" s="35">
        <v>369.0</v>
      </c>
      <c r="E2359" s="35">
        <v>46058.0</v>
      </c>
      <c r="F2359" s="35">
        <v>0.0</v>
      </c>
      <c r="G2359" s="35">
        <v>5.0</v>
      </c>
      <c r="H2359" s="35">
        <v>14.0</v>
      </c>
      <c r="I2359" s="35">
        <v>0.0</v>
      </c>
      <c r="J2359" s="35"/>
      <c r="K2359" s="35">
        <v>0.0</v>
      </c>
    </row>
    <row r="2360" ht="15.75" customHeight="1">
      <c r="A2360" s="35" t="s">
        <v>7031</v>
      </c>
      <c r="B2360" s="35"/>
      <c r="C2360" s="35">
        <v>2.0</v>
      </c>
      <c r="D2360" s="35">
        <v>988.0</v>
      </c>
      <c r="E2360" s="35">
        <v>46058.0</v>
      </c>
      <c r="F2360" s="35">
        <v>0.0</v>
      </c>
      <c r="G2360" s="35">
        <v>5.0</v>
      </c>
      <c r="H2360" s="35">
        <v>14.0</v>
      </c>
      <c r="I2360" s="35">
        <v>0.0</v>
      </c>
      <c r="J2360" s="35"/>
      <c r="K2360" s="35">
        <v>0.0</v>
      </c>
    </row>
    <row r="2361" ht="15.75" customHeight="1">
      <c r="A2361" s="35" t="s">
        <v>7032</v>
      </c>
      <c r="B2361" s="35"/>
      <c r="C2361" s="35">
        <v>2.0</v>
      </c>
      <c r="D2361" s="35">
        <v>185.0</v>
      </c>
      <c r="E2361" s="35">
        <v>46058.0</v>
      </c>
      <c r="F2361" s="35">
        <v>0.0</v>
      </c>
      <c r="G2361" s="35">
        <v>5.0</v>
      </c>
      <c r="H2361" s="35">
        <v>14.0</v>
      </c>
      <c r="I2361" s="35">
        <v>0.0</v>
      </c>
      <c r="J2361" s="35"/>
      <c r="K2361" s="35">
        <v>0.0</v>
      </c>
    </row>
    <row r="2362" ht="15.75" customHeight="1">
      <c r="A2362" s="35" t="s">
        <v>7034</v>
      </c>
      <c r="B2362" s="35"/>
      <c r="C2362" s="35">
        <v>2.0</v>
      </c>
      <c r="D2362" s="35">
        <v>235.0</v>
      </c>
      <c r="E2362" s="35">
        <v>46058.0</v>
      </c>
      <c r="F2362" s="35">
        <v>0.0</v>
      </c>
      <c r="G2362" s="35">
        <v>5.0</v>
      </c>
      <c r="H2362" s="35">
        <v>14.0</v>
      </c>
      <c r="I2362" s="35">
        <v>0.0</v>
      </c>
      <c r="J2362" s="35"/>
      <c r="K2362" s="35">
        <v>0.0</v>
      </c>
    </row>
    <row r="2363" ht="15.75" customHeight="1">
      <c r="A2363" s="35" t="s">
        <v>7035</v>
      </c>
      <c r="B2363" s="35"/>
      <c r="C2363" s="35">
        <v>2.0</v>
      </c>
      <c r="D2363" s="35">
        <v>360.0</v>
      </c>
      <c r="E2363" s="35">
        <v>46058.0</v>
      </c>
      <c r="F2363" s="35">
        <v>0.0</v>
      </c>
      <c r="G2363" s="35">
        <v>5.0</v>
      </c>
      <c r="H2363" s="35">
        <v>14.0</v>
      </c>
      <c r="I2363" s="35">
        <v>0.0</v>
      </c>
      <c r="J2363" s="35"/>
      <c r="K2363" s="35">
        <v>0.0</v>
      </c>
    </row>
    <row r="2364" ht="15.75" customHeight="1">
      <c r="A2364" s="35" t="s">
        <v>7037</v>
      </c>
      <c r="B2364" s="35"/>
      <c r="C2364" s="35">
        <v>2.0</v>
      </c>
      <c r="D2364" s="35">
        <v>282.0</v>
      </c>
      <c r="E2364" s="35">
        <v>46058.0</v>
      </c>
      <c r="F2364" s="35">
        <v>0.0</v>
      </c>
      <c r="G2364" s="35">
        <v>5.0</v>
      </c>
      <c r="H2364" s="35">
        <v>14.0</v>
      </c>
      <c r="I2364" s="35">
        <v>0.0</v>
      </c>
      <c r="J2364" s="35"/>
      <c r="K2364" s="35">
        <v>0.0</v>
      </c>
    </row>
    <row r="2365" ht="15.75" customHeight="1">
      <c r="A2365" s="35" t="s">
        <v>7038</v>
      </c>
      <c r="B2365" s="35"/>
      <c r="C2365" s="35">
        <v>2.0</v>
      </c>
      <c r="D2365" s="35">
        <v>379.0</v>
      </c>
      <c r="E2365" s="35">
        <v>46058.0</v>
      </c>
      <c r="F2365" s="35">
        <v>0.0</v>
      </c>
      <c r="G2365" s="35">
        <v>5.0</v>
      </c>
      <c r="H2365" s="35">
        <v>14.0</v>
      </c>
      <c r="I2365" s="35">
        <v>0.0</v>
      </c>
      <c r="J2365" s="35"/>
      <c r="K2365" s="35">
        <v>0.0</v>
      </c>
    </row>
    <row r="2366" ht="15.75" customHeight="1">
      <c r="A2366" s="35" t="s">
        <v>7040</v>
      </c>
      <c r="B2366" s="35"/>
      <c r="C2366" s="35">
        <v>2.0</v>
      </c>
      <c r="D2366" s="35">
        <v>445.0</v>
      </c>
      <c r="E2366" s="35">
        <v>46058.0</v>
      </c>
      <c r="F2366" s="35">
        <v>0.0</v>
      </c>
      <c r="G2366" s="35">
        <v>5.0</v>
      </c>
      <c r="H2366" s="35">
        <v>14.0</v>
      </c>
      <c r="I2366" s="35">
        <v>0.0</v>
      </c>
      <c r="J2366" s="35"/>
      <c r="K2366" s="35">
        <v>0.0</v>
      </c>
    </row>
    <row r="2367" ht="15.75" customHeight="1">
      <c r="A2367" s="35" t="s">
        <v>7041</v>
      </c>
      <c r="B2367" s="35"/>
      <c r="C2367" s="35">
        <v>2.0</v>
      </c>
      <c r="D2367" s="35">
        <v>228.0</v>
      </c>
      <c r="E2367" s="35">
        <v>46058.0</v>
      </c>
      <c r="F2367" s="35">
        <v>0.0</v>
      </c>
      <c r="G2367" s="35">
        <v>5.0</v>
      </c>
      <c r="H2367" s="35">
        <v>14.0</v>
      </c>
      <c r="I2367" s="35">
        <v>0.0</v>
      </c>
      <c r="J2367" s="35"/>
      <c r="K2367" s="35">
        <v>0.0</v>
      </c>
    </row>
    <row r="2368" ht="15.75" customHeight="1">
      <c r="A2368" s="35" t="s">
        <v>7043</v>
      </c>
      <c r="B2368" s="35"/>
      <c r="C2368" s="35">
        <v>2.0</v>
      </c>
      <c r="D2368" s="35">
        <v>323.0</v>
      </c>
      <c r="E2368" s="35">
        <v>46058.0</v>
      </c>
      <c r="F2368" s="35">
        <v>0.0</v>
      </c>
      <c r="G2368" s="35">
        <v>5.0</v>
      </c>
      <c r="H2368" s="35">
        <v>14.0</v>
      </c>
      <c r="I2368" s="35">
        <v>0.0</v>
      </c>
      <c r="J2368" s="35"/>
      <c r="K2368" s="35">
        <v>0.0</v>
      </c>
    </row>
    <row r="2369" ht="15.75" customHeight="1">
      <c r="A2369" s="35" t="s">
        <v>7044</v>
      </c>
      <c r="B2369" s="35"/>
      <c r="C2369" s="35">
        <v>2.0</v>
      </c>
      <c r="D2369" s="35">
        <v>310.0</v>
      </c>
      <c r="E2369" s="35">
        <v>46058.0</v>
      </c>
      <c r="F2369" s="35">
        <v>0.0</v>
      </c>
      <c r="G2369" s="35">
        <v>5.0</v>
      </c>
      <c r="H2369" s="35">
        <v>14.0</v>
      </c>
      <c r="I2369" s="35">
        <v>0.0</v>
      </c>
      <c r="J2369" s="35"/>
      <c r="K2369" s="35">
        <v>0.0</v>
      </c>
    </row>
    <row r="2370" ht="15.75" customHeight="1">
      <c r="A2370" s="35" t="s">
        <v>7045</v>
      </c>
      <c r="B2370" s="35"/>
      <c r="C2370" s="35">
        <v>2.0</v>
      </c>
      <c r="D2370" s="35">
        <v>845.0</v>
      </c>
      <c r="E2370" s="35">
        <v>46058.0</v>
      </c>
      <c r="F2370" s="35">
        <v>0.0</v>
      </c>
      <c r="G2370" s="35">
        <v>5.0</v>
      </c>
      <c r="H2370" s="35">
        <v>14.0</v>
      </c>
      <c r="I2370" s="35">
        <v>0.0</v>
      </c>
      <c r="J2370" s="35"/>
      <c r="K2370" s="35">
        <v>0.0</v>
      </c>
    </row>
    <row r="2371" ht="15.75" customHeight="1">
      <c r="A2371" s="35" t="s">
        <v>7046</v>
      </c>
      <c r="B2371" s="35"/>
      <c r="C2371" s="35">
        <v>2.0</v>
      </c>
      <c r="D2371" s="35">
        <v>445.0</v>
      </c>
      <c r="E2371" s="35">
        <v>46058.0</v>
      </c>
      <c r="F2371" s="35">
        <v>0.0</v>
      </c>
      <c r="G2371" s="35">
        <v>5.0</v>
      </c>
      <c r="H2371" s="35">
        <v>14.0</v>
      </c>
      <c r="I2371" s="35">
        <v>0.0</v>
      </c>
      <c r="J2371" s="35"/>
      <c r="K2371" s="35">
        <v>0.0</v>
      </c>
    </row>
    <row r="2372" ht="15.75" customHeight="1">
      <c r="A2372" s="35" t="s">
        <v>7047</v>
      </c>
      <c r="B2372" s="35"/>
      <c r="C2372" s="35">
        <v>2.0</v>
      </c>
      <c r="D2372" s="35">
        <v>342.0</v>
      </c>
      <c r="E2372" s="35">
        <v>46058.0</v>
      </c>
      <c r="F2372" s="35">
        <v>0.0</v>
      </c>
      <c r="G2372" s="35">
        <v>5.0</v>
      </c>
      <c r="H2372" s="35">
        <v>14.0</v>
      </c>
      <c r="I2372" s="35">
        <v>0.0</v>
      </c>
      <c r="J2372" s="35"/>
      <c r="K2372" s="35">
        <v>0.0</v>
      </c>
    </row>
    <row r="2373" ht="15.75" customHeight="1">
      <c r="A2373" s="35" t="s">
        <v>7048</v>
      </c>
      <c r="B2373" s="35"/>
      <c r="C2373" s="35">
        <v>2.0</v>
      </c>
      <c r="D2373" s="35">
        <v>290.0</v>
      </c>
      <c r="E2373" s="35">
        <v>46058.0</v>
      </c>
      <c r="F2373" s="35">
        <v>0.0</v>
      </c>
      <c r="G2373" s="35">
        <v>5.0</v>
      </c>
      <c r="H2373" s="35">
        <v>14.0</v>
      </c>
      <c r="I2373" s="35">
        <v>0.0</v>
      </c>
      <c r="J2373" s="35"/>
      <c r="K2373" s="35">
        <v>0.0</v>
      </c>
    </row>
    <row r="2374" ht="15.75" customHeight="1">
      <c r="A2374" s="35" t="s">
        <v>7049</v>
      </c>
      <c r="B2374" s="35"/>
      <c r="C2374" s="35">
        <v>2.0</v>
      </c>
      <c r="D2374" s="35">
        <v>324.0</v>
      </c>
      <c r="E2374" s="35">
        <v>46058.0</v>
      </c>
      <c r="F2374" s="35">
        <v>0.0</v>
      </c>
      <c r="G2374" s="35">
        <v>5.0</v>
      </c>
      <c r="H2374" s="35">
        <v>14.0</v>
      </c>
      <c r="I2374" s="35">
        <v>0.0</v>
      </c>
      <c r="J2374" s="35"/>
      <c r="K2374" s="35">
        <v>0.0</v>
      </c>
    </row>
    <row r="2375" ht="15.75" customHeight="1">
      <c r="A2375" s="35" t="s">
        <v>7050</v>
      </c>
      <c r="B2375" s="35"/>
      <c r="C2375" s="35">
        <v>2.0</v>
      </c>
      <c r="D2375" s="35">
        <v>823.0</v>
      </c>
      <c r="E2375" s="35">
        <v>46058.0</v>
      </c>
      <c r="F2375" s="35">
        <v>0.0</v>
      </c>
      <c r="G2375" s="35">
        <v>5.0</v>
      </c>
      <c r="H2375" s="35">
        <v>14.0</v>
      </c>
      <c r="I2375" s="35">
        <v>0.0</v>
      </c>
      <c r="J2375" s="35"/>
      <c r="K2375" s="35">
        <v>0.0</v>
      </c>
    </row>
    <row r="2376" ht="15.75" customHeight="1">
      <c r="A2376" s="35" t="s">
        <v>7051</v>
      </c>
      <c r="B2376" s="35"/>
      <c r="C2376" s="35">
        <v>2.0</v>
      </c>
      <c r="D2376" s="35">
        <v>330.0</v>
      </c>
      <c r="E2376" s="35">
        <v>46058.0</v>
      </c>
      <c r="F2376" s="35">
        <v>0.0</v>
      </c>
      <c r="G2376" s="35">
        <v>5.0</v>
      </c>
      <c r="H2376" s="35">
        <v>14.0</v>
      </c>
      <c r="I2376" s="35">
        <v>0.0</v>
      </c>
      <c r="J2376" s="35"/>
      <c r="K2376" s="35">
        <v>0.0</v>
      </c>
    </row>
    <row r="2377" ht="15.75" customHeight="1">
      <c r="A2377" s="35" t="s">
        <v>7052</v>
      </c>
      <c r="B2377" s="35"/>
      <c r="C2377" s="35">
        <v>2.0</v>
      </c>
      <c r="D2377" s="35">
        <v>337.0</v>
      </c>
      <c r="E2377" s="35">
        <v>46058.0</v>
      </c>
      <c r="F2377" s="35">
        <v>0.0</v>
      </c>
      <c r="G2377" s="35">
        <v>5.0</v>
      </c>
      <c r="H2377" s="35">
        <v>14.0</v>
      </c>
      <c r="I2377" s="35">
        <v>0.0</v>
      </c>
      <c r="J2377" s="35"/>
      <c r="K2377" s="35">
        <v>0.0</v>
      </c>
    </row>
    <row r="2378" ht="15.75" customHeight="1">
      <c r="A2378" s="35" t="s">
        <v>7054</v>
      </c>
      <c r="B2378" s="35"/>
      <c r="C2378" s="35">
        <v>2.0</v>
      </c>
      <c r="D2378" s="35">
        <v>346.0</v>
      </c>
      <c r="E2378" s="35">
        <v>46058.0</v>
      </c>
      <c r="F2378" s="35">
        <v>0.0</v>
      </c>
      <c r="G2378" s="35">
        <v>5.0</v>
      </c>
      <c r="H2378" s="35">
        <v>14.0</v>
      </c>
      <c r="I2378" s="35">
        <v>0.0</v>
      </c>
      <c r="J2378" s="35"/>
      <c r="K2378" s="35">
        <v>0.0</v>
      </c>
    </row>
    <row r="2379" ht="15.75" customHeight="1">
      <c r="A2379" s="35" t="s">
        <v>7055</v>
      </c>
      <c r="B2379" s="35"/>
      <c r="C2379" s="35">
        <v>2.0</v>
      </c>
      <c r="D2379" s="35">
        <v>345.0</v>
      </c>
      <c r="E2379" s="35">
        <v>46058.0</v>
      </c>
      <c r="F2379" s="35">
        <v>0.0</v>
      </c>
      <c r="G2379" s="35">
        <v>5.0</v>
      </c>
      <c r="H2379" s="35">
        <v>14.0</v>
      </c>
      <c r="I2379" s="35">
        <v>0.0</v>
      </c>
      <c r="J2379" s="35"/>
      <c r="K2379" s="35">
        <v>0.0</v>
      </c>
    </row>
    <row r="2380" ht="15.75" customHeight="1">
      <c r="A2380" s="35" t="s">
        <v>7057</v>
      </c>
      <c r="B2380" s="35"/>
      <c r="C2380" s="35">
        <v>2.0</v>
      </c>
      <c r="D2380" s="35">
        <v>365.0</v>
      </c>
      <c r="E2380" s="35">
        <v>46058.0</v>
      </c>
      <c r="F2380" s="35">
        <v>0.0</v>
      </c>
      <c r="G2380" s="35">
        <v>5.0</v>
      </c>
      <c r="H2380" s="35">
        <v>14.0</v>
      </c>
      <c r="I2380" s="35">
        <v>0.0</v>
      </c>
      <c r="J2380" s="35"/>
      <c r="K2380" s="35">
        <v>0.0</v>
      </c>
    </row>
    <row r="2381" ht="15.75" customHeight="1">
      <c r="A2381" s="35" t="s">
        <v>7058</v>
      </c>
      <c r="B2381" s="35"/>
      <c r="C2381" s="35">
        <v>2.0</v>
      </c>
      <c r="D2381" s="35">
        <v>271.0</v>
      </c>
      <c r="E2381" s="35">
        <v>46058.0</v>
      </c>
      <c r="F2381" s="35">
        <v>0.0</v>
      </c>
      <c r="G2381" s="35">
        <v>5.0</v>
      </c>
      <c r="H2381" s="35">
        <v>14.0</v>
      </c>
      <c r="I2381" s="35">
        <v>0.0</v>
      </c>
      <c r="J2381" s="35"/>
      <c r="K2381" s="35">
        <v>0.0</v>
      </c>
    </row>
    <row r="2382" ht="15.75" customHeight="1">
      <c r="A2382" s="35" t="s">
        <v>7060</v>
      </c>
      <c r="B2382" s="35"/>
      <c r="C2382" s="35">
        <v>2.0</v>
      </c>
      <c r="D2382" s="35">
        <v>206.0</v>
      </c>
      <c r="E2382" s="35">
        <v>46058.0</v>
      </c>
      <c r="F2382" s="35">
        <v>0.0</v>
      </c>
      <c r="G2382" s="35">
        <v>5.0</v>
      </c>
      <c r="H2382" s="35">
        <v>14.0</v>
      </c>
      <c r="I2382" s="35">
        <v>0.0</v>
      </c>
      <c r="J2382" s="35"/>
      <c r="K2382" s="35">
        <v>0.0</v>
      </c>
    </row>
    <row r="2383" ht="15.75" customHeight="1">
      <c r="A2383" s="35" t="s">
        <v>7061</v>
      </c>
      <c r="B2383" s="35"/>
      <c r="C2383" s="35">
        <v>2.0</v>
      </c>
      <c r="D2383" s="35">
        <v>57.0</v>
      </c>
      <c r="E2383" s="35">
        <v>46058.0</v>
      </c>
      <c r="F2383" s="35">
        <v>0.0</v>
      </c>
      <c r="G2383" s="35">
        <v>5.0</v>
      </c>
      <c r="H2383" s="35">
        <v>14.0</v>
      </c>
      <c r="I2383" s="35">
        <v>0.0</v>
      </c>
      <c r="J2383" s="35"/>
      <c r="K2383" s="35">
        <v>0.0</v>
      </c>
    </row>
    <row r="2384" ht="15.75" customHeight="1">
      <c r="A2384" s="35" t="s">
        <v>7063</v>
      </c>
      <c r="B2384" s="35"/>
      <c r="C2384" s="35">
        <v>2.0</v>
      </c>
      <c r="D2384" s="35">
        <v>552.0</v>
      </c>
      <c r="E2384" s="35">
        <v>46058.0</v>
      </c>
      <c r="F2384" s="35">
        <v>0.0</v>
      </c>
      <c r="G2384" s="35">
        <v>5.0</v>
      </c>
      <c r="H2384" s="35">
        <v>14.0</v>
      </c>
      <c r="I2384" s="35">
        <v>0.0</v>
      </c>
      <c r="J2384" s="35"/>
      <c r="K2384" s="35">
        <v>0.0</v>
      </c>
    </row>
    <row r="2385" ht="15.75" customHeight="1">
      <c r="A2385" s="35" t="s">
        <v>7064</v>
      </c>
      <c r="B2385" s="35"/>
      <c r="C2385" s="35">
        <v>2.0</v>
      </c>
      <c r="D2385" s="35">
        <v>110.0</v>
      </c>
      <c r="E2385" s="35">
        <v>46058.0</v>
      </c>
      <c r="F2385" s="35">
        <v>0.0</v>
      </c>
      <c r="G2385" s="35">
        <v>5.0</v>
      </c>
      <c r="H2385" s="35">
        <v>14.0</v>
      </c>
      <c r="I2385" s="35">
        <v>0.0</v>
      </c>
      <c r="J2385" s="35"/>
      <c r="K2385" s="35">
        <v>0.0</v>
      </c>
    </row>
    <row r="2386" ht="15.75" customHeight="1">
      <c r="A2386" s="35" t="s">
        <v>7066</v>
      </c>
      <c r="B2386" s="35"/>
      <c r="C2386" s="35">
        <v>2.0</v>
      </c>
      <c r="D2386" s="35">
        <v>207.0</v>
      </c>
      <c r="E2386" s="35">
        <v>46058.0</v>
      </c>
      <c r="F2386" s="35">
        <v>0.0</v>
      </c>
      <c r="G2386" s="35">
        <v>5.0</v>
      </c>
      <c r="H2386" s="35">
        <v>14.0</v>
      </c>
      <c r="I2386" s="35">
        <v>0.0</v>
      </c>
      <c r="J2386" s="35"/>
      <c r="K2386" s="35">
        <v>0.0</v>
      </c>
    </row>
    <row r="2387" ht="15.75" customHeight="1">
      <c r="A2387" s="35" t="s">
        <v>7067</v>
      </c>
      <c r="B2387" s="35"/>
      <c r="C2387" s="35">
        <v>2.0</v>
      </c>
      <c r="D2387" s="35">
        <v>326.0</v>
      </c>
      <c r="E2387" s="35">
        <v>46058.0</v>
      </c>
      <c r="F2387" s="35">
        <v>0.0</v>
      </c>
      <c r="G2387" s="35">
        <v>5.0</v>
      </c>
      <c r="H2387" s="35">
        <v>14.0</v>
      </c>
      <c r="I2387" s="35">
        <v>0.0</v>
      </c>
      <c r="J2387" s="35"/>
      <c r="K2387" s="35">
        <v>0.0</v>
      </c>
    </row>
    <row r="2388" ht="15.75" customHeight="1">
      <c r="A2388" s="35" t="s">
        <v>7069</v>
      </c>
      <c r="B2388" s="35"/>
      <c r="C2388" s="35">
        <v>2.0</v>
      </c>
      <c r="D2388" s="35">
        <v>610.0</v>
      </c>
      <c r="E2388" s="35">
        <v>46058.0</v>
      </c>
      <c r="F2388" s="35">
        <v>0.0</v>
      </c>
      <c r="G2388" s="35">
        <v>5.0</v>
      </c>
      <c r="H2388" s="35">
        <v>14.0</v>
      </c>
      <c r="I2388" s="35">
        <v>0.0</v>
      </c>
      <c r="J2388" s="35"/>
      <c r="K2388" s="35">
        <v>0.0</v>
      </c>
    </row>
    <row r="2389" ht="15.75" customHeight="1">
      <c r="A2389" s="35" t="s">
        <v>7070</v>
      </c>
      <c r="B2389" s="35"/>
      <c r="C2389" s="35">
        <v>2.0</v>
      </c>
      <c r="D2389" s="35">
        <v>326.0</v>
      </c>
      <c r="E2389" s="35">
        <v>46058.0</v>
      </c>
      <c r="F2389" s="35">
        <v>0.0</v>
      </c>
      <c r="G2389" s="35">
        <v>5.0</v>
      </c>
      <c r="H2389" s="35">
        <v>14.0</v>
      </c>
      <c r="I2389" s="35">
        <v>0.0</v>
      </c>
      <c r="J2389" s="35"/>
      <c r="K2389" s="35">
        <v>0.0</v>
      </c>
    </row>
    <row r="2390" ht="15.75" customHeight="1">
      <c r="A2390" s="35" t="s">
        <v>7071</v>
      </c>
      <c r="B2390" s="35"/>
      <c r="C2390" s="35">
        <v>2.0</v>
      </c>
      <c r="D2390" s="35">
        <v>447.0</v>
      </c>
      <c r="E2390" s="35">
        <v>46058.0</v>
      </c>
      <c r="F2390" s="35">
        <v>0.0</v>
      </c>
      <c r="G2390" s="35">
        <v>5.0</v>
      </c>
      <c r="H2390" s="35">
        <v>14.0</v>
      </c>
      <c r="I2390" s="35">
        <v>0.0</v>
      </c>
      <c r="J2390" s="35"/>
      <c r="K2390" s="35">
        <v>0.0</v>
      </c>
    </row>
    <row r="2391" ht="15.75" customHeight="1">
      <c r="A2391" s="35" t="s">
        <v>7073</v>
      </c>
      <c r="B2391" s="35"/>
      <c r="C2391" s="35">
        <v>2.0</v>
      </c>
      <c r="D2391" s="35">
        <v>288.0</v>
      </c>
      <c r="E2391" s="35">
        <v>46058.0</v>
      </c>
      <c r="F2391" s="35">
        <v>0.0</v>
      </c>
      <c r="G2391" s="35">
        <v>5.0</v>
      </c>
      <c r="H2391" s="35">
        <v>14.0</v>
      </c>
      <c r="I2391" s="35">
        <v>0.0</v>
      </c>
      <c r="J2391" s="35"/>
      <c r="K2391" s="35">
        <v>0.0</v>
      </c>
    </row>
    <row r="2392" ht="15.75" customHeight="1">
      <c r="A2392" s="35" t="s">
        <v>7074</v>
      </c>
      <c r="B2392" s="35"/>
      <c r="C2392" s="35">
        <v>2.0</v>
      </c>
      <c r="D2392" s="35">
        <v>407.0</v>
      </c>
      <c r="E2392" s="35">
        <v>46058.0</v>
      </c>
      <c r="F2392" s="35">
        <v>0.0</v>
      </c>
      <c r="G2392" s="35">
        <v>5.0</v>
      </c>
      <c r="H2392" s="35">
        <v>14.0</v>
      </c>
      <c r="I2392" s="35">
        <v>0.0</v>
      </c>
      <c r="J2392" s="35"/>
      <c r="K2392" s="35">
        <v>0.0</v>
      </c>
    </row>
    <row r="2393" ht="15.75" customHeight="1">
      <c r="A2393" s="35" t="s">
        <v>7076</v>
      </c>
      <c r="B2393" s="35"/>
      <c r="C2393" s="35">
        <v>2.0</v>
      </c>
      <c r="D2393" s="35">
        <v>557.0</v>
      </c>
      <c r="E2393" s="35">
        <v>46058.0</v>
      </c>
      <c r="F2393" s="35">
        <v>0.0</v>
      </c>
      <c r="G2393" s="35">
        <v>5.0</v>
      </c>
      <c r="H2393" s="35">
        <v>14.0</v>
      </c>
      <c r="I2393" s="35">
        <v>0.0</v>
      </c>
      <c r="J2393" s="35"/>
      <c r="K2393" s="35">
        <v>0.0</v>
      </c>
    </row>
    <row r="2394" ht="15.75" customHeight="1">
      <c r="A2394" s="35" t="s">
        <v>7077</v>
      </c>
      <c r="B2394" s="35"/>
      <c r="C2394" s="35">
        <v>2.0</v>
      </c>
      <c r="D2394" s="35">
        <v>349.0</v>
      </c>
      <c r="E2394" s="35">
        <v>46058.0</v>
      </c>
      <c r="F2394" s="35">
        <v>0.0</v>
      </c>
      <c r="G2394" s="35">
        <v>5.0</v>
      </c>
      <c r="H2394" s="35">
        <v>14.0</v>
      </c>
      <c r="I2394" s="35">
        <v>0.0</v>
      </c>
      <c r="J2394" s="35"/>
      <c r="K2394" s="35">
        <v>0.0</v>
      </c>
    </row>
    <row r="2395" ht="15.75" customHeight="1">
      <c r="A2395" s="35" t="s">
        <v>7079</v>
      </c>
      <c r="B2395" s="35"/>
      <c r="C2395" s="35">
        <v>2.0</v>
      </c>
      <c r="D2395" s="35">
        <v>364.0</v>
      </c>
      <c r="E2395" s="35">
        <v>46058.0</v>
      </c>
      <c r="F2395" s="35">
        <v>0.0</v>
      </c>
      <c r="G2395" s="35">
        <v>5.0</v>
      </c>
      <c r="H2395" s="35">
        <v>14.0</v>
      </c>
      <c r="I2395" s="35">
        <v>0.0</v>
      </c>
      <c r="J2395" s="35"/>
      <c r="K2395" s="35">
        <v>0.0</v>
      </c>
    </row>
    <row r="2396" ht="15.75" customHeight="1">
      <c r="A2396" s="35" t="s">
        <v>7080</v>
      </c>
      <c r="B2396" s="35"/>
      <c r="C2396" s="35">
        <v>2.0</v>
      </c>
      <c r="D2396" s="35">
        <v>519.0</v>
      </c>
      <c r="E2396" s="35">
        <v>46058.0</v>
      </c>
      <c r="F2396" s="35">
        <v>0.0</v>
      </c>
      <c r="G2396" s="35">
        <v>5.0</v>
      </c>
      <c r="H2396" s="35">
        <v>14.0</v>
      </c>
      <c r="I2396" s="35">
        <v>0.0</v>
      </c>
      <c r="J2396" s="35"/>
      <c r="K2396" s="35">
        <v>0.0</v>
      </c>
    </row>
    <row r="2397" ht="15.75" customHeight="1">
      <c r="A2397" s="35" t="s">
        <v>7082</v>
      </c>
      <c r="B2397" s="35"/>
      <c r="C2397" s="35">
        <v>2.0</v>
      </c>
      <c r="D2397" s="35">
        <v>57.0</v>
      </c>
      <c r="E2397" s="35">
        <v>46058.0</v>
      </c>
      <c r="F2397" s="35">
        <v>0.0</v>
      </c>
      <c r="G2397" s="35">
        <v>5.0</v>
      </c>
      <c r="H2397" s="35">
        <v>14.0</v>
      </c>
      <c r="I2397" s="35">
        <v>0.0</v>
      </c>
      <c r="J2397" s="35"/>
      <c r="K2397" s="35">
        <v>0.0</v>
      </c>
    </row>
    <row r="2398" ht="15.75" customHeight="1">
      <c r="A2398" s="35" t="s">
        <v>7083</v>
      </c>
      <c r="B2398" s="35"/>
      <c r="C2398" s="35">
        <v>2.0</v>
      </c>
      <c r="D2398" s="35">
        <v>282.0</v>
      </c>
      <c r="E2398" s="35">
        <v>46058.0</v>
      </c>
      <c r="F2398" s="35">
        <v>0.0</v>
      </c>
      <c r="G2398" s="35">
        <v>5.0</v>
      </c>
      <c r="H2398" s="35">
        <v>14.0</v>
      </c>
      <c r="I2398" s="35">
        <v>0.0</v>
      </c>
      <c r="J2398" s="35"/>
      <c r="K2398" s="35">
        <v>0.0</v>
      </c>
    </row>
    <row r="2399" ht="15.75" customHeight="1">
      <c r="A2399" s="35" t="s">
        <v>7084</v>
      </c>
      <c r="B2399" s="35"/>
      <c r="C2399" s="35">
        <v>2.0</v>
      </c>
      <c r="D2399" s="35">
        <v>517.0</v>
      </c>
      <c r="E2399" s="35">
        <v>46058.0</v>
      </c>
      <c r="F2399" s="35">
        <v>0.0</v>
      </c>
      <c r="G2399" s="35">
        <v>5.0</v>
      </c>
      <c r="H2399" s="35">
        <v>14.0</v>
      </c>
      <c r="I2399" s="35">
        <v>0.0</v>
      </c>
      <c r="J2399" s="35"/>
      <c r="K2399" s="35">
        <v>0.0</v>
      </c>
    </row>
    <row r="2400" ht="15.75" customHeight="1">
      <c r="A2400" s="35" t="s">
        <v>7086</v>
      </c>
      <c r="B2400" s="35"/>
      <c r="C2400" s="35">
        <v>2.0</v>
      </c>
      <c r="D2400" s="35">
        <v>422.0</v>
      </c>
      <c r="E2400" s="35">
        <v>46058.0</v>
      </c>
      <c r="F2400" s="35">
        <v>0.0</v>
      </c>
      <c r="G2400" s="35">
        <v>5.0</v>
      </c>
      <c r="H2400" s="35">
        <v>14.0</v>
      </c>
      <c r="I2400" s="35">
        <v>0.0</v>
      </c>
      <c r="J2400" s="35"/>
      <c r="K2400" s="35">
        <v>0.0</v>
      </c>
    </row>
    <row r="2401" ht="15.75" customHeight="1">
      <c r="A2401" s="35" t="s">
        <v>7087</v>
      </c>
      <c r="B2401" s="35"/>
      <c r="C2401" s="35">
        <v>2.0</v>
      </c>
      <c r="D2401" s="35">
        <v>679.0</v>
      </c>
      <c r="E2401" s="35">
        <v>46058.0</v>
      </c>
      <c r="F2401" s="35">
        <v>0.0</v>
      </c>
      <c r="G2401" s="35">
        <v>5.0</v>
      </c>
      <c r="H2401" s="35">
        <v>14.0</v>
      </c>
      <c r="I2401" s="35">
        <v>0.0</v>
      </c>
      <c r="J2401" s="35"/>
      <c r="K2401" s="35">
        <v>0.0</v>
      </c>
    </row>
    <row r="2402" ht="15.75" customHeight="1">
      <c r="A2402" s="35" t="s">
        <v>7088</v>
      </c>
      <c r="B2402" s="35"/>
      <c r="C2402" s="35">
        <v>2.0</v>
      </c>
      <c r="D2402" s="35">
        <v>288.0</v>
      </c>
      <c r="E2402" s="35">
        <v>46058.0</v>
      </c>
      <c r="F2402" s="35">
        <v>0.0</v>
      </c>
      <c r="G2402" s="35">
        <v>5.0</v>
      </c>
      <c r="H2402" s="35">
        <v>14.0</v>
      </c>
      <c r="I2402" s="35">
        <v>0.0</v>
      </c>
      <c r="J2402" s="35"/>
      <c r="K2402" s="35">
        <v>0.0</v>
      </c>
    </row>
    <row r="2403" ht="15.75" customHeight="1">
      <c r="A2403" s="35" t="s">
        <v>7089</v>
      </c>
      <c r="B2403" s="35"/>
      <c r="C2403" s="35">
        <v>2.0</v>
      </c>
      <c r="D2403" s="35">
        <v>393.0</v>
      </c>
      <c r="E2403" s="35">
        <v>46058.0</v>
      </c>
      <c r="F2403" s="35">
        <v>0.0</v>
      </c>
      <c r="G2403" s="35">
        <v>5.0</v>
      </c>
      <c r="H2403" s="35">
        <v>14.0</v>
      </c>
      <c r="I2403" s="35">
        <v>0.0</v>
      </c>
      <c r="J2403" s="35"/>
      <c r="K2403" s="35">
        <v>0.0</v>
      </c>
    </row>
    <row r="2404" ht="15.75" customHeight="1">
      <c r="A2404" s="35" t="s">
        <v>7091</v>
      </c>
      <c r="B2404" s="35"/>
      <c r="C2404" s="35">
        <v>2.0</v>
      </c>
      <c r="D2404" s="35">
        <v>571.0</v>
      </c>
      <c r="E2404" s="35">
        <v>46058.0</v>
      </c>
      <c r="F2404" s="35">
        <v>0.0</v>
      </c>
      <c r="G2404" s="35">
        <v>5.0</v>
      </c>
      <c r="H2404" s="35">
        <v>14.0</v>
      </c>
      <c r="I2404" s="35">
        <v>0.0</v>
      </c>
      <c r="J2404" s="35"/>
      <c r="K2404" s="35">
        <v>0.0</v>
      </c>
    </row>
    <row r="2405" ht="15.75" customHeight="1">
      <c r="A2405" s="35" t="s">
        <v>7092</v>
      </c>
      <c r="B2405" s="35"/>
      <c r="C2405" s="35">
        <v>2.0</v>
      </c>
      <c r="D2405" s="35">
        <v>380.0</v>
      </c>
      <c r="E2405" s="35">
        <v>46058.0</v>
      </c>
      <c r="F2405" s="35">
        <v>0.0</v>
      </c>
      <c r="G2405" s="35">
        <v>5.0</v>
      </c>
      <c r="H2405" s="35">
        <v>14.0</v>
      </c>
      <c r="I2405" s="35">
        <v>0.0</v>
      </c>
      <c r="J2405" s="35"/>
      <c r="K2405" s="35">
        <v>0.0</v>
      </c>
    </row>
    <row r="2406" ht="15.75" customHeight="1">
      <c r="A2406" s="35" t="s">
        <v>7093</v>
      </c>
      <c r="B2406" s="35"/>
      <c r="C2406" s="35">
        <v>2.0</v>
      </c>
      <c r="D2406" s="35">
        <v>497.0</v>
      </c>
      <c r="E2406" s="35">
        <v>46058.0</v>
      </c>
      <c r="F2406" s="35">
        <v>0.0</v>
      </c>
      <c r="G2406" s="35">
        <v>5.0</v>
      </c>
      <c r="H2406" s="35">
        <v>14.0</v>
      </c>
      <c r="I2406" s="35">
        <v>0.0</v>
      </c>
      <c r="J2406" s="35"/>
      <c r="K2406" s="35">
        <v>0.0</v>
      </c>
    </row>
    <row r="2407" ht="15.75" customHeight="1">
      <c r="A2407" s="35" t="s">
        <v>7095</v>
      </c>
      <c r="B2407" s="35"/>
      <c r="C2407" s="35">
        <v>2.0</v>
      </c>
      <c r="D2407" s="35">
        <v>539.0</v>
      </c>
      <c r="E2407" s="35">
        <v>46058.0</v>
      </c>
      <c r="F2407" s="35">
        <v>0.0</v>
      </c>
      <c r="G2407" s="35">
        <v>5.0</v>
      </c>
      <c r="H2407" s="35">
        <v>14.0</v>
      </c>
      <c r="I2407" s="35">
        <v>0.0</v>
      </c>
      <c r="J2407" s="35"/>
      <c r="K2407" s="35">
        <v>0.0</v>
      </c>
    </row>
    <row r="2408" ht="15.75" customHeight="1">
      <c r="A2408" s="35" t="s">
        <v>7096</v>
      </c>
      <c r="B2408" s="35"/>
      <c r="C2408" s="35">
        <v>2.0</v>
      </c>
      <c r="D2408" s="35">
        <v>837.0</v>
      </c>
      <c r="E2408" s="35">
        <v>46058.0</v>
      </c>
      <c r="F2408" s="35">
        <v>0.0</v>
      </c>
      <c r="G2408" s="35">
        <v>1.0</v>
      </c>
      <c r="H2408" s="35">
        <v>10.0</v>
      </c>
      <c r="I2408" s="35">
        <v>0.0</v>
      </c>
      <c r="J2408" s="35"/>
      <c r="K2408" s="35">
        <v>0.0</v>
      </c>
    </row>
    <row r="2409" ht="15.75" customHeight="1">
      <c r="A2409" s="35" t="s">
        <v>7098</v>
      </c>
      <c r="B2409" s="35"/>
      <c r="C2409" s="35">
        <v>2.0</v>
      </c>
      <c r="D2409" s="35" t="s">
        <v>4635</v>
      </c>
      <c r="E2409" s="35">
        <v>46058.0</v>
      </c>
      <c r="F2409" s="35">
        <v>0.0</v>
      </c>
      <c r="G2409" s="35">
        <v>4.0</v>
      </c>
      <c r="H2409" s="35">
        <v>6.0</v>
      </c>
      <c r="I2409" s="35">
        <v>0.0</v>
      </c>
      <c r="J2409" s="35"/>
      <c r="K2409" s="35">
        <v>0.0</v>
      </c>
    </row>
    <row r="2410" ht="15.75" customHeight="1">
      <c r="A2410" s="35" t="s">
        <v>7099</v>
      </c>
      <c r="B2410" s="35"/>
      <c r="C2410" s="35">
        <v>2.0</v>
      </c>
      <c r="D2410" s="35" t="s">
        <v>2032</v>
      </c>
      <c r="E2410" s="35">
        <v>46058.0</v>
      </c>
      <c r="F2410" s="35">
        <v>0.0</v>
      </c>
      <c r="G2410" s="35">
        <v>1.0</v>
      </c>
      <c r="H2410" s="35">
        <v>4.0</v>
      </c>
      <c r="I2410" s="35">
        <v>0.0</v>
      </c>
      <c r="J2410" s="35"/>
      <c r="K2410" s="35">
        <v>0.0</v>
      </c>
    </row>
    <row r="2411" ht="15.75" customHeight="1">
      <c r="A2411" s="35" t="s">
        <v>7101</v>
      </c>
      <c r="B2411" s="35"/>
      <c r="C2411" s="35">
        <v>2.0</v>
      </c>
      <c r="D2411" s="35" t="s">
        <v>4563</v>
      </c>
      <c r="E2411" s="35">
        <v>46058.0</v>
      </c>
      <c r="F2411" s="35">
        <v>0.0</v>
      </c>
      <c r="G2411" s="35">
        <v>9.0</v>
      </c>
      <c r="H2411" s="35">
        <v>0.0</v>
      </c>
      <c r="I2411" s="35">
        <v>1.0</v>
      </c>
      <c r="J2411" s="35"/>
      <c r="K2411" s="35">
        <v>0.0</v>
      </c>
    </row>
    <row r="2412" ht="15.75" customHeight="1">
      <c r="A2412" s="35" t="s">
        <v>7102</v>
      </c>
      <c r="B2412" s="35"/>
      <c r="C2412" s="35">
        <v>2.0</v>
      </c>
      <c r="D2412" s="35" t="s">
        <v>4635</v>
      </c>
      <c r="E2412" s="35">
        <v>46027.0</v>
      </c>
      <c r="F2412" s="35">
        <v>0.0</v>
      </c>
      <c r="G2412" s="35">
        <v>42.0</v>
      </c>
      <c r="H2412" s="35">
        <v>0.0</v>
      </c>
      <c r="I2412" s="35">
        <v>0.0</v>
      </c>
      <c r="J2412" s="35"/>
      <c r="K2412" s="35">
        <v>0.0</v>
      </c>
    </row>
    <row r="2413" ht="15.75" customHeight="1">
      <c r="A2413" s="35" t="s">
        <v>7104</v>
      </c>
      <c r="B2413" s="35"/>
      <c r="C2413" s="35">
        <v>2.0</v>
      </c>
      <c r="D2413" s="35">
        <v>299.0</v>
      </c>
      <c r="E2413" s="35">
        <v>46027.0</v>
      </c>
      <c r="F2413" s="35">
        <v>0.0</v>
      </c>
      <c r="G2413" s="35">
        <v>1.0</v>
      </c>
      <c r="H2413" s="35">
        <v>0.0</v>
      </c>
      <c r="I2413" s="35">
        <v>0.0</v>
      </c>
      <c r="J2413" s="35"/>
      <c r="K2413" s="35">
        <v>0.0</v>
      </c>
    </row>
    <row r="2414" ht="15.75" customHeight="1">
      <c r="A2414" s="35" t="s">
        <v>7105</v>
      </c>
      <c r="B2414" s="35"/>
      <c r="C2414" s="35">
        <v>2.0</v>
      </c>
      <c r="D2414" s="35" t="s">
        <v>4635</v>
      </c>
      <c r="E2414" s="35">
        <v>46027.0</v>
      </c>
      <c r="F2414" s="35">
        <v>0.0</v>
      </c>
      <c r="G2414" s="35">
        <v>1.0</v>
      </c>
      <c r="H2414" s="35">
        <v>0.0</v>
      </c>
      <c r="I2414" s="35">
        <v>0.0</v>
      </c>
      <c r="J2414" s="35"/>
      <c r="K2414" s="35">
        <v>0.0</v>
      </c>
    </row>
    <row r="2415" ht="15.75" customHeight="1">
      <c r="A2415" s="35" t="s">
        <v>7106</v>
      </c>
      <c r="B2415" s="35"/>
      <c r="C2415" s="35">
        <v>2.0</v>
      </c>
      <c r="D2415" s="35" t="s">
        <v>4635</v>
      </c>
      <c r="E2415" s="35">
        <v>46027.0</v>
      </c>
      <c r="F2415" s="35">
        <v>0.0</v>
      </c>
      <c r="G2415" s="35">
        <v>1.0</v>
      </c>
      <c r="H2415" s="35">
        <v>0.0</v>
      </c>
      <c r="I2415" s="35">
        <v>0.0</v>
      </c>
      <c r="J2415" s="35"/>
      <c r="K2415" s="35">
        <v>0.0</v>
      </c>
    </row>
    <row r="2416" ht="15.75" customHeight="1">
      <c r="A2416" s="35" t="s">
        <v>7108</v>
      </c>
      <c r="B2416" s="35"/>
      <c r="C2416" s="35">
        <v>2.0</v>
      </c>
      <c r="D2416" s="35" t="s">
        <v>4635</v>
      </c>
      <c r="E2416" s="35">
        <v>46027.0</v>
      </c>
      <c r="F2416" s="35">
        <v>0.0</v>
      </c>
      <c r="G2416" s="35">
        <v>3.0</v>
      </c>
      <c r="H2416" s="35">
        <v>0.0</v>
      </c>
      <c r="I2416" s="35">
        <v>0.0</v>
      </c>
      <c r="J2416" s="35"/>
      <c r="K2416" s="35">
        <v>0.0</v>
      </c>
    </row>
    <row r="2417" ht="15.75" customHeight="1">
      <c r="A2417" s="35" t="s">
        <v>7109</v>
      </c>
      <c r="B2417" s="35"/>
      <c r="C2417" s="35">
        <v>2.0</v>
      </c>
      <c r="D2417" s="35">
        <v>282.0</v>
      </c>
      <c r="E2417" s="35">
        <v>46027.0</v>
      </c>
      <c r="F2417" s="35">
        <v>0.0</v>
      </c>
      <c r="G2417" s="35">
        <v>62.0</v>
      </c>
      <c r="H2417" s="35">
        <v>0.0</v>
      </c>
      <c r="I2417" s="35">
        <v>0.0</v>
      </c>
      <c r="J2417" s="35"/>
      <c r="K2417" s="35">
        <v>0.0</v>
      </c>
    </row>
    <row r="2418" ht="15.75" customHeight="1">
      <c r="A2418" s="35" t="s">
        <v>7111</v>
      </c>
      <c r="B2418" s="35"/>
      <c r="C2418" s="35">
        <v>2.0</v>
      </c>
      <c r="D2418" s="35">
        <v>467.0</v>
      </c>
      <c r="E2418" s="35">
        <v>46027.0</v>
      </c>
      <c r="F2418" s="35">
        <v>0.0</v>
      </c>
      <c r="G2418" s="35">
        <v>48.0</v>
      </c>
      <c r="H2418" s="35">
        <v>0.0</v>
      </c>
      <c r="I2418" s="35">
        <v>0.0</v>
      </c>
      <c r="J2418" s="35"/>
      <c r="K2418" s="35">
        <v>0.0</v>
      </c>
    </row>
    <row r="2419" ht="15.75" customHeight="1">
      <c r="A2419" s="35" t="s">
        <v>7112</v>
      </c>
      <c r="B2419" s="35"/>
      <c r="C2419" s="35">
        <v>2.0</v>
      </c>
      <c r="D2419" s="35" t="s">
        <v>4635</v>
      </c>
      <c r="E2419" s="35">
        <v>46027.0</v>
      </c>
      <c r="F2419" s="35">
        <v>0.0</v>
      </c>
      <c r="G2419" s="35">
        <v>37.0</v>
      </c>
      <c r="H2419" s="35">
        <v>0.0</v>
      </c>
      <c r="I2419" s="35">
        <v>0.0</v>
      </c>
      <c r="J2419" s="35"/>
      <c r="K2419" s="35">
        <v>0.0</v>
      </c>
    </row>
    <row r="2420" ht="15.75" customHeight="1">
      <c r="A2420" s="35" t="s">
        <v>7113</v>
      </c>
      <c r="B2420" s="35"/>
      <c r="C2420" s="35">
        <v>2.0</v>
      </c>
      <c r="D2420" s="35" t="s">
        <v>4635</v>
      </c>
      <c r="E2420" s="35">
        <v>46027.0</v>
      </c>
      <c r="F2420" s="35">
        <v>0.0</v>
      </c>
      <c r="G2420" s="35">
        <v>1.0</v>
      </c>
      <c r="H2420" s="35">
        <v>0.0</v>
      </c>
      <c r="I2420" s="35">
        <v>0.0</v>
      </c>
      <c r="J2420" s="35"/>
      <c r="K2420" s="35">
        <v>0.0</v>
      </c>
    </row>
    <row r="2421" ht="15.75" customHeight="1">
      <c r="A2421" s="35" t="s">
        <v>7114</v>
      </c>
      <c r="B2421" s="35"/>
      <c r="C2421" s="35">
        <v>2.0</v>
      </c>
      <c r="D2421" s="35" t="s">
        <v>4635</v>
      </c>
      <c r="E2421" s="35">
        <v>46027.0</v>
      </c>
      <c r="F2421" s="35">
        <v>0.0</v>
      </c>
      <c r="G2421" s="35">
        <v>1.0</v>
      </c>
      <c r="H2421" s="35">
        <v>0.0</v>
      </c>
      <c r="I2421" s="35">
        <v>0.0</v>
      </c>
      <c r="J2421" s="35"/>
      <c r="K2421" s="35">
        <v>0.0</v>
      </c>
    </row>
    <row r="2422" ht="15.75" customHeight="1">
      <c r="A2422" s="35" t="s">
        <v>7116</v>
      </c>
      <c r="B2422" s="35"/>
      <c r="C2422" s="35">
        <v>2.0</v>
      </c>
      <c r="D2422" s="35" t="s">
        <v>4635</v>
      </c>
      <c r="E2422" s="35">
        <v>46027.0</v>
      </c>
      <c r="F2422" s="35">
        <v>0.0</v>
      </c>
      <c r="G2422" s="35">
        <v>1.0</v>
      </c>
      <c r="H2422" s="35">
        <v>0.0</v>
      </c>
      <c r="I2422" s="35">
        <v>0.0</v>
      </c>
      <c r="J2422" s="35"/>
      <c r="K2422" s="35">
        <v>0.0</v>
      </c>
    </row>
    <row r="2423" ht="15.75" customHeight="1">
      <c r="A2423" s="35" t="s">
        <v>7117</v>
      </c>
      <c r="B2423" s="35"/>
      <c r="C2423" s="35">
        <v>2.0</v>
      </c>
      <c r="D2423" s="35" t="s">
        <v>4635</v>
      </c>
      <c r="E2423" s="35">
        <v>46027.0</v>
      </c>
      <c r="F2423" s="35">
        <v>0.0</v>
      </c>
      <c r="G2423" s="35">
        <v>43.0</v>
      </c>
      <c r="H2423" s="35">
        <v>0.0</v>
      </c>
      <c r="I2423" s="35">
        <v>0.0</v>
      </c>
      <c r="J2423" s="35"/>
      <c r="K2423" s="35">
        <v>0.0</v>
      </c>
    </row>
    <row r="2424" ht="15.75" customHeight="1">
      <c r="A2424" s="35" t="s">
        <v>7119</v>
      </c>
      <c r="B2424" s="35"/>
      <c r="C2424" s="35">
        <v>2.0</v>
      </c>
      <c r="D2424" s="35" t="s">
        <v>4635</v>
      </c>
      <c r="E2424" s="35">
        <v>46027.0</v>
      </c>
      <c r="F2424" s="35">
        <v>0.0</v>
      </c>
      <c r="G2424" s="35">
        <v>2.0</v>
      </c>
      <c r="H2424" s="35">
        <v>0.0</v>
      </c>
      <c r="I2424" s="35">
        <v>0.0</v>
      </c>
      <c r="J2424" s="35"/>
      <c r="K2424" s="35">
        <v>0.0</v>
      </c>
    </row>
    <row r="2425" ht="15.75" customHeight="1">
      <c r="A2425" s="35" t="s">
        <v>7120</v>
      </c>
      <c r="B2425" s="35"/>
      <c r="C2425" s="35">
        <v>2.0</v>
      </c>
      <c r="D2425" s="35" t="s">
        <v>4635</v>
      </c>
      <c r="E2425" s="35">
        <v>46027.0</v>
      </c>
      <c r="F2425" s="35">
        <v>0.0</v>
      </c>
      <c r="G2425" s="35">
        <v>8.0</v>
      </c>
      <c r="H2425" s="35">
        <v>0.0</v>
      </c>
      <c r="I2425" s="35">
        <v>0.0</v>
      </c>
      <c r="J2425" s="35"/>
      <c r="K2425" s="35">
        <v>0.0</v>
      </c>
    </row>
    <row r="2426" ht="15.75" customHeight="1">
      <c r="A2426" s="35" t="s">
        <v>7122</v>
      </c>
      <c r="B2426" s="35"/>
      <c r="C2426" s="35">
        <v>2.0</v>
      </c>
      <c r="D2426" s="35" t="s">
        <v>4635</v>
      </c>
      <c r="E2426" s="35">
        <v>46027.0</v>
      </c>
      <c r="F2426" s="35">
        <v>0.0</v>
      </c>
      <c r="G2426" s="35">
        <v>1.0</v>
      </c>
      <c r="H2426" s="35">
        <v>0.0</v>
      </c>
      <c r="I2426" s="35">
        <v>0.0</v>
      </c>
      <c r="J2426" s="35"/>
      <c r="K2426" s="35">
        <v>0.0</v>
      </c>
    </row>
    <row r="2427" ht="15.75" customHeight="1">
      <c r="A2427" s="35" t="s">
        <v>7123</v>
      </c>
      <c r="B2427" s="35"/>
      <c r="C2427" s="35">
        <v>2.0</v>
      </c>
      <c r="D2427" s="35" t="s">
        <v>4635</v>
      </c>
      <c r="E2427" s="35">
        <v>46027.0</v>
      </c>
      <c r="F2427" s="35">
        <v>0.0</v>
      </c>
      <c r="G2427" s="35">
        <v>4.0</v>
      </c>
      <c r="H2427" s="35">
        <v>0.0</v>
      </c>
      <c r="I2427" s="35">
        <v>0.0</v>
      </c>
      <c r="J2427" s="35"/>
      <c r="K2427" s="35">
        <v>0.0</v>
      </c>
    </row>
    <row r="2428" ht="15.75" customHeight="1">
      <c r="A2428" s="35" t="s">
        <v>7125</v>
      </c>
      <c r="B2428" s="35"/>
      <c r="C2428" s="35">
        <v>2.0</v>
      </c>
      <c r="D2428" s="35">
        <v>527.0</v>
      </c>
      <c r="E2428" s="35">
        <v>46027.0</v>
      </c>
      <c r="F2428" s="35">
        <v>0.0</v>
      </c>
      <c r="G2428" s="35">
        <v>0.0</v>
      </c>
      <c r="H2428" s="35">
        <v>1.0</v>
      </c>
      <c r="I2428" s="35">
        <v>0.0</v>
      </c>
      <c r="J2428" s="35"/>
      <c r="K2428" s="35">
        <v>0.0</v>
      </c>
    </row>
    <row r="2429" ht="15.75" customHeight="1">
      <c r="A2429" s="35" t="s">
        <v>7126</v>
      </c>
      <c r="B2429" s="35"/>
      <c r="C2429" s="35">
        <v>2.0</v>
      </c>
      <c r="D2429" s="35" t="s">
        <v>4635</v>
      </c>
      <c r="E2429" s="35">
        <v>46027.0</v>
      </c>
      <c r="F2429" s="35">
        <v>0.0</v>
      </c>
      <c r="G2429" s="35">
        <v>9.0</v>
      </c>
      <c r="H2429" s="35">
        <v>0.0</v>
      </c>
      <c r="I2429" s="35">
        <v>0.0</v>
      </c>
      <c r="J2429" s="35"/>
      <c r="K2429" s="35">
        <v>0.0</v>
      </c>
    </row>
    <row r="2430" ht="15.75" customHeight="1">
      <c r="A2430" s="35" t="s">
        <v>7127</v>
      </c>
      <c r="B2430" s="35"/>
      <c r="C2430" s="35">
        <v>2.0</v>
      </c>
      <c r="D2430" s="35" t="s">
        <v>4635</v>
      </c>
      <c r="E2430" s="35">
        <v>46027.0</v>
      </c>
      <c r="F2430" s="35">
        <v>0.0</v>
      </c>
      <c r="G2430" s="35">
        <v>52.0</v>
      </c>
      <c r="H2430" s="35">
        <v>0.0</v>
      </c>
      <c r="I2430" s="35">
        <v>0.0</v>
      </c>
      <c r="J2430" s="35"/>
      <c r="K2430" s="35">
        <v>0.0</v>
      </c>
    </row>
    <row r="2431" ht="15.75" customHeight="1">
      <c r="A2431" s="35" t="s">
        <v>7129</v>
      </c>
      <c r="B2431" s="35"/>
      <c r="C2431" s="35">
        <v>2.0</v>
      </c>
      <c r="D2431" s="35">
        <v>290.0</v>
      </c>
      <c r="E2431" s="35">
        <v>46027.0</v>
      </c>
      <c r="F2431" s="35">
        <v>0.0</v>
      </c>
      <c r="G2431" s="35">
        <v>62.0</v>
      </c>
      <c r="H2431" s="35">
        <v>0.0</v>
      </c>
      <c r="I2431" s="35">
        <v>0.0</v>
      </c>
      <c r="J2431" s="35"/>
      <c r="K2431" s="35">
        <v>0.0</v>
      </c>
    </row>
    <row r="2432" ht="15.75" customHeight="1">
      <c r="A2432" s="35" t="s">
        <v>7130</v>
      </c>
      <c r="B2432" s="35"/>
      <c r="C2432" s="35">
        <v>2.0</v>
      </c>
      <c r="D2432" s="35">
        <v>58.0</v>
      </c>
      <c r="E2432" s="35">
        <v>46027.0</v>
      </c>
      <c r="F2432" s="35">
        <v>0.0</v>
      </c>
      <c r="G2432" s="35">
        <v>56.0</v>
      </c>
      <c r="H2432" s="35">
        <v>0.0</v>
      </c>
      <c r="I2432" s="35">
        <v>0.0</v>
      </c>
      <c r="J2432" s="35"/>
      <c r="K2432" s="35">
        <v>0.0</v>
      </c>
    </row>
    <row r="2433" ht="15.75" customHeight="1">
      <c r="A2433" s="35" t="s">
        <v>7132</v>
      </c>
      <c r="B2433" s="35"/>
      <c r="C2433" s="35">
        <v>2.0</v>
      </c>
      <c r="D2433" s="35">
        <v>153.0</v>
      </c>
      <c r="E2433" s="35">
        <v>46027.0</v>
      </c>
      <c r="F2433" s="35">
        <v>0.0</v>
      </c>
      <c r="G2433" s="35">
        <v>0.0</v>
      </c>
      <c r="H2433" s="35">
        <v>1.0</v>
      </c>
      <c r="I2433" s="35">
        <v>0.0</v>
      </c>
      <c r="J2433" s="35"/>
      <c r="K2433" s="35">
        <v>0.0</v>
      </c>
    </row>
    <row r="2434" ht="15.75" customHeight="1">
      <c r="A2434" s="35" t="s">
        <v>7133</v>
      </c>
      <c r="B2434" s="35"/>
      <c r="C2434" s="35">
        <v>2.0</v>
      </c>
      <c r="D2434" s="35" t="s">
        <v>4635</v>
      </c>
      <c r="E2434" s="35">
        <v>46027.0</v>
      </c>
      <c r="F2434" s="35">
        <v>0.0</v>
      </c>
      <c r="G2434" s="35">
        <v>1.0</v>
      </c>
      <c r="H2434" s="35">
        <v>0.0</v>
      </c>
      <c r="I2434" s="35">
        <v>0.0</v>
      </c>
      <c r="J2434" s="35"/>
      <c r="K2434" s="35">
        <v>0.0</v>
      </c>
    </row>
    <row r="2435" ht="15.75" customHeight="1">
      <c r="A2435" s="35" t="s">
        <v>7135</v>
      </c>
      <c r="B2435" s="35"/>
      <c r="C2435" s="35">
        <v>2.0</v>
      </c>
      <c r="D2435" s="35" t="s">
        <v>4635</v>
      </c>
      <c r="E2435" s="35">
        <v>46027.0</v>
      </c>
      <c r="F2435" s="35">
        <v>0.0</v>
      </c>
      <c r="G2435" s="35">
        <v>2.0</v>
      </c>
      <c r="H2435" s="35">
        <v>0.0</v>
      </c>
      <c r="I2435" s="35">
        <v>0.0</v>
      </c>
      <c r="J2435" s="35"/>
      <c r="K2435" s="35">
        <v>0.0</v>
      </c>
    </row>
    <row r="2436" ht="15.75" customHeight="1">
      <c r="A2436" s="35" t="s">
        <v>7136</v>
      </c>
      <c r="B2436" s="35"/>
      <c r="C2436" s="35">
        <v>2.0</v>
      </c>
      <c r="D2436" s="35" t="s">
        <v>4635</v>
      </c>
      <c r="E2436" s="35">
        <v>46027.0</v>
      </c>
      <c r="F2436" s="35">
        <v>0.0</v>
      </c>
      <c r="G2436" s="35">
        <v>4.0</v>
      </c>
      <c r="H2436" s="35">
        <v>0.0</v>
      </c>
      <c r="I2436" s="35">
        <v>0.0</v>
      </c>
      <c r="J2436" s="35"/>
      <c r="K2436" s="35">
        <v>0.0</v>
      </c>
    </row>
    <row r="2437" ht="15.75" customHeight="1">
      <c r="A2437" s="35" t="s">
        <v>7137</v>
      </c>
      <c r="B2437" s="35"/>
      <c r="C2437" s="35">
        <v>2.0</v>
      </c>
      <c r="D2437" s="35" t="s">
        <v>4635</v>
      </c>
      <c r="E2437" s="35">
        <v>46027.0</v>
      </c>
      <c r="F2437" s="35">
        <v>0.0</v>
      </c>
      <c r="G2437" s="35">
        <v>0.0</v>
      </c>
      <c r="H2437" s="35">
        <v>0.0</v>
      </c>
      <c r="I2437" s="35">
        <v>0.0</v>
      </c>
      <c r="J2437" s="35"/>
      <c r="K2437" s="35">
        <v>5.0</v>
      </c>
    </row>
    <row r="2438" ht="15.75" customHeight="1">
      <c r="A2438" s="35" t="s">
        <v>7139</v>
      </c>
      <c r="B2438" s="35"/>
      <c r="C2438" s="35">
        <v>2.0</v>
      </c>
      <c r="D2438" s="35" t="s">
        <v>4635</v>
      </c>
      <c r="E2438" s="35">
        <v>46027.0</v>
      </c>
      <c r="F2438" s="35">
        <v>0.0</v>
      </c>
      <c r="G2438" s="35">
        <v>2.0</v>
      </c>
      <c r="H2438" s="35">
        <v>0.0</v>
      </c>
      <c r="I2438" s="35">
        <v>0.0</v>
      </c>
      <c r="J2438" s="35"/>
      <c r="K2438" s="35">
        <v>0.0</v>
      </c>
    </row>
    <row r="2439" ht="15.75" customHeight="1">
      <c r="A2439" s="35" t="s">
        <v>7140</v>
      </c>
      <c r="B2439" s="35"/>
      <c r="C2439" s="35">
        <v>2.0</v>
      </c>
      <c r="D2439" s="35">
        <v>472.0</v>
      </c>
      <c r="E2439" s="35">
        <v>46027.0</v>
      </c>
      <c r="F2439" s="35">
        <v>0.0</v>
      </c>
      <c r="G2439" s="35">
        <v>1.0</v>
      </c>
      <c r="H2439" s="35">
        <v>0.0</v>
      </c>
      <c r="I2439" s="35">
        <v>0.0</v>
      </c>
      <c r="J2439" s="35"/>
      <c r="K2439" s="35">
        <v>0.0</v>
      </c>
    </row>
    <row r="2440" ht="15.75" customHeight="1">
      <c r="A2440" s="35" t="s">
        <v>7141</v>
      </c>
      <c r="B2440" s="35"/>
      <c r="C2440" s="35">
        <v>2.0</v>
      </c>
      <c r="D2440" s="35" t="s">
        <v>4635</v>
      </c>
      <c r="E2440" s="35">
        <v>46027.0</v>
      </c>
      <c r="F2440" s="35">
        <v>0.0</v>
      </c>
      <c r="G2440" s="35">
        <v>0.0</v>
      </c>
      <c r="H2440" s="35">
        <v>1.0</v>
      </c>
      <c r="I2440" s="35">
        <v>0.0</v>
      </c>
      <c r="J2440" s="35"/>
      <c r="K2440" s="35">
        <v>0.0</v>
      </c>
    </row>
    <row r="2441" ht="15.75" customHeight="1">
      <c r="A2441" s="35" t="s">
        <v>7143</v>
      </c>
      <c r="B2441" s="35"/>
      <c r="C2441" s="35">
        <v>2.0</v>
      </c>
      <c r="D2441" s="35" t="s">
        <v>3577</v>
      </c>
      <c r="E2441" s="35">
        <v>46027.0</v>
      </c>
      <c r="F2441" s="35">
        <v>0.0</v>
      </c>
      <c r="G2441" s="35">
        <v>1.0</v>
      </c>
      <c r="H2441" s="35">
        <v>0.0</v>
      </c>
      <c r="I2441" s="35">
        <v>0.0</v>
      </c>
      <c r="J2441" s="35"/>
      <c r="K2441" s="35">
        <v>0.0</v>
      </c>
    </row>
    <row r="2442" ht="15.75" customHeight="1">
      <c r="A2442" s="35" t="s">
        <v>7145</v>
      </c>
      <c r="B2442" s="35"/>
      <c r="C2442" s="35">
        <v>2.0</v>
      </c>
      <c r="D2442" s="35">
        <v>230.0</v>
      </c>
      <c r="E2442" s="35">
        <v>46027.0</v>
      </c>
      <c r="F2442" s="35">
        <v>0.0</v>
      </c>
      <c r="G2442" s="35">
        <v>3.0</v>
      </c>
      <c r="H2442" s="35">
        <v>0.0</v>
      </c>
      <c r="I2442" s="35">
        <v>0.0</v>
      </c>
      <c r="J2442" s="35"/>
      <c r="K2442" s="35">
        <v>0.0</v>
      </c>
    </row>
    <row r="2443" ht="15.75" customHeight="1">
      <c r="A2443" s="35" t="s">
        <v>7146</v>
      </c>
      <c r="B2443" s="35"/>
      <c r="C2443" s="35">
        <v>2.0</v>
      </c>
      <c r="D2443" s="35">
        <v>280.0</v>
      </c>
      <c r="E2443" s="35">
        <v>46027.0</v>
      </c>
      <c r="F2443" s="35">
        <v>0.0</v>
      </c>
      <c r="G2443" s="35">
        <v>55.0</v>
      </c>
      <c r="H2443" s="35">
        <v>0.0</v>
      </c>
      <c r="I2443" s="35">
        <v>0.0</v>
      </c>
      <c r="J2443" s="35"/>
      <c r="K2443" s="35">
        <v>0.0</v>
      </c>
    </row>
    <row r="2444" ht="15.75" customHeight="1">
      <c r="A2444" s="35" t="s">
        <v>7147</v>
      </c>
      <c r="B2444" s="35"/>
      <c r="C2444" s="35">
        <v>2.0</v>
      </c>
      <c r="D2444" s="35" t="s">
        <v>4642</v>
      </c>
      <c r="E2444" s="35">
        <v>46027.0</v>
      </c>
      <c r="F2444" s="35">
        <v>0.0</v>
      </c>
      <c r="G2444" s="35">
        <v>1.0</v>
      </c>
      <c r="H2444" s="35">
        <v>0.0</v>
      </c>
      <c r="I2444" s="35">
        <v>0.0</v>
      </c>
      <c r="J2444" s="35"/>
      <c r="K2444" s="35">
        <v>0.0</v>
      </c>
    </row>
    <row r="2445" ht="15.75" customHeight="1">
      <c r="A2445" s="35" t="s">
        <v>7149</v>
      </c>
      <c r="B2445" s="35"/>
      <c r="C2445" s="35">
        <v>2.0</v>
      </c>
      <c r="D2445" s="35" t="s">
        <v>3360</v>
      </c>
      <c r="E2445" s="35">
        <v>46027.0</v>
      </c>
      <c r="F2445" s="35">
        <v>0.0</v>
      </c>
      <c r="G2445" s="35">
        <v>2.0</v>
      </c>
      <c r="H2445" s="35">
        <v>0.0</v>
      </c>
      <c r="I2445" s="35">
        <v>0.0</v>
      </c>
      <c r="J2445" s="35"/>
      <c r="K2445" s="35">
        <v>0.0</v>
      </c>
    </row>
    <row r="2446" ht="15.75" customHeight="1">
      <c r="A2446" s="35" t="s">
        <v>7150</v>
      </c>
      <c r="B2446" s="35"/>
      <c r="C2446" s="35">
        <v>2.0</v>
      </c>
      <c r="D2446" s="35" t="s">
        <v>2004</v>
      </c>
      <c r="E2446" s="35">
        <v>46027.0</v>
      </c>
      <c r="F2446" s="35">
        <v>0.0</v>
      </c>
      <c r="G2446" s="35">
        <v>3.0</v>
      </c>
      <c r="H2446" s="35">
        <v>0.0</v>
      </c>
      <c r="I2446" s="35">
        <v>0.0</v>
      </c>
      <c r="J2446" s="35"/>
      <c r="K2446" s="35">
        <v>0.0</v>
      </c>
    </row>
    <row r="2447" ht="15.75" customHeight="1">
      <c r="A2447" s="35" t="s">
        <v>7152</v>
      </c>
      <c r="B2447" s="35"/>
      <c r="C2447" s="35">
        <v>2.0</v>
      </c>
      <c r="D2447" s="35" t="s">
        <v>2019</v>
      </c>
      <c r="E2447" s="35">
        <v>46027.0</v>
      </c>
      <c r="F2447" s="35">
        <v>0.0</v>
      </c>
      <c r="G2447" s="35">
        <v>4.0</v>
      </c>
      <c r="H2447" s="35">
        <v>0.0</v>
      </c>
      <c r="I2447" s="35">
        <v>0.0</v>
      </c>
      <c r="J2447" s="35"/>
      <c r="K2447" s="35">
        <v>0.0</v>
      </c>
    </row>
    <row r="2448" ht="15.75" customHeight="1">
      <c r="A2448" s="35" t="s">
        <v>7153</v>
      </c>
      <c r="B2448" s="35"/>
      <c r="C2448" s="35">
        <v>2.0</v>
      </c>
      <c r="D2448" s="35" t="s">
        <v>4635</v>
      </c>
      <c r="E2448" s="35">
        <v>46027.0</v>
      </c>
      <c r="F2448" s="35">
        <v>0.0</v>
      </c>
      <c r="G2448" s="35">
        <v>1.0</v>
      </c>
      <c r="H2448" s="35">
        <v>0.0</v>
      </c>
      <c r="I2448" s="35">
        <v>0.0</v>
      </c>
      <c r="J2448" s="35"/>
      <c r="K2448" s="35">
        <v>0.0</v>
      </c>
    </row>
    <row r="2449" ht="15.75" customHeight="1">
      <c r="A2449" s="35" t="s">
        <v>7154</v>
      </c>
      <c r="B2449" s="35"/>
      <c r="C2449" s="35">
        <v>2.0</v>
      </c>
      <c r="D2449" s="35" t="s">
        <v>4722</v>
      </c>
      <c r="E2449" s="35">
        <v>46027.0</v>
      </c>
      <c r="F2449" s="35">
        <v>0.0</v>
      </c>
      <c r="G2449" s="35">
        <v>9.0</v>
      </c>
      <c r="H2449" s="35">
        <v>0.0</v>
      </c>
      <c r="I2449" s="35">
        <v>0.0</v>
      </c>
      <c r="J2449" s="35"/>
      <c r="K2449" s="35">
        <v>0.0</v>
      </c>
    </row>
    <row r="2450" ht="15.75" customHeight="1">
      <c r="A2450" s="35" t="s">
        <v>7156</v>
      </c>
      <c r="B2450" s="35"/>
      <c r="C2450" s="35">
        <v>2.0</v>
      </c>
      <c r="D2450" s="35">
        <v>628.0</v>
      </c>
      <c r="E2450" s="35">
        <v>46027.0</v>
      </c>
      <c r="F2450" s="35">
        <v>0.0</v>
      </c>
      <c r="G2450" s="35">
        <v>4.0</v>
      </c>
      <c r="H2450" s="35">
        <v>0.0</v>
      </c>
      <c r="I2450" s="35">
        <v>0.0</v>
      </c>
      <c r="J2450" s="35"/>
      <c r="K2450" s="35">
        <v>0.0</v>
      </c>
    </row>
    <row r="2451" ht="15.75" customHeight="1">
      <c r="A2451" s="35" t="s">
        <v>7157</v>
      </c>
      <c r="B2451" s="35"/>
      <c r="C2451" s="35">
        <v>2.0</v>
      </c>
      <c r="D2451" s="35" t="s">
        <v>2010</v>
      </c>
      <c r="E2451" s="35">
        <v>46027.0</v>
      </c>
      <c r="F2451" s="35">
        <v>0.0</v>
      </c>
      <c r="G2451" s="35">
        <v>1.0</v>
      </c>
      <c r="H2451" s="35">
        <v>0.0</v>
      </c>
      <c r="I2451" s="35">
        <v>0.0</v>
      </c>
      <c r="J2451" s="35"/>
      <c r="K2451" s="35">
        <v>0.0</v>
      </c>
    </row>
    <row r="2452" ht="15.75" customHeight="1">
      <c r="A2452" s="35" t="s">
        <v>7159</v>
      </c>
      <c r="B2452" s="35"/>
      <c r="C2452" s="35">
        <v>2.0</v>
      </c>
      <c r="D2452" s="35" t="s">
        <v>4635</v>
      </c>
      <c r="E2452" s="35">
        <v>46027.0</v>
      </c>
      <c r="F2452" s="35">
        <v>0.0</v>
      </c>
      <c r="G2452" s="35">
        <v>0.0</v>
      </c>
      <c r="H2452" s="35">
        <v>1.0</v>
      </c>
      <c r="I2452" s="35">
        <v>0.0</v>
      </c>
      <c r="J2452" s="35"/>
      <c r="K2452" s="35">
        <v>0.0</v>
      </c>
    </row>
    <row r="2453" ht="15.75" customHeight="1">
      <c r="A2453" s="35" t="s">
        <v>7160</v>
      </c>
      <c r="B2453" s="35"/>
      <c r="C2453" s="35">
        <v>2.0</v>
      </c>
      <c r="D2453" s="35" t="s">
        <v>4635</v>
      </c>
      <c r="E2453" s="35">
        <v>46027.0</v>
      </c>
      <c r="F2453" s="35">
        <v>0.0</v>
      </c>
      <c r="G2453" s="35">
        <v>41.0</v>
      </c>
      <c r="H2453" s="35">
        <v>0.0</v>
      </c>
      <c r="I2453" s="35">
        <v>0.0</v>
      </c>
      <c r="J2453" s="35"/>
      <c r="K2453" s="35">
        <v>0.0</v>
      </c>
    </row>
    <row r="2454" ht="15.75" customHeight="1">
      <c r="A2454" s="35" t="s">
        <v>7162</v>
      </c>
      <c r="B2454" s="35"/>
      <c r="C2454" s="35">
        <v>2.0</v>
      </c>
      <c r="D2454" s="35" t="s">
        <v>4635</v>
      </c>
      <c r="E2454" s="35">
        <v>46027.0</v>
      </c>
      <c r="F2454" s="35">
        <v>0.0</v>
      </c>
      <c r="G2454" s="35">
        <v>0.0</v>
      </c>
      <c r="H2454" s="35">
        <v>1.0</v>
      </c>
      <c r="I2454" s="35">
        <v>0.0</v>
      </c>
      <c r="J2454" s="35"/>
      <c r="K2454" s="35">
        <v>0.0</v>
      </c>
    </row>
    <row r="2455" ht="15.75" customHeight="1">
      <c r="A2455" s="35" t="s">
        <v>7163</v>
      </c>
      <c r="B2455" s="35"/>
      <c r="C2455" s="35">
        <v>2.0</v>
      </c>
      <c r="D2455" s="35" t="s">
        <v>4635</v>
      </c>
      <c r="E2455" s="35">
        <v>46027.0</v>
      </c>
      <c r="F2455" s="35">
        <v>0.0</v>
      </c>
      <c r="G2455" s="35">
        <v>4.0</v>
      </c>
      <c r="H2455" s="35">
        <v>0.0</v>
      </c>
      <c r="I2455" s="35">
        <v>0.0</v>
      </c>
      <c r="J2455" s="35"/>
      <c r="K2455" s="35">
        <v>0.0</v>
      </c>
    </row>
    <row r="2456" ht="15.75" customHeight="1">
      <c r="A2456" s="35" t="s">
        <v>7164</v>
      </c>
      <c r="B2456" s="35"/>
      <c r="C2456" s="35">
        <v>2.0</v>
      </c>
      <c r="D2456" s="35" t="s">
        <v>4635</v>
      </c>
      <c r="E2456" s="35">
        <v>46027.0</v>
      </c>
      <c r="F2456" s="35">
        <v>0.0</v>
      </c>
      <c r="G2456" s="35">
        <v>38.0</v>
      </c>
      <c r="H2456" s="35">
        <v>0.0</v>
      </c>
      <c r="I2456" s="35">
        <v>0.0</v>
      </c>
      <c r="J2456" s="35"/>
      <c r="K2456" s="35">
        <v>0.0</v>
      </c>
    </row>
    <row r="2457" ht="15.75" customHeight="1">
      <c r="A2457" s="35" t="s">
        <v>7166</v>
      </c>
      <c r="B2457" s="35"/>
      <c r="C2457" s="35">
        <v>2.0</v>
      </c>
      <c r="D2457" s="35" t="s">
        <v>4635</v>
      </c>
      <c r="E2457" s="35">
        <v>46027.0</v>
      </c>
      <c r="F2457" s="35">
        <v>0.0</v>
      </c>
      <c r="G2457" s="35">
        <v>34.0</v>
      </c>
      <c r="H2457" s="35">
        <v>0.0</v>
      </c>
      <c r="I2457" s="35">
        <v>0.0</v>
      </c>
      <c r="J2457" s="35"/>
      <c r="K2457" s="35">
        <v>0.0</v>
      </c>
    </row>
    <row r="2458" ht="15.75" customHeight="1">
      <c r="A2458" s="35" t="s">
        <v>7167</v>
      </c>
      <c r="B2458" s="35"/>
      <c r="C2458" s="35">
        <v>2.0</v>
      </c>
      <c r="D2458" s="35">
        <v>589.0</v>
      </c>
      <c r="E2458" s="35">
        <v>46027.0</v>
      </c>
      <c r="F2458" s="35">
        <v>0.0</v>
      </c>
      <c r="G2458" s="35">
        <v>0.0</v>
      </c>
      <c r="H2458" s="35">
        <v>3.0</v>
      </c>
      <c r="I2458" s="35">
        <v>0.0</v>
      </c>
      <c r="J2458" s="35"/>
      <c r="K2458" s="35">
        <v>0.0</v>
      </c>
    </row>
    <row r="2459" ht="15.75" customHeight="1">
      <c r="A2459" s="35" t="s">
        <v>7169</v>
      </c>
      <c r="B2459" s="35"/>
      <c r="C2459" s="35">
        <v>2.0</v>
      </c>
      <c r="D2459" s="35" t="s">
        <v>4635</v>
      </c>
      <c r="E2459" s="35">
        <v>46027.0</v>
      </c>
      <c r="F2459" s="35">
        <v>0.0</v>
      </c>
      <c r="G2459" s="35">
        <v>1.0</v>
      </c>
      <c r="H2459" s="35">
        <v>0.0</v>
      </c>
      <c r="I2459" s="35">
        <v>0.0</v>
      </c>
      <c r="J2459" s="35"/>
      <c r="K2459" s="35">
        <v>0.0</v>
      </c>
    </row>
    <row r="2460" ht="15.75" customHeight="1">
      <c r="A2460" s="35" t="s">
        <v>7170</v>
      </c>
      <c r="B2460" s="35"/>
      <c r="C2460" s="35">
        <v>2.0</v>
      </c>
      <c r="D2460" s="35">
        <v>130.0</v>
      </c>
      <c r="E2460" s="35">
        <v>46027.0</v>
      </c>
      <c r="F2460" s="35">
        <v>0.0</v>
      </c>
      <c r="G2460" s="35">
        <v>1.0</v>
      </c>
      <c r="H2460" s="35">
        <v>0.0</v>
      </c>
      <c r="I2460" s="35">
        <v>0.0</v>
      </c>
      <c r="J2460" s="35"/>
      <c r="K2460" s="35">
        <v>0.0</v>
      </c>
    </row>
    <row r="2461" ht="15.75" customHeight="1">
      <c r="A2461" s="35" t="s">
        <v>7171</v>
      </c>
      <c r="B2461" s="35"/>
      <c r="C2461" s="35">
        <v>2.0</v>
      </c>
      <c r="D2461" s="35">
        <v>670.0</v>
      </c>
      <c r="E2461" s="35">
        <v>46027.0</v>
      </c>
      <c r="F2461" s="35">
        <v>0.0</v>
      </c>
      <c r="G2461" s="35">
        <v>1.0</v>
      </c>
      <c r="H2461" s="35">
        <v>0.0</v>
      </c>
      <c r="I2461" s="35">
        <v>0.0</v>
      </c>
      <c r="J2461" s="35"/>
      <c r="K2461" s="35">
        <v>0.0</v>
      </c>
    </row>
    <row r="2462" ht="15.75" customHeight="1">
      <c r="A2462" s="35" t="s">
        <v>7173</v>
      </c>
      <c r="B2462" s="35"/>
      <c r="C2462" s="35">
        <v>2.0</v>
      </c>
      <c r="D2462" s="35" t="s">
        <v>4635</v>
      </c>
      <c r="E2462" s="35">
        <v>46027.0</v>
      </c>
      <c r="F2462" s="35">
        <v>0.0</v>
      </c>
      <c r="G2462" s="35">
        <v>2.0</v>
      </c>
      <c r="H2462" s="35">
        <v>0.0</v>
      </c>
      <c r="I2462" s="35">
        <v>0.0</v>
      </c>
      <c r="J2462" s="35"/>
      <c r="K2462" s="35">
        <v>0.0</v>
      </c>
    </row>
    <row r="2463" ht="15.75" customHeight="1">
      <c r="A2463" s="35" t="s">
        <v>7174</v>
      </c>
      <c r="B2463" s="35"/>
      <c r="C2463" s="35">
        <v>2.0</v>
      </c>
      <c r="D2463" s="35">
        <v>739.0</v>
      </c>
      <c r="E2463" s="35">
        <v>46027.0</v>
      </c>
      <c r="F2463" s="35">
        <v>0.0</v>
      </c>
      <c r="G2463" s="35">
        <v>8.0</v>
      </c>
      <c r="H2463" s="35">
        <v>0.0</v>
      </c>
      <c r="I2463" s="35">
        <v>0.0</v>
      </c>
      <c r="J2463" s="35"/>
      <c r="K2463" s="35">
        <v>0.0</v>
      </c>
    </row>
    <row r="2464" ht="15.75" customHeight="1">
      <c r="A2464" s="35" t="s">
        <v>7176</v>
      </c>
      <c r="B2464" s="35"/>
      <c r="C2464" s="35">
        <v>2.0</v>
      </c>
      <c r="D2464" s="35">
        <v>241.0</v>
      </c>
      <c r="E2464" s="35">
        <v>46027.0</v>
      </c>
      <c r="F2464" s="35">
        <v>0.0</v>
      </c>
      <c r="G2464" s="35">
        <v>0.0</v>
      </c>
      <c r="H2464" s="35">
        <v>2.0</v>
      </c>
      <c r="I2464" s="35">
        <v>0.0</v>
      </c>
      <c r="J2464" s="35"/>
      <c r="K2464" s="35">
        <v>0.0</v>
      </c>
    </row>
    <row r="2465" ht="15.75" customHeight="1">
      <c r="A2465" s="35" t="s">
        <v>7177</v>
      </c>
      <c r="B2465" s="35"/>
      <c r="C2465" s="35">
        <v>2.0</v>
      </c>
      <c r="D2465" s="35" t="s">
        <v>4635</v>
      </c>
      <c r="E2465" s="35">
        <v>46027.0</v>
      </c>
      <c r="F2465" s="35">
        <v>0.0</v>
      </c>
      <c r="G2465" s="35">
        <v>8.0</v>
      </c>
      <c r="H2465" s="35">
        <v>0.0</v>
      </c>
      <c r="I2465" s="35">
        <v>0.0</v>
      </c>
      <c r="J2465" s="35"/>
      <c r="K2465" s="35">
        <v>0.0</v>
      </c>
    </row>
    <row r="2466" ht="15.75" customHeight="1">
      <c r="A2466" s="35" t="s">
        <v>7179</v>
      </c>
      <c r="B2466" s="35"/>
      <c r="C2466" s="35">
        <v>2.0</v>
      </c>
      <c r="D2466" s="35" t="s">
        <v>4635</v>
      </c>
      <c r="E2466" s="35">
        <v>46027.0</v>
      </c>
      <c r="F2466" s="35">
        <v>0.0</v>
      </c>
      <c r="G2466" s="35">
        <v>2.0</v>
      </c>
      <c r="H2466" s="35">
        <v>0.0</v>
      </c>
      <c r="I2466" s="35">
        <v>0.0</v>
      </c>
      <c r="J2466" s="35"/>
      <c r="K2466" s="35">
        <v>0.0</v>
      </c>
    </row>
    <row r="2467" ht="15.75" customHeight="1">
      <c r="A2467" s="35" t="s">
        <v>7180</v>
      </c>
      <c r="B2467" s="35"/>
      <c r="C2467" s="35">
        <v>2.0</v>
      </c>
      <c r="D2467" s="35" t="s">
        <v>4635</v>
      </c>
      <c r="E2467" s="35">
        <v>46027.0</v>
      </c>
      <c r="F2467" s="35">
        <v>0.0</v>
      </c>
      <c r="G2467" s="35">
        <v>1.0</v>
      </c>
      <c r="H2467" s="35">
        <v>0.0</v>
      </c>
      <c r="I2467" s="35">
        <v>0.0</v>
      </c>
      <c r="J2467" s="35"/>
      <c r="K2467" s="35">
        <v>0.0</v>
      </c>
    </row>
    <row r="2468" ht="15.75" customHeight="1">
      <c r="A2468" s="35" t="s">
        <v>7184</v>
      </c>
      <c r="B2468" s="35"/>
      <c r="C2468" s="35">
        <v>2.0</v>
      </c>
      <c r="D2468" s="35" t="s">
        <v>4523</v>
      </c>
      <c r="E2468" s="35">
        <v>46027.0</v>
      </c>
      <c r="F2468" s="35">
        <v>0.0</v>
      </c>
      <c r="G2468" s="35">
        <v>5.0</v>
      </c>
      <c r="H2468" s="35">
        <v>0.0</v>
      </c>
      <c r="I2468" s="35">
        <v>0.0</v>
      </c>
      <c r="J2468" s="35"/>
      <c r="K2468" s="35">
        <v>0.0</v>
      </c>
    </row>
    <row r="2469" ht="15.75" customHeight="1">
      <c r="A2469" s="35" t="s">
        <v>7185</v>
      </c>
      <c r="B2469" s="35"/>
      <c r="C2469" s="35">
        <v>2.0</v>
      </c>
      <c r="D2469" s="35" t="s">
        <v>4538</v>
      </c>
      <c r="E2469" s="35">
        <v>46027.0</v>
      </c>
      <c r="F2469" s="35">
        <v>0.0</v>
      </c>
      <c r="G2469" s="35">
        <v>0.0</v>
      </c>
      <c r="H2469" s="35">
        <v>1.0</v>
      </c>
      <c r="I2469" s="35">
        <v>0.0</v>
      </c>
      <c r="J2469" s="35"/>
      <c r="K2469" s="35">
        <v>0.0</v>
      </c>
    </row>
    <row r="2470" ht="15.75" customHeight="1">
      <c r="A2470" s="35" t="s">
        <v>7187</v>
      </c>
      <c r="B2470" s="35"/>
      <c r="C2470" s="35">
        <v>2.0</v>
      </c>
      <c r="D2470" s="35">
        <v>205.0</v>
      </c>
      <c r="E2470" s="35">
        <v>46027.0</v>
      </c>
      <c r="F2470" s="35">
        <v>0.0</v>
      </c>
      <c r="G2470" s="35">
        <v>2.0</v>
      </c>
      <c r="H2470" s="35">
        <v>0.0</v>
      </c>
      <c r="I2470" s="35">
        <v>0.0</v>
      </c>
      <c r="J2470" s="35"/>
      <c r="K2470" s="35">
        <v>0.0</v>
      </c>
    </row>
    <row r="2471" ht="15.75" customHeight="1">
      <c r="A2471" s="35" t="s">
        <v>7188</v>
      </c>
      <c r="B2471" s="35"/>
      <c r="C2471" s="35">
        <v>2.0</v>
      </c>
      <c r="D2471" s="35" t="s">
        <v>4635</v>
      </c>
      <c r="E2471" s="35">
        <v>46027.0</v>
      </c>
      <c r="F2471" s="35">
        <v>0.0</v>
      </c>
      <c r="G2471" s="35">
        <v>1.0</v>
      </c>
      <c r="H2471" s="35">
        <v>0.0</v>
      </c>
      <c r="I2471" s="35">
        <v>0.0</v>
      </c>
      <c r="J2471" s="35"/>
      <c r="K2471" s="35">
        <v>0.0</v>
      </c>
    </row>
    <row r="2472" ht="15.75" customHeight="1">
      <c r="A2472" s="35" t="s">
        <v>7190</v>
      </c>
      <c r="B2472" s="35"/>
      <c r="C2472" s="35">
        <v>2.0</v>
      </c>
      <c r="D2472" s="35" t="s">
        <v>4635</v>
      </c>
      <c r="E2472" s="35">
        <v>46027.0</v>
      </c>
      <c r="F2472" s="35">
        <v>0.0</v>
      </c>
      <c r="G2472" s="35">
        <v>42.0</v>
      </c>
      <c r="H2472" s="35">
        <v>0.0</v>
      </c>
      <c r="I2472" s="35">
        <v>0.0</v>
      </c>
      <c r="J2472" s="35"/>
      <c r="K2472" s="35">
        <v>0.0</v>
      </c>
    </row>
    <row r="2473" ht="15.75" customHeight="1">
      <c r="A2473" s="35" t="s">
        <v>7191</v>
      </c>
      <c r="B2473" s="35"/>
      <c r="C2473" s="35">
        <v>2.0</v>
      </c>
      <c r="D2473" s="35" t="s">
        <v>4635</v>
      </c>
      <c r="E2473" s="35">
        <v>46027.0</v>
      </c>
      <c r="F2473" s="35">
        <v>0.0</v>
      </c>
      <c r="G2473" s="35">
        <v>49.0</v>
      </c>
      <c r="H2473" s="35">
        <v>0.0</v>
      </c>
      <c r="I2473" s="35">
        <v>0.0</v>
      </c>
      <c r="J2473" s="35"/>
      <c r="K2473" s="35">
        <v>0.0</v>
      </c>
    </row>
    <row r="2474" ht="15.75" customHeight="1">
      <c r="A2474" s="35" t="s">
        <v>7193</v>
      </c>
      <c r="B2474" s="35"/>
      <c r="C2474" s="35">
        <v>2.0</v>
      </c>
      <c r="D2474" s="35" t="s">
        <v>4635</v>
      </c>
      <c r="E2474" s="35">
        <v>46027.0</v>
      </c>
      <c r="F2474" s="35">
        <v>0.0</v>
      </c>
      <c r="G2474" s="35">
        <v>43.0</v>
      </c>
      <c r="H2474" s="35">
        <v>0.0</v>
      </c>
      <c r="I2474" s="35">
        <v>0.0</v>
      </c>
      <c r="J2474" s="35"/>
      <c r="K2474" s="35">
        <v>0.0</v>
      </c>
    </row>
    <row r="2475" ht="15.75" customHeight="1">
      <c r="A2475" s="35" t="s">
        <v>7194</v>
      </c>
      <c r="B2475" s="35"/>
      <c r="C2475" s="35">
        <v>2.0</v>
      </c>
      <c r="D2475" s="35">
        <v>980.0</v>
      </c>
      <c r="E2475" s="35">
        <v>46027.0</v>
      </c>
      <c r="F2475" s="35">
        <v>0.0</v>
      </c>
      <c r="G2475" s="35">
        <v>0.0</v>
      </c>
      <c r="H2475" s="35">
        <v>2.0</v>
      </c>
      <c r="I2475" s="35">
        <v>0.0</v>
      </c>
      <c r="J2475" s="35"/>
      <c r="K2475" s="35">
        <v>0.0</v>
      </c>
    </row>
    <row r="2476" ht="15.75" customHeight="1">
      <c r="A2476" s="35" t="s">
        <v>7196</v>
      </c>
      <c r="B2476" s="35"/>
      <c r="C2476" s="35">
        <v>2.0</v>
      </c>
      <c r="D2476" s="35" t="s">
        <v>7197</v>
      </c>
      <c r="E2476" s="35">
        <v>46027.0</v>
      </c>
      <c r="F2476" s="35">
        <v>0.0</v>
      </c>
      <c r="G2476" s="35">
        <v>2.0</v>
      </c>
      <c r="H2476" s="35">
        <v>0.0</v>
      </c>
      <c r="I2476" s="35">
        <v>0.0</v>
      </c>
      <c r="J2476" s="35"/>
      <c r="K2476" s="35">
        <v>0.0</v>
      </c>
    </row>
    <row r="2477" ht="15.75" customHeight="1">
      <c r="A2477" s="35" t="s">
        <v>7198</v>
      </c>
      <c r="B2477" s="35"/>
      <c r="C2477" s="35">
        <v>2.0</v>
      </c>
      <c r="D2477" s="35">
        <v>526.0</v>
      </c>
      <c r="E2477" s="35">
        <v>46027.0</v>
      </c>
      <c r="F2477" s="35">
        <v>0.0</v>
      </c>
      <c r="G2477" s="35">
        <v>2.0</v>
      </c>
      <c r="H2477" s="35">
        <v>0.0</v>
      </c>
      <c r="I2477" s="35">
        <v>0.0</v>
      </c>
      <c r="J2477" s="35"/>
      <c r="K2477" s="35">
        <v>0.0</v>
      </c>
    </row>
    <row r="2478" ht="15.75" customHeight="1">
      <c r="A2478" s="35" t="s">
        <v>7200</v>
      </c>
      <c r="B2478" s="35"/>
      <c r="C2478" s="35">
        <v>2.0</v>
      </c>
      <c r="D2478" s="35">
        <v>267.0</v>
      </c>
      <c r="E2478" s="35">
        <v>46027.0</v>
      </c>
      <c r="F2478" s="35">
        <v>0.0</v>
      </c>
      <c r="G2478" s="35">
        <v>2.0</v>
      </c>
      <c r="H2478" s="35">
        <v>0.0</v>
      </c>
      <c r="I2478" s="35">
        <v>0.0</v>
      </c>
      <c r="J2478" s="35"/>
      <c r="K2478" s="35">
        <v>0.0</v>
      </c>
    </row>
    <row r="2479" ht="15.75" customHeight="1">
      <c r="A2479" s="35" t="s">
        <v>7201</v>
      </c>
      <c r="B2479" s="35"/>
      <c r="C2479" s="35">
        <v>2.0</v>
      </c>
      <c r="D2479" s="35" t="s">
        <v>4635</v>
      </c>
      <c r="E2479" s="35">
        <v>46027.0</v>
      </c>
      <c r="F2479" s="35">
        <v>0.0</v>
      </c>
      <c r="G2479" s="35">
        <v>26.0</v>
      </c>
      <c r="H2479" s="35">
        <v>0.0</v>
      </c>
      <c r="I2479" s="35">
        <v>0.0</v>
      </c>
      <c r="J2479" s="35"/>
      <c r="K2479" s="35">
        <v>0.0</v>
      </c>
    </row>
    <row r="2480" ht="15.75" customHeight="1">
      <c r="A2480" s="35" t="s">
        <v>7203</v>
      </c>
      <c r="B2480" s="35"/>
      <c r="C2480" s="35">
        <v>2.0</v>
      </c>
      <c r="D2480" s="35" t="s">
        <v>4635</v>
      </c>
      <c r="E2480" s="35">
        <v>46027.0</v>
      </c>
      <c r="F2480" s="35">
        <v>0.0</v>
      </c>
      <c r="G2480" s="35">
        <v>1.0</v>
      </c>
      <c r="H2480" s="35">
        <v>0.0</v>
      </c>
      <c r="I2480" s="35">
        <v>0.0</v>
      </c>
      <c r="J2480" s="35"/>
      <c r="K2480" s="35">
        <v>0.0</v>
      </c>
    </row>
    <row r="2481" ht="15.75" customHeight="1">
      <c r="A2481" s="35" t="s">
        <v>7204</v>
      </c>
      <c r="B2481" s="35"/>
      <c r="C2481" s="35">
        <v>2.0</v>
      </c>
      <c r="D2481" s="35">
        <v>48.0</v>
      </c>
      <c r="E2481" s="35">
        <v>46027.0</v>
      </c>
      <c r="F2481" s="35">
        <v>0.0</v>
      </c>
      <c r="G2481" s="35">
        <v>47.0</v>
      </c>
      <c r="H2481" s="35">
        <v>0.0</v>
      </c>
      <c r="I2481" s="35">
        <v>0.0</v>
      </c>
      <c r="J2481" s="35"/>
      <c r="K2481" s="35">
        <v>0.0</v>
      </c>
    </row>
    <row r="2482" ht="15.75" customHeight="1">
      <c r="A2482" s="35" t="s">
        <v>7205</v>
      </c>
      <c r="B2482" s="35"/>
      <c r="C2482" s="35">
        <v>2.0</v>
      </c>
      <c r="D2482" s="35" t="s">
        <v>4372</v>
      </c>
      <c r="E2482" s="35">
        <v>46027.0</v>
      </c>
      <c r="F2482" s="35">
        <v>0.0</v>
      </c>
      <c r="G2482" s="35">
        <v>1.0</v>
      </c>
      <c r="H2482" s="35">
        <v>0.0</v>
      </c>
      <c r="I2482" s="35">
        <v>0.0</v>
      </c>
      <c r="J2482" s="35"/>
      <c r="K2482" s="35">
        <v>0.0</v>
      </c>
    </row>
    <row r="2483" ht="15.75" customHeight="1">
      <c r="A2483" s="35" t="s">
        <v>7207</v>
      </c>
      <c r="B2483" s="35"/>
      <c r="C2483" s="35">
        <v>2.0</v>
      </c>
      <c r="D2483" s="35" t="s">
        <v>4635</v>
      </c>
      <c r="E2483" s="35">
        <v>46027.0</v>
      </c>
      <c r="F2483" s="35">
        <v>0.0</v>
      </c>
      <c r="G2483" s="35">
        <v>1.0</v>
      </c>
      <c r="H2483" s="35">
        <v>0.0</v>
      </c>
      <c r="I2483" s="35">
        <v>0.0</v>
      </c>
      <c r="J2483" s="35"/>
      <c r="K2483" s="35">
        <v>0.0</v>
      </c>
    </row>
    <row r="2484" ht="15.75" customHeight="1">
      <c r="A2484" s="35" t="s">
        <v>7208</v>
      </c>
      <c r="B2484" s="35"/>
      <c r="C2484" s="35">
        <v>2.0</v>
      </c>
      <c r="D2484" s="35" t="s">
        <v>2055</v>
      </c>
      <c r="E2484" s="35">
        <v>46027.0</v>
      </c>
      <c r="F2484" s="35">
        <v>0.0</v>
      </c>
      <c r="G2484" s="35">
        <v>2.0</v>
      </c>
      <c r="H2484" s="35">
        <v>0.0</v>
      </c>
      <c r="I2484" s="35">
        <v>0.0</v>
      </c>
      <c r="J2484" s="35"/>
      <c r="K2484" s="35">
        <v>0.0</v>
      </c>
    </row>
    <row r="2485" ht="15.75" customHeight="1">
      <c r="A2485" s="35" t="s">
        <v>7209</v>
      </c>
      <c r="B2485" s="35"/>
      <c r="C2485" s="35">
        <v>2.0</v>
      </c>
      <c r="D2485" s="35" t="s">
        <v>3776</v>
      </c>
      <c r="E2485" s="35">
        <v>46027.0</v>
      </c>
      <c r="F2485" s="35">
        <v>0.0</v>
      </c>
      <c r="G2485" s="35">
        <v>1.0</v>
      </c>
      <c r="H2485" s="35">
        <v>0.0</v>
      </c>
      <c r="I2485" s="35">
        <v>0.0</v>
      </c>
      <c r="J2485" s="35"/>
      <c r="K2485" s="35">
        <v>0.0</v>
      </c>
    </row>
    <row r="2486" ht="15.75" customHeight="1">
      <c r="A2486" s="35" t="s">
        <v>7211</v>
      </c>
      <c r="B2486" s="35"/>
      <c r="C2486" s="35">
        <v>2.0</v>
      </c>
      <c r="D2486" s="35" t="s">
        <v>4635</v>
      </c>
      <c r="E2486" s="35">
        <v>46027.0</v>
      </c>
      <c r="F2486" s="35">
        <v>0.0</v>
      </c>
      <c r="G2486" s="35">
        <v>42.0</v>
      </c>
      <c r="H2486" s="35">
        <v>0.0</v>
      </c>
      <c r="I2486" s="35">
        <v>0.0</v>
      </c>
      <c r="J2486" s="35"/>
      <c r="K2486" s="35">
        <v>0.0</v>
      </c>
    </row>
    <row r="2487" ht="15.75" customHeight="1">
      <c r="A2487" s="35" t="s">
        <v>7212</v>
      </c>
      <c r="B2487" s="35"/>
      <c r="C2487" s="35">
        <v>2.0</v>
      </c>
      <c r="D2487" s="35" t="s">
        <v>4635</v>
      </c>
      <c r="E2487" s="35">
        <v>46027.0</v>
      </c>
      <c r="F2487" s="35">
        <v>0.0</v>
      </c>
      <c r="G2487" s="35">
        <v>1.0</v>
      </c>
      <c r="H2487" s="35">
        <v>0.0</v>
      </c>
      <c r="I2487" s="35">
        <v>0.0</v>
      </c>
      <c r="J2487" s="35"/>
      <c r="K2487" s="35">
        <v>0.0</v>
      </c>
    </row>
    <row r="2488" ht="15.75" customHeight="1">
      <c r="A2488" s="35" t="s">
        <v>7214</v>
      </c>
      <c r="B2488" s="35"/>
      <c r="C2488" s="35">
        <v>2.0</v>
      </c>
      <c r="D2488" s="35" t="s">
        <v>2021</v>
      </c>
      <c r="E2488" s="35">
        <v>46027.0</v>
      </c>
      <c r="F2488" s="35">
        <v>0.0</v>
      </c>
      <c r="G2488" s="35">
        <v>24.0</v>
      </c>
      <c r="H2488" s="35">
        <v>0.0</v>
      </c>
      <c r="I2488" s="35">
        <v>0.0</v>
      </c>
      <c r="J2488" s="35"/>
      <c r="K2488" s="35">
        <v>0.0</v>
      </c>
    </row>
    <row r="2489" ht="15.75" customHeight="1">
      <c r="A2489" s="35" t="s">
        <v>7215</v>
      </c>
      <c r="B2489" s="35"/>
      <c r="C2489" s="35">
        <v>2.0</v>
      </c>
      <c r="D2489" s="35" t="s">
        <v>4635</v>
      </c>
      <c r="E2489" s="35">
        <v>46027.0</v>
      </c>
      <c r="F2489" s="35">
        <v>0.0</v>
      </c>
      <c r="G2489" s="35">
        <v>2.0</v>
      </c>
      <c r="H2489" s="35">
        <v>0.0</v>
      </c>
      <c r="I2489" s="35">
        <v>0.0</v>
      </c>
      <c r="J2489" s="35"/>
      <c r="K2489" s="35">
        <v>0.0</v>
      </c>
    </row>
    <row r="2490" ht="15.75" customHeight="1">
      <c r="A2490" s="35" t="s">
        <v>7217</v>
      </c>
      <c r="B2490" s="35"/>
      <c r="C2490" s="35">
        <v>2.0</v>
      </c>
      <c r="D2490" s="35" t="s">
        <v>2039</v>
      </c>
      <c r="E2490" s="35">
        <v>46027.0</v>
      </c>
      <c r="F2490" s="35">
        <v>0.0</v>
      </c>
      <c r="G2490" s="35">
        <v>13.0</v>
      </c>
      <c r="H2490" s="35">
        <v>0.0</v>
      </c>
      <c r="I2490" s="35">
        <v>0.0</v>
      </c>
      <c r="J2490" s="35"/>
      <c r="K2490" s="35">
        <v>0.0</v>
      </c>
    </row>
    <row r="2491" ht="15.75" customHeight="1">
      <c r="A2491" s="35" t="s">
        <v>7218</v>
      </c>
      <c r="B2491" s="35"/>
      <c r="C2491" s="35">
        <v>2.0</v>
      </c>
      <c r="D2491" s="35" t="s">
        <v>4635</v>
      </c>
      <c r="E2491" s="35">
        <v>46027.0</v>
      </c>
      <c r="F2491" s="35">
        <v>0.0</v>
      </c>
      <c r="G2491" s="35">
        <v>2.0</v>
      </c>
      <c r="H2491" s="35">
        <v>0.0</v>
      </c>
      <c r="I2491" s="35">
        <v>0.0</v>
      </c>
      <c r="J2491" s="35"/>
      <c r="K2491" s="35">
        <v>0.0</v>
      </c>
    </row>
    <row r="2492" ht="15.75" customHeight="1">
      <c r="A2492" s="35" t="s">
        <v>7219</v>
      </c>
      <c r="B2492" s="35"/>
      <c r="C2492" s="35">
        <v>2.0</v>
      </c>
      <c r="D2492" s="35">
        <v>678.0</v>
      </c>
      <c r="E2492" s="35">
        <v>46027.0</v>
      </c>
      <c r="F2492" s="35">
        <v>0.0</v>
      </c>
      <c r="G2492" s="35">
        <v>4.0</v>
      </c>
      <c r="H2492" s="35">
        <v>0.0</v>
      </c>
      <c r="I2492" s="35">
        <v>0.0</v>
      </c>
      <c r="J2492" s="35"/>
      <c r="K2492" s="35">
        <v>0.0</v>
      </c>
    </row>
    <row r="2493" ht="15.75" customHeight="1">
      <c r="A2493" s="35" t="s">
        <v>7221</v>
      </c>
      <c r="B2493" s="35"/>
      <c r="C2493" s="35">
        <v>2.0</v>
      </c>
      <c r="D2493" s="35" t="s">
        <v>4635</v>
      </c>
      <c r="E2493" s="35">
        <v>46027.0</v>
      </c>
      <c r="F2493" s="35">
        <v>0.0</v>
      </c>
      <c r="G2493" s="35">
        <v>1.0</v>
      </c>
      <c r="H2493" s="35">
        <v>0.0</v>
      </c>
      <c r="I2493" s="35">
        <v>0.0</v>
      </c>
      <c r="J2493" s="35"/>
      <c r="K2493" s="35">
        <v>0.0</v>
      </c>
    </row>
    <row r="2494" ht="15.75" customHeight="1">
      <c r="A2494" s="35" t="s">
        <v>7222</v>
      </c>
      <c r="B2494" s="35"/>
      <c r="C2494" s="35">
        <v>2.0</v>
      </c>
      <c r="D2494" s="35" t="s">
        <v>4635</v>
      </c>
      <c r="E2494" s="35">
        <v>46027.0</v>
      </c>
      <c r="F2494" s="35">
        <v>0.0</v>
      </c>
      <c r="G2494" s="35">
        <v>1.0</v>
      </c>
      <c r="H2494" s="35">
        <v>0.0</v>
      </c>
      <c r="I2494" s="35">
        <v>0.0</v>
      </c>
      <c r="J2494" s="35"/>
      <c r="K2494" s="35">
        <v>0.0</v>
      </c>
    </row>
    <row r="2495" ht="15.75" customHeight="1">
      <c r="A2495" s="35" t="s">
        <v>7224</v>
      </c>
      <c r="B2495" s="35"/>
      <c r="C2495" s="35">
        <v>2.0</v>
      </c>
      <c r="D2495" s="35" t="s">
        <v>4635</v>
      </c>
      <c r="E2495" s="35">
        <v>46027.0</v>
      </c>
      <c r="F2495" s="35">
        <v>0.0</v>
      </c>
      <c r="G2495" s="35">
        <v>1.0</v>
      </c>
      <c r="H2495" s="35">
        <v>0.0</v>
      </c>
      <c r="I2495" s="35">
        <v>0.0</v>
      </c>
      <c r="J2495" s="35"/>
      <c r="K2495" s="35">
        <v>0.0</v>
      </c>
    </row>
    <row r="2496" ht="15.75" customHeight="1">
      <c r="A2496" s="35" t="s">
        <v>7225</v>
      </c>
      <c r="B2496" s="35"/>
      <c r="C2496" s="35">
        <v>2.0</v>
      </c>
      <c r="D2496" s="35">
        <v>115.0</v>
      </c>
      <c r="E2496" s="35">
        <v>46027.0</v>
      </c>
      <c r="F2496" s="35">
        <v>0.0</v>
      </c>
      <c r="G2496" s="35">
        <v>4.0</v>
      </c>
      <c r="H2496" s="35">
        <v>0.0</v>
      </c>
      <c r="I2496" s="35">
        <v>0.0</v>
      </c>
      <c r="J2496" s="35"/>
      <c r="K2496" s="35">
        <v>0.0</v>
      </c>
    </row>
    <row r="2497" ht="15.75" customHeight="1">
      <c r="A2497" s="35" t="s">
        <v>7227</v>
      </c>
      <c r="B2497" s="35"/>
      <c r="C2497" s="35">
        <v>2.0</v>
      </c>
      <c r="D2497" s="35" t="s">
        <v>2039</v>
      </c>
      <c r="E2497" s="35">
        <v>46027.0</v>
      </c>
      <c r="F2497" s="35">
        <v>0.0</v>
      </c>
      <c r="G2497" s="35">
        <v>1.0</v>
      </c>
      <c r="H2497" s="35">
        <v>0.0</v>
      </c>
      <c r="I2497" s="35">
        <v>0.0</v>
      </c>
      <c r="J2497" s="35"/>
      <c r="K2497" s="35">
        <v>0.0</v>
      </c>
    </row>
    <row r="2498" ht="15.75" customHeight="1">
      <c r="A2498" s="35" t="s">
        <v>7228</v>
      </c>
      <c r="B2498" s="35"/>
      <c r="C2498" s="35">
        <v>2.0</v>
      </c>
      <c r="D2498" s="35" t="s">
        <v>4635</v>
      </c>
      <c r="E2498" s="35">
        <v>46027.0</v>
      </c>
      <c r="F2498" s="35">
        <v>0.0</v>
      </c>
      <c r="G2498" s="35">
        <v>1.0</v>
      </c>
      <c r="H2498" s="35">
        <v>0.0</v>
      </c>
      <c r="I2498" s="35">
        <v>0.0</v>
      </c>
      <c r="J2498" s="35"/>
      <c r="K2498" s="35">
        <v>0.0</v>
      </c>
    </row>
    <row r="2499" ht="15.75" customHeight="1">
      <c r="A2499" s="35" t="s">
        <v>7229</v>
      </c>
      <c r="B2499" s="35"/>
      <c r="C2499" s="35">
        <v>2.0</v>
      </c>
      <c r="D2499" s="35" t="s">
        <v>4635</v>
      </c>
      <c r="E2499" s="35">
        <v>46027.0</v>
      </c>
      <c r="F2499" s="35">
        <v>0.0</v>
      </c>
      <c r="G2499" s="35">
        <v>4.0</v>
      </c>
      <c r="H2499" s="35">
        <v>0.0</v>
      </c>
      <c r="I2499" s="35">
        <v>0.0</v>
      </c>
      <c r="J2499" s="35"/>
      <c r="K2499" s="35">
        <v>0.0</v>
      </c>
    </row>
    <row r="2500" ht="15.75" customHeight="1">
      <c r="A2500" s="35" t="s">
        <v>7231</v>
      </c>
      <c r="B2500" s="35"/>
      <c r="C2500" s="35">
        <v>2.0</v>
      </c>
      <c r="D2500" s="35">
        <v>115.0</v>
      </c>
      <c r="E2500" s="35">
        <v>46027.0</v>
      </c>
      <c r="F2500" s="35">
        <v>0.0</v>
      </c>
      <c r="G2500" s="35">
        <v>0.0</v>
      </c>
      <c r="H2500" s="35">
        <v>1.0</v>
      </c>
      <c r="I2500" s="35">
        <v>0.0</v>
      </c>
      <c r="J2500" s="35"/>
      <c r="K2500" s="35">
        <v>0.0</v>
      </c>
    </row>
    <row r="2501" ht="15.75" customHeight="1">
      <c r="A2501" s="35" t="s">
        <v>7232</v>
      </c>
      <c r="B2501" s="35"/>
      <c r="C2501" s="35">
        <v>2.0</v>
      </c>
      <c r="D2501" s="35" t="s">
        <v>4635</v>
      </c>
      <c r="E2501" s="35">
        <v>46027.0</v>
      </c>
      <c r="F2501" s="35">
        <v>0.0</v>
      </c>
      <c r="G2501" s="35">
        <v>0.0</v>
      </c>
      <c r="H2501" s="35">
        <v>1.0</v>
      </c>
      <c r="I2501" s="35">
        <v>0.0</v>
      </c>
      <c r="J2501" s="35"/>
      <c r="K2501" s="35">
        <v>0.0</v>
      </c>
    </row>
    <row r="2502" ht="15.75" customHeight="1">
      <c r="A2502" s="35" t="s">
        <v>7233</v>
      </c>
      <c r="B2502" s="35"/>
      <c r="C2502" s="35">
        <v>2.0</v>
      </c>
      <c r="D2502" s="35">
        <v>454.0</v>
      </c>
      <c r="E2502" s="35">
        <v>46027.0</v>
      </c>
      <c r="F2502" s="35">
        <v>0.0</v>
      </c>
      <c r="G2502" s="35">
        <v>0.0</v>
      </c>
      <c r="H2502" s="35">
        <v>1.0</v>
      </c>
      <c r="I2502" s="35">
        <v>0.0</v>
      </c>
      <c r="J2502" s="35"/>
      <c r="K2502" s="35">
        <v>0.0</v>
      </c>
    </row>
    <row r="2503" ht="15.75" customHeight="1">
      <c r="A2503" s="35" t="s">
        <v>7234</v>
      </c>
      <c r="B2503" s="35"/>
      <c r="C2503" s="35">
        <v>2.0</v>
      </c>
      <c r="D2503" s="35" t="s">
        <v>4635</v>
      </c>
      <c r="E2503" s="35">
        <v>46027.0</v>
      </c>
      <c r="F2503" s="35">
        <v>0.0</v>
      </c>
      <c r="G2503" s="35">
        <v>1.0</v>
      </c>
      <c r="H2503" s="35">
        <v>0.0</v>
      </c>
      <c r="I2503" s="35">
        <v>0.0</v>
      </c>
      <c r="J2503" s="35"/>
      <c r="K2503" s="35">
        <v>0.0</v>
      </c>
    </row>
    <row r="2504" ht="15.75" customHeight="1">
      <c r="A2504" s="35" t="s">
        <v>7236</v>
      </c>
      <c r="B2504" s="35"/>
      <c r="C2504" s="35">
        <v>2.0</v>
      </c>
      <c r="D2504" s="35" t="s">
        <v>4635</v>
      </c>
      <c r="E2504" s="35">
        <v>46027.0</v>
      </c>
      <c r="F2504" s="35">
        <v>0.0</v>
      </c>
      <c r="G2504" s="35">
        <v>146.0</v>
      </c>
      <c r="H2504" s="35">
        <v>0.0</v>
      </c>
      <c r="I2504" s="35">
        <v>0.0</v>
      </c>
      <c r="J2504" s="35"/>
      <c r="K2504" s="35">
        <v>0.0</v>
      </c>
    </row>
    <row r="2505" ht="15.75" customHeight="1">
      <c r="A2505" s="35" t="s">
        <v>7237</v>
      </c>
      <c r="B2505" s="35"/>
      <c r="C2505" s="35">
        <v>2.0</v>
      </c>
      <c r="D2505" s="35" t="s">
        <v>4343</v>
      </c>
      <c r="E2505" s="35">
        <v>46027.0</v>
      </c>
      <c r="F2505" s="35">
        <v>0.0</v>
      </c>
      <c r="G2505" s="35">
        <v>1.0</v>
      </c>
      <c r="H2505" s="35">
        <v>0.0</v>
      </c>
      <c r="I2505" s="35">
        <v>0.0</v>
      </c>
      <c r="J2505" s="35"/>
      <c r="K2505" s="35">
        <v>0.0</v>
      </c>
    </row>
    <row r="2506" ht="15.75" customHeight="1">
      <c r="A2506" s="35" t="s">
        <v>7239</v>
      </c>
      <c r="B2506" s="35"/>
      <c r="C2506" s="35">
        <v>2.0</v>
      </c>
      <c r="D2506" s="35" t="s">
        <v>4635</v>
      </c>
      <c r="E2506" s="35">
        <v>46027.0</v>
      </c>
      <c r="F2506" s="35">
        <v>0.0</v>
      </c>
      <c r="G2506" s="35">
        <v>1.0</v>
      </c>
      <c r="H2506" s="35">
        <v>0.0</v>
      </c>
      <c r="I2506" s="35">
        <v>0.0</v>
      </c>
      <c r="J2506" s="35"/>
      <c r="K2506" s="35">
        <v>0.0</v>
      </c>
    </row>
    <row r="2507" ht="15.75" customHeight="1">
      <c r="A2507" s="35" t="s">
        <v>7240</v>
      </c>
      <c r="B2507" s="35"/>
      <c r="C2507" s="35">
        <v>2.0</v>
      </c>
      <c r="D2507" s="35" t="s">
        <v>4635</v>
      </c>
      <c r="E2507" s="35">
        <v>46027.0</v>
      </c>
      <c r="F2507" s="35">
        <v>0.0</v>
      </c>
      <c r="G2507" s="35">
        <v>4.0</v>
      </c>
      <c r="H2507" s="35">
        <v>0.0</v>
      </c>
      <c r="I2507" s="35">
        <v>0.0</v>
      </c>
      <c r="J2507" s="35"/>
      <c r="K2507" s="35">
        <v>0.0</v>
      </c>
    </row>
    <row r="2508" ht="15.75" customHeight="1">
      <c r="A2508" s="35" t="s">
        <v>7241</v>
      </c>
      <c r="B2508" s="35"/>
      <c r="C2508" s="35">
        <v>2.0</v>
      </c>
      <c r="D2508" s="35" t="s">
        <v>4635</v>
      </c>
      <c r="E2508" s="35">
        <v>46027.0</v>
      </c>
      <c r="F2508" s="35">
        <v>0.0</v>
      </c>
      <c r="G2508" s="35">
        <v>4.0</v>
      </c>
      <c r="H2508" s="35">
        <v>0.0</v>
      </c>
      <c r="I2508" s="35">
        <v>0.0</v>
      </c>
      <c r="J2508" s="35"/>
      <c r="K2508" s="35">
        <v>0.0</v>
      </c>
    </row>
    <row r="2509" ht="15.75" customHeight="1">
      <c r="A2509" s="35" t="s">
        <v>7243</v>
      </c>
      <c r="B2509" s="35"/>
      <c r="C2509" s="35">
        <v>2.0</v>
      </c>
      <c r="D2509" s="35">
        <v>61.0</v>
      </c>
      <c r="E2509" s="35">
        <v>46027.0</v>
      </c>
      <c r="F2509" s="35">
        <v>0.0</v>
      </c>
      <c r="G2509" s="35">
        <v>0.0</v>
      </c>
      <c r="H2509" s="35">
        <v>0.0</v>
      </c>
      <c r="I2509" s="35">
        <v>1.0</v>
      </c>
      <c r="J2509" s="35"/>
      <c r="K2509" s="35">
        <v>0.0</v>
      </c>
    </row>
    <row r="2510" ht="15.75" customHeight="1">
      <c r="A2510" s="35" t="s">
        <v>7244</v>
      </c>
      <c r="B2510" s="35"/>
      <c r="C2510" s="35">
        <v>2.0</v>
      </c>
      <c r="D2510" s="35" t="s">
        <v>4635</v>
      </c>
      <c r="E2510" s="35">
        <v>46027.0</v>
      </c>
      <c r="F2510" s="35">
        <v>0.0</v>
      </c>
      <c r="G2510" s="35">
        <v>4.0</v>
      </c>
      <c r="H2510" s="35">
        <v>0.0</v>
      </c>
      <c r="I2510" s="35">
        <v>0.0</v>
      </c>
      <c r="J2510" s="35"/>
      <c r="K2510" s="35">
        <v>0.0</v>
      </c>
    </row>
    <row r="2511" ht="15.75" customHeight="1">
      <c r="A2511" s="35" t="s">
        <v>7246</v>
      </c>
      <c r="B2511" s="35"/>
      <c r="C2511" s="35">
        <v>2.0</v>
      </c>
      <c r="D2511" s="35" t="s">
        <v>4635</v>
      </c>
      <c r="E2511" s="35">
        <v>46027.0</v>
      </c>
      <c r="F2511" s="35">
        <v>0.0</v>
      </c>
      <c r="G2511" s="35">
        <v>0.0</v>
      </c>
      <c r="H2511" s="35">
        <v>0.0</v>
      </c>
      <c r="I2511" s="35">
        <v>6.0</v>
      </c>
      <c r="J2511" s="35"/>
      <c r="K2511" s="35">
        <v>0.0</v>
      </c>
    </row>
    <row r="2512" ht="15.75" customHeight="1">
      <c r="A2512" s="35" t="s">
        <v>7247</v>
      </c>
      <c r="B2512" s="35"/>
      <c r="C2512" s="35">
        <v>2.0</v>
      </c>
      <c r="D2512" s="35" t="s">
        <v>4635</v>
      </c>
      <c r="E2512" s="35">
        <v>46027.0</v>
      </c>
      <c r="F2512" s="35">
        <v>0.0</v>
      </c>
      <c r="G2512" s="35">
        <v>0.0</v>
      </c>
      <c r="H2512" s="35">
        <v>0.0</v>
      </c>
      <c r="I2512" s="35">
        <v>0.0</v>
      </c>
      <c r="J2512" s="35"/>
      <c r="K2512" s="35">
        <v>10.0</v>
      </c>
    </row>
    <row r="2513" ht="15.75" customHeight="1">
      <c r="A2513" s="35" t="s">
        <v>7249</v>
      </c>
      <c r="B2513" s="35"/>
      <c r="C2513" s="35">
        <v>2.0</v>
      </c>
      <c r="D2513" s="35" t="s">
        <v>4635</v>
      </c>
      <c r="E2513" s="35">
        <v>46027.0</v>
      </c>
      <c r="F2513" s="35">
        <v>0.0</v>
      </c>
      <c r="G2513" s="35">
        <v>194.0</v>
      </c>
      <c r="H2513" s="35">
        <v>0.0</v>
      </c>
      <c r="I2513" s="35">
        <v>0.0</v>
      </c>
      <c r="J2513" s="35"/>
      <c r="K2513" s="35">
        <v>0.0</v>
      </c>
    </row>
    <row r="2514" ht="15.75" customHeight="1">
      <c r="A2514" s="35" t="s">
        <v>7250</v>
      </c>
      <c r="B2514" s="35"/>
      <c r="C2514" s="35">
        <v>2.0</v>
      </c>
      <c r="D2514" s="35" t="s">
        <v>4635</v>
      </c>
      <c r="E2514" s="35">
        <v>46027.0</v>
      </c>
      <c r="F2514" s="35">
        <v>0.0</v>
      </c>
      <c r="G2514" s="35">
        <v>1.0</v>
      </c>
      <c r="H2514" s="35">
        <v>0.0</v>
      </c>
      <c r="I2514" s="35">
        <v>0.0</v>
      </c>
      <c r="J2514" s="35"/>
      <c r="K2514" s="35">
        <v>0.0</v>
      </c>
    </row>
    <row r="2515" ht="15.75" customHeight="1">
      <c r="A2515" s="35" t="s">
        <v>7252</v>
      </c>
      <c r="B2515" s="35"/>
      <c r="C2515" s="35">
        <v>2.0</v>
      </c>
      <c r="D2515" s="35" t="s">
        <v>4635</v>
      </c>
      <c r="E2515" s="35">
        <v>46027.0</v>
      </c>
      <c r="F2515" s="35">
        <v>0.0</v>
      </c>
      <c r="G2515" s="35">
        <v>4.0</v>
      </c>
      <c r="H2515" s="35">
        <v>0.0</v>
      </c>
      <c r="I2515" s="35">
        <v>0.0</v>
      </c>
      <c r="J2515" s="35"/>
      <c r="K2515" s="35">
        <v>0.0</v>
      </c>
    </row>
    <row r="2516" ht="15.75" customHeight="1">
      <c r="A2516" s="35" t="s">
        <v>7253</v>
      </c>
      <c r="B2516" s="35"/>
      <c r="C2516" s="35">
        <v>2.0</v>
      </c>
      <c r="D2516" s="35" t="s">
        <v>4635</v>
      </c>
      <c r="E2516" s="35">
        <v>46027.0</v>
      </c>
      <c r="F2516" s="35">
        <v>0.0</v>
      </c>
      <c r="G2516" s="35">
        <v>53.0</v>
      </c>
      <c r="H2516" s="35">
        <v>0.0</v>
      </c>
      <c r="I2516" s="35">
        <v>0.0</v>
      </c>
      <c r="J2516" s="35"/>
      <c r="K2516" s="35">
        <v>0.0</v>
      </c>
    </row>
    <row r="2517" ht="15.75" customHeight="1">
      <c r="A2517" s="35" t="s">
        <v>7255</v>
      </c>
      <c r="B2517" s="35"/>
      <c r="C2517" s="35">
        <v>2.0</v>
      </c>
      <c r="D2517" s="35" t="s">
        <v>4197</v>
      </c>
      <c r="E2517" s="35">
        <v>46027.0</v>
      </c>
      <c r="F2517" s="35">
        <v>0.0</v>
      </c>
      <c r="G2517" s="35">
        <v>2.0</v>
      </c>
      <c r="H2517" s="35">
        <v>0.0</v>
      </c>
      <c r="I2517" s="35">
        <v>0.0</v>
      </c>
      <c r="J2517" s="35"/>
      <c r="K2517" s="35">
        <v>0.0</v>
      </c>
    </row>
    <row r="2518" ht="15.75" customHeight="1">
      <c r="A2518" s="35" t="s">
        <v>7256</v>
      </c>
      <c r="B2518" s="35"/>
      <c r="C2518" s="35">
        <v>2.0</v>
      </c>
      <c r="D2518" s="35" t="s">
        <v>4635</v>
      </c>
      <c r="E2518" s="35">
        <v>46027.0</v>
      </c>
      <c r="F2518" s="35">
        <v>0.0</v>
      </c>
      <c r="G2518" s="35">
        <v>0.0</v>
      </c>
      <c r="H2518" s="35">
        <v>1.0</v>
      </c>
      <c r="I2518" s="35">
        <v>0.0</v>
      </c>
      <c r="J2518" s="35"/>
      <c r="K2518" s="35">
        <v>0.0</v>
      </c>
    </row>
    <row r="2519" ht="15.75" customHeight="1">
      <c r="A2519" s="35" t="s">
        <v>7258</v>
      </c>
      <c r="B2519" s="35"/>
      <c r="C2519" s="35">
        <v>2.0</v>
      </c>
      <c r="D2519" s="35">
        <v>856.0</v>
      </c>
      <c r="E2519" s="35">
        <v>46027.0</v>
      </c>
      <c r="F2519" s="35">
        <v>0.0</v>
      </c>
      <c r="G2519" s="35">
        <v>14.0</v>
      </c>
      <c r="H2519" s="35">
        <v>0.0</v>
      </c>
      <c r="I2519" s="35">
        <v>0.0</v>
      </c>
      <c r="J2519" s="35"/>
      <c r="K2519" s="35">
        <v>0.0</v>
      </c>
    </row>
    <row r="2520" ht="15.75" customHeight="1">
      <c r="A2520" s="35" t="s">
        <v>7259</v>
      </c>
      <c r="B2520" s="35"/>
      <c r="C2520" s="35">
        <v>2.0</v>
      </c>
      <c r="D2520" s="35" t="s">
        <v>4635</v>
      </c>
      <c r="E2520" s="35">
        <v>46027.0</v>
      </c>
      <c r="F2520" s="35">
        <v>0.0</v>
      </c>
      <c r="G2520" s="35">
        <v>45.0</v>
      </c>
      <c r="H2520" s="35">
        <v>0.0</v>
      </c>
      <c r="I2520" s="35">
        <v>0.0</v>
      </c>
      <c r="J2520" s="35"/>
      <c r="K2520" s="35">
        <v>0.0</v>
      </c>
    </row>
    <row r="2521" ht="15.75" customHeight="1">
      <c r="A2521" s="35" t="s">
        <v>7261</v>
      </c>
      <c r="B2521" s="35"/>
      <c r="C2521" s="35">
        <v>2.0</v>
      </c>
      <c r="D2521" s="35" t="s">
        <v>4635</v>
      </c>
      <c r="E2521" s="35">
        <v>46027.0</v>
      </c>
      <c r="F2521" s="35">
        <v>0.0</v>
      </c>
      <c r="G2521" s="35">
        <v>47.0</v>
      </c>
      <c r="H2521" s="35">
        <v>0.0</v>
      </c>
      <c r="I2521" s="35">
        <v>0.0</v>
      </c>
      <c r="J2521" s="35"/>
      <c r="K2521" s="35">
        <v>0.0</v>
      </c>
    </row>
    <row r="2522" ht="15.75" customHeight="1">
      <c r="A2522" s="35" t="s">
        <v>7262</v>
      </c>
      <c r="B2522" s="35"/>
      <c r="C2522" s="35">
        <v>2.0</v>
      </c>
      <c r="D2522" s="35" t="s">
        <v>4635</v>
      </c>
      <c r="E2522" s="35">
        <v>46027.0</v>
      </c>
      <c r="F2522" s="35">
        <v>0.0</v>
      </c>
      <c r="G2522" s="35">
        <v>1.0</v>
      </c>
      <c r="H2522" s="35">
        <v>0.0</v>
      </c>
      <c r="I2522" s="35">
        <v>0.0</v>
      </c>
      <c r="J2522" s="35"/>
      <c r="K2522" s="35">
        <v>0.0</v>
      </c>
    </row>
    <row r="2523" ht="15.75" customHeight="1">
      <c r="A2523" s="35" t="s">
        <v>7263</v>
      </c>
      <c r="B2523" s="35"/>
      <c r="C2523" s="35">
        <v>2.0</v>
      </c>
      <c r="D2523" s="35">
        <v>475.0</v>
      </c>
      <c r="E2523" s="35">
        <v>46027.0</v>
      </c>
      <c r="F2523" s="35">
        <v>0.0</v>
      </c>
      <c r="G2523" s="35">
        <v>8.0</v>
      </c>
      <c r="H2523" s="35">
        <v>0.0</v>
      </c>
      <c r="I2523" s="35">
        <v>0.0</v>
      </c>
      <c r="J2523" s="35"/>
      <c r="K2523" s="35">
        <v>0.0</v>
      </c>
    </row>
    <row r="2524" ht="15.75" customHeight="1">
      <c r="A2524" s="35" t="s">
        <v>7265</v>
      </c>
      <c r="B2524" s="35"/>
      <c r="C2524" s="35">
        <v>2.0</v>
      </c>
      <c r="D2524" s="35" t="s">
        <v>4635</v>
      </c>
      <c r="E2524" s="35">
        <v>46027.0</v>
      </c>
      <c r="F2524" s="35">
        <v>0.0</v>
      </c>
      <c r="G2524" s="35">
        <v>8.0</v>
      </c>
      <c r="H2524" s="35">
        <v>0.0</v>
      </c>
      <c r="I2524" s="35">
        <v>0.0</v>
      </c>
      <c r="J2524" s="35"/>
      <c r="K2524" s="35">
        <v>0.0</v>
      </c>
    </row>
    <row r="2525" ht="15.75" customHeight="1">
      <c r="A2525" s="35" t="s">
        <v>7266</v>
      </c>
      <c r="B2525" s="35"/>
      <c r="C2525" s="35">
        <v>2.0</v>
      </c>
      <c r="D2525" s="35" t="s">
        <v>4538</v>
      </c>
      <c r="E2525" s="35">
        <v>46027.0</v>
      </c>
      <c r="F2525" s="35">
        <v>0.0</v>
      </c>
      <c r="G2525" s="35">
        <v>1.0</v>
      </c>
      <c r="H2525" s="35">
        <v>0.0</v>
      </c>
      <c r="I2525" s="35">
        <v>0.0</v>
      </c>
      <c r="J2525" s="35"/>
      <c r="K2525" s="35">
        <v>0.0</v>
      </c>
    </row>
    <row r="2526" ht="15.75" customHeight="1">
      <c r="A2526" s="35" t="s">
        <v>7268</v>
      </c>
      <c r="B2526" s="35"/>
      <c r="C2526" s="35">
        <v>2.0</v>
      </c>
      <c r="D2526" s="35">
        <v>62.0</v>
      </c>
      <c r="E2526" s="35">
        <v>46027.0</v>
      </c>
      <c r="F2526" s="35">
        <v>0.0</v>
      </c>
      <c r="G2526" s="35">
        <v>5.0</v>
      </c>
      <c r="H2526" s="35">
        <v>0.0</v>
      </c>
      <c r="I2526" s="35">
        <v>0.0</v>
      </c>
      <c r="J2526" s="35"/>
      <c r="K2526" s="35">
        <v>0.0</v>
      </c>
    </row>
    <row r="2527" ht="15.75" customHeight="1">
      <c r="A2527" s="35" t="s">
        <v>7269</v>
      </c>
      <c r="B2527" s="35"/>
      <c r="C2527" s="35">
        <v>2.0</v>
      </c>
      <c r="D2527" s="35" t="s">
        <v>4635</v>
      </c>
      <c r="E2527" s="35">
        <v>46027.0</v>
      </c>
      <c r="F2527" s="35">
        <v>0.0</v>
      </c>
      <c r="G2527" s="35">
        <v>2.0</v>
      </c>
      <c r="H2527" s="35">
        <v>0.0</v>
      </c>
      <c r="I2527" s="35">
        <v>0.0</v>
      </c>
      <c r="J2527" s="35"/>
      <c r="K2527" s="35">
        <v>0.0</v>
      </c>
    </row>
    <row r="2528" ht="15.75" customHeight="1">
      <c r="A2528" s="35" t="s">
        <v>7271</v>
      </c>
      <c r="B2528" s="35"/>
      <c r="C2528" s="35">
        <v>2.0</v>
      </c>
      <c r="D2528" s="35">
        <v>40.0</v>
      </c>
      <c r="E2528" s="35">
        <v>46027.0</v>
      </c>
      <c r="F2528" s="35">
        <v>0.0</v>
      </c>
      <c r="G2528" s="35">
        <v>224.0</v>
      </c>
      <c r="H2528" s="35">
        <v>0.0</v>
      </c>
      <c r="I2528" s="35">
        <v>0.0</v>
      </c>
      <c r="J2528" s="35"/>
      <c r="K2528" s="35">
        <v>0.0</v>
      </c>
    </row>
    <row r="2529" ht="15.75" customHeight="1">
      <c r="A2529" s="35" t="s">
        <v>7272</v>
      </c>
      <c r="B2529" s="35"/>
      <c r="C2529" s="35">
        <v>2.0</v>
      </c>
      <c r="D2529" s="35" t="s">
        <v>4635</v>
      </c>
      <c r="E2529" s="35">
        <v>46027.0</v>
      </c>
      <c r="F2529" s="35">
        <v>0.0</v>
      </c>
      <c r="G2529" s="35">
        <v>0.0</v>
      </c>
      <c r="H2529" s="35">
        <v>2.0</v>
      </c>
      <c r="I2529" s="35">
        <v>0.0</v>
      </c>
      <c r="J2529" s="35"/>
      <c r="K2529" s="35">
        <v>0.0</v>
      </c>
    </row>
    <row r="2530" ht="15.75" customHeight="1">
      <c r="A2530" s="35" t="s">
        <v>7274</v>
      </c>
      <c r="B2530" s="35"/>
      <c r="C2530" s="35">
        <v>2.0</v>
      </c>
      <c r="D2530" s="35" t="s">
        <v>2021</v>
      </c>
      <c r="E2530" s="35">
        <v>46027.0</v>
      </c>
      <c r="F2530" s="35">
        <v>0.0</v>
      </c>
      <c r="G2530" s="35">
        <v>18.0</v>
      </c>
      <c r="H2530" s="35">
        <v>0.0</v>
      </c>
      <c r="I2530" s="35">
        <v>0.0</v>
      </c>
      <c r="J2530" s="35"/>
      <c r="K2530" s="35">
        <v>0.0</v>
      </c>
    </row>
    <row r="2531" ht="15.75" customHeight="1">
      <c r="A2531" s="35" t="s">
        <v>7275</v>
      </c>
      <c r="B2531" s="35"/>
      <c r="C2531" s="35">
        <v>2.0</v>
      </c>
      <c r="D2531" s="35" t="s">
        <v>2032</v>
      </c>
      <c r="E2531" s="35">
        <v>46027.0</v>
      </c>
      <c r="F2531" s="35">
        <v>0.0</v>
      </c>
      <c r="G2531" s="35">
        <v>1.0</v>
      </c>
      <c r="H2531" s="35">
        <v>0.0</v>
      </c>
      <c r="I2531" s="35">
        <v>0.0</v>
      </c>
      <c r="J2531" s="35"/>
      <c r="K2531" s="35">
        <v>0.0</v>
      </c>
    </row>
    <row r="2532" ht="15.75" customHeight="1">
      <c r="A2532" s="35" t="s">
        <v>7276</v>
      </c>
      <c r="B2532" s="35"/>
      <c r="C2532" s="35">
        <v>2.0</v>
      </c>
      <c r="D2532" s="35">
        <v>7.0</v>
      </c>
      <c r="E2532" s="35">
        <v>46027.0</v>
      </c>
      <c r="F2532" s="35">
        <v>0.0</v>
      </c>
      <c r="G2532" s="35">
        <v>52.0</v>
      </c>
      <c r="H2532" s="35">
        <v>0.0</v>
      </c>
      <c r="I2532" s="35">
        <v>0.0</v>
      </c>
      <c r="J2532" s="35"/>
      <c r="K2532" s="35">
        <v>0.0</v>
      </c>
    </row>
    <row r="2533" ht="15.75" customHeight="1">
      <c r="A2533" s="35" t="s">
        <v>7278</v>
      </c>
      <c r="B2533" s="35"/>
      <c r="C2533" s="35">
        <v>2.0</v>
      </c>
      <c r="D2533" s="35" t="s">
        <v>4635</v>
      </c>
      <c r="E2533" s="35">
        <v>46027.0</v>
      </c>
      <c r="F2533" s="35">
        <v>0.0</v>
      </c>
      <c r="G2533" s="35">
        <v>57.0</v>
      </c>
      <c r="H2533" s="35">
        <v>0.0</v>
      </c>
      <c r="I2533" s="35">
        <v>0.0</v>
      </c>
      <c r="J2533" s="35"/>
      <c r="K2533" s="35">
        <v>0.0</v>
      </c>
    </row>
    <row r="2534" ht="15.75" customHeight="1">
      <c r="A2534" s="35" t="s">
        <v>7279</v>
      </c>
      <c r="B2534" s="35"/>
      <c r="C2534" s="35">
        <v>2.0</v>
      </c>
      <c r="D2534" s="35" t="s">
        <v>2038</v>
      </c>
      <c r="E2534" s="35">
        <v>46027.0</v>
      </c>
      <c r="F2534" s="35">
        <v>0.0</v>
      </c>
      <c r="G2534" s="35">
        <v>1.0</v>
      </c>
      <c r="H2534" s="35">
        <v>0.0</v>
      </c>
      <c r="I2534" s="35">
        <v>0.0</v>
      </c>
      <c r="J2534" s="35"/>
      <c r="K2534" s="35">
        <v>0.0</v>
      </c>
    </row>
    <row r="2535" ht="15.75" customHeight="1">
      <c r="A2535" s="35" t="s">
        <v>7281</v>
      </c>
      <c r="B2535" s="35"/>
      <c r="C2535" s="35">
        <v>2.0</v>
      </c>
      <c r="D2535" s="35" t="s">
        <v>2038</v>
      </c>
      <c r="E2535" s="35">
        <v>46027.0</v>
      </c>
      <c r="F2535" s="35">
        <v>0.0</v>
      </c>
      <c r="G2535" s="35">
        <v>2.0</v>
      </c>
      <c r="H2535" s="35">
        <v>0.0</v>
      </c>
      <c r="I2535" s="35">
        <v>0.0</v>
      </c>
      <c r="J2535" s="35"/>
      <c r="K2535" s="35">
        <v>0.0</v>
      </c>
    </row>
    <row r="2536" ht="15.75" customHeight="1">
      <c r="A2536" s="35" t="s">
        <v>7282</v>
      </c>
      <c r="B2536" s="35"/>
      <c r="C2536" s="35">
        <v>2.0</v>
      </c>
      <c r="D2536" s="35" t="s">
        <v>2065</v>
      </c>
      <c r="E2536" s="35">
        <v>46027.0</v>
      </c>
      <c r="F2536" s="35">
        <v>0.0</v>
      </c>
      <c r="G2536" s="35">
        <v>1.0</v>
      </c>
      <c r="H2536" s="35">
        <v>0.0</v>
      </c>
      <c r="I2536" s="35">
        <v>0.0</v>
      </c>
      <c r="J2536" s="35"/>
      <c r="K2536" s="35">
        <v>0.0</v>
      </c>
    </row>
    <row r="2537" ht="15.75" customHeight="1">
      <c r="A2537" s="35" t="s">
        <v>7284</v>
      </c>
      <c r="B2537" s="35"/>
      <c r="C2537" s="35">
        <v>2.0</v>
      </c>
      <c r="D2537" s="35" t="s">
        <v>4642</v>
      </c>
      <c r="E2537" s="35">
        <v>46027.0</v>
      </c>
      <c r="F2537" s="35">
        <v>0.0</v>
      </c>
      <c r="G2537" s="35">
        <v>5.0</v>
      </c>
      <c r="H2537" s="35">
        <v>0.0</v>
      </c>
      <c r="I2537" s="35">
        <v>0.0</v>
      </c>
      <c r="J2537" s="35"/>
      <c r="K2537" s="35">
        <v>0.0</v>
      </c>
    </row>
    <row r="2538" ht="15.75" customHeight="1">
      <c r="A2538" s="35" t="s">
        <v>7285</v>
      </c>
      <c r="B2538" s="35"/>
      <c r="C2538" s="35">
        <v>2.0</v>
      </c>
      <c r="D2538" s="35">
        <v>902.0</v>
      </c>
      <c r="E2538" s="35">
        <v>46027.0</v>
      </c>
      <c r="F2538" s="35">
        <v>0.0</v>
      </c>
      <c r="G2538" s="35">
        <v>3.0</v>
      </c>
      <c r="H2538" s="35">
        <v>0.0</v>
      </c>
      <c r="I2538" s="35">
        <v>0.0</v>
      </c>
      <c r="J2538" s="35"/>
      <c r="K2538" s="35">
        <v>0.0</v>
      </c>
    </row>
    <row r="2539" ht="15.75" customHeight="1">
      <c r="A2539" s="35" t="s">
        <v>7287</v>
      </c>
      <c r="B2539" s="35"/>
      <c r="C2539" s="35">
        <v>2.0</v>
      </c>
      <c r="D2539" s="35" t="s">
        <v>2021</v>
      </c>
      <c r="E2539" s="35">
        <v>46027.0</v>
      </c>
      <c r="F2539" s="35">
        <v>0.0</v>
      </c>
      <c r="G2539" s="35">
        <v>0.0</v>
      </c>
      <c r="H2539" s="35">
        <v>0.0</v>
      </c>
      <c r="I2539" s="35">
        <v>0.0</v>
      </c>
      <c r="J2539" s="35"/>
      <c r="K2539" s="35">
        <v>1.0</v>
      </c>
    </row>
    <row r="2540" ht="15.75" customHeight="1">
      <c r="A2540" s="35" t="s">
        <v>7288</v>
      </c>
      <c r="B2540" s="35"/>
      <c r="C2540" s="35">
        <v>2.0</v>
      </c>
      <c r="D2540" s="35" t="s">
        <v>2016</v>
      </c>
      <c r="E2540" s="35">
        <v>46027.0</v>
      </c>
      <c r="F2540" s="35">
        <v>0.0</v>
      </c>
      <c r="G2540" s="35">
        <v>1.0</v>
      </c>
      <c r="H2540" s="35">
        <v>0.0</v>
      </c>
      <c r="I2540" s="35">
        <v>0.0</v>
      </c>
      <c r="J2540" s="35"/>
      <c r="K2540" s="35">
        <v>0.0</v>
      </c>
    </row>
    <row r="2541" ht="15.75" customHeight="1">
      <c r="A2541" s="35" t="s">
        <v>7289</v>
      </c>
      <c r="B2541" s="35"/>
      <c r="C2541" s="35">
        <v>2.0</v>
      </c>
      <c r="D2541" s="35" t="s">
        <v>4694</v>
      </c>
      <c r="E2541" s="35">
        <v>46027.0</v>
      </c>
      <c r="F2541" s="35">
        <v>0.0</v>
      </c>
      <c r="G2541" s="35">
        <v>5.0</v>
      </c>
      <c r="H2541" s="35">
        <v>0.0</v>
      </c>
      <c r="I2541" s="35">
        <v>0.0</v>
      </c>
      <c r="J2541" s="35"/>
      <c r="K2541" s="35">
        <v>0.0</v>
      </c>
    </row>
    <row r="2542" ht="15.75" customHeight="1">
      <c r="A2542" s="35" t="s">
        <v>7291</v>
      </c>
      <c r="B2542" s="35"/>
      <c r="C2542" s="35">
        <v>2.0</v>
      </c>
      <c r="D2542" s="35" t="s">
        <v>4380</v>
      </c>
      <c r="E2542" s="35">
        <v>46027.0</v>
      </c>
      <c r="F2542" s="35">
        <v>0.0</v>
      </c>
      <c r="G2542" s="35">
        <v>3.0</v>
      </c>
      <c r="H2542" s="35">
        <v>0.0</v>
      </c>
      <c r="I2542" s="35">
        <v>0.0</v>
      </c>
      <c r="J2542" s="35"/>
      <c r="K2542" s="35">
        <v>0.0</v>
      </c>
    </row>
    <row r="2543" ht="15.75" customHeight="1">
      <c r="A2543" s="35" t="s">
        <v>7292</v>
      </c>
      <c r="B2543" s="35"/>
      <c r="C2543" s="35">
        <v>2.0</v>
      </c>
      <c r="D2543" s="35" t="s">
        <v>4642</v>
      </c>
      <c r="E2543" s="35">
        <v>46027.0</v>
      </c>
      <c r="F2543" s="35">
        <v>0.0</v>
      </c>
      <c r="G2543" s="35">
        <v>1.0</v>
      </c>
      <c r="H2543" s="35">
        <v>0.0</v>
      </c>
      <c r="I2543" s="35">
        <v>0.0</v>
      </c>
      <c r="J2543" s="35"/>
      <c r="K2543" s="35">
        <v>0.0</v>
      </c>
    </row>
    <row r="2544" ht="15.75" customHeight="1">
      <c r="A2544" s="35" t="s">
        <v>7294</v>
      </c>
      <c r="B2544" s="35"/>
      <c r="C2544" s="35">
        <v>2.0</v>
      </c>
      <c r="D2544" s="35" t="s">
        <v>4635</v>
      </c>
      <c r="E2544" s="35">
        <v>46027.0</v>
      </c>
      <c r="F2544" s="35">
        <v>0.0</v>
      </c>
      <c r="G2544" s="35">
        <v>1.0</v>
      </c>
      <c r="H2544" s="35">
        <v>0.0</v>
      </c>
      <c r="I2544" s="35">
        <v>0.0</v>
      </c>
      <c r="J2544" s="35"/>
      <c r="K2544" s="35">
        <v>0.0</v>
      </c>
    </row>
    <row r="2545" ht="15.75" customHeight="1">
      <c r="A2545" s="35" t="s">
        <v>7295</v>
      </c>
      <c r="B2545" s="35"/>
      <c r="C2545" s="35">
        <v>2.0</v>
      </c>
      <c r="D2545" s="35">
        <v>251.0</v>
      </c>
      <c r="E2545" s="35">
        <v>46027.0</v>
      </c>
      <c r="F2545" s="35">
        <v>0.0</v>
      </c>
      <c r="G2545" s="35">
        <v>1.0</v>
      </c>
      <c r="H2545" s="35">
        <v>0.0</v>
      </c>
      <c r="I2545" s="35">
        <v>0.0</v>
      </c>
      <c r="J2545" s="35"/>
      <c r="K2545" s="35">
        <v>0.0</v>
      </c>
    </row>
    <row r="2546" ht="15.75" customHeight="1">
      <c r="A2546" s="35" t="s">
        <v>7297</v>
      </c>
      <c r="B2546" s="35"/>
      <c r="C2546" s="35">
        <v>2.0</v>
      </c>
      <c r="D2546" s="35" t="s">
        <v>4635</v>
      </c>
      <c r="E2546" s="35">
        <v>46027.0</v>
      </c>
      <c r="F2546" s="35">
        <v>0.0</v>
      </c>
      <c r="G2546" s="35">
        <v>54.0</v>
      </c>
      <c r="H2546" s="35">
        <v>0.0</v>
      </c>
      <c r="I2546" s="35">
        <v>0.0</v>
      </c>
      <c r="J2546" s="35"/>
      <c r="K2546" s="35">
        <v>0.0</v>
      </c>
    </row>
    <row r="2547" ht="15.75" customHeight="1">
      <c r="A2547" s="35" t="s">
        <v>7299</v>
      </c>
      <c r="B2547" s="35"/>
      <c r="C2547" s="35">
        <v>2.0</v>
      </c>
      <c r="D2547" s="35" t="s">
        <v>4635</v>
      </c>
      <c r="E2547" s="35">
        <v>46027.0</v>
      </c>
      <c r="F2547" s="35">
        <v>0.0</v>
      </c>
      <c r="G2547" s="35">
        <v>38.0</v>
      </c>
      <c r="H2547" s="35">
        <v>0.0</v>
      </c>
      <c r="I2547" s="35">
        <v>0.0</v>
      </c>
      <c r="J2547" s="35"/>
      <c r="K2547" s="35">
        <v>0.0</v>
      </c>
    </row>
    <row r="2548" ht="15.75" customHeight="1">
      <c r="A2548" s="35" t="s">
        <v>7300</v>
      </c>
      <c r="B2548" s="35"/>
      <c r="C2548" s="35">
        <v>2.0</v>
      </c>
      <c r="D2548" s="35" t="s">
        <v>4635</v>
      </c>
      <c r="E2548" s="35">
        <v>46027.0</v>
      </c>
      <c r="F2548" s="35">
        <v>0.0</v>
      </c>
      <c r="G2548" s="35">
        <v>49.0</v>
      </c>
      <c r="H2548" s="35">
        <v>0.0</v>
      </c>
      <c r="I2548" s="35">
        <v>0.0</v>
      </c>
      <c r="J2548" s="35"/>
      <c r="K2548" s="35">
        <v>0.0</v>
      </c>
    </row>
    <row r="2549" ht="15.75" customHeight="1">
      <c r="A2549" s="35" t="s">
        <v>7301</v>
      </c>
      <c r="B2549" s="35"/>
      <c r="C2549" s="35">
        <v>2.0</v>
      </c>
      <c r="D2549" s="35">
        <v>64.0</v>
      </c>
      <c r="E2549" s="35">
        <v>46027.0</v>
      </c>
      <c r="F2549" s="35">
        <v>0.0</v>
      </c>
      <c r="G2549" s="35">
        <v>50.0</v>
      </c>
      <c r="H2549" s="35">
        <v>0.0</v>
      </c>
      <c r="I2549" s="35">
        <v>0.0</v>
      </c>
      <c r="J2549" s="35"/>
      <c r="K2549" s="35">
        <v>0.0</v>
      </c>
    </row>
    <row r="2550" ht="15.75" customHeight="1">
      <c r="A2550" s="35" t="s">
        <v>7303</v>
      </c>
      <c r="B2550" s="35"/>
      <c r="C2550" s="35">
        <v>2.0</v>
      </c>
      <c r="D2550" s="35" t="s">
        <v>4635</v>
      </c>
      <c r="E2550" s="35">
        <v>46027.0</v>
      </c>
      <c r="F2550" s="35">
        <v>0.0</v>
      </c>
      <c r="G2550" s="35">
        <v>67.0</v>
      </c>
      <c r="H2550" s="35">
        <v>0.0</v>
      </c>
      <c r="I2550" s="35">
        <v>0.0</v>
      </c>
      <c r="J2550" s="35"/>
      <c r="K2550" s="35">
        <v>0.0</v>
      </c>
    </row>
    <row r="2551" ht="15.75" customHeight="1">
      <c r="A2551" s="35" t="s">
        <v>7304</v>
      </c>
      <c r="B2551" s="35"/>
      <c r="C2551" s="35">
        <v>2.0</v>
      </c>
      <c r="D2551" s="35" t="s">
        <v>4635</v>
      </c>
      <c r="E2551" s="35">
        <v>46027.0</v>
      </c>
      <c r="F2551" s="35">
        <v>0.0</v>
      </c>
      <c r="G2551" s="35">
        <v>31.0</v>
      </c>
      <c r="H2551" s="35">
        <v>0.0</v>
      </c>
      <c r="I2551" s="35">
        <v>0.0</v>
      </c>
      <c r="J2551" s="35"/>
      <c r="K2551" s="35">
        <v>0.0</v>
      </c>
    </row>
    <row r="2552" ht="15.75" customHeight="1">
      <c r="A2552" s="35" t="s">
        <v>7306</v>
      </c>
      <c r="B2552" s="35"/>
      <c r="C2552" s="35">
        <v>2.0</v>
      </c>
      <c r="D2552" s="35" t="s">
        <v>4635</v>
      </c>
      <c r="E2552" s="35">
        <v>46027.0</v>
      </c>
      <c r="F2552" s="35">
        <v>0.0</v>
      </c>
      <c r="G2552" s="35">
        <v>4.0</v>
      </c>
      <c r="H2552" s="35">
        <v>0.0</v>
      </c>
      <c r="I2552" s="35">
        <v>0.0</v>
      </c>
      <c r="J2552" s="35"/>
      <c r="K2552" s="35">
        <v>0.0</v>
      </c>
    </row>
    <row r="2553" ht="15.75" customHeight="1">
      <c r="A2553" s="35" t="s">
        <v>7307</v>
      </c>
      <c r="B2553" s="35"/>
      <c r="C2553" s="35">
        <v>2.0</v>
      </c>
      <c r="D2553" s="35" t="s">
        <v>4635</v>
      </c>
      <c r="E2553" s="35">
        <v>46027.0</v>
      </c>
      <c r="F2553" s="35">
        <v>0.0</v>
      </c>
      <c r="G2553" s="35">
        <v>53.0</v>
      </c>
      <c r="H2553" s="35">
        <v>0.0</v>
      </c>
      <c r="I2553" s="35">
        <v>0.0</v>
      </c>
      <c r="J2553" s="35"/>
      <c r="K2553" s="35">
        <v>0.0</v>
      </c>
    </row>
    <row r="2554" ht="15.75" customHeight="1">
      <c r="A2554" s="35" t="s">
        <v>7309</v>
      </c>
      <c r="B2554" s="35"/>
      <c r="C2554" s="35">
        <v>2.0</v>
      </c>
      <c r="D2554" s="35">
        <v>857.0</v>
      </c>
      <c r="E2554" s="35">
        <v>46027.0</v>
      </c>
      <c r="F2554" s="35">
        <v>0.0</v>
      </c>
      <c r="G2554" s="35">
        <v>2.0</v>
      </c>
      <c r="H2554" s="35">
        <v>0.0</v>
      </c>
      <c r="I2554" s="35">
        <v>0.0</v>
      </c>
      <c r="J2554" s="35"/>
      <c r="K2554" s="35">
        <v>0.0</v>
      </c>
    </row>
    <row r="2555" ht="15.75" customHeight="1">
      <c r="A2555" s="35" t="s">
        <v>7310</v>
      </c>
      <c r="B2555" s="35"/>
      <c r="C2555" s="35">
        <v>2.0</v>
      </c>
      <c r="D2555" s="35" t="s">
        <v>4635</v>
      </c>
      <c r="E2555" s="35">
        <v>46027.0</v>
      </c>
      <c r="F2555" s="35">
        <v>0.0</v>
      </c>
      <c r="G2555" s="35">
        <v>2.0</v>
      </c>
      <c r="H2555" s="35">
        <v>0.0</v>
      </c>
      <c r="I2555" s="35">
        <v>0.0</v>
      </c>
      <c r="J2555" s="35"/>
      <c r="K2555" s="35">
        <v>0.0</v>
      </c>
    </row>
    <row r="2556" ht="15.75" customHeight="1">
      <c r="A2556" s="35" t="s">
        <v>7312</v>
      </c>
      <c r="B2556" s="35"/>
      <c r="C2556" s="35">
        <v>2.0</v>
      </c>
      <c r="D2556" s="35" t="s">
        <v>4635</v>
      </c>
      <c r="E2556" s="35">
        <v>46027.0</v>
      </c>
      <c r="F2556" s="35">
        <v>0.0</v>
      </c>
      <c r="G2556" s="35">
        <v>2.0</v>
      </c>
      <c r="H2556" s="35">
        <v>0.0</v>
      </c>
      <c r="I2556" s="35">
        <v>0.0</v>
      </c>
      <c r="J2556" s="35"/>
      <c r="K2556" s="35">
        <v>0.0</v>
      </c>
    </row>
    <row r="2557" ht="15.75" customHeight="1">
      <c r="A2557" s="35" t="s">
        <v>7313</v>
      </c>
      <c r="B2557" s="35"/>
      <c r="C2557" s="35">
        <v>2.0</v>
      </c>
      <c r="D2557" s="35">
        <v>59.0</v>
      </c>
      <c r="E2557" s="35">
        <v>46027.0</v>
      </c>
      <c r="F2557" s="35">
        <v>0.0</v>
      </c>
      <c r="G2557" s="35">
        <v>4.0</v>
      </c>
      <c r="H2557" s="35">
        <v>0.0</v>
      </c>
      <c r="I2557" s="35">
        <v>0.0</v>
      </c>
      <c r="J2557" s="35"/>
      <c r="K2557" s="35">
        <v>0.0</v>
      </c>
    </row>
    <row r="2558" ht="15.75" customHeight="1">
      <c r="A2558" s="35" t="s">
        <v>7315</v>
      </c>
      <c r="B2558" s="35"/>
      <c r="C2558" s="35">
        <v>2.0</v>
      </c>
      <c r="D2558" s="35" t="s">
        <v>4635</v>
      </c>
      <c r="E2558" s="35">
        <v>46027.0</v>
      </c>
      <c r="F2558" s="35">
        <v>0.0</v>
      </c>
      <c r="G2558" s="35">
        <v>4.0</v>
      </c>
      <c r="H2558" s="35">
        <v>0.0</v>
      </c>
      <c r="I2558" s="35">
        <v>0.0</v>
      </c>
      <c r="J2558" s="35"/>
      <c r="K2558" s="35">
        <v>0.0</v>
      </c>
    </row>
    <row r="2559" ht="15.75" customHeight="1">
      <c r="A2559" s="35" t="s">
        <v>7316</v>
      </c>
      <c r="B2559" s="35"/>
      <c r="C2559" s="35">
        <v>2.0</v>
      </c>
      <c r="D2559" s="35" t="s">
        <v>5444</v>
      </c>
      <c r="E2559" s="35">
        <v>46027.0</v>
      </c>
      <c r="F2559" s="35">
        <v>0.0</v>
      </c>
      <c r="G2559" s="35">
        <v>1.0</v>
      </c>
      <c r="H2559" s="35">
        <v>0.0</v>
      </c>
      <c r="I2559" s="35">
        <v>0.0</v>
      </c>
      <c r="J2559" s="35"/>
      <c r="K2559" s="35">
        <v>0.0</v>
      </c>
    </row>
    <row r="2560" ht="15.75" customHeight="1">
      <c r="A2560" s="35" t="s">
        <v>7318</v>
      </c>
      <c r="B2560" s="35"/>
      <c r="C2560" s="35">
        <v>2.0</v>
      </c>
      <c r="D2560" s="35" t="s">
        <v>4380</v>
      </c>
      <c r="E2560" s="35">
        <v>46027.0</v>
      </c>
      <c r="F2560" s="35">
        <v>0.0</v>
      </c>
      <c r="G2560" s="35">
        <v>23.0</v>
      </c>
      <c r="H2560" s="35">
        <v>0.0</v>
      </c>
      <c r="I2560" s="35">
        <v>0.0</v>
      </c>
      <c r="J2560" s="35"/>
      <c r="K2560" s="35">
        <v>0.0</v>
      </c>
    </row>
    <row r="2561" ht="15.75" customHeight="1">
      <c r="A2561" s="35" t="s">
        <v>7319</v>
      </c>
      <c r="B2561" s="35"/>
      <c r="C2561" s="35">
        <v>2.0</v>
      </c>
      <c r="D2561" s="35" t="s">
        <v>4635</v>
      </c>
      <c r="E2561" s="35">
        <v>46027.0</v>
      </c>
      <c r="F2561" s="35">
        <v>0.0</v>
      </c>
      <c r="G2561" s="35">
        <v>4.0</v>
      </c>
      <c r="H2561" s="35">
        <v>0.0</v>
      </c>
      <c r="I2561" s="35">
        <v>0.0</v>
      </c>
      <c r="J2561" s="35"/>
      <c r="K2561" s="35">
        <v>0.0</v>
      </c>
    </row>
    <row r="2562" ht="15.75" customHeight="1">
      <c r="A2562" s="35" t="s">
        <v>7320</v>
      </c>
      <c r="B2562" s="35"/>
      <c r="C2562" s="35">
        <v>2.0</v>
      </c>
      <c r="D2562" s="35" t="s">
        <v>4635</v>
      </c>
      <c r="E2562" s="35">
        <v>46027.0</v>
      </c>
      <c r="F2562" s="35">
        <v>0.0</v>
      </c>
      <c r="G2562" s="35">
        <v>1.0</v>
      </c>
      <c r="H2562" s="35">
        <v>0.0</v>
      </c>
      <c r="I2562" s="35">
        <v>0.0</v>
      </c>
      <c r="J2562" s="35"/>
      <c r="K2562" s="35">
        <v>0.0</v>
      </c>
    </row>
    <row r="2563" ht="15.75" customHeight="1">
      <c r="A2563" s="35" t="s">
        <v>7322</v>
      </c>
      <c r="B2563" s="35"/>
      <c r="C2563" s="35">
        <v>2.0</v>
      </c>
      <c r="D2563" s="35" t="s">
        <v>4635</v>
      </c>
      <c r="E2563" s="35">
        <v>46027.0</v>
      </c>
      <c r="F2563" s="35">
        <v>0.0</v>
      </c>
      <c r="G2563" s="35">
        <v>34.0</v>
      </c>
      <c r="H2563" s="35">
        <v>0.0</v>
      </c>
      <c r="I2563" s="35">
        <v>0.0</v>
      </c>
      <c r="J2563" s="35"/>
      <c r="K2563" s="35">
        <v>0.0</v>
      </c>
    </row>
    <row r="2564" ht="15.75" customHeight="1">
      <c r="A2564" s="35" t="s">
        <v>7323</v>
      </c>
      <c r="B2564" s="35"/>
      <c r="C2564" s="35">
        <v>2.0</v>
      </c>
      <c r="D2564" s="35" t="s">
        <v>2065</v>
      </c>
      <c r="E2564" s="35">
        <v>46027.0</v>
      </c>
      <c r="F2564" s="35">
        <v>0.0</v>
      </c>
      <c r="G2564" s="35">
        <v>1.0</v>
      </c>
      <c r="H2564" s="35">
        <v>0.0</v>
      </c>
      <c r="I2564" s="35">
        <v>0.0</v>
      </c>
      <c r="J2564" s="35"/>
      <c r="K2564" s="35">
        <v>0.0</v>
      </c>
    </row>
    <row r="2565" ht="15.75" customHeight="1">
      <c r="A2565" s="35" t="s">
        <v>7325</v>
      </c>
      <c r="B2565" s="35"/>
      <c r="C2565" s="35">
        <v>2.0</v>
      </c>
      <c r="D2565" s="35" t="s">
        <v>4480</v>
      </c>
      <c r="E2565" s="35">
        <v>46027.0</v>
      </c>
      <c r="F2565" s="35">
        <v>0.0</v>
      </c>
      <c r="G2565" s="35">
        <v>2.0</v>
      </c>
      <c r="H2565" s="35">
        <v>0.0</v>
      </c>
      <c r="I2565" s="35">
        <v>0.0</v>
      </c>
      <c r="J2565" s="35"/>
      <c r="K2565" s="35">
        <v>0.0</v>
      </c>
    </row>
    <row r="2566" ht="15.75" customHeight="1">
      <c r="A2566" s="35" t="s">
        <v>7326</v>
      </c>
      <c r="B2566" s="35"/>
      <c r="C2566" s="35">
        <v>2.0</v>
      </c>
      <c r="D2566" s="35">
        <v>809.0</v>
      </c>
      <c r="E2566" s="35">
        <v>46027.0</v>
      </c>
      <c r="F2566" s="35">
        <v>0.0</v>
      </c>
      <c r="G2566" s="35">
        <v>1.0</v>
      </c>
      <c r="H2566" s="35">
        <v>0.0</v>
      </c>
      <c r="I2566" s="35">
        <v>0.0</v>
      </c>
      <c r="J2566" s="35"/>
      <c r="K2566" s="35">
        <v>0.0</v>
      </c>
    </row>
    <row r="2567" ht="15.75" customHeight="1">
      <c r="A2567" s="35" t="s">
        <v>7328</v>
      </c>
      <c r="B2567" s="35"/>
      <c r="C2567" s="35">
        <v>2.0</v>
      </c>
      <c r="D2567" s="35" t="s">
        <v>4635</v>
      </c>
      <c r="E2567" s="35">
        <v>46027.0</v>
      </c>
      <c r="F2567" s="35">
        <v>0.0</v>
      </c>
      <c r="G2567" s="35">
        <v>1.0</v>
      </c>
      <c r="H2567" s="35">
        <v>0.0</v>
      </c>
      <c r="I2567" s="35">
        <v>0.0</v>
      </c>
      <c r="J2567" s="35"/>
      <c r="K2567" s="35">
        <v>0.0</v>
      </c>
    </row>
    <row r="2568" ht="15.75" customHeight="1">
      <c r="A2568" s="35" t="s">
        <v>7329</v>
      </c>
      <c r="B2568" s="35"/>
      <c r="C2568" s="35">
        <v>2.0</v>
      </c>
      <c r="D2568" s="35" t="s">
        <v>4635</v>
      </c>
      <c r="E2568" s="35">
        <v>46027.0</v>
      </c>
      <c r="F2568" s="35">
        <v>0.0</v>
      </c>
      <c r="G2568" s="35">
        <v>41.0</v>
      </c>
      <c r="H2568" s="35">
        <v>0.0</v>
      </c>
      <c r="I2568" s="35">
        <v>0.0</v>
      </c>
      <c r="J2568" s="35"/>
      <c r="K2568" s="35">
        <v>0.0</v>
      </c>
    </row>
    <row r="2569" ht="15.75" customHeight="1">
      <c r="A2569" s="35" t="s">
        <v>7330</v>
      </c>
      <c r="B2569" s="35"/>
      <c r="C2569" s="35">
        <v>2.0</v>
      </c>
      <c r="D2569" s="35" t="s">
        <v>4635</v>
      </c>
      <c r="E2569" s="35">
        <v>46027.0</v>
      </c>
      <c r="F2569" s="35">
        <v>0.0</v>
      </c>
      <c r="G2569" s="35">
        <v>1.0</v>
      </c>
      <c r="H2569" s="35">
        <v>0.0</v>
      </c>
      <c r="I2569" s="35">
        <v>0.0</v>
      </c>
      <c r="J2569" s="35"/>
      <c r="K2569" s="35">
        <v>0.0</v>
      </c>
    </row>
    <row r="2570" ht="15.75" customHeight="1">
      <c r="A2570" s="35" t="s">
        <v>7332</v>
      </c>
      <c r="B2570" s="35"/>
      <c r="C2570" s="35">
        <v>2.0</v>
      </c>
      <c r="D2570" s="35" t="s">
        <v>4635</v>
      </c>
      <c r="E2570" s="35">
        <v>46027.0</v>
      </c>
      <c r="F2570" s="35">
        <v>0.0</v>
      </c>
      <c r="G2570" s="35">
        <v>55.0</v>
      </c>
      <c r="H2570" s="35">
        <v>0.0</v>
      </c>
      <c r="I2570" s="35">
        <v>0.0</v>
      </c>
      <c r="J2570" s="35"/>
      <c r="K2570" s="35">
        <v>0.0</v>
      </c>
    </row>
    <row r="2571" ht="15.75" customHeight="1">
      <c r="A2571" s="35" t="s">
        <v>7334</v>
      </c>
      <c r="B2571" s="35"/>
      <c r="C2571" s="35">
        <v>2.0</v>
      </c>
      <c r="D2571" s="35" t="s">
        <v>4635</v>
      </c>
      <c r="E2571" s="35">
        <v>46027.0</v>
      </c>
      <c r="F2571" s="35">
        <v>0.0</v>
      </c>
      <c r="G2571" s="35">
        <v>1.0</v>
      </c>
      <c r="H2571" s="35">
        <v>0.0</v>
      </c>
      <c r="I2571" s="35">
        <v>0.0</v>
      </c>
      <c r="J2571" s="35"/>
      <c r="K2571" s="35">
        <v>0.0</v>
      </c>
    </row>
    <row r="2572" ht="15.75" customHeight="1">
      <c r="A2572" s="35" t="s">
        <v>7335</v>
      </c>
      <c r="B2572" s="35"/>
      <c r="C2572" s="35">
        <v>2.0</v>
      </c>
      <c r="D2572" s="35">
        <v>62.0</v>
      </c>
      <c r="E2572" s="35">
        <v>46027.0</v>
      </c>
      <c r="F2572" s="35">
        <v>0.0</v>
      </c>
      <c r="G2572" s="35">
        <v>17.0</v>
      </c>
      <c r="H2572" s="35">
        <v>0.0</v>
      </c>
      <c r="I2572" s="35">
        <v>0.0</v>
      </c>
      <c r="J2572" s="35"/>
      <c r="K2572" s="35">
        <v>0.0</v>
      </c>
    </row>
    <row r="2573" ht="15.75" customHeight="1">
      <c r="A2573" s="35" t="s">
        <v>7336</v>
      </c>
      <c r="B2573" s="35"/>
      <c r="C2573" s="35">
        <v>2.0</v>
      </c>
      <c r="D2573" s="35">
        <v>48.0</v>
      </c>
      <c r="E2573" s="35">
        <v>46027.0</v>
      </c>
      <c r="F2573" s="35">
        <v>0.0</v>
      </c>
      <c r="G2573" s="35">
        <v>213.0</v>
      </c>
      <c r="H2573" s="35">
        <v>0.0</v>
      </c>
      <c r="I2573" s="35">
        <v>0.0</v>
      </c>
      <c r="J2573" s="35"/>
      <c r="K2573" s="35">
        <v>0.0</v>
      </c>
    </row>
    <row r="2574" ht="15.75" customHeight="1">
      <c r="A2574" s="35" t="s">
        <v>7338</v>
      </c>
      <c r="B2574" s="35"/>
      <c r="C2574" s="35">
        <v>2.0</v>
      </c>
      <c r="D2574" s="35" t="s">
        <v>4635</v>
      </c>
      <c r="E2574" s="35">
        <v>46027.0</v>
      </c>
      <c r="F2574" s="35">
        <v>0.0</v>
      </c>
      <c r="G2574" s="35">
        <v>11.0</v>
      </c>
      <c r="H2574" s="35">
        <v>0.0</v>
      </c>
      <c r="I2574" s="35">
        <v>0.0</v>
      </c>
      <c r="J2574" s="35"/>
      <c r="K2574" s="35">
        <v>0.0</v>
      </c>
    </row>
    <row r="2575" ht="15.75" customHeight="1">
      <c r="A2575" s="35" t="s">
        <v>7339</v>
      </c>
      <c r="B2575" s="35"/>
      <c r="C2575" s="35">
        <v>2.0</v>
      </c>
      <c r="D2575" s="35" t="s">
        <v>4635</v>
      </c>
      <c r="E2575" s="35">
        <v>46027.0</v>
      </c>
      <c r="F2575" s="35">
        <v>0.0</v>
      </c>
      <c r="G2575" s="35">
        <v>0.0</v>
      </c>
      <c r="H2575" s="35">
        <v>0.0</v>
      </c>
      <c r="I2575" s="35">
        <v>2.0</v>
      </c>
      <c r="J2575" s="35"/>
      <c r="K2575" s="35">
        <v>0.0</v>
      </c>
    </row>
    <row r="2576" ht="15.75" customHeight="1">
      <c r="A2576" s="35" t="s">
        <v>7340</v>
      </c>
      <c r="B2576" s="35"/>
      <c r="C2576" s="35">
        <v>2.0</v>
      </c>
      <c r="D2576" s="35">
        <v>127.0</v>
      </c>
      <c r="E2576" s="35">
        <v>46027.0</v>
      </c>
      <c r="F2576" s="35">
        <v>0.0</v>
      </c>
      <c r="G2576" s="35">
        <v>2.0</v>
      </c>
      <c r="H2576" s="35">
        <v>0.0</v>
      </c>
      <c r="I2576" s="35">
        <v>0.0</v>
      </c>
      <c r="J2576" s="35"/>
      <c r="K2576" s="35">
        <v>0.0</v>
      </c>
    </row>
    <row r="2577" ht="15.75" customHeight="1">
      <c r="A2577" s="35" t="s">
        <v>7341</v>
      </c>
      <c r="B2577" s="35"/>
      <c r="C2577" s="35">
        <v>2.0</v>
      </c>
      <c r="D2577" s="35">
        <v>158.0</v>
      </c>
      <c r="E2577" s="35">
        <v>46027.0</v>
      </c>
      <c r="F2577" s="35">
        <v>0.0</v>
      </c>
      <c r="G2577" s="35">
        <v>1.0</v>
      </c>
      <c r="H2577" s="35">
        <v>0.0</v>
      </c>
      <c r="I2577" s="35">
        <v>0.0</v>
      </c>
      <c r="J2577" s="35"/>
      <c r="K2577" s="35">
        <v>0.0</v>
      </c>
    </row>
    <row r="2578" ht="15.75" customHeight="1">
      <c r="A2578" s="35" t="s">
        <v>7343</v>
      </c>
      <c r="B2578" s="35"/>
      <c r="C2578" s="35">
        <v>2.0</v>
      </c>
      <c r="D2578" s="35" t="s">
        <v>4635</v>
      </c>
      <c r="E2578" s="35">
        <v>46027.0</v>
      </c>
      <c r="F2578" s="35">
        <v>0.0</v>
      </c>
      <c r="G2578" s="35">
        <v>1.0</v>
      </c>
      <c r="H2578" s="35">
        <v>0.0</v>
      </c>
      <c r="I2578" s="35">
        <v>0.0</v>
      </c>
      <c r="J2578" s="35"/>
      <c r="K2578" s="35">
        <v>0.0</v>
      </c>
    </row>
    <row r="2579" ht="15.75" customHeight="1">
      <c r="A2579" s="35" t="s">
        <v>7344</v>
      </c>
      <c r="B2579" s="35"/>
      <c r="C2579" s="35">
        <v>2.0</v>
      </c>
      <c r="D2579" s="35" t="s">
        <v>4635</v>
      </c>
      <c r="E2579" s="35">
        <v>46027.0</v>
      </c>
      <c r="F2579" s="35">
        <v>0.0</v>
      </c>
      <c r="G2579" s="35">
        <v>4.0</v>
      </c>
      <c r="H2579" s="35">
        <v>0.0</v>
      </c>
      <c r="I2579" s="35">
        <v>0.0</v>
      </c>
      <c r="J2579" s="35"/>
      <c r="K2579" s="35">
        <v>0.0</v>
      </c>
    </row>
    <row r="2580" ht="15.75" customHeight="1">
      <c r="A2580" s="35" t="s">
        <v>7345</v>
      </c>
      <c r="B2580" s="35"/>
      <c r="C2580" s="35">
        <v>2.0</v>
      </c>
      <c r="D2580" s="35" t="s">
        <v>4635</v>
      </c>
      <c r="E2580" s="35">
        <v>46027.0</v>
      </c>
      <c r="F2580" s="35">
        <v>0.0</v>
      </c>
      <c r="G2580" s="35">
        <v>1.0</v>
      </c>
      <c r="H2580" s="35">
        <v>0.0</v>
      </c>
      <c r="I2580" s="35">
        <v>0.0</v>
      </c>
      <c r="J2580" s="35"/>
      <c r="K2580" s="35">
        <v>0.0</v>
      </c>
    </row>
    <row r="2581" ht="15.75" customHeight="1">
      <c r="A2581" s="35" t="s">
        <v>7347</v>
      </c>
      <c r="B2581" s="35"/>
      <c r="C2581" s="35">
        <v>2.0</v>
      </c>
      <c r="D2581" s="35" t="s">
        <v>2016</v>
      </c>
      <c r="E2581" s="35">
        <v>46027.0</v>
      </c>
      <c r="F2581" s="35">
        <v>0.0</v>
      </c>
      <c r="G2581" s="35">
        <v>2.0</v>
      </c>
      <c r="H2581" s="35">
        <v>0.0</v>
      </c>
      <c r="I2581" s="35">
        <v>0.0</v>
      </c>
      <c r="J2581" s="35"/>
      <c r="K2581" s="35">
        <v>0.0</v>
      </c>
    </row>
    <row r="2582" ht="15.75" customHeight="1">
      <c r="A2582" s="35" t="s">
        <v>7348</v>
      </c>
      <c r="B2582" s="35"/>
      <c r="C2582" s="35">
        <v>2.0</v>
      </c>
      <c r="D2582" s="35">
        <v>674.0</v>
      </c>
      <c r="E2582" s="35">
        <v>46027.0</v>
      </c>
      <c r="F2582" s="35">
        <v>0.0</v>
      </c>
      <c r="G2582" s="35">
        <v>1.0</v>
      </c>
      <c r="H2582" s="35">
        <v>0.0</v>
      </c>
      <c r="I2582" s="35">
        <v>0.0</v>
      </c>
      <c r="J2582" s="35"/>
      <c r="K2582" s="35">
        <v>0.0</v>
      </c>
    </row>
    <row r="2583" ht="15.75" customHeight="1">
      <c r="A2583" s="35" t="s">
        <v>7350</v>
      </c>
      <c r="B2583" s="35"/>
      <c r="C2583" s="35">
        <v>2.0</v>
      </c>
      <c r="D2583" s="35" t="s">
        <v>7351</v>
      </c>
      <c r="E2583" s="35">
        <v>46027.0</v>
      </c>
      <c r="F2583" s="35">
        <v>0.0</v>
      </c>
      <c r="G2583" s="35">
        <v>7.0</v>
      </c>
      <c r="H2583" s="35">
        <v>0.0</v>
      </c>
      <c r="I2583" s="35">
        <v>0.0</v>
      </c>
      <c r="J2583" s="35"/>
      <c r="K2583" s="35">
        <v>0.0</v>
      </c>
    </row>
    <row r="2584" ht="15.75" customHeight="1">
      <c r="A2584" s="35" t="s">
        <v>7352</v>
      </c>
      <c r="B2584" s="35"/>
      <c r="C2584" s="35">
        <v>2.0</v>
      </c>
      <c r="D2584" s="35" t="s">
        <v>4635</v>
      </c>
      <c r="E2584" s="35">
        <v>46027.0</v>
      </c>
      <c r="F2584" s="35">
        <v>0.0</v>
      </c>
      <c r="G2584" s="35">
        <v>4.0</v>
      </c>
      <c r="H2584" s="35">
        <v>0.0</v>
      </c>
      <c r="I2584" s="35">
        <v>0.0</v>
      </c>
      <c r="J2584" s="35"/>
      <c r="K2584" s="35">
        <v>0.0</v>
      </c>
    </row>
    <row r="2585" ht="15.75" customHeight="1">
      <c r="A2585" s="35" t="s">
        <v>7354</v>
      </c>
      <c r="B2585" s="35"/>
      <c r="C2585" s="35">
        <v>2.0</v>
      </c>
      <c r="D2585" s="35">
        <v>206.0</v>
      </c>
      <c r="E2585" s="35">
        <v>46027.0</v>
      </c>
      <c r="F2585" s="35">
        <v>0.0</v>
      </c>
      <c r="G2585" s="35">
        <v>0.0</v>
      </c>
      <c r="H2585" s="35">
        <v>1.0</v>
      </c>
      <c r="I2585" s="35">
        <v>0.0</v>
      </c>
      <c r="J2585" s="35"/>
      <c r="K2585" s="35">
        <v>0.0</v>
      </c>
    </row>
    <row r="2586" ht="15.75" customHeight="1">
      <c r="A2586" s="35" t="s">
        <v>7355</v>
      </c>
      <c r="B2586" s="35"/>
      <c r="C2586" s="35">
        <v>2.0</v>
      </c>
      <c r="D2586" s="35" t="s">
        <v>4635</v>
      </c>
      <c r="E2586" s="35">
        <v>46027.0</v>
      </c>
      <c r="F2586" s="35">
        <v>0.0</v>
      </c>
      <c r="G2586" s="35">
        <v>4.0</v>
      </c>
      <c r="H2586" s="35">
        <v>0.0</v>
      </c>
      <c r="I2586" s="35">
        <v>0.0</v>
      </c>
      <c r="J2586" s="35"/>
      <c r="K2586" s="35">
        <v>0.0</v>
      </c>
    </row>
    <row r="2587" ht="15.75" customHeight="1">
      <c r="A2587" s="35" t="s">
        <v>7357</v>
      </c>
      <c r="B2587" s="35"/>
      <c r="C2587" s="35">
        <v>2.0</v>
      </c>
      <c r="D2587" s="35" t="s">
        <v>4635</v>
      </c>
      <c r="E2587" s="35">
        <v>46027.0</v>
      </c>
      <c r="F2587" s="35">
        <v>0.0</v>
      </c>
      <c r="G2587" s="35">
        <v>0.0</v>
      </c>
      <c r="H2587" s="35">
        <v>1.0</v>
      </c>
      <c r="I2587" s="35">
        <v>0.0</v>
      </c>
      <c r="J2587" s="35"/>
      <c r="K2587" s="35">
        <v>0.0</v>
      </c>
    </row>
    <row r="2588" ht="15.75" customHeight="1">
      <c r="A2588" s="35" t="s">
        <v>7358</v>
      </c>
      <c r="B2588" s="35"/>
      <c r="C2588" s="35">
        <v>2.0</v>
      </c>
      <c r="D2588" s="35" t="s">
        <v>4635</v>
      </c>
      <c r="E2588" s="35">
        <v>46027.0</v>
      </c>
      <c r="F2588" s="35">
        <v>0.0</v>
      </c>
      <c r="G2588" s="35">
        <v>4.0</v>
      </c>
      <c r="H2588" s="35">
        <v>0.0</v>
      </c>
      <c r="I2588" s="35">
        <v>0.0</v>
      </c>
      <c r="J2588" s="35"/>
      <c r="K2588" s="35">
        <v>0.0</v>
      </c>
    </row>
    <row r="2589" ht="15.75" customHeight="1">
      <c r="A2589" s="35" t="s">
        <v>7360</v>
      </c>
      <c r="B2589" s="35"/>
      <c r="C2589" s="35">
        <v>2.0</v>
      </c>
      <c r="D2589" s="35">
        <v>515.0</v>
      </c>
      <c r="E2589" s="35">
        <v>46027.0</v>
      </c>
      <c r="F2589" s="35">
        <v>0.0</v>
      </c>
      <c r="G2589" s="35">
        <v>3.0</v>
      </c>
      <c r="H2589" s="35">
        <v>0.0</v>
      </c>
      <c r="I2589" s="35">
        <v>0.0</v>
      </c>
      <c r="J2589" s="35"/>
      <c r="K2589" s="35">
        <v>0.0</v>
      </c>
    </row>
    <row r="2590" ht="15.75" customHeight="1">
      <c r="A2590" s="35" t="s">
        <v>7361</v>
      </c>
      <c r="B2590" s="35"/>
      <c r="C2590" s="35">
        <v>2.0</v>
      </c>
      <c r="D2590" s="35">
        <v>315.0</v>
      </c>
      <c r="E2590" s="35">
        <v>46027.0</v>
      </c>
      <c r="F2590" s="35">
        <v>0.0</v>
      </c>
      <c r="G2590" s="35">
        <v>3.0</v>
      </c>
      <c r="H2590" s="35">
        <v>0.0</v>
      </c>
      <c r="I2590" s="35">
        <v>0.0</v>
      </c>
      <c r="J2590" s="35"/>
      <c r="K2590" s="35">
        <v>0.0</v>
      </c>
    </row>
    <row r="2591" ht="15.75" customHeight="1">
      <c r="A2591" s="35" t="s">
        <v>7363</v>
      </c>
      <c r="B2591" s="35"/>
      <c r="C2591" s="35">
        <v>2.0</v>
      </c>
      <c r="D2591" s="35" t="s">
        <v>4635</v>
      </c>
      <c r="E2591" s="35">
        <v>46027.0</v>
      </c>
      <c r="F2591" s="35">
        <v>0.0</v>
      </c>
      <c r="G2591" s="35">
        <v>5.0</v>
      </c>
      <c r="H2591" s="35">
        <v>0.0</v>
      </c>
      <c r="I2591" s="35">
        <v>0.0</v>
      </c>
      <c r="J2591" s="35"/>
      <c r="K2591" s="35">
        <v>0.0</v>
      </c>
    </row>
    <row r="2592" ht="15.75" customHeight="1">
      <c r="A2592" s="35" t="s">
        <v>7364</v>
      </c>
      <c r="B2592" s="35"/>
      <c r="C2592" s="35">
        <v>2.0</v>
      </c>
      <c r="D2592" s="35" t="s">
        <v>4635</v>
      </c>
      <c r="E2592" s="35">
        <v>46027.0</v>
      </c>
      <c r="F2592" s="35">
        <v>0.0</v>
      </c>
      <c r="G2592" s="35">
        <v>0.0</v>
      </c>
      <c r="H2592" s="35">
        <v>2.0</v>
      </c>
      <c r="I2592" s="35">
        <v>0.0</v>
      </c>
      <c r="J2592" s="35"/>
      <c r="K2592" s="35">
        <v>0.0</v>
      </c>
    </row>
    <row r="2593" ht="15.75" customHeight="1">
      <c r="A2593" s="35" t="s">
        <v>7365</v>
      </c>
      <c r="B2593" s="35"/>
      <c r="C2593" s="35">
        <v>2.0</v>
      </c>
      <c r="D2593" s="35">
        <v>494.0</v>
      </c>
      <c r="E2593" s="35">
        <v>46027.0</v>
      </c>
      <c r="F2593" s="35">
        <v>0.0</v>
      </c>
      <c r="G2593" s="35">
        <v>0.0</v>
      </c>
      <c r="H2593" s="35">
        <v>1.0</v>
      </c>
      <c r="I2593" s="35">
        <v>0.0</v>
      </c>
      <c r="J2593" s="35"/>
      <c r="K2593" s="35">
        <v>0.0</v>
      </c>
    </row>
    <row r="2594" ht="15.75" customHeight="1">
      <c r="A2594" s="35" t="s">
        <v>7367</v>
      </c>
      <c r="B2594" s="35"/>
      <c r="C2594" s="35">
        <v>2.0</v>
      </c>
      <c r="D2594" s="35">
        <v>32.0</v>
      </c>
      <c r="E2594" s="35">
        <v>46027.0</v>
      </c>
      <c r="F2594" s="35">
        <v>0.0</v>
      </c>
      <c r="G2594" s="35">
        <v>9.0</v>
      </c>
      <c r="H2594" s="35">
        <v>0.0</v>
      </c>
      <c r="I2594" s="35">
        <v>0.0</v>
      </c>
      <c r="J2594" s="35"/>
      <c r="K2594" s="35">
        <v>0.0</v>
      </c>
    </row>
    <row r="2595" ht="15.75" customHeight="1">
      <c r="A2595" s="35" t="s">
        <v>7368</v>
      </c>
      <c r="B2595" s="35"/>
      <c r="C2595" s="35">
        <v>2.0</v>
      </c>
      <c r="D2595" s="35">
        <v>464.0</v>
      </c>
      <c r="E2595" s="35">
        <v>46027.0</v>
      </c>
      <c r="F2595" s="35">
        <v>0.0</v>
      </c>
      <c r="G2595" s="35">
        <v>6.0</v>
      </c>
      <c r="H2595" s="35">
        <v>0.0</v>
      </c>
      <c r="I2595" s="35">
        <v>0.0</v>
      </c>
      <c r="J2595" s="35"/>
      <c r="K2595" s="35">
        <v>0.0</v>
      </c>
    </row>
    <row r="2596" ht="15.75" customHeight="1">
      <c r="A2596" s="35" t="s">
        <v>7370</v>
      </c>
      <c r="B2596" s="35"/>
      <c r="C2596" s="35">
        <v>2.0</v>
      </c>
      <c r="D2596" s="35" t="s">
        <v>4635</v>
      </c>
      <c r="E2596" s="35">
        <v>46027.0</v>
      </c>
      <c r="F2596" s="35">
        <v>0.0</v>
      </c>
      <c r="G2596" s="35">
        <v>1.0</v>
      </c>
      <c r="H2596" s="35">
        <v>0.0</v>
      </c>
      <c r="I2596" s="35">
        <v>0.0</v>
      </c>
      <c r="J2596" s="35"/>
      <c r="K2596" s="35">
        <v>0.0</v>
      </c>
    </row>
    <row r="2597" ht="15.75" customHeight="1">
      <c r="A2597" s="35" t="s">
        <v>7371</v>
      </c>
      <c r="B2597" s="35"/>
      <c r="C2597" s="35">
        <v>2.0</v>
      </c>
      <c r="D2597" s="35" t="s">
        <v>4538</v>
      </c>
      <c r="E2597" s="35">
        <v>46027.0</v>
      </c>
      <c r="F2597" s="35">
        <v>0.0</v>
      </c>
      <c r="G2597" s="35">
        <v>2.0</v>
      </c>
      <c r="H2597" s="35">
        <v>0.0</v>
      </c>
      <c r="I2597" s="35">
        <v>0.0</v>
      </c>
      <c r="J2597" s="35"/>
      <c r="K2597" s="35">
        <v>0.0</v>
      </c>
    </row>
    <row r="2598" ht="15.75" customHeight="1">
      <c r="A2598" s="35" t="s">
        <v>7373</v>
      </c>
      <c r="B2598" s="35"/>
      <c r="C2598" s="35">
        <v>2.0</v>
      </c>
      <c r="D2598" s="35">
        <v>266.0</v>
      </c>
      <c r="E2598" s="35">
        <v>46027.0</v>
      </c>
      <c r="F2598" s="35">
        <v>0.0</v>
      </c>
      <c r="G2598" s="35">
        <v>1.0</v>
      </c>
      <c r="H2598" s="35">
        <v>0.0</v>
      </c>
      <c r="I2598" s="35">
        <v>0.0</v>
      </c>
      <c r="J2598" s="35"/>
      <c r="K2598" s="35">
        <v>0.0</v>
      </c>
    </row>
    <row r="2599" ht="15.75" customHeight="1">
      <c r="A2599" s="35" t="s">
        <v>7374</v>
      </c>
      <c r="B2599" s="35"/>
      <c r="C2599" s="35">
        <v>2.0</v>
      </c>
      <c r="D2599" s="35" t="s">
        <v>4635</v>
      </c>
      <c r="E2599" s="35">
        <v>46027.0</v>
      </c>
      <c r="F2599" s="35">
        <v>0.0</v>
      </c>
      <c r="G2599" s="35">
        <v>4.0</v>
      </c>
      <c r="H2599" s="35">
        <v>0.0</v>
      </c>
      <c r="I2599" s="35">
        <v>0.0</v>
      </c>
      <c r="J2599" s="35"/>
      <c r="K2599" s="35">
        <v>0.0</v>
      </c>
    </row>
    <row r="2600" ht="15.75" customHeight="1">
      <c r="A2600" s="35" t="s">
        <v>7376</v>
      </c>
      <c r="B2600" s="35"/>
      <c r="C2600" s="35">
        <v>2.0</v>
      </c>
      <c r="D2600" s="35" t="s">
        <v>4635</v>
      </c>
      <c r="E2600" s="35">
        <v>46027.0</v>
      </c>
      <c r="F2600" s="35">
        <v>0.0</v>
      </c>
      <c r="G2600" s="35">
        <v>2.0</v>
      </c>
      <c r="H2600" s="35">
        <v>0.0</v>
      </c>
      <c r="I2600" s="35">
        <v>0.0</v>
      </c>
      <c r="J2600" s="35"/>
      <c r="K2600" s="35">
        <v>0.0</v>
      </c>
    </row>
    <row r="2601" ht="15.75" customHeight="1">
      <c r="A2601" s="35" t="s">
        <v>7377</v>
      </c>
      <c r="B2601" s="35"/>
      <c r="C2601" s="35">
        <v>2.0</v>
      </c>
      <c r="D2601" s="35" t="s">
        <v>4635</v>
      </c>
      <c r="E2601" s="35">
        <v>46027.0</v>
      </c>
      <c r="F2601" s="35">
        <v>0.0</v>
      </c>
      <c r="G2601" s="35">
        <v>9.0</v>
      </c>
      <c r="H2601" s="35">
        <v>0.0</v>
      </c>
      <c r="I2601" s="35">
        <v>0.0</v>
      </c>
      <c r="J2601" s="35"/>
      <c r="K2601" s="35">
        <v>0.0</v>
      </c>
    </row>
    <row r="2602" ht="15.75" customHeight="1">
      <c r="A2602" s="35" t="s">
        <v>7378</v>
      </c>
      <c r="B2602" s="35"/>
      <c r="C2602" s="35">
        <v>2.0</v>
      </c>
      <c r="D2602" s="35" t="s">
        <v>2032</v>
      </c>
      <c r="E2602" s="35">
        <v>46027.0</v>
      </c>
      <c r="F2602" s="35">
        <v>0.0</v>
      </c>
      <c r="G2602" s="35">
        <v>1.0</v>
      </c>
      <c r="H2602" s="35">
        <v>0.0</v>
      </c>
      <c r="I2602" s="35">
        <v>0.0</v>
      </c>
      <c r="J2602" s="35"/>
      <c r="K2602" s="35">
        <v>0.0</v>
      </c>
    </row>
    <row r="2603" ht="15.75" customHeight="1">
      <c r="A2603" s="35" t="s">
        <v>7380</v>
      </c>
      <c r="B2603" s="35"/>
      <c r="C2603" s="35">
        <v>2.0</v>
      </c>
      <c r="D2603" s="35">
        <v>805.0</v>
      </c>
      <c r="E2603" s="35">
        <v>46027.0</v>
      </c>
      <c r="F2603" s="35">
        <v>0.0</v>
      </c>
      <c r="G2603" s="35">
        <v>2.0</v>
      </c>
      <c r="H2603" s="35">
        <v>0.0</v>
      </c>
      <c r="I2603" s="35">
        <v>0.0</v>
      </c>
      <c r="J2603" s="35"/>
      <c r="K2603" s="35">
        <v>0.0</v>
      </c>
    </row>
    <row r="2604" ht="15.75" customHeight="1">
      <c r="A2604" s="35" t="s">
        <v>7381</v>
      </c>
      <c r="B2604" s="35"/>
      <c r="C2604" s="35">
        <v>2.0</v>
      </c>
      <c r="D2604" s="35" t="s">
        <v>4635</v>
      </c>
      <c r="E2604" s="35">
        <v>46027.0</v>
      </c>
      <c r="F2604" s="35">
        <v>0.0</v>
      </c>
      <c r="G2604" s="35">
        <v>1.0</v>
      </c>
      <c r="H2604" s="35">
        <v>0.0</v>
      </c>
      <c r="I2604" s="35">
        <v>0.0</v>
      </c>
      <c r="J2604" s="35"/>
      <c r="K2604" s="35">
        <v>0.0</v>
      </c>
    </row>
    <row r="2605" ht="15.75" customHeight="1">
      <c r="A2605" s="35" t="s">
        <v>7383</v>
      </c>
      <c r="B2605" s="35"/>
      <c r="C2605" s="35">
        <v>2.0</v>
      </c>
      <c r="D2605" s="35" t="s">
        <v>4635</v>
      </c>
      <c r="E2605" s="35">
        <v>46027.0</v>
      </c>
      <c r="F2605" s="35">
        <v>0.0</v>
      </c>
      <c r="G2605" s="35">
        <v>2.0</v>
      </c>
      <c r="H2605" s="35">
        <v>0.0</v>
      </c>
      <c r="I2605" s="35">
        <v>0.0</v>
      </c>
      <c r="J2605" s="35"/>
      <c r="K2605" s="35">
        <v>0.0</v>
      </c>
    </row>
    <row r="2606" ht="15.75" customHeight="1">
      <c r="A2606" s="35" t="s">
        <v>7384</v>
      </c>
      <c r="B2606" s="35"/>
      <c r="C2606" s="35">
        <v>2.0</v>
      </c>
      <c r="D2606" s="35" t="s">
        <v>4635</v>
      </c>
      <c r="E2606" s="35">
        <v>46027.0</v>
      </c>
      <c r="F2606" s="35">
        <v>0.0</v>
      </c>
      <c r="G2606" s="35">
        <v>4.0</v>
      </c>
      <c r="H2606" s="35">
        <v>0.0</v>
      </c>
      <c r="I2606" s="35">
        <v>0.0</v>
      </c>
      <c r="J2606" s="35"/>
      <c r="K2606" s="35">
        <v>0.0</v>
      </c>
    </row>
    <row r="2607" ht="15.75" customHeight="1">
      <c r="A2607" s="35" t="s">
        <v>7385</v>
      </c>
      <c r="B2607" s="35"/>
      <c r="C2607" s="35">
        <v>2.0</v>
      </c>
      <c r="D2607" s="35" t="s">
        <v>4703</v>
      </c>
      <c r="E2607" s="35">
        <v>46027.0</v>
      </c>
      <c r="F2607" s="35">
        <v>0.0</v>
      </c>
      <c r="G2607" s="35">
        <v>4.0</v>
      </c>
      <c r="H2607" s="35">
        <v>0.0</v>
      </c>
      <c r="I2607" s="35">
        <v>0.0</v>
      </c>
      <c r="J2607" s="35"/>
      <c r="K2607" s="35">
        <v>0.0</v>
      </c>
    </row>
    <row r="2608" ht="15.75" customHeight="1">
      <c r="A2608" s="35" t="s">
        <v>7387</v>
      </c>
      <c r="B2608" s="35"/>
      <c r="C2608" s="35">
        <v>2.0</v>
      </c>
      <c r="D2608" s="35" t="s">
        <v>4635</v>
      </c>
      <c r="E2608" s="35">
        <v>46027.0</v>
      </c>
      <c r="F2608" s="35">
        <v>0.0</v>
      </c>
      <c r="G2608" s="35">
        <v>4.0</v>
      </c>
      <c r="H2608" s="35">
        <v>0.0</v>
      </c>
      <c r="I2608" s="35">
        <v>0.0</v>
      </c>
      <c r="J2608" s="35"/>
      <c r="K2608" s="35">
        <v>0.0</v>
      </c>
    </row>
    <row r="2609" ht="15.75" customHeight="1">
      <c r="A2609" s="35" t="s">
        <v>7388</v>
      </c>
      <c r="B2609" s="35"/>
      <c r="C2609" s="35">
        <v>2.0</v>
      </c>
      <c r="D2609" s="35">
        <v>23.0</v>
      </c>
      <c r="E2609" s="35">
        <v>46027.0</v>
      </c>
      <c r="F2609" s="35">
        <v>0.0</v>
      </c>
      <c r="G2609" s="35">
        <v>15.0</v>
      </c>
      <c r="H2609" s="35">
        <v>0.0</v>
      </c>
      <c r="I2609" s="35">
        <v>0.0</v>
      </c>
      <c r="J2609" s="35"/>
      <c r="K2609" s="35">
        <v>0.0</v>
      </c>
    </row>
    <row r="2610" ht="15.75" customHeight="1">
      <c r="A2610" s="35" t="s">
        <v>7390</v>
      </c>
      <c r="B2610" s="35"/>
      <c r="C2610" s="35">
        <v>2.0</v>
      </c>
      <c r="D2610" s="35" t="s">
        <v>4635</v>
      </c>
      <c r="E2610" s="35">
        <v>46027.0</v>
      </c>
      <c r="F2610" s="35">
        <v>0.0</v>
      </c>
      <c r="G2610" s="35">
        <v>1.0</v>
      </c>
      <c r="H2610" s="35">
        <v>0.0</v>
      </c>
      <c r="I2610" s="35">
        <v>0.0</v>
      </c>
      <c r="J2610" s="35"/>
      <c r="K2610" s="35">
        <v>0.0</v>
      </c>
    </row>
    <row r="2611" ht="15.75" customHeight="1">
      <c r="A2611" s="35" t="s">
        <v>7391</v>
      </c>
      <c r="B2611" s="35"/>
      <c r="C2611" s="35">
        <v>2.0</v>
      </c>
      <c r="D2611" s="35" t="s">
        <v>4635</v>
      </c>
      <c r="E2611" s="35">
        <v>46027.0</v>
      </c>
      <c r="F2611" s="35">
        <v>0.0</v>
      </c>
      <c r="G2611" s="35">
        <v>1.0</v>
      </c>
      <c r="H2611" s="35">
        <v>0.0</v>
      </c>
      <c r="I2611" s="35">
        <v>0.0</v>
      </c>
      <c r="J2611" s="35"/>
      <c r="K2611" s="35">
        <v>0.0</v>
      </c>
    </row>
    <row r="2612" ht="15.75" customHeight="1">
      <c r="A2612" s="35" t="s">
        <v>7393</v>
      </c>
      <c r="B2612" s="35"/>
      <c r="C2612" s="35">
        <v>2.0</v>
      </c>
      <c r="D2612" s="35" t="s">
        <v>4635</v>
      </c>
      <c r="E2612" s="35">
        <v>46027.0</v>
      </c>
      <c r="F2612" s="35">
        <v>0.0</v>
      </c>
      <c r="G2612" s="35">
        <v>12.0</v>
      </c>
      <c r="H2612" s="35">
        <v>0.0</v>
      </c>
      <c r="I2612" s="35">
        <v>0.0</v>
      </c>
      <c r="J2612" s="35"/>
      <c r="K2612" s="35">
        <v>0.0</v>
      </c>
    </row>
    <row r="2613" ht="15.75" customHeight="1">
      <c r="A2613" s="35" t="s">
        <v>7394</v>
      </c>
      <c r="B2613" s="35"/>
      <c r="C2613" s="35">
        <v>2.0</v>
      </c>
      <c r="D2613" s="35" t="s">
        <v>4635</v>
      </c>
      <c r="E2613" s="35">
        <v>46027.0</v>
      </c>
      <c r="F2613" s="35">
        <v>0.0</v>
      </c>
      <c r="G2613" s="35">
        <v>3.0</v>
      </c>
      <c r="H2613" s="35">
        <v>0.0</v>
      </c>
      <c r="I2613" s="35">
        <v>0.0</v>
      </c>
      <c r="J2613" s="35"/>
      <c r="K2613" s="35">
        <v>0.0</v>
      </c>
    </row>
    <row r="2614" ht="15.75" customHeight="1">
      <c r="A2614" s="35" t="s">
        <v>7396</v>
      </c>
      <c r="B2614" s="35"/>
      <c r="C2614" s="35">
        <v>2.0</v>
      </c>
      <c r="D2614" s="35" t="s">
        <v>2038</v>
      </c>
      <c r="E2614" s="35">
        <v>46027.0</v>
      </c>
      <c r="F2614" s="35">
        <v>0.0</v>
      </c>
      <c r="G2614" s="35">
        <v>2.0</v>
      </c>
      <c r="H2614" s="35">
        <v>0.0</v>
      </c>
      <c r="I2614" s="35">
        <v>0.0</v>
      </c>
      <c r="J2614" s="35"/>
      <c r="K2614" s="35">
        <v>0.0</v>
      </c>
    </row>
    <row r="2615" ht="15.75" customHeight="1">
      <c r="A2615" s="35" t="s">
        <v>7397</v>
      </c>
      <c r="B2615" s="35"/>
      <c r="C2615" s="35">
        <v>2.0</v>
      </c>
      <c r="D2615" s="35" t="s">
        <v>4635</v>
      </c>
      <c r="E2615" s="35">
        <v>46027.0</v>
      </c>
      <c r="F2615" s="35">
        <v>0.0</v>
      </c>
      <c r="G2615" s="35">
        <v>1.0</v>
      </c>
      <c r="H2615" s="35">
        <v>0.0</v>
      </c>
      <c r="I2615" s="35">
        <v>0.0</v>
      </c>
      <c r="J2615" s="35"/>
      <c r="K2615" s="35">
        <v>0.0</v>
      </c>
    </row>
    <row r="2616" ht="15.75" customHeight="1">
      <c r="A2616" s="35" t="s">
        <v>7398</v>
      </c>
      <c r="B2616" s="35"/>
      <c r="C2616" s="35">
        <v>2.0</v>
      </c>
      <c r="D2616" s="35" t="s">
        <v>4635</v>
      </c>
      <c r="E2616" s="35">
        <v>46027.0</v>
      </c>
      <c r="F2616" s="35">
        <v>0.0</v>
      </c>
      <c r="G2616" s="35">
        <v>3.0</v>
      </c>
      <c r="H2616" s="35">
        <v>0.0</v>
      </c>
      <c r="I2616" s="35">
        <v>0.0</v>
      </c>
      <c r="J2616" s="35"/>
      <c r="K2616" s="35">
        <v>0.0</v>
      </c>
    </row>
    <row r="2617" ht="15.75" customHeight="1">
      <c r="A2617" s="35" t="s">
        <v>7400</v>
      </c>
      <c r="B2617" s="35"/>
      <c r="C2617" s="35">
        <v>2.0</v>
      </c>
      <c r="D2617" s="35">
        <v>405.0</v>
      </c>
      <c r="E2617" s="35">
        <v>46027.0</v>
      </c>
      <c r="F2617" s="35">
        <v>0.0</v>
      </c>
      <c r="G2617" s="35">
        <v>2.0</v>
      </c>
      <c r="H2617" s="35">
        <v>0.0</v>
      </c>
      <c r="I2617" s="35">
        <v>0.0</v>
      </c>
      <c r="J2617" s="35"/>
      <c r="K2617" s="35">
        <v>0.0</v>
      </c>
    </row>
    <row r="2618" ht="15.75" customHeight="1">
      <c r="A2618" s="35" t="s">
        <v>7401</v>
      </c>
      <c r="B2618" s="35"/>
      <c r="C2618" s="35">
        <v>2.0</v>
      </c>
      <c r="D2618" s="35" t="s">
        <v>4635</v>
      </c>
      <c r="E2618" s="35">
        <v>46027.0</v>
      </c>
      <c r="F2618" s="35">
        <v>0.0</v>
      </c>
      <c r="G2618" s="35">
        <v>2.0</v>
      </c>
      <c r="H2618" s="35">
        <v>0.0</v>
      </c>
      <c r="I2618" s="35">
        <v>0.0</v>
      </c>
      <c r="J2618" s="35"/>
      <c r="K2618" s="35">
        <v>0.0</v>
      </c>
    </row>
    <row r="2619" ht="15.75" customHeight="1">
      <c r="A2619" s="35" t="s">
        <v>7403</v>
      </c>
      <c r="B2619" s="35"/>
      <c r="C2619" s="35">
        <v>2.0</v>
      </c>
      <c r="D2619" s="35" t="s">
        <v>4635</v>
      </c>
      <c r="E2619" s="35">
        <v>46027.0</v>
      </c>
      <c r="F2619" s="35">
        <v>0.0</v>
      </c>
      <c r="G2619" s="35">
        <v>1.0</v>
      </c>
      <c r="H2619" s="35">
        <v>0.0</v>
      </c>
      <c r="I2619" s="35">
        <v>0.0</v>
      </c>
      <c r="J2619" s="35"/>
      <c r="K2619" s="35">
        <v>0.0</v>
      </c>
    </row>
    <row r="2620" ht="15.75" customHeight="1">
      <c r="A2620" s="35" t="s">
        <v>7404</v>
      </c>
      <c r="B2620" s="35"/>
      <c r="C2620" s="35">
        <v>2.0</v>
      </c>
      <c r="D2620" s="35" t="s">
        <v>4635</v>
      </c>
      <c r="E2620" s="35">
        <v>46027.0</v>
      </c>
      <c r="F2620" s="35">
        <v>0.0</v>
      </c>
      <c r="G2620" s="35">
        <v>2.0</v>
      </c>
      <c r="H2620" s="35">
        <v>0.0</v>
      </c>
      <c r="I2620" s="35">
        <v>0.0</v>
      </c>
      <c r="J2620" s="35"/>
      <c r="K2620" s="35">
        <v>0.0</v>
      </c>
    </row>
    <row r="2621" ht="15.75" customHeight="1">
      <c r="A2621" s="35" t="s">
        <v>7406</v>
      </c>
      <c r="B2621" s="35"/>
      <c r="C2621" s="35">
        <v>2.0</v>
      </c>
      <c r="D2621" s="35" t="s">
        <v>4635</v>
      </c>
      <c r="E2621" s="35">
        <v>46027.0</v>
      </c>
      <c r="F2621" s="35">
        <v>0.0</v>
      </c>
      <c r="G2621" s="35">
        <v>4.0</v>
      </c>
      <c r="H2621" s="35">
        <v>0.0</v>
      </c>
      <c r="I2621" s="35">
        <v>0.0</v>
      </c>
      <c r="J2621" s="35"/>
      <c r="K2621" s="35">
        <v>0.0</v>
      </c>
    </row>
    <row r="2622" ht="15.75" customHeight="1">
      <c r="A2622" s="35" t="s">
        <v>7407</v>
      </c>
      <c r="B2622" s="35"/>
      <c r="C2622" s="35">
        <v>2.0</v>
      </c>
      <c r="D2622" s="35" t="s">
        <v>4635</v>
      </c>
      <c r="E2622" s="35">
        <v>46027.0</v>
      </c>
      <c r="F2622" s="35">
        <v>0.0</v>
      </c>
      <c r="G2622" s="35">
        <v>2.0</v>
      </c>
      <c r="H2622" s="35">
        <v>0.0</v>
      </c>
      <c r="I2622" s="35">
        <v>0.0</v>
      </c>
      <c r="J2622" s="35"/>
      <c r="K2622" s="35">
        <v>0.0</v>
      </c>
    </row>
    <row r="2623" ht="15.75" customHeight="1">
      <c r="A2623" s="35" t="s">
        <v>7409</v>
      </c>
      <c r="B2623" s="35"/>
      <c r="C2623" s="35">
        <v>2.0</v>
      </c>
      <c r="D2623" s="35">
        <v>409.0</v>
      </c>
      <c r="E2623" s="35">
        <v>46027.0</v>
      </c>
      <c r="F2623" s="35">
        <v>0.0</v>
      </c>
      <c r="G2623" s="35">
        <v>0.0</v>
      </c>
      <c r="H2623" s="35">
        <v>2.0</v>
      </c>
      <c r="I2623" s="35">
        <v>0.0</v>
      </c>
      <c r="J2623" s="35"/>
      <c r="K2623" s="35">
        <v>0.0</v>
      </c>
    </row>
    <row r="2624" ht="15.75" customHeight="1">
      <c r="A2624" s="35" t="s">
        <v>7410</v>
      </c>
      <c r="B2624" s="35"/>
      <c r="C2624" s="35">
        <v>2.0</v>
      </c>
      <c r="D2624" s="35">
        <v>62.0</v>
      </c>
      <c r="E2624" s="35">
        <v>46027.0</v>
      </c>
      <c r="F2624" s="35">
        <v>0.0</v>
      </c>
      <c r="G2624" s="35">
        <v>15.0</v>
      </c>
      <c r="H2624" s="35">
        <v>0.0</v>
      </c>
      <c r="I2624" s="35">
        <v>0.0</v>
      </c>
      <c r="J2624" s="35"/>
      <c r="K2624" s="35">
        <v>0.0</v>
      </c>
    </row>
    <row r="2625" ht="15.75" customHeight="1">
      <c r="A2625" s="35" t="s">
        <v>7412</v>
      </c>
      <c r="B2625" s="35"/>
      <c r="C2625" s="35">
        <v>2.0</v>
      </c>
      <c r="D2625" s="35" t="s">
        <v>4635</v>
      </c>
      <c r="E2625" s="35">
        <v>46027.0</v>
      </c>
      <c r="F2625" s="35">
        <v>0.0</v>
      </c>
      <c r="G2625" s="35">
        <v>2.0</v>
      </c>
      <c r="H2625" s="35">
        <v>0.0</v>
      </c>
      <c r="I2625" s="35">
        <v>0.0</v>
      </c>
      <c r="J2625" s="35"/>
      <c r="K2625" s="35">
        <v>0.0</v>
      </c>
    </row>
    <row r="2626" ht="15.75" customHeight="1">
      <c r="A2626" s="35" t="s">
        <v>7413</v>
      </c>
      <c r="B2626" s="35"/>
      <c r="C2626" s="35">
        <v>2.0</v>
      </c>
      <c r="D2626" s="35" t="s">
        <v>4635</v>
      </c>
      <c r="E2626" s="35">
        <v>46027.0</v>
      </c>
      <c r="F2626" s="35">
        <v>0.0</v>
      </c>
      <c r="G2626" s="35">
        <v>1.0</v>
      </c>
      <c r="H2626" s="35">
        <v>0.0</v>
      </c>
      <c r="I2626" s="35">
        <v>0.0</v>
      </c>
      <c r="J2626" s="35"/>
      <c r="K2626" s="35">
        <v>0.0</v>
      </c>
    </row>
    <row r="2627" ht="15.75" customHeight="1">
      <c r="A2627" s="35" t="s">
        <v>7414</v>
      </c>
      <c r="B2627" s="35"/>
      <c r="C2627" s="35">
        <v>2.0</v>
      </c>
      <c r="D2627" s="35" t="s">
        <v>4635</v>
      </c>
      <c r="E2627" s="35">
        <v>46027.0</v>
      </c>
      <c r="F2627" s="35">
        <v>0.0</v>
      </c>
      <c r="G2627" s="35">
        <v>6.0</v>
      </c>
      <c r="H2627" s="35">
        <v>0.0</v>
      </c>
      <c r="I2627" s="35">
        <v>0.0</v>
      </c>
      <c r="J2627" s="35"/>
      <c r="K2627" s="35">
        <v>0.0</v>
      </c>
    </row>
    <row r="2628" ht="15.75" customHeight="1">
      <c r="A2628" s="35" t="s">
        <v>7416</v>
      </c>
      <c r="B2628" s="35"/>
      <c r="C2628" s="35">
        <v>2.0</v>
      </c>
      <c r="D2628" s="35">
        <v>27.0</v>
      </c>
      <c r="E2628" s="35">
        <v>46027.0</v>
      </c>
      <c r="F2628" s="35">
        <v>0.0</v>
      </c>
      <c r="G2628" s="35">
        <v>1.0</v>
      </c>
      <c r="H2628" s="35">
        <v>0.0</v>
      </c>
      <c r="I2628" s="35">
        <v>0.0</v>
      </c>
      <c r="J2628" s="35"/>
      <c r="K2628" s="35">
        <v>0.0</v>
      </c>
    </row>
    <row r="2629" ht="15.75" customHeight="1">
      <c r="A2629" s="35" t="s">
        <v>7417</v>
      </c>
      <c r="B2629" s="35"/>
      <c r="C2629" s="35">
        <v>2.0</v>
      </c>
      <c r="D2629" s="35" t="s">
        <v>4635</v>
      </c>
      <c r="E2629" s="35">
        <v>46027.0</v>
      </c>
      <c r="F2629" s="35">
        <v>0.0</v>
      </c>
      <c r="G2629" s="35">
        <v>2.0</v>
      </c>
      <c r="H2629" s="35">
        <v>0.0</v>
      </c>
      <c r="I2629" s="35">
        <v>0.0</v>
      </c>
      <c r="J2629" s="35"/>
      <c r="K2629" s="35">
        <v>0.0</v>
      </c>
    </row>
    <row r="2630" ht="15.75" customHeight="1">
      <c r="A2630" s="35" t="s">
        <v>7419</v>
      </c>
      <c r="B2630" s="35"/>
      <c r="C2630" s="35">
        <v>2.0</v>
      </c>
      <c r="D2630" s="35" t="s">
        <v>2033</v>
      </c>
      <c r="E2630" s="35">
        <v>46027.0</v>
      </c>
      <c r="F2630" s="35">
        <v>0.0</v>
      </c>
      <c r="G2630" s="35">
        <v>1.0</v>
      </c>
      <c r="H2630" s="35">
        <v>0.0</v>
      </c>
      <c r="I2630" s="35">
        <v>0.0</v>
      </c>
      <c r="J2630" s="35"/>
      <c r="K2630" s="35">
        <v>0.0</v>
      </c>
    </row>
    <row r="2631" ht="15.75" customHeight="1">
      <c r="A2631" s="35" t="s">
        <v>7420</v>
      </c>
      <c r="B2631" s="35"/>
      <c r="C2631" s="35">
        <v>2.0</v>
      </c>
      <c r="D2631" s="35" t="s">
        <v>4635</v>
      </c>
      <c r="E2631" s="35">
        <v>46027.0</v>
      </c>
      <c r="F2631" s="35">
        <v>0.0</v>
      </c>
      <c r="G2631" s="35">
        <v>9.0</v>
      </c>
      <c r="H2631" s="35">
        <v>0.0</v>
      </c>
      <c r="I2631" s="35">
        <v>0.0</v>
      </c>
      <c r="J2631" s="35"/>
      <c r="K2631" s="35">
        <v>0.0</v>
      </c>
    </row>
    <row r="2632" ht="15.75" customHeight="1">
      <c r="A2632" s="35" t="s">
        <v>7422</v>
      </c>
      <c r="B2632" s="35"/>
      <c r="C2632" s="35">
        <v>2.0</v>
      </c>
      <c r="D2632" s="35" t="s">
        <v>4635</v>
      </c>
      <c r="E2632" s="35">
        <v>46027.0</v>
      </c>
      <c r="F2632" s="35">
        <v>0.0</v>
      </c>
      <c r="G2632" s="35">
        <v>1.0</v>
      </c>
      <c r="H2632" s="35">
        <v>0.0</v>
      </c>
      <c r="I2632" s="35">
        <v>0.0</v>
      </c>
      <c r="J2632" s="35"/>
      <c r="K2632" s="35">
        <v>0.0</v>
      </c>
    </row>
    <row r="2633" ht="15.75" customHeight="1">
      <c r="A2633" s="35" t="s">
        <v>7423</v>
      </c>
      <c r="B2633" s="35"/>
      <c r="C2633" s="35">
        <v>2.0</v>
      </c>
      <c r="D2633" s="35">
        <v>90.0</v>
      </c>
      <c r="E2633" s="35">
        <v>46027.0</v>
      </c>
      <c r="F2633" s="35">
        <v>0.0</v>
      </c>
      <c r="G2633" s="35">
        <v>1.0</v>
      </c>
      <c r="H2633" s="35">
        <v>0.0</v>
      </c>
      <c r="I2633" s="35">
        <v>0.0</v>
      </c>
      <c r="J2633" s="35"/>
      <c r="K2633" s="35">
        <v>0.0</v>
      </c>
    </row>
    <row r="2634" ht="15.75" customHeight="1">
      <c r="A2634" s="35" t="s">
        <v>7425</v>
      </c>
      <c r="B2634" s="35"/>
      <c r="C2634" s="35">
        <v>2.0</v>
      </c>
      <c r="D2634" s="35" t="s">
        <v>4635</v>
      </c>
      <c r="E2634" s="35">
        <v>46027.0</v>
      </c>
      <c r="F2634" s="35">
        <v>0.0</v>
      </c>
      <c r="G2634" s="35">
        <v>0.0</v>
      </c>
      <c r="H2634" s="35">
        <v>1.0</v>
      </c>
      <c r="I2634" s="35">
        <v>0.0</v>
      </c>
      <c r="J2634" s="35"/>
      <c r="K2634" s="35">
        <v>0.0</v>
      </c>
    </row>
    <row r="2635" ht="15.75" customHeight="1">
      <c r="A2635" s="35" t="s">
        <v>7426</v>
      </c>
      <c r="B2635" s="35"/>
      <c r="C2635" s="35">
        <v>2.0</v>
      </c>
      <c r="D2635" s="35" t="s">
        <v>4635</v>
      </c>
      <c r="E2635" s="35">
        <v>46027.0</v>
      </c>
      <c r="F2635" s="35">
        <v>0.0</v>
      </c>
      <c r="G2635" s="35">
        <v>3.0</v>
      </c>
      <c r="H2635" s="35">
        <v>0.0</v>
      </c>
      <c r="I2635" s="35">
        <v>0.0</v>
      </c>
      <c r="J2635" s="35"/>
      <c r="K2635" s="35">
        <v>0.0</v>
      </c>
    </row>
    <row r="2636" ht="15.75" customHeight="1">
      <c r="A2636" s="35" t="s">
        <v>7428</v>
      </c>
      <c r="B2636" s="35"/>
      <c r="C2636" s="35">
        <v>2.0</v>
      </c>
      <c r="D2636" s="35" t="s">
        <v>4635</v>
      </c>
      <c r="E2636" s="35">
        <v>46027.0</v>
      </c>
      <c r="F2636" s="35">
        <v>0.0</v>
      </c>
      <c r="G2636" s="35">
        <v>1.0</v>
      </c>
      <c r="H2636" s="35">
        <v>0.0</v>
      </c>
      <c r="I2636" s="35">
        <v>0.0</v>
      </c>
      <c r="J2636" s="35"/>
      <c r="K2636" s="35">
        <v>0.0</v>
      </c>
    </row>
    <row r="2637" ht="15.75" customHeight="1">
      <c r="A2637" s="35" t="s">
        <v>7429</v>
      </c>
      <c r="B2637" s="35"/>
      <c r="C2637" s="35">
        <v>2.0</v>
      </c>
      <c r="D2637" s="35" t="s">
        <v>4635</v>
      </c>
      <c r="E2637" s="35">
        <v>46027.0</v>
      </c>
      <c r="F2637" s="35">
        <v>0.0</v>
      </c>
      <c r="G2637" s="35">
        <v>5.0</v>
      </c>
      <c r="H2637" s="35">
        <v>0.0</v>
      </c>
      <c r="I2637" s="35">
        <v>0.0</v>
      </c>
      <c r="J2637" s="35"/>
      <c r="K2637" s="35">
        <v>0.0</v>
      </c>
    </row>
    <row r="2638" ht="15.75" customHeight="1">
      <c r="A2638" s="35" t="s">
        <v>7430</v>
      </c>
      <c r="B2638" s="35"/>
      <c r="C2638" s="35">
        <v>2.0</v>
      </c>
      <c r="D2638" s="35" t="s">
        <v>4635</v>
      </c>
      <c r="E2638" s="35">
        <v>46027.0</v>
      </c>
      <c r="F2638" s="35">
        <v>0.0</v>
      </c>
      <c r="G2638" s="35">
        <v>4.0</v>
      </c>
      <c r="H2638" s="35">
        <v>0.0</v>
      </c>
      <c r="I2638" s="35">
        <v>0.0</v>
      </c>
      <c r="J2638" s="35"/>
      <c r="K2638" s="35">
        <v>0.0</v>
      </c>
    </row>
    <row r="2639" ht="15.75" customHeight="1">
      <c r="A2639" s="35" t="s">
        <v>7431</v>
      </c>
      <c r="B2639" s="35"/>
      <c r="C2639" s="35">
        <v>2.0</v>
      </c>
      <c r="D2639" s="35" t="s">
        <v>4722</v>
      </c>
      <c r="E2639" s="35">
        <v>46027.0</v>
      </c>
      <c r="F2639" s="35">
        <v>0.0</v>
      </c>
      <c r="G2639" s="35">
        <v>1.0</v>
      </c>
      <c r="H2639" s="35">
        <v>0.0</v>
      </c>
      <c r="I2639" s="35">
        <v>0.0</v>
      </c>
      <c r="J2639" s="35"/>
      <c r="K2639" s="35">
        <v>0.0</v>
      </c>
    </row>
    <row r="2640" ht="15.75" customHeight="1">
      <c r="A2640" s="35" t="s">
        <v>7433</v>
      </c>
      <c r="B2640" s="35"/>
      <c r="C2640" s="35">
        <v>2.0</v>
      </c>
      <c r="D2640" s="35" t="s">
        <v>4635</v>
      </c>
      <c r="E2640" s="35">
        <v>46027.0</v>
      </c>
      <c r="F2640" s="35">
        <v>0.0</v>
      </c>
      <c r="G2640" s="35">
        <v>2.0</v>
      </c>
      <c r="H2640" s="35">
        <v>0.0</v>
      </c>
      <c r="I2640" s="35">
        <v>0.0</v>
      </c>
      <c r="J2640" s="35"/>
      <c r="K2640" s="35">
        <v>0.0</v>
      </c>
    </row>
    <row r="2641" ht="15.75" customHeight="1">
      <c r="A2641" s="35" t="s">
        <v>7434</v>
      </c>
      <c r="B2641" s="35"/>
      <c r="C2641" s="35">
        <v>2.0</v>
      </c>
      <c r="D2641" s="35" t="s">
        <v>4635</v>
      </c>
      <c r="E2641" s="35">
        <v>46027.0</v>
      </c>
      <c r="F2641" s="35">
        <v>0.0</v>
      </c>
      <c r="G2641" s="35">
        <v>6.0</v>
      </c>
      <c r="H2641" s="35">
        <v>0.0</v>
      </c>
      <c r="I2641" s="35">
        <v>0.0</v>
      </c>
      <c r="J2641" s="35"/>
      <c r="K2641" s="35">
        <v>0.0</v>
      </c>
    </row>
    <row r="2642" ht="15.75" customHeight="1">
      <c r="A2642" s="35" t="s">
        <v>7436</v>
      </c>
      <c r="B2642" s="35"/>
      <c r="C2642" s="35">
        <v>2.0</v>
      </c>
      <c r="D2642" s="35" t="s">
        <v>4635</v>
      </c>
      <c r="E2642" s="35">
        <v>46027.0</v>
      </c>
      <c r="F2642" s="35">
        <v>0.0</v>
      </c>
      <c r="G2642" s="35">
        <v>1.0</v>
      </c>
      <c r="H2642" s="35">
        <v>0.0</v>
      </c>
      <c r="I2642" s="35">
        <v>0.0</v>
      </c>
      <c r="J2642" s="35"/>
      <c r="K2642" s="35">
        <v>0.0</v>
      </c>
    </row>
    <row r="2643" ht="15.75" customHeight="1">
      <c r="A2643" s="35" t="s">
        <v>7437</v>
      </c>
      <c r="B2643" s="35"/>
      <c r="C2643" s="35">
        <v>2.0</v>
      </c>
      <c r="D2643" s="35" t="s">
        <v>4635</v>
      </c>
      <c r="E2643" s="35">
        <v>46027.0</v>
      </c>
      <c r="F2643" s="35">
        <v>0.0</v>
      </c>
      <c r="G2643" s="35">
        <v>1.0</v>
      </c>
      <c r="H2643" s="35">
        <v>0.0</v>
      </c>
      <c r="I2643" s="35">
        <v>0.0</v>
      </c>
      <c r="J2643" s="35"/>
      <c r="K2643" s="35">
        <v>0.0</v>
      </c>
    </row>
    <row r="2644" ht="15.75" customHeight="1">
      <c r="A2644" s="35" t="s">
        <v>7439</v>
      </c>
      <c r="B2644" s="35"/>
      <c r="C2644" s="35">
        <v>2.0</v>
      </c>
      <c r="D2644" s="35" t="s">
        <v>4635</v>
      </c>
      <c r="E2644" s="35">
        <v>46027.0</v>
      </c>
      <c r="F2644" s="35">
        <v>0.0</v>
      </c>
      <c r="G2644" s="35">
        <v>1.0</v>
      </c>
      <c r="H2644" s="35">
        <v>0.0</v>
      </c>
      <c r="I2644" s="35">
        <v>0.0</v>
      </c>
      <c r="J2644" s="35"/>
      <c r="K2644" s="35">
        <v>0.0</v>
      </c>
    </row>
    <row r="2645" ht="15.75" customHeight="1">
      <c r="A2645" s="35" t="s">
        <v>7440</v>
      </c>
      <c r="B2645" s="35"/>
      <c r="C2645" s="35">
        <v>2.0</v>
      </c>
      <c r="D2645" s="35" t="s">
        <v>4635</v>
      </c>
      <c r="E2645" s="35">
        <v>46027.0</v>
      </c>
      <c r="F2645" s="35">
        <v>0.0</v>
      </c>
      <c r="G2645" s="35">
        <v>1.0</v>
      </c>
      <c r="H2645" s="35">
        <v>0.0</v>
      </c>
      <c r="I2645" s="35">
        <v>0.0</v>
      </c>
      <c r="J2645" s="35"/>
      <c r="K2645" s="35">
        <v>0.0</v>
      </c>
    </row>
    <row r="2646" ht="15.75" customHeight="1">
      <c r="A2646" s="35" t="s">
        <v>7442</v>
      </c>
      <c r="B2646" s="35"/>
      <c r="C2646" s="35">
        <v>2.0</v>
      </c>
      <c r="D2646" s="35" t="s">
        <v>4635</v>
      </c>
      <c r="E2646" s="35">
        <v>46027.0</v>
      </c>
      <c r="F2646" s="35">
        <v>0.0</v>
      </c>
      <c r="G2646" s="35">
        <v>1.0</v>
      </c>
      <c r="H2646" s="35">
        <v>0.0</v>
      </c>
      <c r="I2646" s="35">
        <v>0.0</v>
      </c>
      <c r="J2646" s="35"/>
      <c r="K2646" s="35">
        <v>0.0</v>
      </c>
    </row>
    <row r="2647" ht="15.75" customHeight="1">
      <c r="A2647" s="35" t="s">
        <v>7443</v>
      </c>
      <c r="B2647" s="35"/>
      <c r="C2647" s="35">
        <v>2.0</v>
      </c>
      <c r="D2647" s="35" t="s">
        <v>4635</v>
      </c>
      <c r="E2647" s="35">
        <v>46027.0</v>
      </c>
      <c r="F2647" s="35">
        <v>0.0</v>
      </c>
      <c r="G2647" s="35">
        <v>0.0</v>
      </c>
      <c r="H2647" s="35">
        <v>1.0</v>
      </c>
      <c r="I2647" s="35">
        <v>0.0</v>
      </c>
      <c r="J2647" s="35"/>
      <c r="K2647" s="35">
        <v>0.0</v>
      </c>
    </row>
    <row r="2648" ht="15.75" customHeight="1">
      <c r="A2648" s="35" t="s">
        <v>7444</v>
      </c>
      <c r="B2648" s="35"/>
      <c r="C2648" s="35">
        <v>2.0</v>
      </c>
      <c r="D2648" s="35" t="s">
        <v>4635</v>
      </c>
      <c r="E2648" s="35">
        <v>46027.0</v>
      </c>
      <c r="F2648" s="35">
        <v>0.0</v>
      </c>
      <c r="G2648" s="35">
        <v>1.0</v>
      </c>
      <c r="H2648" s="35">
        <v>0.0</v>
      </c>
      <c r="I2648" s="35">
        <v>0.0</v>
      </c>
      <c r="J2648" s="35"/>
      <c r="K2648" s="35">
        <v>0.0</v>
      </c>
    </row>
    <row r="2649" ht="15.75" customHeight="1">
      <c r="A2649" s="35" t="s">
        <v>7446</v>
      </c>
      <c r="B2649" s="35"/>
      <c r="C2649" s="35">
        <v>2.0</v>
      </c>
      <c r="D2649" s="35">
        <v>163.0</v>
      </c>
      <c r="E2649" s="35">
        <v>46027.0</v>
      </c>
      <c r="F2649" s="35">
        <v>0.0</v>
      </c>
      <c r="G2649" s="35">
        <v>6.0</v>
      </c>
      <c r="H2649" s="35">
        <v>0.0</v>
      </c>
      <c r="I2649" s="35">
        <v>0.0</v>
      </c>
      <c r="J2649" s="35"/>
      <c r="K2649" s="35">
        <v>0.0</v>
      </c>
    </row>
    <row r="2650" ht="15.75" customHeight="1">
      <c r="A2650" s="35" t="s">
        <v>7447</v>
      </c>
      <c r="B2650" s="35"/>
      <c r="C2650" s="35">
        <v>2.0</v>
      </c>
      <c r="D2650" s="35" t="s">
        <v>4635</v>
      </c>
      <c r="E2650" s="35">
        <v>46027.0</v>
      </c>
      <c r="F2650" s="35">
        <v>0.0</v>
      </c>
      <c r="G2650" s="35">
        <v>1.0</v>
      </c>
      <c r="H2650" s="35">
        <v>0.0</v>
      </c>
      <c r="I2650" s="35">
        <v>0.0</v>
      </c>
      <c r="J2650" s="35"/>
      <c r="K2650" s="35">
        <v>0.0</v>
      </c>
    </row>
    <row r="2651" ht="15.75" customHeight="1">
      <c r="A2651" s="35" t="s">
        <v>7449</v>
      </c>
      <c r="B2651" s="35"/>
      <c r="C2651" s="35">
        <v>2.0</v>
      </c>
      <c r="D2651" s="35" t="s">
        <v>4635</v>
      </c>
      <c r="E2651" s="35">
        <v>46027.0</v>
      </c>
      <c r="F2651" s="35">
        <v>0.0</v>
      </c>
      <c r="G2651" s="35">
        <v>93.0</v>
      </c>
      <c r="H2651" s="35">
        <v>0.0</v>
      </c>
      <c r="I2651" s="35">
        <v>0.0</v>
      </c>
      <c r="J2651" s="35"/>
      <c r="K2651" s="35">
        <v>0.0</v>
      </c>
    </row>
    <row r="2652" ht="15.75" customHeight="1">
      <c r="A2652" s="35" t="s">
        <v>7450</v>
      </c>
      <c r="B2652" s="35"/>
      <c r="C2652" s="35">
        <v>2.0</v>
      </c>
      <c r="D2652" s="35" t="s">
        <v>4635</v>
      </c>
      <c r="E2652" s="35">
        <v>46027.0</v>
      </c>
      <c r="F2652" s="35">
        <v>0.0</v>
      </c>
      <c r="G2652" s="35">
        <v>0.0</v>
      </c>
      <c r="H2652" s="35">
        <v>1.0</v>
      </c>
      <c r="I2652" s="35">
        <v>0.0</v>
      </c>
      <c r="J2652" s="35"/>
      <c r="K2652" s="35">
        <v>0.0</v>
      </c>
    </row>
    <row r="2653" ht="15.75" customHeight="1">
      <c r="A2653" s="35" t="s">
        <v>7452</v>
      </c>
      <c r="B2653" s="35"/>
      <c r="C2653" s="35">
        <v>2.0</v>
      </c>
      <c r="D2653" s="35" t="s">
        <v>4635</v>
      </c>
      <c r="E2653" s="35">
        <v>46027.0</v>
      </c>
      <c r="F2653" s="35">
        <v>0.0</v>
      </c>
      <c r="G2653" s="35">
        <v>1.0</v>
      </c>
      <c r="H2653" s="35">
        <v>0.0</v>
      </c>
      <c r="I2653" s="35">
        <v>0.0</v>
      </c>
      <c r="J2653" s="35"/>
      <c r="K2653" s="35">
        <v>0.0</v>
      </c>
    </row>
    <row r="2654" ht="15.75" customHeight="1">
      <c r="A2654" s="35" t="s">
        <v>7453</v>
      </c>
      <c r="B2654" s="35"/>
      <c r="C2654" s="35">
        <v>2.0</v>
      </c>
      <c r="D2654" s="35" t="s">
        <v>4635</v>
      </c>
      <c r="E2654" s="35">
        <v>46027.0</v>
      </c>
      <c r="F2654" s="35">
        <v>0.0</v>
      </c>
      <c r="G2654" s="35">
        <v>14.0</v>
      </c>
      <c r="H2654" s="35">
        <v>0.0</v>
      </c>
      <c r="I2654" s="35">
        <v>0.0</v>
      </c>
      <c r="J2654" s="35"/>
      <c r="K2654" s="35">
        <v>0.0</v>
      </c>
    </row>
    <row r="2655" ht="15.75" customHeight="1">
      <c r="A2655" s="35" t="s">
        <v>7455</v>
      </c>
      <c r="B2655" s="35"/>
      <c r="C2655" s="35">
        <v>2.0</v>
      </c>
      <c r="D2655" s="35" t="s">
        <v>4635</v>
      </c>
      <c r="E2655" s="35">
        <v>46027.0</v>
      </c>
      <c r="F2655" s="35">
        <v>0.0</v>
      </c>
      <c r="G2655" s="35">
        <v>16.0</v>
      </c>
      <c r="H2655" s="35">
        <v>0.0</v>
      </c>
      <c r="I2655" s="35">
        <v>0.0</v>
      </c>
      <c r="J2655" s="35"/>
      <c r="K2655" s="35">
        <v>0.0</v>
      </c>
    </row>
    <row r="2656" ht="15.75" customHeight="1">
      <c r="A2656" s="35" t="s">
        <v>7456</v>
      </c>
      <c r="B2656" s="35"/>
      <c r="C2656" s="35">
        <v>2.0</v>
      </c>
      <c r="D2656" s="35">
        <v>568.0</v>
      </c>
      <c r="E2656" s="35">
        <v>46027.0</v>
      </c>
      <c r="F2656" s="35">
        <v>0.0</v>
      </c>
      <c r="G2656" s="35">
        <v>0.0</v>
      </c>
      <c r="H2656" s="35">
        <v>1.0</v>
      </c>
      <c r="I2656" s="35">
        <v>0.0</v>
      </c>
      <c r="J2656" s="35"/>
      <c r="K2656" s="35">
        <v>0.0</v>
      </c>
    </row>
    <row r="2657" ht="15.75" customHeight="1">
      <c r="A2657" s="35" t="s">
        <v>7457</v>
      </c>
      <c r="B2657" s="35"/>
      <c r="C2657" s="35">
        <v>2.0</v>
      </c>
      <c r="D2657" s="35">
        <v>445.0</v>
      </c>
      <c r="E2657" s="35">
        <v>46027.0</v>
      </c>
      <c r="F2657" s="35">
        <v>0.0</v>
      </c>
      <c r="G2657" s="35">
        <v>0.0</v>
      </c>
      <c r="H2657" s="35">
        <v>0.0</v>
      </c>
      <c r="I2657" s="35">
        <v>1.0</v>
      </c>
      <c r="J2657" s="35"/>
      <c r="K2657" s="35">
        <v>0.0</v>
      </c>
    </row>
    <row r="2658" ht="15.75" customHeight="1">
      <c r="A2658" s="35" t="s">
        <v>7459</v>
      </c>
      <c r="B2658" s="35"/>
      <c r="C2658" s="35">
        <v>2.0</v>
      </c>
      <c r="D2658" s="35" t="s">
        <v>4635</v>
      </c>
      <c r="E2658" s="35">
        <v>46027.0</v>
      </c>
      <c r="F2658" s="35">
        <v>0.0</v>
      </c>
      <c r="G2658" s="35">
        <v>16.0</v>
      </c>
      <c r="H2658" s="35">
        <v>0.0</v>
      </c>
      <c r="I2658" s="35">
        <v>0.0</v>
      </c>
      <c r="J2658" s="35"/>
      <c r="K2658" s="35">
        <v>0.0</v>
      </c>
    </row>
    <row r="2659" ht="15.75" customHeight="1">
      <c r="A2659" s="35" t="s">
        <v>7460</v>
      </c>
      <c r="B2659" s="35"/>
      <c r="C2659" s="35">
        <v>2.0</v>
      </c>
      <c r="D2659" s="35" t="s">
        <v>4635</v>
      </c>
      <c r="E2659" s="35">
        <v>46027.0</v>
      </c>
      <c r="F2659" s="35">
        <v>0.0</v>
      </c>
      <c r="G2659" s="35">
        <v>2.0</v>
      </c>
      <c r="H2659" s="35">
        <v>0.0</v>
      </c>
      <c r="I2659" s="35">
        <v>0.0</v>
      </c>
      <c r="J2659" s="35"/>
      <c r="K2659" s="35">
        <v>0.0</v>
      </c>
    </row>
    <row r="2660" ht="15.75" customHeight="1">
      <c r="A2660" s="35" t="s">
        <v>7462</v>
      </c>
      <c r="B2660" s="35"/>
      <c r="C2660" s="35">
        <v>2.0</v>
      </c>
      <c r="D2660" s="35">
        <v>120.0</v>
      </c>
      <c r="E2660" s="35">
        <v>46027.0</v>
      </c>
      <c r="F2660" s="35">
        <v>0.0</v>
      </c>
      <c r="G2660" s="35">
        <v>0.0</v>
      </c>
      <c r="H2660" s="35">
        <v>16.0</v>
      </c>
      <c r="I2660" s="35">
        <v>0.0</v>
      </c>
      <c r="J2660" s="35"/>
      <c r="K2660" s="35">
        <v>0.0</v>
      </c>
    </row>
    <row r="2661" ht="15.75" customHeight="1">
      <c r="A2661" s="35" t="s">
        <v>7463</v>
      </c>
      <c r="B2661" s="35"/>
      <c r="C2661" s="35">
        <v>2.0</v>
      </c>
      <c r="D2661" s="35" t="s">
        <v>4635</v>
      </c>
      <c r="E2661" s="35">
        <v>46027.0</v>
      </c>
      <c r="F2661" s="35">
        <v>0.0</v>
      </c>
      <c r="G2661" s="35">
        <v>2.0</v>
      </c>
      <c r="H2661" s="35">
        <v>0.0</v>
      </c>
      <c r="I2661" s="35">
        <v>0.0</v>
      </c>
      <c r="J2661" s="35"/>
      <c r="K2661" s="35">
        <v>0.0</v>
      </c>
    </row>
    <row r="2662" ht="15.75" customHeight="1">
      <c r="A2662" s="35" t="s">
        <v>7465</v>
      </c>
      <c r="B2662" s="35"/>
      <c r="C2662" s="35">
        <v>2.0</v>
      </c>
      <c r="D2662" s="35" t="s">
        <v>2043</v>
      </c>
      <c r="E2662" s="35">
        <v>46027.0</v>
      </c>
      <c r="F2662" s="35">
        <v>0.0</v>
      </c>
      <c r="G2662" s="35">
        <v>2.0</v>
      </c>
      <c r="H2662" s="35">
        <v>0.0</v>
      </c>
      <c r="I2662" s="35">
        <v>0.0</v>
      </c>
      <c r="J2662" s="35"/>
      <c r="K2662" s="35">
        <v>0.0</v>
      </c>
    </row>
    <row r="2663" ht="15.75" customHeight="1">
      <c r="A2663" s="35" t="s">
        <v>7466</v>
      </c>
      <c r="B2663" s="35"/>
      <c r="C2663" s="35">
        <v>2.0</v>
      </c>
      <c r="D2663" s="35" t="s">
        <v>4635</v>
      </c>
      <c r="E2663" s="35">
        <v>46027.0</v>
      </c>
      <c r="F2663" s="35">
        <v>0.0</v>
      </c>
      <c r="G2663" s="35">
        <v>4.0</v>
      </c>
      <c r="H2663" s="35">
        <v>0.0</v>
      </c>
      <c r="I2663" s="35">
        <v>0.0</v>
      </c>
      <c r="J2663" s="35"/>
      <c r="K2663" s="35">
        <v>0.0</v>
      </c>
    </row>
    <row r="2664" ht="15.75" customHeight="1">
      <c r="A2664" s="35" t="s">
        <v>7468</v>
      </c>
      <c r="B2664" s="35"/>
      <c r="C2664" s="35">
        <v>2.0</v>
      </c>
      <c r="D2664" s="35" t="s">
        <v>4635</v>
      </c>
      <c r="E2664" s="35">
        <v>46027.0</v>
      </c>
      <c r="F2664" s="35">
        <v>0.0</v>
      </c>
      <c r="G2664" s="35">
        <v>4.0</v>
      </c>
      <c r="H2664" s="35">
        <v>0.0</v>
      </c>
      <c r="I2664" s="35">
        <v>0.0</v>
      </c>
      <c r="J2664" s="35"/>
      <c r="K2664" s="35">
        <v>0.0</v>
      </c>
    </row>
    <row r="2665" ht="15.75" customHeight="1">
      <c r="A2665" s="35" t="s">
        <v>7469</v>
      </c>
      <c r="B2665" s="35"/>
      <c r="C2665" s="35">
        <v>2.0</v>
      </c>
      <c r="D2665" s="35" t="s">
        <v>4635</v>
      </c>
      <c r="E2665" s="35">
        <v>46027.0</v>
      </c>
      <c r="F2665" s="35">
        <v>0.0</v>
      </c>
      <c r="G2665" s="35">
        <v>4.0</v>
      </c>
      <c r="H2665" s="35">
        <v>0.0</v>
      </c>
      <c r="I2665" s="35">
        <v>0.0</v>
      </c>
      <c r="J2665" s="35"/>
      <c r="K2665" s="35">
        <v>0.0</v>
      </c>
    </row>
    <row r="2666" ht="15.75" customHeight="1">
      <c r="A2666" s="35" t="s">
        <v>7471</v>
      </c>
      <c r="B2666" s="35"/>
      <c r="C2666" s="35">
        <v>2.0</v>
      </c>
      <c r="D2666" s="35" t="s">
        <v>5031</v>
      </c>
      <c r="E2666" s="35">
        <v>46027.0</v>
      </c>
      <c r="F2666" s="35">
        <v>0.0</v>
      </c>
      <c r="G2666" s="35">
        <v>1.0</v>
      </c>
      <c r="H2666" s="35">
        <v>0.0</v>
      </c>
      <c r="I2666" s="35">
        <v>0.0</v>
      </c>
      <c r="J2666" s="35"/>
      <c r="K2666" s="35">
        <v>0.0</v>
      </c>
    </row>
    <row r="2667" ht="15.75" customHeight="1">
      <c r="A2667" s="35" t="s">
        <v>7473</v>
      </c>
      <c r="B2667" s="35"/>
      <c r="C2667" s="35">
        <v>2.0</v>
      </c>
      <c r="D2667" s="35" t="s">
        <v>4635</v>
      </c>
      <c r="E2667" s="35">
        <v>46027.0</v>
      </c>
      <c r="F2667" s="35">
        <v>0.0</v>
      </c>
      <c r="G2667" s="35">
        <v>1.0</v>
      </c>
      <c r="H2667" s="35">
        <v>0.0</v>
      </c>
      <c r="I2667" s="35">
        <v>0.0</v>
      </c>
      <c r="J2667" s="35"/>
      <c r="K2667" s="35">
        <v>0.0</v>
      </c>
    </row>
    <row r="2668" ht="15.75" customHeight="1">
      <c r="A2668" s="35" t="s">
        <v>7474</v>
      </c>
      <c r="B2668" s="35"/>
      <c r="C2668" s="35">
        <v>2.0</v>
      </c>
      <c r="D2668" s="35">
        <v>119.0</v>
      </c>
      <c r="E2668" s="35">
        <v>46027.0</v>
      </c>
      <c r="F2668" s="35">
        <v>0.0</v>
      </c>
      <c r="G2668" s="35">
        <v>4.0</v>
      </c>
      <c r="H2668" s="35">
        <v>0.0</v>
      </c>
      <c r="I2668" s="35">
        <v>0.0</v>
      </c>
      <c r="J2668" s="35"/>
      <c r="K2668" s="35">
        <v>0.0</v>
      </c>
    </row>
    <row r="2669" ht="15.75" customHeight="1">
      <c r="A2669" s="35" t="s">
        <v>7476</v>
      </c>
      <c r="B2669" s="35"/>
      <c r="C2669" s="35">
        <v>2.0</v>
      </c>
      <c r="D2669" s="35">
        <v>521.0</v>
      </c>
      <c r="E2669" s="35">
        <v>46027.0</v>
      </c>
      <c r="F2669" s="35">
        <v>0.0</v>
      </c>
      <c r="G2669" s="35">
        <v>0.0</v>
      </c>
      <c r="H2669" s="35">
        <v>4.0</v>
      </c>
      <c r="I2669" s="35">
        <v>0.0</v>
      </c>
      <c r="J2669" s="35"/>
      <c r="K2669" s="35">
        <v>0.0</v>
      </c>
    </row>
    <row r="2670" ht="15.75" customHeight="1">
      <c r="A2670" s="35" t="s">
        <v>7477</v>
      </c>
      <c r="B2670" s="35"/>
      <c r="C2670" s="35">
        <v>2.0</v>
      </c>
      <c r="D2670" s="35" t="s">
        <v>4635</v>
      </c>
      <c r="E2670" s="35">
        <v>46027.0</v>
      </c>
      <c r="F2670" s="35">
        <v>0.0</v>
      </c>
      <c r="G2670" s="35">
        <v>1.0</v>
      </c>
      <c r="H2670" s="35">
        <v>0.0</v>
      </c>
      <c r="I2670" s="35">
        <v>0.0</v>
      </c>
      <c r="J2670" s="35"/>
      <c r="K2670" s="35">
        <v>0.0</v>
      </c>
    </row>
    <row r="2671" ht="15.75" customHeight="1">
      <c r="A2671" s="35" t="s">
        <v>7479</v>
      </c>
      <c r="B2671" s="35"/>
      <c r="C2671" s="35">
        <v>2.0</v>
      </c>
      <c r="D2671" s="35" t="s">
        <v>4635</v>
      </c>
      <c r="E2671" s="35">
        <v>46027.0</v>
      </c>
      <c r="F2671" s="35">
        <v>0.0</v>
      </c>
      <c r="G2671" s="35">
        <v>1678.0</v>
      </c>
      <c r="H2671" s="35">
        <v>0.0</v>
      </c>
      <c r="I2671" s="35">
        <v>0.0</v>
      </c>
      <c r="J2671" s="35"/>
      <c r="K2671" s="35">
        <v>0.0</v>
      </c>
    </row>
    <row r="2672" ht="15.75" customHeight="1">
      <c r="A2672" s="35" t="s">
        <v>7480</v>
      </c>
      <c r="B2672" s="35"/>
      <c r="C2672" s="35">
        <v>2.0</v>
      </c>
      <c r="D2672" s="35" t="s">
        <v>4635</v>
      </c>
      <c r="E2672" s="35">
        <v>46027.0</v>
      </c>
      <c r="F2672" s="35">
        <v>0.0</v>
      </c>
      <c r="G2672" s="35">
        <v>1.0</v>
      </c>
      <c r="H2672" s="35">
        <v>0.0</v>
      </c>
      <c r="I2672" s="35">
        <v>0.0</v>
      </c>
      <c r="J2672" s="35"/>
      <c r="K2672" s="35">
        <v>0.0</v>
      </c>
    </row>
    <row r="2673" ht="15.75" customHeight="1">
      <c r="A2673" s="35" t="s">
        <v>7481</v>
      </c>
      <c r="B2673" s="35"/>
      <c r="C2673" s="35">
        <v>2.0</v>
      </c>
      <c r="D2673" s="35">
        <v>23.0</v>
      </c>
      <c r="E2673" s="35">
        <v>46027.0</v>
      </c>
      <c r="F2673" s="35">
        <v>0.0</v>
      </c>
      <c r="G2673" s="35">
        <v>11.0</v>
      </c>
      <c r="H2673" s="35">
        <v>0.0</v>
      </c>
      <c r="I2673" s="35">
        <v>0.0</v>
      </c>
      <c r="J2673" s="35"/>
      <c r="K2673" s="35">
        <v>0.0</v>
      </c>
    </row>
    <row r="2674" ht="15.75" customHeight="1">
      <c r="A2674" s="35" t="s">
        <v>7483</v>
      </c>
      <c r="B2674" s="35"/>
      <c r="C2674" s="35">
        <v>2.0</v>
      </c>
      <c r="D2674" s="35" t="s">
        <v>4635</v>
      </c>
      <c r="E2674" s="35">
        <v>46027.0</v>
      </c>
      <c r="F2674" s="35">
        <v>0.0</v>
      </c>
      <c r="G2674" s="35">
        <v>2.0</v>
      </c>
      <c r="H2674" s="35">
        <v>0.0</v>
      </c>
      <c r="I2674" s="35">
        <v>0.0</v>
      </c>
      <c r="J2674" s="35"/>
      <c r="K2674" s="35">
        <v>0.0</v>
      </c>
    </row>
    <row r="2675" ht="15.75" customHeight="1">
      <c r="A2675" s="35" t="s">
        <v>7484</v>
      </c>
      <c r="B2675" s="35"/>
      <c r="C2675" s="35">
        <v>2.0</v>
      </c>
      <c r="D2675" s="35" t="s">
        <v>4635</v>
      </c>
      <c r="E2675" s="35">
        <v>46027.0</v>
      </c>
      <c r="F2675" s="35">
        <v>0.0</v>
      </c>
      <c r="G2675" s="35">
        <v>1.0</v>
      </c>
      <c r="H2675" s="35">
        <v>0.0</v>
      </c>
      <c r="I2675" s="35">
        <v>0.0</v>
      </c>
      <c r="J2675" s="35"/>
      <c r="K2675" s="35">
        <v>0.0</v>
      </c>
    </row>
    <row r="2676" ht="15.75" customHeight="1">
      <c r="A2676" s="35" t="s">
        <v>7486</v>
      </c>
      <c r="B2676" s="35"/>
      <c r="C2676" s="35">
        <v>2.0</v>
      </c>
      <c r="D2676" s="35" t="s">
        <v>4635</v>
      </c>
      <c r="E2676" s="35">
        <v>46027.0</v>
      </c>
      <c r="F2676" s="35">
        <v>0.0</v>
      </c>
      <c r="G2676" s="35">
        <v>1.0</v>
      </c>
      <c r="H2676" s="35">
        <v>0.0</v>
      </c>
      <c r="I2676" s="35">
        <v>0.0</v>
      </c>
      <c r="J2676" s="35"/>
      <c r="K2676" s="35">
        <v>0.0</v>
      </c>
    </row>
    <row r="2677" ht="15.75" customHeight="1">
      <c r="A2677" s="35" t="s">
        <v>7487</v>
      </c>
      <c r="B2677" s="35"/>
      <c r="C2677" s="35">
        <v>2.0</v>
      </c>
      <c r="D2677" s="35" t="s">
        <v>4635</v>
      </c>
      <c r="E2677" s="35">
        <v>46027.0</v>
      </c>
      <c r="F2677" s="35">
        <v>0.0</v>
      </c>
      <c r="G2677" s="35">
        <v>13.0</v>
      </c>
      <c r="H2677" s="35">
        <v>0.0</v>
      </c>
      <c r="I2677" s="35">
        <v>0.0</v>
      </c>
      <c r="J2677" s="35"/>
      <c r="K2677" s="35">
        <v>0.0</v>
      </c>
    </row>
    <row r="2678" ht="15.75" customHeight="1">
      <c r="A2678" s="35" t="s">
        <v>7489</v>
      </c>
      <c r="B2678" s="35"/>
      <c r="C2678" s="35">
        <v>2.0</v>
      </c>
      <c r="D2678" s="35" t="s">
        <v>4635</v>
      </c>
      <c r="E2678" s="35">
        <v>46027.0</v>
      </c>
      <c r="F2678" s="35">
        <v>0.0</v>
      </c>
      <c r="G2678" s="35">
        <v>1.0</v>
      </c>
      <c r="H2678" s="35">
        <v>0.0</v>
      </c>
      <c r="I2678" s="35">
        <v>0.0</v>
      </c>
      <c r="J2678" s="35"/>
      <c r="K2678" s="35">
        <v>0.0</v>
      </c>
    </row>
    <row r="2679" ht="15.75" customHeight="1">
      <c r="A2679" s="35" t="s">
        <v>7490</v>
      </c>
      <c r="B2679" s="35"/>
      <c r="C2679" s="35">
        <v>2.0</v>
      </c>
      <c r="D2679" s="35" t="s">
        <v>4635</v>
      </c>
      <c r="E2679" s="35">
        <v>46027.0</v>
      </c>
      <c r="F2679" s="35">
        <v>0.0</v>
      </c>
      <c r="G2679" s="35">
        <v>1.0</v>
      </c>
      <c r="H2679" s="35">
        <v>0.0</v>
      </c>
      <c r="I2679" s="35">
        <v>0.0</v>
      </c>
      <c r="J2679" s="35"/>
      <c r="K2679" s="35">
        <v>0.0</v>
      </c>
    </row>
    <row r="2680" ht="15.75" customHeight="1">
      <c r="A2680" s="35" t="s">
        <v>7491</v>
      </c>
      <c r="B2680" s="35"/>
      <c r="C2680" s="35">
        <v>2.0</v>
      </c>
      <c r="D2680" s="35" t="s">
        <v>4635</v>
      </c>
      <c r="E2680" s="35">
        <v>46027.0</v>
      </c>
      <c r="F2680" s="35">
        <v>0.0</v>
      </c>
      <c r="G2680" s="35">
        <v>24.0</v>
      </c>
      <c r="H2680" s="35">
        <v>0.0</v>
      </c>
      <c r="I2680" s="35">
        <v>0.0</v>
      </c>
      <c r="J2680" s="35"/>
      <c r="K2680" s="35">
        <v>0.0</v>
      </c>
    </row>
    <row r="2681" ht="15.75" customHeight="1">
      <c r="A2681" s="35" t="s">
        <v>7493</v>
      </c>
      <c r="B2681" s="35"/>
      <c r="C2681" s="35">
        <v>2.0</v>
      </c>
      <c r="D2681" s="35" t="s">
        <v>4635</v>
      </c>
      <c r="E2681" s="35">
        <v>46027.0</v>
      </c>
      <c r="F2681" s="35">
        <v>0.0</v>
      </c>
      <c r="G2681" s="35">
        <v>5.0</v>
      </c>
      <c r="H2681" s="35">
        <v>0.0</v>
      </c>
      <c r="I2681" s="35">
        <v>0.0</v>
      </c>
      <c r="J2681" s="35"/>
      <c r="K2681" s="35">
        <v>0.0</v>
      </c>
    </row>
    <row r="2682" ht="15.75" customHeight="1">
      <c r="A2682" s="35" t="s">
        <v>7494</v>
      </c>
      <c r="B2682" s="35"/>
      <c r="C2682" s="35">
        <v>2.0</v>
      </c>
      <c r="D2682" s="35">
        <v>128.0</v>
      </c>
      <c r="E2682" s="35">
        <v>46027.0</v>
      </c>
      <c r="F2682" s="35">
        <v>0.0</v>
      </c>
      <c r="G2682" s="35">
        <v>1.0</v>
      </c>
      <c r="H2682" s="35">
        <v>0.0</v>
      </c>
      <c r="I2682" s="35">
        <v>0.0</v>
      </c>
      <c r="J2682" s="35"/>
      <c r="K2682" s="35">
        <v>0.0</v>
      </c>
    </row>
    <row r="2683" ht="15.75" customHeight="1">
      <c r="A2683" s="35" t="s">
        <v>7496</v>
      </c>
      <c r="B2683" s="35"/>
      <c r="C2683" s="35">
        <v>2.0</v>
      </c>
      <c r="D2683" s="35" t="s">
        <v>5444</v>
      </c>
      <c r="E2683" s="35">
        <v>46027.0</v>
      </c>
      <c r="F2683" s="35">
        <v>0.0</v>
      </c>
      <c r="G2683" s="35">
        <v>1.0</v>
      </c>
      <c r="H2683" s="35">
        <v>0.0</v>
      </c>
      <c r="I2683" s="35">
        <v>0.0</v>
      </c>
      <c r="J2683" s="35"/>
      <c r="K2683" s="35">
        <v>0.0</v>
      </c>
    </row>
    <row r="2684" ht="15.75" customHeight="1">
      <c r="A2684" s="35" t="s">
        <v>7497</v>
      </c>
      <c r="B2684" s="35"/>
      <c r="C2684" s="35">
        <v>2.0</v>
      </c>
      <c r="D2684" s="35" t="s">
        <v>4635</v>
      </c>
      <c r="E2684" s="35">
        <v>46027.0</v>
      </c>
      <c r="F2684" s="35">
        <v>0.0</v>
      </c>
      <c r="G2684" s="35">
        <v>1.0</v>
      </c>
      <c r="H2684" s="35">
        <v>0.0</v>
      </c>
      <c r="I2684" s="35">
        <v>0.0</v>
      </c>
      <c r="J2684" s="35"/>
      <c r="K2684" s="35">
        <v>0.0</v>
      </c>
    </row>
    <row r="2685" ht="15.75" customHeight="1">
      <c r="A2685" s="35" t="s">
        <v>7499</v>
      </c>
      <c r="B2685" s="35"/>
      <c r="C2685" s="35">
        <v>2.0</v>
      </c>
      <c r="D2685" s="35" t="s">
        <v>4635</v>
      </c>
      <c r="E2685" s="35">
        <v>46027.0</v>
      </c>
      <c r="F2685" s="35">
        <v>0.0</v>
      </c>
      <c r="G2685" s="35">
        <v>1.0</v>
      </c>
      <c r="H2685" s="35">
        <v>0.0</v>
      </c>
      <c r="I2685" s="35">
        <v>0.0</v>
      </c>
      <c r="J2685" s="35"/>
      <c r="K2685" s="35">
        <v>0.0</v>
      </c>
    </row>
    <row r="2686" ht="15.75" customHeight="1">
      <c r="A2686" s="35" t="s">
        <v>7500</v>
      </c>
      <c r="B2686" s="35"/>
      <c r="C2686" s="35">
        <v>2.0</v>
      </c>
      <c r="D2686" s="35" t="s">
        <v>4635</v>
      </c>
      <c r="E2686" s="35">
        <v>46027.0</v>
      </c>
      <c r="F2686" s="35">
        <v>0.0</v>
      </c>
      <c r="G2686" s="35">
        <v>1.0</v>
      </c>
      <c r="H2686" s="35">
        <v>0.0</v>
      </c>
      <c r="I2686" s="35">
        <v>0.0</v>
      </c>
      <c r="J2686" s="35"/>
      <c r="K2686" s="35">
        <v>0.0</v>
      </c>
    </row>
    <row r="2687" ht="15.75" customHeight="1">
      <c r="A2687" s="35" t="s">
        <v>7502</v>
      </c>
      <c r="B2687" s="35"/>
      <c r="C2687" s="35">
        <v>2.0</v>
      </c>
      <c r="D2687" s="35" t="s">
        <v>4635</v>
      </c>
      <c r="E2687" s="35">
        <v>46027.0</v>
      </c>
      <c r="F2687" s="35">
        <v>0.0</v>
      </c>
      <c r="G2687" s="35">
        <v>1.0</v>
      </c>
      <c r="H2687" s="35">
        <v>0.0</v>
      </c>
      <c r="I2687" s="35">
        <v>0.0</v>
      </c>
      <c r="J2687" s="35"/>
      <c r="K2687" s="35">
        <v>0.0</v>
      </c>
    </row>
    <row r="2688" ht="15.75" customHeight="1">
      <c r="A2688" s="35" t="s">
        <v>7504</v>
      </c>
      <c r="B2688" s="35"/>
      <c r="C2688" s="35">
        <v>2.0</v>
      </c>
      <c r="D2688" s="35" t="s">
        <v>4635</v>
      </c>
      <c r="E2688" s="35">
        <v>46027.0</v>
      </c>
      <c r="F2688" s="35">
        <v>0.0</v>
      </c>
      <c r="G2688" s="35">
        <v>7.0</v>
      </c>
      <c r="H2688" s="35">
        <v>0.0</v>
      </c>
      <c r="I2688" s="35">
        <v>0.0</v>
      </c>
      <c r="J2688" s="35"/>
      <c r="K2688" s="35">
        <v>0.0</v>
      </c>
    </row>
    <row r="2689" ht="15.75" customHeight="1">
      <c r="A2689" s="35" t="s">
        <v>7505</v>
      </c>
      <c r="B2689" s="35"/>
      <c r="C2689" s="35">
        <v>2.0</v>
      </c>
      <c r="D2689" s="35">
        <v>46.0</v>
      </c>
      <c r="E2689" s="35">
        <v>46027.0</v>
      </c>
      <c r="F2689" s="35">
        <v>0.0</v>
      </c>
      <c r="G2689" s="35">
        <v>11.0</v>
      </c>
      <c r="H2689" s="35">
        <v>0.0</v>
      </c>
      <c r="I2689" s="35">
        <v>0.0</v>
      </c>
      <c r="J2689" s="35"/>
      <c r="K2689" s="35">
        <v>0.0</v>
      </c>
    </row>
    <row r="2690" ht="15.75" customHeight="1">
      <c r="A2690" s="35" t="s">
        <v>7507</v>
      </c>
      <c r="B2690" s="35"/>
      <c r="C2690" s="35">
        <v>2.0</v>
      </c>
      <c r="D2690" s="35" t="s">
        <v>4635</v>
      </c>
      <c r="E2690" s="35">
        <v>46027.0</v>
      </c>
      <c r="F2690" s="35">
        <v>0.0</v>
      </c>
      <c r="G2690" s="35">
        <v>1.0</v>
      </c>
      <c r="H2690" s="35">
        <v>0.0</v>
      </c>
      <c r="I2690" s="35">
        <v>0.0</v>
      </c>
      <c r="J2690" s="35"/>
      <c r="K2690" s="35">
        <v>0.0</v>
      </c>
    </row>
    <row r="2691" ht="15.75" customHeight="1">
      <c r="A2691" s="35" t="s">
        <v>7508</v>
      </c>
      <c r="B2691" s="35"/>
      <c r="C2691" s="35">
        <v>2.0</v>
      </c>
      <c r="D2691" s="35">
        <v>183.0</v>
      </c>
      <c r="E2691" s="35">
        <v>46027.0</v>
      </c>
      <c r="F2691" s="35">
        <v>0.0</v>
      </c>
      <c r="G2691" s="35">
        <v>21.0</v>
      </c>
      <c r="H2691" s="35">
        <v>0.0</v>
      </c>
      <c r="I2691" s="35">
        <v>0.0</v>
      </c>
      <c r="J2691" s="35"/>
      <c r="K2691" s="35">
        <v>0.0</v>
      </c>
    </row>
    <row r="2692" ht="15.75" customHeight="1">
      <c r="A2692" s="35" t="s">
        <v>7509</v>
      </c>
      <c r="B2692" s="35"/>
      <c r="C2692" s="35">
        <v>2.0</v>
      </c>
      <c r="D2692" s="35">
        <v>23.0</v>
      </c>
      <c r="E2692" s="35">
        <v>46027.0</v>
      </c>
      <c r="F2692" s="35">
        <v>0.0</v>
      </c>
      <c r="G2692" s="35">
        <v>13.0</v>
      </c>
      <c r="H2692" s="35">
        <v>0.0</v>
      </c>
      <c r="I2692" s="35">
        <v>0.0</v>
      </c>
      <c r="J2692" s="35"/>
      <c r="K2692" s="35">
        <v>0.0</v>
      </c>
    </row>
    <row r="2693" ht="15.75" customHeight="1">
      <c r="A2693" s="35" t="s">
        <v>7511</v>
      </c>
      <c r="B2693" s="35"/>
      <c r="C2693" s="35">
        <v>2.0</v>
      </c>
      <c r="D2693" s="35" t="s">
        <v>4635</v>
      </c>
      <c r="E2693" s="35">
        <v>46027.0</v>
      </c>
      <c r="F2693" s="35">
        <v>0.0</v>
      </c>
      <c r="G2693" s="35">
        <v>1.0</v>
      </c>
      <c r="H2693" s="35">
        <v>0.0</v>
      </c>
      <c r="I2693" s="35">
        <v>0.0</v>
      </c>
      <c r="J2693" s="35"/>
      <c r="K2693" s="35">
        <v>0.0</v>
      </c>
    </row>
    <row r="2694" ht="15.75" customHeight="1">
      <c r="A2694" s="35" t="s">
        <v>7512</v>
      </c>
      <c r="B2694" s="35"/>
      <c r="C2694" s="35">
        <v>2.0</v>
      </c>
      <c r="D2694" s="35">
        <v>65.0</v>
      </c>
      <c r="E2694" s="35">
        <v>46027.0</v>
      </c>
      <c r="F2694" s="35">
        <v>0.0</v>
      </c>
      <c r="G2694" s="35">
        <v>246.0</v>
      </c>
      <c r="H2694" s="35">
        <v>0.0</v>
      </c>
      <c r="I2694" s="35">
        <v>0.0</v>
      </c>
      <c r="J2694" s="35"/>
      <c r="K2694" s="35">
        <v>0.0</v>
      </c>
    </row>
    <row r="2695" ht="15.75" customHeight="1">
      <c r="A2695" s="35" t="s">
        <v>7514</v>
      </c>
      <c r="B2695" s="35"/>
      <c r="C2695" s="35">
        <v>2.0</v>
      </c>
      <c r="D2695" s="35" t="s">
        <v>4635</v>
      </c>
      <c r="E2695" s="35">
        <v>46027.0</v>
      </c>
      <c r="F2695" s="35">
        <v>0.0</v>
      </c>
      <c r="G2695" s="35">
        <v>14.0</v>
      </c>
      <c r="H2695" s="35">
        <v>0.0</v>
      </c>
      <c r="I2695" s="35">
        <v>0.0</v>
      </c>
      <c r="J2695" s="35"/>
      <c r="K2695" s="35">
        <v>0.0</v>
      </c>
    </row>
    <row r="2696" ht="15.75" customHeight="1">
      <c r="A2696" s="35" t="s">
        <v>7515</v>
      </c>
      <c r="B2696" s="35"/>
      <c r="C2696" s="35">
        <v>2.0</v>
      </c>
      <c r="D2696" s="35">
        <v>65.0</v>
      </c>
      <c r="E2696" s="35">
        <v>46027.0</v>
      </c>
      <c r="F2696" s="35">
        <v>0.0</v>
      </c>
      <c r="G2696" s="35">
        <v>2.0</v>
      </c>
      <c r="H2696" s="35">
        <v>0.0</v>
      </c>
      <c r="I2696" s="35">
        <v>0.0</v>
      </c>
      <c r="J2696" s="35"/>
      <c r="K2696" s="35">
        <v>0.0</v>
      </c>
    </row>
    <row r="2697" ht="15.75" customHeight="1">
      <c r="A2697" s="35" t="s">
        <v>7517</v>
      </c>
      <c r="B2697" s="35"/>
      <c r="C2697" s="35">
        <v>2.0</v>
      </c>
      <c r="D2697" s="35">
        <v>51.0</v>
      </c>
      <c r="E2697" s="35">
        <v>46027.0</v>
      </c>
      <c r="F2697" s="35">
        <v>0.0</v>
      </c>
      <c r="G2697" s="35">
        <v>9.0</v>
      </c>
      <c r="H2697" s="35">
        <v>0.0</v>
      </c>
      <c r="I2697" s="35">
        <v>0.0</v>
      </c>
      <c r="J2697" s="35"/>
      <c r="K2697" s="35">
        <v>0.0</v>
      </c>
    </row>
    <row r="2698" ht="15.75" customHeight="1">
      <c r="A2698" s="35" t="s">
        <v>7519</v>
      </c>
      <c r="B2698" s="35"/>
      <c r="C2698" s="35">
        <v>2.0</v>
      </c>
      <c r="D2698" s="35" t="s">
        <v>4635</v>
      </c>
      <c r="E2698" s="35">
        <v>46027.0</v>
      </c>
      <c r="F2698" s="35">
        <v>0.0</v>
      </c>
      <c r="G2698" s="35">
        <v>1.0</v>
      </c>
      <c r="H2698" s="35">
        <v>0.0</v>
      </c>
      <c r="I2698" s="35">
        <v>0.0</v>
      </c>
      <c r="J2698" s="35"/>
      <c r="K2698" s="35">
        <v>0.0</v>
      </c>
    </row>
    <row r="2699" ht="15.75" customHeight="1">
      <c r="A2699" s="35" t="s">
        <v>7520</v>
      </c>
      <c r="B2699" s="35"/>
      <c r="C2699" s="35">
        <v>2.0</v>
      </c>
      <c r="D2699" s="35" t="s">
        <v>4635</v>
      </c>
      <c r="E2699" s="35">
        <v>46027.0</v>
      </c>
      <c r="F2699" s="35">
        <v>0.0</v>
      </c>
      <c r="G2699" s="35">
        <v>3.0</v>
      </c>
      <c r="H2699" s="35">
        <v>0.0</v>
      </c>
      <c r="I2699" s="35">
        <v>0.0</v>
      </c>
      <c r="J2699" s="35"/>
      <c r="K2699" s="35">
        <v>0.0</v>
      </c>
    </row>
    <row r="2700" ht="15.75" customHeight="1">
      <c r="A2700" s="35" t="s">
        <v>7522</v>
      </c>
      <c r="B2700" s="35"/>
      <c r="C2700" s="35">
        <v>2.0</v>
      </c>
      <c r="D2700" s="35" t="s">
        <v>4635</v>
      </c>
      <c r="E2700" s="35">
        <v>46027.0</v>
      </c>
      <c r="F2700" s="35">
        <v>0.0</v>
      </c>
      <c r="G2700" s="35">
        <v>2.0</v>
      </c>
      <c r="H2700" s="35">
        <v>0.0</v>
      </c>
      <c r="I2700" s="35">
        <v>0.0</v>
      </c>
      <c r="J2700" s="35"/>
      <c r="K2700" s="35">
        <v>0.0</v>
      </c>
    </row>
    <row r="2701" ht="15.75" customHeight="1">
      <c r="A2701" s="35" t="s">
        <v>7523</v>
      </c>
      <c r="B2701" s="35"/>
      <c r="C2701" s="35">
        <v>2.0</v>
      </c>
      <c r="D2701" s="35" t="s">
        <v>4635</v>
      </c>
      <c r="E2701" s="35">
        <v>46027.0</v>
      </c>
      <c r="F2701" s="35">
        <v>0.0</v>
      </c>
      <c r="G2701" s="35">
        <v>199.0</v>
      </c>
      <c r="H2701" s="35">
        <v>0.0</v>
      </c>
      <c r="I2701" s="35">
        <v>0.0</v>
      </c>
      <c r="J2701" s="35"/>
      <c r="K2701" s="35">
        <v>0.0</v>
      </c>
    </row>
    <row r="2702" ht="15.75" customHeight="1">
      <c r="A2702" s="35" t="s">
        <v>7524</v>
      </c>
      <c r="B2702" s="35"/>
      <c r="C2702" s="35">
        <v>2.0</v>
      </c>
      <c r="D2702" s="35" t="s">
        <v>4635</v>
      </c>
      <c r="E2702" s="35">
        <v>46027.0</v>
      </c>
      <c r="F2702" s="35">
        <v>0.0</v>
      </c>
      <c r="G2702" s="35">
        <v>1.0</v>
      </c>
      <c r="H2702" s="35">
        <v>0.0</v>
      </c>
      <c r="I2702" s="35">
        <v>0.0</v>
      </c>
      <c r="J2702" s="35"/>
      <c r="K2702" s="35">
        <v>0.0</v>
      </c>
    </row>
    <row r="2703" ht="15.75" customHeight="1">
      <c r="A2703" s="35" t="s">
        <v>7526</v>
      </c>
      <c r="B2703" s="35"/>
      <c r="C2703" s="35">
        <v>2.0</v>
      </c>
      <c r="D2703" s="35">
        <v>54.0</v>
      </c>
      <c r="E2703" s="35">
        <v>46027.0</v>
      </c>
      <c r="F2703" s="35">
        <v>0.0</v>
      </c>
      <c r="G2703" s="35">
        <v>7.0</v>
      </c>
      <c r="H2703" s="35">
        <v>0.0</v>
      </c>
      <c r="I2703" s="35">
        <v>0.0</v>
      </c>
      <c r="J2703" s="35"/>
      <c r="K2703" s="35">
        <v>0.0</v>
      </c>
    </row>
    <row r="2704" ht="15.75" customHeight="1">
      <c r="A2704" s="35" t="s">
        <v>7527</v>
      </c>
      <c r="B2704" s="35"/>
      <c r="C2704" s="35">
        <v>2.0</v>
      </c>
      <c r="D2704" s="35" t="s">
        <v>4635</v>
      </c>
      <c r="E2704" s="35">
        <v>46027.0</v>
      </c>
      <c r="F2704" s="35">
        <v>0.0</v>
      </c>
      <c r="G2704" s="35">
        <v>1.0</v>
      </c>
      <c r="H2704" s="35">
        <v>0.0</v>
      </c>
      <c r="I2704" s="35">
        <v>0.0</v>
      </c>
      <c r="J2704" s="35"/>
      <c r="K2704" s="35">
        <v>0.0</v>
      </c>
    </row>
    <row r="2705" ht="15.75" customHeight="1">
      <c r="A2705" s="35" t="s">
        <v>7531</v>
      </c>
      <c r="B2705" s="35"/>
      <c r="C2705" s="35">
        <v>2.0</v>
      </c>
      <c r="D2705" s="35" t="s">
        <v>4635</v>
      </c>
      <c r="E2705" s="35">
        <v>46027.0</v>
      </c>
      <c r="F2705" s="35">
        <v>0.0</v>
      </c>
      <c r="G2705" s="35">
        <v>2.0</v>
      </c>
      <c r="H2705" s="35">
        <v>0.0</v>
      </c>
      <c r="I2705" s="35">
        <v>0.0</v>
      </c>
      <c r="J2705" s="35"/>
      <c r="K2705" s="35">
        <v>0.0</v>
      </c>
    </row>
    <row r="2706" ht="15.75" customHeight="1">
      <c r="A2706" s="35" t="s">
        <v>7532</v>
      </c>
      <c r="B2706" s="35"/>
      <c r="C2706" s="35">
        <v>2.0</v>
      </c>
      <c r="D2706" s="35">
        <v>108.0</v>
      </c>
      <c r="E2706" s="35">
        <v>46027.0</v>
      </c>
      <c r="F2706" s="35">
        <v>0.0</v>
      </c>
      <c r="G2706" s="35">
        <v>15.0</v>
      </c>
      <c r="H2706" s="35">
        <v>0.0</v>
      </c>
      <c r="I2706" s="35">
        <v>0.0</v>
      </c>
      <c r="J2706" s="35"/>
      <c r="K2706" s="35">
        <v>0.0</v>
      </c>
    </row>
    <row r="2707" ht="15.75" customHeight="1">
      <c r="A2707" s="35" t="s">
        <v>7534</v>
      </c>
      <c r="B2707" s="35"/>
      <c r="C2707" s="35">
        <v>2.0</v>
      </c>
      <c r="D2707" s="35">
        <v>57.0</v>
      </c>
      <c r="E2707" s="35">
        <v>46027.0</v>
      </c>
      <c r="F2707" s="35">
        <v>0.0</v>
      </c>
      <c r="G2707" s="35">
        <v>11.0</v>
      </c>
      <c r="H2707" s="35">
        <v>0.0</v>
      </c>
      <c r="I2707" s="35">
        <v>0.0</v>
      </c>
      <c r="J2707" s="35"/>
      <c r="K2707" s="35">
        <v>0.0</v>
      </c>
    </row>
    <row r="2708" ht="15.75" customHeight="1">
      <c r="A2708" s="35" t="s">
        <v>7535</v>
      </c>
      <c r="B2708" s="35"/>
      <c r="C2708" s="35">
        <v>2.0</v>
      </c>
      <c r="D2708" s="35">
        <v>493.0</v>
      </c>
      <c r="E2708" s="35">
        <v>46027.0</v>
      </c>
      <c r="F2708" s="35">
        <v>0.0</v>
      </c>
      <c r="G2708" s="35">
        <v>0.0</v>
      </c>
      <c r="H2708" s="35">
        <v>0.0</v>
      </c>
      <c r="I2708" s="35">
        <v>1.0</v>
      </c>
      <c r="J2708" s="35"/>
      <c r="K2708" s="35">
        <v>0.0</v>
      </c>
    </row>
    <row r="2709" ht="15.75" customHeight="1">
      <c r="A2709" s="35" t="s">
        <v>7536</v>
      </c>
      <c r="B2709" s="35"/>
      <c r="C2709" s="35">
        <v>2.0</v>
      </c>
      <c r="D2709" s="35" t="s">
        <v>4635</v>
      </c>
      <c r="E2709" s="35">
        <v>46027.0</v>
      </c>
      <c r="F2709" s="35">
        <v>0.0</v>
      </c>
      <c r="G2709" s="35">
        <v>6.0</v>
      </c>
      <c r="H2709" s="35">
        <v>0.0</v>
      </c>
      <c r="I2709" s="35">
        <v>0.0</v>
      </c>
      <c r="J2709" s="35"/>
      <c r="K2709" s="35">
        <v>0.0</v>
      </c>
    </row>
    <row r="2710" ht="15.75" customHeight="1">
      <c r="A2710" s="35" t="s">
        <v>7538</v>
      </c>
      <c r="B2710" s="35"/>
      <c r="C2710" s="35">
        <v>2.0</v>
      </c>
      <c r="D2710" s="35">
        <v>46.0</v>
      </c>
      <c r="E2710" s="35">
        <v>46027.0</v>
      </c>
      <c r="F2710" s="35">
        <v>0.0</v>
      </c>
      <c r="G2710" s="35">
        <v>11.0</v>
      </c>
      <c r="H2710" s="35">
        <v>0.0</v>
      </c>
      <c r="I2710" s="35">
        <v>0.0</v>
      </c>
      <c r="J2710" s="35"/>
      <c r="K2710" s="35">
        <v>0.0</v>
      </c>
    </row>
    <row r="2711" ht="15.75" customHeight="1">
      <c r="A2711" s="35" t="s">
        <v>7539</v>
      </c>
      <c r="B2711" s="35"/>
      <c r="C2711" s="35">
        <v>2.0</v>
      </c>
      <c r="D2711" s="35">
        <v>155.0</v>
      </c>
      <c r="E2711" s="35">
        <v>46027.0</v>
      </c>
      <c r="F2711" s="35">
        <v>0.0</v>
      </c>
      <c r="G2711" s="35">
        <v>1.0</v>
      </c>
      <c r="H2711" s="35">
        <v>0.0</v>
      </c>
      <c r="I2711" s="35">
        <v>0.0</v>
      </c>
      <c r="J2711" s="35"/>
      <c r="K2711" s="35">
        <v>0.0</v>
      </c>
    </row>
    <row r="2712" ht="15.75" customHeight="1">
      <c r="A2712" s="35" t="s">
        <v>7540</v>
      </c>
      <c r="B2712" s="35"/>
      <c r="C2712" s="35">
        <v>2.0</v>
      </c>
      <c r="D2712" s="35" t="s">
        <v>4231</v>
      </c>
      <c r="E2712" s="35">
        <v>46027.0</v>
      </c>
      <c r="F2712" s="35">
        <v>0.0</v>
      </c>
      <c r="G2712" s="35">
        <v>1.0</v>
      </c>
      <c r="H2712" s="35">
        <v>0.0</v>
      </c>
      <c r="I2712" s="35">
        <v>0.0</v>
      </c>
      <c r="J2712" s="35"/>
      <c r="K2712" s="35">
        <v>0.0</v>
      </c>
    </row>
    <row r="2713" ht="15.75" customHeight="1">
      <c r="A2713" s="35" t="s">
        <v>7542</v>
      </c>
      <c r="B2713" s="35"/>
      <c r="C2713" s="35">
        <v>2.0</v>
      </c>
      <c r="D2713" s="35" t="s">
        <v>4635</v>
      </c>
      <c r="E2713" s="35">
        <v>46027.0</v>
      </c>
      <c r="F2713" s="35">
        <v>0.0</v>
      </c>
      <c r="G2713" s="35">
        <v>22.0</v>
      </c>
      <c r="H2713" s="35">
        <v>0.0</v>
      </c>
      <c r="I2713" s="35">
        <v>0.0</v>
      </c>
      <c r="J2713" s="35"/>
      <c r="K2713" s="35">
        <v>0.0</v>
      </c>
    </row>
    <row r="2714" ht="15.75" customHeight="1">
      <c r="A2714" s="35" t="s">
        <v>7543</v>
      </c>
      <c r="B2714" s="35"/>
      <c r="C2714" s="35">
        <v>2.0</v>
      </c>
      <c r="D2714" s="35" t="s">
        <v>4635</v>
      </c>
      <c r="E2714" s="35">
        <v>46027.0</v>
      </c>
      <c r="F2714" s="35">
        <v>0.0</v>
      </c>
      <c r="G2714" s="35">
        <v>1.0</v>
      </c>
      <c r="H2714" s="35">
        <v>0.0</v>
      </c>
      <c r="I2714" s="35">
        <v>0.0</v>
      </c>
      <c r="J2714" s="35"/>
      <c r="K2714" s="35">
        <v>0.0</v>
      </c>
    </row>
    <row r="2715" ht="15.75" customHeight="1">
      <c r="A2715" s="35" t="s">
        <v>7545</v>
      </c>
      <c r="B2715" s="35"/>
      <c r="C2715" s="35">
        <v>2.0</v>
      </c>
      <c r="D2715" s="35" t="s">
        <v>4635</v>
      </c>
      <c r="E2715" s="35">
        <v>46027.0</v>
      </c>
      <c r="F2715" s="35">
        <v>0.0</v>
      </c>
      <c r="G2715" s="35">
        <v>7.0</v>
      </c>
      <c r="H2715" s="35">
        <v>0.0</v>
      </c>
      <c r="I2715" s="35">
        <v>0.0</v>
      </c>
      <c r="J2715" s="35"/>
      <c r="K2715" s="35">
        <v>0.0</v>
      </c>
    </row>
    <row r="2716" ht="15.75" customHeight="1">
      <c r="A2716" s="35" t="s">
        <v>7546</v>
      </c>
      <c r="B2716" s="35"/>
      <c r="C2716" s="35">
        <v>2.0</v>
      </c>
      <c r="D2716" s="35" t="s">
        <v>4692</v>
      </c>
      <c r="E2716" s="35">
        <v>46027.0</v>
      </c>
      <c r="F2716" s="35">
        <v>0.0</v>
      </c>
      <c r="G2716" s="35">
        <v>4.0</v>
      </c>
      <c r="H2716" s="35">
        <v>0.0</v>
      </c>
      <c r="I2716" s="35">
        <v>0.0</v>
      </c>
      <c r="J2716" s="35"/>
      <c r="K2716" s="35">
        <v>0.0</v>
      </c>
    </row>
    <row r="2717" ht="15.75" customHeight="1">
      <c r="A2717" s="35" t="s">
        <v>7548</v>
      </c>
      <c r="B2717" s="35"/>
      <c r="C2717" s="35">
        <v>2.0</v>
      </c>
      <c r="D2717" s="35" t="s">
        <v>4635</v>
      </c>
      <c r="E2717" s="35">
        <v>46027.0</v>
      </c>
      <c r="F2717" s="35">
        <v>0.0</v>
      </c>
      <c r="G2717" s="35">
        <v>1.0</v>
      </c>
      <c r="H2717" s="35">
        <v>0.0</v>
      </c>
      <c r="I2717" s="35">
        <v>0.0</v>
      </c>
      <c r="J2717" s="35"/>
      <c r="K2717" s="35">
        <v>0.0</v>
      </c>
    </row>
    <row r="2718" ht="15.75" customHeight="1">
      <c r="A2718" s="35" t="s">
        <v>7549</v>
      </c>
      <c r="B2718" s="35"/>
      <c r="C2718" s="35">
        <v>2.0</v>
      </c>
      <c r="D2718" s="35" t="s">
        <v>4635</v>
      </c>
      <c r="E2718" s="35">
        <v>46027.0</v>
      </c>
      <c r="F2718" s="35">
        <v>0.0</v>
      </c>
      <c r="G2718" s="35">
        <v>1.0</v>
      </c>
      <c r="H2718" s="35">
        <v>0.0</v>
      </c>
      <c r="I2718" s="35">
        <v>0.0</v>
      </c>
      <c r="J2718" s="35"/>
      <c r="K2718" s="35">
        <v>0.0</v>
      </c>
    </row>
    <row r="2719" ht="15.75" customHeight="1">
      <c r="A2719" s="35" t="s">
        <v>7551</v>
      </c>
      <c r="B2719" s="35"/>
      <c r="C2719" s="35">
        <v>2.0</v>
      </c>
      <c r="D2719" s="35" t="s">
        <v>4635</v>
      </c>
      <c r="E2719" s="35">
        <v>46027.0</v>
      </c>
      <c r="F2719" s="35">
        <v>0.0</v>
      </c>
      <c r="G2719" s="35">
        <v>1.0</v>
      </c>
      <c r="H2719" s="35">
        <v>0.0</v>
      </c>
      <c r="I2719" s="35">
        <v>0.0</v>
      </c>
      <c r="J2719" s="35"/>
      <c r="K2719" s="35">
        <v>0.0</v>
      </c>
    </row>
    <row r="2720" ht="15.75" customHeight="1">
      <c r="A2720" s="35" t="s">
        <v>7552</v>
      </c>
      <c r="B2720" s="35"/>
      <c r="C2720" s="35">
        <v>2.0</v>
      </c>
      <c r="D2720" s="35" t="s">
        <v>4635</v>
      </c>
      <c r="E2720" s="35">
        <v>46027.0</v>
      </c>
      <c r="F2720" s="35">
        <v>0.0</v>
      </c>
      <c r="G2720" s="35">
        <v>4.0</v>
      </c>
      <c r="H2720" s="35">
        <v>0.0</v>
      </c>
      <c r="I2720" s="35">
        <v>0.0</v>
      </c>
      <c r="J2720" s="35"/>
      <c r="K2720" s="35">
        <v>0.0</v>
      </c>
    </row>
    <row r="2721" ht="15.75" customHeight="1">
      <c r="A2721" s="35" t="s">
        <v>7553</v>
      </c>
      <c r="B2721" s="35"/>
      <c r="C2721" s="35">
        <v>2.0</v>
      </c>
      <c r="D2721" s="35" t="s">
        <v>4635</v>
      </c>
      <c r="E2721" s="35">
        <v>46027.0</v>
      </c>
      <c r="F2721" s="35">
        <v>0.0</v>
      </c>
      <c r="G2721" s="35">
        <v>2.0</v>
      </c>
      <c r="H2721" s="35">
        <v>0.0</v>
      </c>
      <c r="I2721" s="35">
        <v>0.0</v>
      </c>
      <c r="J2721" s="35"/>
      <c r="K2721" s="35">
        <v>0.0</v>
      </c>
    </row>
    <row r="2722" ht="15.75" customHeight="1">
      <c r="A2722" s="35" t="s">
        <v>7555</v>
      </c>
      <c r="B2722" s="35"/>
      <c r="C2722" s="35">
        <v>2.0</v>
      </c>
      <c r="D2722" s="35">
        <v>543.0</v>
      </c>
      <c r="E2722" s="35">
        <v>46027.0</v>
      </c>
      <c r="F2722" s="35">
        <v>0.0</v>
      </c>
      <c r="G2722" s="35">
        <v>2.0</v>
      </c>
      <c r="H2722" s="35">
        <v>0.0</v>
      </c>
      <c r="I2722" s="35">
        <v>0.0</v>
      </c>
      <c r="J2722" s="35"/>
      <c r="K2722" s="35">
        <v>0.0</v>
      </c>
    </row>
    <row r="2723" ht="15.75" customHeight="1">
      <c r="A2723" s="35" t="s">
        <v>7556</v>
      </c>
      <c r="B2723" s="35"/>
      <c r="C2723" s="35">
        <v>2.0</v>
      </c>
      <c r="D2723" s="35" t="s">
        <v>4635</v>
      </c>
      <c r="E2723" s="35">
        <v>46027.0</v>
      </c>
      <c r="F2723" s="35">
        <v>0.0</v>
      </c>
      <c r="G2723" s="35">
        <v>1.0</v>
      </c>
      <c r="H2723" s="35">
        <v>0.0</v>
      </c>
      <c r="I2723" s="35">
        <v>0.0</v>
      </c>
      <c r="J2723" s="35"/>
      <c r="K2723" s="35">
        <v>0.0</v>
      </c>
    </row>
    <row r="2724" ht="15.75" customHeight="1">
      <c r="A2724" s="35" t="s">
        <v>7558</v>
      </c>
      <c r="B2724" s="35"/>
      <c r="C2724" s="35">
        <v>2.0</v>
      </c>
      <c r="D2724" s="35" t="s">
        <v>4635</v>
      </c>
      <c r="E2724" s="35">
        <v>46027.0</v>
      </c>
      <c r="F2724" s="35">
        <v>0.0</v>
      </c>
      <c r="G2724" s="35">
        <v>13.0</v>
      </c>
      <c r="H2724" s="35">
        <v>0.0</v>
      </c>
      <c r="I2724" s="35">
        <v>0.0</v>
      </c>
      <c r="J2724" s="35"/>
      <c r="K2724" s="35">
        <v>0.0</v>
      </c>
    </row>
    <row r="2725" ht="15.75" customHeight="1">
      <c r="A2725" s="35" t="s">
        <v>7559</v>
      </c>
      <c r="B2725" s="35"/>
      <c r="C2725" s="35">
        <v>2.0</v>
      </c>
      <c r="D2725" s="35" t="s">
        <v>4635</v>
      </c>
      <c r="E2725" s="35">
        <v>46027.0</v>
      </c>
      <c r="F2725" s="35">
        <v>0.0</v>
      </c>
      <c r="G2725" s="35">
        <v>0.0</v>
      </c>
      <c r="H2725" s="35">
        <v>0.0</v>
      </c>
      <c r="I2725" s="35">
        <v>1.0</v>
      </c>
      <c r="J2725" s="35"/>
      <c r="K2725" s="35">
        <v>0.0</v>
      </c>
    </row>
    <row r="2726" ht="15.75" customHeight="1">
      <c r="A2726" s="35" t="s">
        <v>7561</v>
      </c>
      <c r="B2726" s="35"/>
      <c r="C2726" s="35">
        <v>2.0</v>
      </c>
      <c r="D2726" s="35" t="s">
        <v>2016</v>
      </c>
      <c r="E2726" s="35">
        <v>46027.0</v>
      </c>
      <c r="F2726" s="35">
        <v>0.0</v>
      </c>
      <c r="G2726" s="35">
        <v>1.0</v>
      </c>
      <c r="H2726" s="35">
        <v>0.0</v>
      </c>
      <c r="I2726" s="35">
        <v>0.0</v>
      </c>
      <c r="J2726" s="35"/>
      <c r="K2726" s="35">
        <v>0.0</v>
      </c>
    </row>
    <row r="2727" ht="15.75" customHeight="1">
      <c r="A2727" s="35" t="s">
        <v>7562</v>
      </c>
      <c r="B2727" s="35"/>
      <c r="C2727" s="35">
        <v>2.0</v>
      </c>
      <c r="D2727" s="35" t="s">
        <v>4635</v>
      </c>
      <c r="E2727" s="35">
        <v>46027.0</v>
      </c>
      <c r="F2727" s="35">
        <v>0.0</v>
      </c>
      <c r="G2727" s="35">
        <v>1.0</v>
      </c>
      <c r="H2727" s="35">
        <v>0.0</v>
      </c>
      <c r="I2727" s="35">
        <v>0.0</v>
      </c>
      <c r="J2727" s="35"/>
      <c r="K2727" s="35">
        <v>0.0</v>
      </c>
    </row>
    <row r="2728" ht="15.75" customHeight="1">
      <c r="A2728" s="35" t="s">
        <v>7564</v>
      </c>
      <c r="B2728" s="35"/>
      <c r="C2728" s="35">
        <v>2.0</v>
      </c>
      <c r="D2728" s="35" t="s">
        <v>5691</v>
      </c>
      <c r="E2728" s="35">
        <v>46027.0</v>
      </c>
      <c r="F2728" s="35">
        <v>0.0</v>
      </c>
      <c r="G2728" s="35">
        <v>1.0</v>
      </c>
      <c r="H2728" s="35">
        <v>0.0</v>
      </c>
      <c r="I2728" s="35">
        <v>0.0</v>
      </c>
      <c r="J2728" s="35"/>
      <c r="K2728" s="35">
        <v>0.0</v>
      </c>
    </row>
    <row r="2729" ht="15.75" customHeight="1">
      <c r="A2729" s="35" t="s">
        <v>7565</v>
      </c>
      <c r="B2729" s="35"/>
      <c r="C2729" s="35">
        <v>2.0</v>
      </c>
      <c r="D2729" s="35" t="s">
        <v>7566</v>
      </c>
      <c r="E2729" s="35">
        <v>46027.0</v>
      </c>
      <c r="F2729" s="35">
        <v>0.0</v>
      </c>
      <c r="G2729" s="35">
        <v>1.0</v>
      </c>
      <c r="H2729" s="35">
        <v>0.0</v>
      </c>
      <c r="I2729" s="35">
        <v>0.0</v>
      </c>
      <c r="J2729" s="35"/>
      <c r="K2729" s="35">
        <v>0.0</v>
      </c>
    </row>
    <row r="2730" ht="15.75" customHeight="1">
      <c r="A2730" s="35" t="s">
        <v>7568</v>
      </c>
      <c r="B2730" s="35"/>
      <c r="C2730" s="35">
        <v>2.0</v>
      </c>
      <c r="D2730" s="35">
        <v>320.0</v>
      </c>
      <c r="E2730" s="35">
        <v>46027.0</v>
      </c>
      <c r="F2730" s="35">
        <v>0.0</v>
      </c>
      <c r="G2730" s="35">
        <v>2.0</v>
      </c>
      <c r="H2730" s="35">
        <v>0.0</v>
      </c>
      <c r="I2730" s="35">
        <v>0.0</v>
      </c>
      <c r="J2730" s="35"/>
      <c r="K2730" s="35">
        <v>0.0</v>
      </c>
    </row>
    <row r="2731" ht="15.75" customHeight="1">
      <c r="A2731" s="35" t="s">
        <v>7569</v>
      </c>
      <c r="B2731" s="35"/>
      <c r="C2731" s="35">
        <v>2.0</v>
      </c>
      <c r="D2731" s="35" t="s">
        <v>4635</v>
      </c>
      <c r="E2731" s="35">
        <v>46027.0</v>
      </c>
      <c r="F2731" s="35">
        <v>0.0</v>
      </c>
      <c r="G2731" s="35">
        <v>3.0</v>
      </c>
      <c r="H2731" s="35">
        <v>0.0</v>
      </c>
      <c r="I2731" s="35">
        <v>0.0</v>
      </c>
      <c r="J2731" s="35"/>
      <c r="K2731" s="35">
        <v>0.0</v>
      </c>
    </row>
    <row r="2732" ht="15.75" customHeight="1">
      <c r="A2732" s="35" t="s">
        <v>7570</v>
      </c>
      <c r="B2732" s="35"/>
      <c r="C2732" s="35">
        <v>2.0</v>
      </c>
      <c r="D2732" s="35" t="s">
        <v>4635</v>
      </c>
      <c r="E2732" s="35">
        <v>46027.0</v>
      </c>
      <c r="F2732" s="35">
        <v>0.0</v>
      </c>
      <c r="G2732" s="35">
        <v>3.0</v>
      </c>
      <c r="H2732" s="35">
        <v>0.0</v>
      </c>
      <c r="I2732" s="35">
        <v>0.0</v>
      </c>
      <c r="J2732" s="35"/>
      <c r="K2732" s="35">
        <v>0.0</v>
      </c>
    </row>
    <row r="2733" ht="15.75" customHeight="1">
      <c r="A2733" s="35" t="s">
        <v>7572</v>
      </c>
      <c r="B2733" s="35"/>
      <c r="C2733" s="35">
        <v>2.0</v>
      </c>
      <c r="D2733" s="35" t="s">
        <v>4635</v>
      </c>
      <c r="E2733" s="35">
        <v>46027.0</v>
      </c>
      <c r="F2733" s="35">
        <v>0.0</v>
      </c>
      <c r="G2733" s="35">
        <v>1.0</v>
      </c>
      <c r="H2733" s="35">
        <v>0.0</v>
      </c>
      <c r="I2733" s="35">
        <v>0.0</v>
      </c>
      <c r="J2733" s="35"/>
      <c r="K2733" s="35">
        <v>0.0</v>
      </c>
    </row>
    <row r="2734" ht="15.75" customHeight="1">
      <c r="A2734" s="35" t="s">
        <v>7573</v>
      </c>
      <c r="B2734" s="35"/>
      <c r="C2734" s="35">
        <v>2.0</v>
      </c>
      <c r="D2734" s="35">
        <v>194.0</v>
      </c>
      <c r="E2734" s="35">
        <v>46027.0</v>
      </c>
      <c r="F2734" s="35">
        <v>0.0</v>
      </c>
      <c r="G2734" s="35">
        <v>4.0</v>
      </c>
      <c r="H2734" s="35">
        <v>0.0</v>
      </c>
      <c r="I2734" s="35">
        <v>0.0</v>
      </c>
      <c r="J2734" s="35"/>
      <c r="K2734" s="35">
        <v>0.0</v>
      </c>
    </row>
    <row r="2735" ht="15.75" customHeight="1">
      <c r="A2735" s="35" t="s">
        <v>7575</v>
      </c>
      <c r="B2735" s="35"/>
      <c r="C2735" s="35">
        <v>2.0</v>
      </c>
      <c r="D2735" s="35">
        <v>23.0</v>
      </c>
      <c r="E2735" s="35">
        <v>46027.0</v>
      </c>
      <c r="F2735" s="35">
        <v>0.0</v>
      </c>
      <c r="G2735" s="35">
        <v>18.0</v>
      </c>
      <c r="H2735" s="35">
        <v>0.0</v>
      </c>
      <c r="I2735" s="35">
        <v>0.0</v>
      </c>
      <c r="J2735" s="35"/>
      <c r="K2735" s="35">
        <v>0.0</v>
      </c>
    </row>
    <row r="2736" ht="15.75" customHeight="1">
      <c r="A2736" s="35" t="s">
        <v>7576</v>
      </c>
      <c r="B2736" s="35"/>
      <c r="C2736" s="35">
        <v>2.0</v>
      </c>
      <c r="D2736" s="35" t="s">
        <v>2018</v>
      </c>
      <c r="E2736" s="35">
        <v>46027.0</v>
      </c>
      <c r="F2736" s="35">
        <v>0.0</v>
      </c>
      <c r="G2736" s="35">
        <v>2.0</v>
      </c>
      <c r="H2736" s="35">
        <v>0.0</v>
      </c>
      <c r="I2736" s="35">
        <v>0.0</v>
      </c>
      <c r="J2736" s="35"/>
      <c r="K2736" s="35">
        <v>0.0</v>
      </c>
    </row>
    <row r="2737" ht="15.75" customHeight="1">
      <c r="A2737" s="35" t="s">
        <v>7578</v>
      </c>
      <c r="B2737" s="35"/>
      <c r="C2737" s="35">
        <v>2.0</v>
      </c>
      <c r="D2737" s="35" t="s">
        <v>4343</v>
      </c>
      <c r="E2737" s="35">
        <v>46027.0</v>
      </c>
      <c r="F2737" s="35">
        <v>0.0</v>
      </c>
      <c r="G2737" s="35">
        <v>1.0</v>
      </c>
      <c r="H2737" s="35">
        <v>0.0</v>
      </c>
      <c r="I2737" s="35">
        <v>0.0</v>
      </c>
      <c r="J2737" s="35"/>
      <c r="K2737" s="35">
        <v>0.0</v>
      </c>
    </row>
    <row r="2738" ht="15.75" customHeight="1">
      <c r="A2738" s="35" t="s">
        <v>7579</v>
      </c>
      <c r="B2738" s="35"/>
      <c r="C2738" s="35">
        <v>2.0</v>
      </c>
      <c r="D2738" s="35" t="s">
        <v>2016</v>
      </c>
      <c r="E2738" s="35">
        <v>46027.0</v>
      </c>
      <c r="F2738" s="35">
        <v>0.0</v>
      </c>
      <c r="G2738" s="35">
        <v>2.0</v>
      </c>
      <c r="H2738" s="35">
        <v>0.0</v>
      </c>
      <c r="I2738" s="35">
        <v>0.0</v>
      </c>
      <c r="J2738" s="35"/>
      <c r="K2738" s="35">
        <v>0.0</v>
      </c>
    </row>
    <row r="2739" ht="15.75" customHeight="1">
      <c r="A2739" s="35" t="s">
        <v>7581</v>
      </c>
      <c r="B2739" s="35"/>
      <c r="C2739" s="35">
        <v>2.0</v>
      </c>
      <c r="D2739" s="35" t="s">
        <v>2040</v>
      </c>
      <c r="E2739" s="35">
        <v>46027.0</v>
      </c>
      <c r="F2739" s="35">
        <v>0.0</v>
      </c>
      <c r="G2739" s="35">
        <v>1.0</v>
      </c>
      <c r="H2739" s="35">
        <v>0.0</v>
      </c>
      <c r="I2739" s="35">
        <v>0.0</v>
      </c>
      <c r="J2739" s="35"/>
      <c r="K2739" s="35">
        <v>0.0</v>
      </c>
    </row>
    <row r="2740" ht="15.75" customHeight="1">
      <c r="A2740" s="35" t="s">
        <v>7582</v>
      </c>
      <c r="B2740" s="35"/>
      <c r="C2740" s="35">
        <v>2.0</v>
      </c>
      <c r="D2740" s="35" t="s">
        <v>3577</v>
      </c>
      <c r="E2740" s="35">
        <v>46027.0</v>
      </c>
      <c r="F2740" s="35">
        <v>0.0</v>
      </c>
      <c r="G2740" s="35">
        <v>1.0</v>
      </c>
      <c r="H2740" s="35">
        <v>0.0</v>
      </c>
      <c r="I2740" s="35">
        <v>0.0</v>
      </c>
      <c r="J2740" s="35"/>
      <c r="K2740" s="35">
        <v>0.0</v>
      </c>
    </row>
    <row r="2741" ht="15.75" customHeight="1">
      <c r="A2741" s="35" t="s">
        <v>7583</v>
      </c>
      <c r="B2741" s="35"/>
      <c r="C2741" s="35">
        <v>2.0</v>
      </c>
      <c r="D2741" s="35" t="s">
        <v>2005</v>
      </c>
      <c r="E2741" s="35">
        <v>46027.0</v>
      </c>
      <c r="F2741" s="35">
        <v>0.0</v>
      </c>
      <c r="G2741" s="35">
        <v>1.0</v>
      </c>
      <c r="H2741" s="35">
        <v>0.0</v>
      </c>
      <c r="I2741" s="35">
        <v>0.0</v>
      </c>
      <c r="J2741" s="35"/>
      <c r="K2741" s="35">
        <v>0.0</v>
      </c>
    </row>
    <row r="2742" ht="15.75" customHeight="1">
      <c r="A2742" s="35" t="s">
        <v>7585</v>
      </c>
      <c r="B2742" s="35"/>
      <c r="C2742" s="35">
        <v>2.0</v>
      </c>
      <c r="D2742" s="35">
        <v>57.0</v>
      </c>
      <c r="E2742" s="35">
        <v>46027.0</v>
      </c>
      <c r="F2742" s="35">
        <v>0.0</v>
      </c>
      <c r="G2742" s="35">
        <v>12.0</v>
      </c>
      <c r="H2742" s="35">
        <v>0.0</v>
      </c>
      <c r="I2742" s="35">
        <v>0.0</v>
      </c>
      <c r="J2742" s="35"/>
      <c r="K2742" s="35">
        <v>0.0</v>
      </c>
    </row>
    <row r="2743" ht="15.75" customHeight="1">
      <c r="A2743" s="35" t="s">
        <v>7586</v>
      </c>
      <c r="B2743" s="35"/>
      <c r="C2743" s="35">
        <v>2.0</v>
      </c>
      <c r="D2743" s="35" t="s">
        <v>4635</v>
      </c>
      <c r="E2743" s="35">
        <v>46027.0</v>
      </c>
      <c r="F2743" s="35">
        <v>0.0</v>
      </c>
      <c r="G2743" s="35">
        <v>12.0</v>
      </c>
      <c r="H2743" s="35">
        <v>0.0</v>
      </c>
      <c r="I2743" s="35">
        <v>0.0</v>
      </c>
      <c r="J2743" s="35"/>
      <c r="K2743" s="35">
        <v>0.0</v>
      </c>
    </row>
    <row r="2744" ht="15.75" customHeight="1">
      <c r="A2744" s="35" t="s">
        <v>7588</v>
      </c>
      <c r="B2744" s="35"/>
      <c r="C2744" s="35">
        <v>2.0</v>
      </c>
      <c r="D2744" s="35">
        <v>345.0</v>
      </c>
      <c r="E2744" s="35">
        <v>46027.0</v>
      </c>
      <c r="F2744" s="35">
        <v>0.0</v>
      </c>
      <c r="G2744" s="35">
        <v>1.0</v>
      </c>
      <c r="H2744" s="35">
        <v>0.0</v>
      </c>
      <c r="I2744" s="35">
        <v>0.0</v>
      </c>
      <c r="J2744" s="35"/>
      <c r="K2744" s="35">
        <v>0.0</v>
      </c>
    </row>
    <row r="2745" ht="15.75" customHeight="1">
      <c r="A2745" s="35" t="s">
        <v>7589</v>
      </c>
      <c r="B2745" s="35"/>
      <c r="C2745" s="35">
        <v>2.0</v>
      </c>
      <c r="D2745" s="35" t="s">
        <v>4635</v>
      </c>
      <c r="E2745" s="35">
        <v>46027.0</v>
      </c>
      <c r="F2745" s="35">
        <v>0.0</v>
      </c>
      <c r="G2745" s="35">
        <v>2.0</v>
      </c>
      <c r="H2745" s="35">
        <v>0.0</v>
      </c>
      <c r="I2745" s="35">
        <v>0.0</v>
      </c>
      <c r="J2745" s="35"/>
      <c r="K2745" s="35">
        <v>0.0</v>
      </c>
    </row>
    <row r="2746" ht="15.75" customHeight="1">
      <c r="A2746" s="35" t="s">
        <v>7591</v>
      </c>
      <c r="B2746" s="35"/>
      <c r="C2746" s="35">
        <v>2.0</v>
      </c>
      <c r="D2746" s="35" t="s">
        <v>4635</v>
      </c>
      <c r="E2746" s="35">
        <v>46027.0</v>
      </c>
      <c r="F2746" s="35">
        <v>0.0</v>
      </c>
      <c r="G2746" s="35">
        <v>1.0</v>
      </c>
      <c r="H2746" s="35">
        <v>0.0</v>
      </c>
      <c r="I2746" s="35">
        <v>0.0</v>
      </c>
      <c r="J2746" s="35"/>
      <c r="K2746" s="35">
        <v>0.0</v>
      </c>
    </row>
    <row r="2747" ht="15.75" customHeight="1">
      <c r="A2747" s="35" t="s">
        <v>7592</v>
      </c>
      <c r="B2747" s="35"/>
      <c r="C2747" s="35">
        <v>2.0</v>
      </c>
      <c r="D2747" s="35" t="s">
        <v>4635</v>
      </c>
      <c r="E2747" s="35">
        <v>46027.0</v>
      </c>
      <c r="F2747" s="35">
        <v>0.0</v>
      </c>
      <c r="G2747" s="35">
        <v>1.0</v>
      </c>
      <c r="H2747" s="35">
        <v>0.0</v>
      </c>
      <c r="I2747" s="35">
        <v>0.0</v>
      </c>
      <c r="J2747" s="35"/>
      <c r="K2747" s="35">
        <v>0.0</v>
      </c>
    </row>
    <row r="2748" ht="15.75" customHeight="1">
      <c r="A2748" s="35" t="s">
        <v>7594</v>
      </c>
      <c r="B2748" s="35"/>
      <c r="C2748" s="35">
        <v>2.0</v>
      </c>
      <c r="D2748" s="35" t="s">
        <v>4635</v>
      </c>
      <c r="E2748" s="35">
        <v>46027.0</v>
      </c>
      <c r="F2748" s="35">
        <v>0.0</v>
      </c>
      <c r="G2748" s="35">
        <v>4.0</v>
      </c>
      <c r="H2748" s="35">
        <v>0.0</v>
      </c>
      <c r="I2748" s="35">
        <v>0.0</v>
      </c>
      <c r="J2748" s="35"/>
      <c r="K2748" s="35">
        <v>0.0</v>
      </c>
    </row>
    <row r="2749" ht="15.75" customHeight="1">
      <c r="A2749" s="35" t="s">
        <v>7595</v>
      </c>
      <c r="B2749" s="35"/>
      <c r="C2749" s="35">
        <v>2.0</v>
      </c>
      <c r="D2749" s="35" t="s">
        <v>4635</v>
      </c>
      <c r="E2749" s="35">
        <v>46027.0</v>
      </c>
      <c r="F2749" s="35">
        <v>0.0</v>
      </c>
      <c r="G2749" s="35">
        <v>8.0</v>
      </c>
      <c r="H2749" s="35">
        <v>0.0</v>
      </c>
      <c r="I2749" s="35">
        <v>0.0</v>
      </c>
      <c r="J2749" s="35"/>
      <c r="K2749" s="35">
        <v>0.0</v>
      </c>
    </row>
    <row r="2750" ht="15.75" customHeight="1">
      <c r="A2750" s="35" t="s">
        <v>7597</v>
      </c>
      <c r="B2750" s="35"/>
      <c r="C2750" s="35">
        <v>2.0</v>
      </c>
      <c r="D2750" s="35" t="s">
        <v>4635</v>
      </c>
      <c r="E2750" s="35">
        <v>46027.0</v>
      </c>
      <c r="F2750" s="35">
        <v>0.0</v>
      </c>
      <c r="G2750" s="35">
        <v>2.0</v>
      </c>
      <c r="H2750" s="35">
        <v>0.0</v>
      </c>
      <c r="I2750" s="35">
        <v>0.0</v>
      </c>
      <c r="J2750" s="35"/>
      <c r="K2750" s="35">
        <v>0.0</v>
      </c>
    </row>
    <row r="2751" ht="15.75" customHeight="1">
      <c r="A2751" s="35" t="s">
        <v>7598</v>
      </c>
      <c r="B2751" s="35"/>
      <c r="C2751" s="35">
        <v>2.0</v>
      </c>
      <c r="D2751" s="35">
        <v>269.0</v>
      </c>
      <c r="E2751" s="35">
        <v>46027.0</v>
      </c>
      <c r="F2751" s="35">
        <v>0.0</v>
      </c>
      <c r="G2751" s="35">
        <v>2.0</v>
      </c>
      <c r="H2751" s="35">
        <v>0.0</v>
      </c>
      <c r="I2751" s="35">
        <v>0.0</v>
      </c>
      <c r="J2751" s="35"/>
      <c r="K2751" s="35">
        <v>0.0</v>
      </c>
    </row>
    <row r="2752" ht="15.75" customHeight="1">
      <c r="A2752" s="35" t="s">
        <v>7599</v>
      </c>
      <c r="B2752" s="35"/>
      <c r="C2752" s="35">
        <v>2.0</v>
      </c>
      <c r="D2752" s="35" t="s">
        <v>4635</v>
      </c>
      <c r="E2752" s="35">
        <v>46027.0</v>
      </c>
      <c r="F2752" s="35">
        <v>0.0</v>
      </c>
      <c r="G2752" s="35">
        <v>2.0</v>
      </c>
      <c r="H2752" s="35">
        <v>0.0</v>
      </c>
      <c r="I2752" s="35">
        <v>0.0</v>
      </c>
      <c r="J2752" s="35"/>
      <c r="K2752" s="35">
        <v>0.0</v>
      </c>
    </row>
    <row r="2753" ht="15.75" customHeight="1">
      <c r="A2753" s="35" t="s">
        <v>7601</v>
      </c>
      <c r="B2753" s="35"/>
      <c r="C2753" s="35">
        <v>2.0</v>
      </c>
      <c r="D2753" s="35" t="s">
        <v>4635</v>
      </c>
      <c r="E2753" s="35">
        <v>46027.0</v>
      </c>
      <c r="F2753" s="35">
        <v>0.0</v>
      </c>
      <c r="G2753" s="35">
        <v>0.0</v>
      </c>
      <c r="H2753" s="35">
        <v>1.0</v>
      </c>
      <c r="I2753" s="35">
        <v>0.0</v>
      </c>
      <c r="J2753" s="35"/>
      <c r="K2753" s="35">
        <v>0.0</v>
      </c>
    </row>
    <row r="2754" ht="15.75" customHeight="1">
      <c r="A2754" s="35" t="s">
        <v>7602</v>
      </c>
      <c r="B2754" s="35"/>
      <c r="C2754" s="35">
        <v>2.0</v>
      </c>
      <c r="D2754" s="35" t="s">
        <v>4635</v>
      </c>
      <c r="E2754" s="35">
        <v>46027.0</v>
      </c>
      <c r="F2754" s="35">
        <v>0.0</v>
      </c>
      <c r="G2754" s="35">
        <v>1.0</v>
      </c>
      <c r="H2754" s="35">
        <v>0.0</v>
      </c>
      <c r="I2754" s="35">
        <v>0.0</v>
      </c>
      <c r="J2754" s="35"/>
      <c r="K2754" s="35">
        <v>0.0</v>
      </c>
    </row>
    <row r="2755" ht="15.75" customHeight="1">
      <c r="A2755" s="35" t="s">
        <v>7604</v>
      </c>
      <c r="B2755" s="35"/>
      <c r="C2755" s="35">
        <v>2.0</v>
      </c>
      <c r="D2755" s="35" t="s">
        <v>4635</v>
      </c>
      <c r="E2755" s="35">
        <v>46027.0</v>
      </c>
      <c r="F2755" s="35">
        <v>0.0</v>
      </c>
      <c r="G2755" s="35">
        <v>1.0</v>
      </c>
      <c r="H2755" s="35">
        <v>0.0</v>
      </c>
      <c r="I2755" s="35">
        <v>0.0</v>
      </c>
      <c r="J2755" s="35"/>
      <c r="K2755" s="35">
        <v>0.0</v>
      </c>
    </row>
    <row r="2756" ht="15.75" customHeight="1">
      <c r="A2756" s="35" t="s">
        <v>7605</v>
      </c>
      <c r="B2756" s="35"/>
      <c r="C2756" s="35">
        <v>2.0</v>
      </c>
      <c r="D2756" s="35">
        <v>23.0</v>
      </c>
      <c r="E2756" s="35">
        <v>46027.0</v>
      </c>
      <c r="F2756" s="35">
        <v>0.0</v>
      </c>
      <c r="G2756" s="35">
        <v>8.0</v>
      </c>
      <c r="H2756" s="35">
        <v>0.0</v>
      </c>
      <c r="I2756" s="35">
        <v>0.0</v>
      </c>
      <c r="J2756" s="35"/>
      <c r="K2756" s="35">
        <v>0.0</v>
      </c>
    </row>
    <row r="2757" ht="15.75" customHeight="1">
      <c r="A2757" s="35" t="s">
        <v>7607</v>
      </c>
      <c r="B2757" s="35"/>
      <c r="C2757" s="35">
        <v>2.0</v>
      </c>
      <c r="D2757" s="35">
        <v>833.0</v>
      </c>
      <c r="E2757" s="35">
        <v>46027.0</v>
      </c>
      <c r="F2757" s="35">
        <v>0.0</v>
      </c>
      <c r="G2757" s="35">
        <v>10.0</v>
      </c>
      <c r="H2757" s="35">
        <v>0.0</v>
      </c>
      <c r="I2757" s="35">
        <v>0.0</v>
      </c>
      <c r="J2757" s="35"/>
      <c r="K2757" s="35">
        <v>0.0</v>
      </c>
    </row>
    <row r="2758" ht="15.75" customHeight="1">
      <c r="A2758" s="35" t="s">
        <v>7608</v>
      </c>
      <c r="B2758" s="35"/>
      <c r="C2758" s="35">
        <v>2.0</v>
      </c>
      <c r="D2758" s="35">
        <v>418.0</v>
      </c>
      <c r="E2758" s="35">
        <v>46027.0</v>
      </c>
      <c r="F2758" s="35">
        <v>0.0</v>
      </c>
      <c r="G2758" s="35">
        <v>2.0</v>
      </c>
      <c r="H2758" s="35">
        <v>0.0</v>
      </c>
      <c r="I2758" s="35">
        <v>0.0</v>
      </c>
      <c r="J2758" s="35"/>
      <c r="K2758" s="35">
        <v>0.0</v>
      </c>
    </row>
    <row r="2759" ht="15.75" customHeight="1">
      <c r="A2759" s="35" t="s">
        <v>7610</v>
      </c>
      <c r="B2759" s="35"/>
      <c r="C2759" s="35">
        <v>2.0</v>
      </c>
      <c r="D2759" s="35" t="s">
        <v>4635</v>
      </c>
      <c r="E2759" s="35">
        <v>46027.0</v>
      </c>
      <c r="F2759" s="35">
        <v>0.0</v>
      </c>
      <c r="G2759" s="35">
        <v>9.0</v>
      </c>
      <c r="H2759" s="35">
        <v>0.0</v>
      </c>
      <c r="I2759" s="35">
        <v>0.0</v>
      </c>
      <c r="J2759" s="35"/>
      <c r="K2759" s="35">
        <v>0.0</v>
      </c>
    </row>
    <row r="2760" ht="15.75" customHeight="1">
      <c r="A2760" s="35" t="s">
        <v>7611</v>
      </c>
      <c r="B2760" s="35"/>
      <c r="C2760" s="35">
        <v>2.0</v>
      </c>
      <c r="D2760" s="35">
        <v>140.0</v>
      </c>
      <c r="E2760" s="35">
        <v>46027.0</v>
      </c>
      <c r="F2760" s="35">
        <v>0.0</v>
      </c>
      <c r="G2760" s="35">
        <v>7.0</v>
      </c>
      <c r="H2760" s="35">
        <v>0.0</v>
      </c>
      <c r="I2760" s="35">
        <v>0.0</v>
      </c>
      <c r="J2760" s="35"/>
      <c r="K2760" s="35">
        <v>0.0</v>
      </c>
    </row>
    <row r="2761" ht="15.75" customHeight="1">
      <c r="A2761" s="35" t="s">
        <v>7612</v>
      </c>
      <c r="B2761" s="35"/>
      <c r="C2761" s="35">
        <v>2.0</v>
      </c>
      <c r="D2761" s="35" t="s">
        <v>4523</v>
      </c>
      <c r="E2761" s="35">
        <v>46027.0</v>
      </c>
      <c r="F2761" s="35">
        <v>0.0</v>
      </c>
      <c r="G2761" s="35">
        <v>2.0</v>
      </c>
      <c r="H2761" s="35">
        <v>0.0</v>
      </c>
      <c r="I2761" s="35">
        <v>0.0</v>
      </c>
      <c r="J2761" s="35"/>
      <c r="K2761" s="35">
        <v>0.0</v>
      </c>
    </row>
    <row r="2762" ht="15.75" customHeight="1">
      <c r="A2762" s="35" t="s">
        <v>7614</v>
      </c>
      <c r="B2762" s="35"/>
      <c r="C2762" s="35">
        <v>2.0</v>
      </c>
      <c r="D2762" s="35" t="s">
        <v>4635</v>
      </c>
      <c r="E2762" s="35">
        <v>46027.0</v>
      </c>
      <c r="F2762" s="35">
        <v>0.0</v>
      </c>
      <c r="G2762" s="35">
        <v>20.0</v>
      </c>
      <c r="H2762" s="35">
        <v>0.0</v>
      </c>
      <c r="I2762" s="35">
        <v>0.0</v>
      </c>
      <c r="J2762" s="35"/>
      <c r="K2762" s="35">
        <v>0.0</v>
      </c>
    </row>
    <row r="2763" ht="15.75" customHeight="1">
      <c r="A2763" s="35" t="s">
        <v>7615</v>
      </c>
      <c r="B2763" s="35"/>
      <c r="C2763" s="35">
        <v>2.0</v>
      </c>
      <c r="D2763" s="35" t="s">
        <v>4635</v>
      </c>
      <c r="E2763" s="35">
        <v>46027.0</v>
      </c>
      <c r="F2763" s="35">
        <v>0.0</v>
      </c>
      <c r="G2763" s="35">
        <v>17.0</v>
      </c>
      <c r="H2763" s="35">
        <v>0.0</v>
      </c>
      <c r="I2763" s="35">
        <v>0.0</v>
      </c>
      <c r="J2763" s="35"/>
      <c r="K2763" s="35">
        <v>0.0</v>
      </c>
    </row>
    <row r="2764" ht="15.75" customHeight="1">
      <c r="A2764" s="35" t="s">
        <v>7617</v>
      </c>
      <c r="B2764" s="35"/>
      <c r="C2764" s="35">
        <v>2.0</v>
      </c>
      <c r="D2764" s="35" t="s">
        <v>4563</v>
      </c>
      <c r="E2764" s="35">
        <v>46027.0</v>
      </c>
      <c r="F2764" s="35">
        <v>0.0</v>
      </c>
      <c r="G2764" s="35">
        <v>1.0</v>
      </c>
      <c r="H2764" s="35">
        <v>0.0</v>
      </c>
      <c r="I2764" s="35">
        <v>0.0</v>
      </c>
      <c r="J2764" s="35"/>
      <c r="K2764" s="35">
        <v>0.0</v>
      </c>
    </row>
    <row r="2765" ht="15.75" customHeight="1">
      <c r="A2765" s="35" t="s">
        <v>7618</v>
      </c>
      <c r="B2765" s="35"/>
      <c r="C2765" s="35">
        <v>2.0</v>
      </c>
      <c r="D2765" s="35" t="s">
        <v>4635</v>
      </c>
      <c r="E2765" s="35">
        <v>46027.0</v>
      </c>
      <c r="F2765" s="35">
        <v>0.0</v>
      </c>
      <c r="G2765" s="35">
        <v>4.0</v>
      </c>
      <c r="H2765" s="35">
        <v>0.0</v>
      </c>
      <c r="I2765" s="35">
        <v>0.0</v>
      </c>
      <c r="J2765" s="35"/>
      <c r="K2765" s="35">
        <v>0.0</v>
      </c>
    </row>
    <row r="2766" ht="15.75" customHeight="1">
      <c r="A2766" s="35" t="s">
        <v>7619</v>
      </c>
      <c r="B2766" s="35"/>
      <c r="C2766" s="35">
        <v>2.0</v>
      </c>
      <c r="D2766" s="35" t="s">
        <v>4635</v>
      </c>
      <c r="E2766" s="35">
        <v>46027.0</v>
      </c>
      <c r="F2766" s="35">
        <v>0.0</v>
      </c>
      <c r="G2766" s="35">
        <v>1.0</v>
      </c>
      <c r="H2766" s="35">
        <v>0.0</v>
      </c>
      <c r="I2766" s="35">
        <v>0.0</v>
      </c>
      <c r="J2766" s="35"/>
      <c r="K2766" s="35">
        <v>0.0</v>
      </c>
    </row>
    <row r="2767" ht="15.75" customHeight="1">
      <c r="A2767" s="35" t="s">
        <v>7621</v>
      </c>
      <c r="B2767" s="35"/>
      <c r="C2767" s="35">
        <v>2.0</v>
      </c>
      <c r="D2767" s="35">
        <v>198.0</v>
      </c>
      <c r="E2767" s="35">
        <v>46027.0</v>
      </c>
      <c r="F2767" s="35">
        <v>0.0</v>
      </c>
      <c r="G2767" s="35">
        <v>3.0</v>
      </c>
      <c r="H2767" s="35">
        <v>0.0</v>
      </c>
      <c r="I2767" s="35">
        <v>0.0</v>
      </c>
      <c r="J2767" s="35"/>
      <c r="K2767" s="35">
        <v>0.0</v>
      </c>
    </row>
    <row r="2768" ht="15.75" customHeight="1">
      <c r="A2768" s="35" t="s">
        <v>7622</v>
      </c>
      <c r="B2768" s="35"/>
      <c r="C2768" s="35">
        <v>2.0</v>
      </c>
      <c r="D2768" s="35" t="s">
        <v>4635</v>
      </c>
      <c r="E2768" s="35">
        <v>46027.0</v>
      </c>
      <c r="F2768" s="35">
        <v>0.0</v>
      </c>
      <c r="G2768" s="35">
        <v>9.0</v>
      </c>
      <c r="H2768" s="35">
        <v>0.0</v>
      </c>
      <c r="I2768" s="35">
        <v>0.0</v>
      </c>
      <c r="J2768" s="35"/>
      <c r="K2768" s="35">
        <v>0.0</v>
      </c>
    </row>
    <row r="2769" ht="15.75" customHeight="1">
      <c r="A2769" s="35" t="s">
        <v>7624</v>
      </c>
      <c r="B2769" s="35"/>
      <c r="C2769" s="35">
        <v>2.0</v>
      </c>
      <c r="D2769" s="35" t="s">
        <v>4635</v>
      </c>
      <c r="E2769" s="35">
        <v>46027.0</v>
      </c>
      <c r="F2769" s="35">
        <v>0.0</v>
      </c>
      <c r="G2769" s="35">
        <v>1.0</v>
      </c>
      <c r="H2769" s="35">
        <v>0.0</v>
      </c>
      <c r="I2769" s="35">
        <v>0.0</v>
      </c>
      <c r="J2769" s="35"/>
      <c r="K2769" s="35">
        <v>0.0</v>
      </c>
    </row>
    <row r="2770" ht="15.75" customHeight="1">
      <c r="A2770" s="35" t="s">
        <v>7625</v>
      </c>
      <c r="B2770" s="35"/>
      <c r="C2770" s="35">
        <v>2.0</v>
      </c>
      <c r="D2770" s="35" t="s">
        <v>4635</v>
      </c>
      <c r="E2770" s="35">
        <v>46027.0</v>
      </c>
      <c r="F2770" s="35">
        <v>0.0</v>
      </c>
      <c r="G2770" s="35">
        <v>20.0</v>
      </c>
      <c r="H2770" s="35">
        <v>0.0</v>
      </c>
      <c r="I2770" s="35">
        <v>0.0</v>
      </c>
      <c r="J2770" s="35"/>
      <c r="K2770" s="35">
        <v>0.0</v>
      </c>
    </row>
    <row r="2771" ht="15.75" customHeight="1">
      <c r="A2771" s="35" t="s">
        <v>7627</v>
      </c>
      <c r="B2771" s="35"/>
      <c r="C2771" s="35">
        <v>2.0</v>
      </c>
      <c r="D2771" s="35" t="s">
        <v>4635</v>
      </c>
      <c r="E2771" s="35">
        <v>46027.0</v>
      </c>
      <c r="F2771" s="35">
        <v>0.0</v>
      </c>
      <c r="G2771" s="35">
        <v>0.0</v>
      </c>
      <c r="H2771" s="35">
        <v>0.0</v>
      </c>
      <c r="I2771" s="35">
        <v>1.0</v>
      </c>
      <c r="J2771" s="35"/>
      <c r="K2771" s="35">
        <v>0.0</v>
      </c>
    </row>
    <row r="2772" ht="15.75" customHeight="1">
      <c r="A2772" s="35" t="s">
        <v>7628</v>
      </c>
      <c r="B2772" s="35"/>
      <c r="C2772" s="35">
        <v>2.0</v>
      </c>
      <c r="D2772" s="35" t="s">
        <v>4635</v>
      </c>
      <c r="E2772" s="35">
        <v>46027.0</v>
      </c>
      <c r="F2772" s="35">
        <v>0.0</v>
      </c>
      <c r="G2772" s="35">
        <v>4.0</v>
      </c>
      <c r="H2772" s="35">
        <v>0.0</v>
      </c>
      <c r="I2772" s="35">
        <v>0.0</v>
      </c>
      <c r="J2772" s="35"/>
      <c r="K2772" s="35">
        <v>0.0</v>
      </c>
    </row>
    <row r="2773" ht="15.75" customHeight="1">
      <c r="A2773" s="35" t="s">
        <v>7629</v>
      </c>
      <c r="B2773" s="35"/>
      <c r="C2773" s="35">
        <v>2.0</v>
      </c>
      <c r="D2773" s="35" t="s">
        <v>4635</v>
      </c>
      <c r="E2773" s="35">
        <v>46027.0</v>
      </c>
      <c r="F2773" s="35">
        <v>0.0</v>
      </c>
      <c r="G2773" s="35">
        <v>2.0</v>
      </c>
      <c r="H2773" s="35">
        <v>0.0</v>
      </c>
      <c r="I2773" s="35">
        <v>0.0</v>
      </c>
      <c r="J2773" s="35"/>
      <c r="K2773" s="35">
        <v>0.0</v>
      </c>
    </row>
    <row r="2774" ht="15.75" customHeight="1">
      <c r="A2774" s="35" t="s">
        <v>7631</v>
      </c>
      <c r="B2774" s="35"/>
      <c r="C2774" s="35">
        <v>2.0</v>
      </c>
      <c r="D2774" s="35" t="s">
        <v>4635</v>
      </c>
      <c r="E2774" s="35">
        <v>46027.0</v>
      </c>
      <c r="F2774" s="35">
        <v>0.0</v>
      </c>
      <c r="G2774" s="35">
        <v>0.0</v>
      </c>
      <c r="H2774" s="35">
        <v>3.0</v>
      </c>
      <c r="I2774" s="35">
        <v>0.0</v>
      </c>
      <c r="J2774" s="35"/>
      <c r="K2774" s="35">
        <v>0.0</v>
      </c>
    </row>
    <row r="2775" ht="15.75" customHeight="1">
      <c r="A2775" s="35" t="s">
        <v>7632</v>
      </c>
      <c r="B2775" s="35"/>
      <c r="C2775" s="35">
        <v>2.0</v>
      </c>
      <c r="D2775" s="35" t="s">
        <v>4635</v>
      </c>
      <c r="E2775" s="35">
        <v>46027.0</v>
      </c>
      <c r="F2775" s="35">
        <v>0.0</v>
      </c>
      <c r="G2775" s="35">
        <v>0.0</v>
      </c>
      <c r="H2775" s="35">
        <v>0.0</v>
      </c>
      <c r="I2775" s="35">
        <v>1.0</v>
      </c>
      <c r="J2775" s="35"/>
      <c r="K2775" s="35">
        <v>0.0</v>
      </c>
    </row>
    <row r="2776" ht="15.75" customHeight="1">
      <c r="A2776" s="35" t="s">
        <v>7634</v>
      </c>
      <c r="B2776" s="35"/>
      <c r="C2776" s="35">
        <v>2.0</v>
      </c>
      <c r="D2776" s="35">
        <v>798.0</v>
      </c>
      <c r="E2776" s="35">
        <v>46027.0</v>
      </c>
      <c r="F2776" s="35">
        <v>0.0</v>
      </c>
      <c r="G2776" s="35">
        <v>6.0</v>
      </c>
      <c r="H2776" s="35">
        <v>0.0</v>
      </c>
      <c r="I2776" s="35">
        <v>0.0</v>
      </c>
      <c r="J2776" s="35"/>
      <c r="K2776" s="35">
        <v>0.0</v>
      </c>
    </row>
    <row r="2777" ht="15.75" customHeight="1">
      <c r="A2777" s="35" t="s">
        <v>7635</v>
      </c>
      <c r="B2777" s="35"/>
      <c r="C2777" s="35">
        <v>2.0</v>
      </c>
      <c r="D2777" s="35" t="s">
        <v>4635</v>
      </c>
      <c r="E2777" s="35">
        <v>46027.0</v>
      </c>
      <c r="F2777" s="35">
        <v>0.0</v>
      </c>
      <c r="G2777" s="35">
        <v>1.0</v>
      </c>
      <c r="H2777" s="35">
        <v>0.0</v>
      </c>
      <c r="I2777" s="35">
        <v>0.0</v>
      </c>
      <c r="J2777" s="35"/>
      <c r="K2777" s="35">
        <v>0.0</v>
      </c>
    </row>
    <row r="2778" ht="15.75" customHeight="1">
      <c r="A2778" s="35" t="s">
        <v>7637</v>
      </c>
      <c r="B2778" s="35"/>
      <c r="C2778" s="35">
        <v>2.0</v>
      </c>
      <c r="D2778" s="35">
        <v>476.0</v>
      </c>
      <c r="E2778" s="35">
        <v>46027.0</v>
      </c>
      <c r="F2778" s="35">
        <v>0.0</v>
      </c>
      <c r="G2778" s="35">
        <v>0.0</v>
      </c>
      <c r="H2778" s="35">
        <v>2.0</v>
      </c>
      <c r="I2778" s="35">
        <v>0.0</v>
      </c>
      <c r="J2778" s="35"/>
      <c r="K2778" s="35">
        <v>0.0</v>
      </c>
    </row>
    <row r="2779" ht="15.75" customHeight="1">
      <c r="A2779" s="35" t="s">
        <v>7638</v>
      </c>
      <c r="B2779" s="35"/>
      <c r="C2779" s="35">
        <v>2.0</v>
      </c>
      <c r="D2779" s="35">
        <v>68.0</v>
      </c>
      <c r="E2779" s="35">
        <v>46027.0</v>
      </c>
      <c r="F2779" s="35">
        <v>0.0</v>
      </c>
      <c r="G2779" s="35">
        <v>1.0</v>
      </c>
      <c r="H2779" s="35">
        <v>0.0</v>
      </c>
      <c r="I2779" s="35">
        <v>0.0</v>
      </c>
      <c r="J2779" s="35"/>
      <c r="K2779" s="35">
        <v>0.0</v>
      </c>
    </row>
    <row r="2780" ht="15.75" customHeight="1">
      <c r="A2780" s="35" t="s">
        <v>7639</v>
      </c>
      <c r="B2780" s="35"/>
      <c r="C2780" s="35">
        <v>2.0</v>
      </c>
      <c r="D2780" s="35" t="s">
        <v>4635</v>
      </c>
      <c r="E2780" s="35">
        <v>46027.0</v>
      </c>
      <c r="F2780" s="35">
        <v>0.0</v>
      </c>
      <c r="G2780" s="35">
        <v>0.0</v>
      </c>
      <c r="H2780" s="35">
        <v>0.0</v>
      </c>
      <c r="I2780" s="35">
        <v>4.0</v>
      </c>
      <c r="J2780" s="35"/>
      <c r="K2780" s="35">
        <v>0.0</v>
      </c>
    </row>
    <row r="2781" ht="15.75" customHeight="1">
      <c r="A2781" s="35" t="s">
        <v>7641</v>
      </c>
      <c r="B2781" s="35"/>
      <c r="C2781" s="35">
        <v>2.0</v>
      </c>
      <c r="D2781" s="35">
        <v>317.0</v>
      </c>
      <c r="E2781" s="35">
        <v>46027.0</v>
      </c>
      <c r="F2781" s="35">
        <v>0.0</v>
      </c>
      <c r="G2781" s="35">
        <v>2.0</v>
      </c>
      <c r="H2781" s="35">
        <v>0.0</v>
      </c>
      <c r="I2781" s="35">
        <v>0.0</v>
      </c>
      <c r="J2781" s="35"/>
      <c r="K2781" s="35">
        <v>0.0</v>
      </c>
    </row>
    <row r="2782" ht="15.75" customHeight="1">
      <c r="A2782" s="35" t="s">
        <v>7642</v>
      </c>
      <c r="B2782" s="35"/>
      <c r="C2782" s="35">
        <v>2.0</v>
      </c>
      <c r="D2782" s="35">
        <v>949.0</v>
      </c>
      <c r="E2782" s="35">
        <v>46027.0</v>
      </c>
      <c r="F2782" s="35">
        <v>0.0</v>
      </c>
      <c r="G2782" s="35">
        <v>2.0</v>
      </c>
      <c r="H2782" s="35">
        <v>0.0</v>
      </c>
      <c r="I2782" s="35">
        <v>0.0</v>
      </c>
      <c r="J2782" s="35"/>
      <c r="K2782" s="35">
        <v>0.0</v>
      </c>
    </row>
    <row r="2783" ht="15.75" customHeight="1">
      <c r="A2783" s="35" t="s">
        <v>7644</v>
      </c>
      <c r="B2783" s="35"/>
      <c r="C2783" s="35">
        <v>2.0</v>
      </c>
      <c r="D2783" s="35" t="s">
        <v>4635</v>
      </c>
      <c r="E2783" s="35">
        <v>46027.0</v>
      </c>
      <c r="F2783" s="35">
        <v>0.0</v>
      </c>
      <c r="G2783" s="35">
        <v>4.0</v>
      </c>
      <c r="H2783" s="35">
        <v>0.0</v>
      </c>
      <c r="I2783" s="35">
        <v>0.0</v>
      </c>
      <c r="J2783" s="35"/>
      <c r="K2783" s="35">
        <v>0.0</v>
      </c>
    </row>
    <row r="2784" ht="15.75" customHeight="1">
      <c r="A2784" s="35" t="s">
        <v>7645</v>
      </c>
      <c r="B2784" s="35"/>
      <c r="C2784" s="35">
        <v>2.0</v>
      </c>
      <c r="D2784" s="35" t="s">
        <v>4635</v>
      </c>
      <c r="E2784" s="35">
        <v>46027.0</v>
      </c>
      <c r="F2784" s="35">
        <v>0.0</v>
      </c>
      <c r="G2784" s="35">
        <v>1.0</v>
      </c>
      <c r="H2784" s="35">
        <v>0.0</v>
      </c>
      <c r="I2784" s="35">
        <v>0.0</v>
      </c>
      <c r="J2784" s="35"/>
      <c r="K2784" s="35">
        <v>0.0</v>
      </c>
    </row>
    <row r="2785" ht="15.75" customHeight="1">
      <c r="A2785" s="35" t="s">
        <v>7647</v>
      </c>
      <c r="B2785" s="35"/>
      <c r="C2785" s="35">
        <v>2.0</v>
      </c>
      <c r="D2785" s="35">
        <v>83.0</v>
      </c>
      <c r="E2785" s="35">
        <v>46027.0</v>
      </c>
      <c r="F2785" s="35">
        <v>0.0</v>
      </c>
      <c r="G2785" s="35">
        <v>11.0</v>
      </c>
      <c r="H2785" s="35">
        <v>0.0</v>
      </c>
      <c r="I2785" s="35">
        <v>0.0</v>
      </c>
      <c r="J2785" s="35"/>
      <c r="K2785" s="35">
        <v>0.0</v>
      </c>
    </row>
    <row r="2786" ht="15.75" customHeight="1">
      <c r="A2786" s="35" t="s">
        <v>7648</v>
      </c>
      <c r="B2786" s="35"/>
      <c r="C2786" s="35">
        <v>2.0</v>
      </c>
      <c r="D2786" s="35">
        <v>83.0</v>
      </c>
      <c r="E2786" s="35">
        <v>46027.0</v>
      </c>
      <c r="F2786" s="35">
        <v>0.0</v>
      </c>
      <c r="G2786" s="35">
        <v>11.0</v>
      </c>
      <c r="H2786" s="35">
        <v>0.0</v>
      </c>
      <c r="I2786" s="35">
        <v>0.0</v>
      </c>
      <c r="J2786" s="35"/>
      <c r="K2786" s="35">
        <v>0.0</v>
      </c>
    </row>
    <row r="2787" ht="15.75" customHeight="1">
      <c r="A2787" s="35" t="s">
        <v>7650</v>
      </c>
      <c r="B2787" s="35"/>
      <c r="C2787" s="35">
        <v>2.0</v>
      </c>
      <c r="D2787" s="35">
        <v>165.0</v>
      </c>
      <c r="E2787" s="35">
        <v>46027.0</v>
      </c>
      <c r="F2787" s="35">
        <v>0.0</v>
      </c>
      <c r="G2787" s="35">
        <v>13.0</v>
      </c>
      <c r="H2787" s="35">
        <v>0.0</v>
      </c>
      <c r="I2787" s="35">
        <v>0.0</v>
      </c>
      <c r="J2787" s="35"/>
      <c r="K2787" s="35">
        <v>0.0</v>
      </c>
    </row>
    <row r="2788" ht="15.75" customHeight="1">
      <c r="A2788" s="35" t="s">
        <v>7651</v>
      </c>
      <c r="B2788" s="35"/>
      <c r="C2788" s="35">
        <v>2.0</v>
      </c>
      <c r="D2788" s="35">
        <v>32.0</v>
      </c>
      <c r="E2788" s="35">
        <v>46027.0</v>
      </c>
      <c r="F2788" s="35">
        <v>0.0</v>
      </c>
      <c r="G2788" s="35">
        <v>17.0</v>
      </c>
      <c r="H2788" s="35">
        <v>0.0</v>
      </c>
      <c r="I2788" s="35">
        <v>0.0</v>
      </c>
      <c r="J2788" s="35"/>
      <c r="K2788" s="35">
        <v>0.0</v>
      </c>
    </row>
    <row r="2789" ht="15.75" customHeight="1">
      <c r="A2789" s="35" t="s">
        <v>7653</v>
      </c>
      <c r="B2789" s="35"/>
      <c r="C2789" s="35">
        <v>2.0</v>
      </c>
      <c r="D2789" s="35">
        <v>32.0</v>
      </c>
      <c r="E2789" s="35">
        <v>46027.0</v>
      </c>
      <c r="F2789" s="35">
        <v>0.0</v>
      </c>
      <c r="G2789" s="35">
        <v>15.0</v>
      </c>
      <c r="H2789" s="35">
        <v>0.0</v>
      </c>
      <c r="I2789" s="35">
        <v>0.0</v>
      </c>
      <c r="J2789" s="35"/>
      <c r="K2789" s="35">
        <v>0.0</v>
      </c>
    </row>
    <row r="2790" ht="15.75" customHeight="1">
      <c r="A2790" s="35" t="s">
        <v>7654</v>
      </c>
      <c r="B2790" s="35"/>
      <c r="C2790" s="35">
        <v>2.0</v>
      </c>
      <c r="D2790" s="35">
        <v>32.0</v>
      </c>
      <c r="E2790" s="35">
        <v>46027.0</v>
      </c>
      <c r="F2790" s="35">
        <v>0.0</v>
      </c>
      <c r="G2790" s="35">
        <v>4.0</v>
      </c>
      <c r="H2790" s="35">
        <v>0.0</v>
      </c>
      <c r="I2790" s="35">
        <v>0.0</v>
      </c>
      <c r="J2790" s="35"/>
      <c r="K2790" s="35">
        <v>0.0</v>
      </c>
    </row>
    <row r="2791" ht="15.75" customHeight="1">
      <c r="A2791" s="35" t="s">
        <v>7655</v>
      </c>
      <c r="B2791" s="35"/>
      <c r="C2791" s="35">
        <v>2.0</v>
      </c>
      <c r="D2791" s="35" t="s">
        <v>4635</v>
      </c>
      <c r="E2791" s="35">
        <v>46027.0</v>
      </c>
      <c r="F2791" s="35">
        <v>0.0</v>
      </c>
      <c r="G2791" s="35">
        <v>15.0</v>
      </c>
      <c r="H2791" s="35">
        <v>0.0</v>
      </c>
      <c r="I2791" s="35">
        <v>0.0</v>
      </c>
      <c r="J2791" s="35"/>
      <c r="K2791" s="35">
        <v>0.0</v>
      </c>
    </row>
    <row r="2792" ht="15.75" customHeight="1">
      <c r="A2792" s="35" t="s">
        <v>7657</v>
      </c>
      <c r="B2792" s="35"/>
      <c r="C2792" s="35">
        <v>2.0</v>
      </c>
      <c r="D2792" s="35">
        <v>58.0</v>
      </c>
      <c r="E2792" s="35">
        <v>46027.0</v>
      </c>
      <c r="F2792" s="35">
        <v>0.0</v>
      </c>
      <c r="G2792" s="35">
        <v>16.0</v>
      </c>
      <c r="H2792" s="35">
        <v>0.0</v>
      </c>
      <c r="I2792" s="35">
        <v>0.0</v>
      </c>
      <c r="J2792" s="35"/>
      <c r="K2792" s="35">
        <v>0.0</v>
      </c>
    </row>
    <row r="2793" ht="15.75" customHeight="1">
      <c r="A2793" s="35" t="s">
        <v>7658</v>
      </c>
      <c r="B2793" s="35"/>
      <c r="C2793" s="35">
        <v>2.0</v>
      </c>
      <c r="D2793" s="35">
        <v>32.0</v>
      </c>
      <c r="E2793" s="35">
        <v>46027.0</v>
      </c>
      <c r="F2793" s="35">
        <v>0.0</v>
      </c>
      <c r="G2793" s="35">
        <v>9.0</v>
      </c>
      <c r="H2793" s="35">
        <v>0.0</v>
      </c>
      <c r="I2793" s="35">
        <v>0.0</v>
      </c>
      <c r="J2793" s="35"/>
      <c r="K2793" s="35">
        <v>0.0</v>
      </c>
    </row>
    <row r="2794" ht="15.75" customHeight="1">
      <c r="A2794" s="35" t="s">
        <v>7660</v>
      </c>
      <c r="B2794" s="35"/>
      <c r="C2794" s="35">
        <v>2.0</v>
      </c>
      <c r="D2794" s="35" t="s">
        <v>4635</v>
      </c>
      <c r="E2794" s="35">
        <v>46027.0</v>
      </c>
      <c r="F2794" s="35">
        <v>0.0</v>
      </c>
      <c r="G2794" s="35">
        <v>9.0</v>
      </c>
      <c r="H2794" s="35">
        <v>0.0</v>
      </c>
      <c r="I2794" s="35">
        <v>0.0</v>
      </c>
      <c r="J2794" s="35"/>
      <c r="K2794" s="35">
        <v>0.0</v>
      </c>
    </row>
    <row r="2795" ht="15.75" customHeight="1">
      <c r="A2795" s="35" t="s">
        <v>7661</v>
      </c>
      <c r="B2795" s="35"/>
      <c r="C2795" s="35">
        <v>2.0</v>
      </c>
      <c r="D2795" s="35" t="s">
        <v>2019</v>
      </c>
      <c r="E2795" s="35">
        <v>46027.0</v>
      </c>
      <c r="F2795" s="35">
        <v>0.0</v>
      </c>
      <c r="G2795" s="35">
        <v>1.0</v>
      </c>
      <c r="H2795" s="35">
        <v>0.0</v>
      </c>
      <c r="I2795" s="35">
        <v>0.0</v>
      </c>
      <c r="J2795" s="35"/>
      <c r="K2795" s="35">
        <v>0.0</v>
      </c>
    </row>
    <row r="2796" ht="15.75" customHeight="1">
      <c r="A2796" s="35" t="s">
        <v>7663</v>
      </c>
      <c r="B2796" s="35"/>
      <c r="C2796" s="35">
        <v>2.0</v>
      </c>
      <c r="D2796" s="35">
        <v>268.0</v>
      </c>
      <c r="E2796" s="35">
        <v>46027.0</v>
      </c>
      <c r="F2796" s="35">
        <v>0.0</v>
      </c>
      <c r="G2796" s="35">
        <v>194.0</v>
      </c>
      <c r="H2796" s="35">
        <v>0.0</v>
      </c>
      <c r="I2796" s="35">
        <v>0.0</v>
      </c>
      <c r="J2796" s="35"/>
      <c r="K2796" s="35">
        <v>0.0</v>
      </c>
    </row>
    <row r="2797" ht="15.75" customHeight="1">
      <c r="A2797" s="35" t="s">
        <v>7664</v>
      </c>
      <c r="B2797" s="35"/>
      <c r="C2797" s="35">
        <v>2.0</v>
      </c>
      <c r="D2797" s="35" t="s">
        <v>2032</v>
      </c>
      <c r="E2797" s="35">
        <v>46027.0</v>
      </c>
      <c r="F2797" s="35">
        <v>0.0</v>
      </c>
      <c r="G2797" s="35">
        <v>1.0</v>
      </c>
      <c r="H2797" s="35">
        <v>0.0</v>
      </c>
      <c r="I2797" s="35">
        <v>0.0</v>
      </c>
      <c r="J2797" s="35"/>
      <c r="K2797" s="35">
        <v>0.0</v>
      </c>
    </row>
    <row r="2798" ht="15.75" customHeight="1">
      <c r="A2798" s="35" t="s">
        <v>7666</v>
      </c>
      <c r="B2798" s="35"/>
      <c r="C2798" s="35">
        <v>2.0</v>
      </c>
      <c r="D2798" s="35" t="s">
        <v>4635</v>
      </c>
      <c r="E2798" s="35">
        <v>46027.0</v>
      </c>
      <c r="F2798" s="35">
        <v>0.0</v>
      </c>
      <c r="G2798" s="35">
        <v>1.0</v>
      </c>
      <c r="H2798" s="35">
        <v>0.0</v>
      </c>
      <c r="I2798" s="35">
        <v>0.0</v>
      </c>
      <c r="J2798" s="35"/>
      <c r="K2798" s="35">
        <v>0.0</v>
      </c>
    </row>
    <row r="2799" ht="15.75" customHeight="1">
      <c r="A2799" s="35" t="s">
        <v>7667</v>
      </c>
      <c r="B2799" s="35"/>
      <c r="C2799" s="35">
        <v>2.0</v>
      </c>
      <c r="D2799" s="35" t="s">
        <v>4635</v>
      </c>
      <c r="E2799" s="35">
        <v>46027.0</v>
      </c>
      <c r="F2799" s="35">
        <v>0.0</v>
      </c>
      <c r="G2799" s="35">
        <v>7.0</v>
      </c>
      <c r="H2799" s="35">
        <v>0.0</v>
      </c>
      <c r="I2799" s="35">
        <v>0.0</v>
      </c>
      <c r="J2799" s="35"/>
      <c r="K2799" s="35">
        <v>0.0</v>
      </c>
    </row>
    <row r="2800" ht="15.75" customHeight="1">
      <c r="A2800" s="35" t="s">
        <v>7668</v>
      </c>
      <c r="B2800" s="35"/>
      <c r="C2800" s="35">
        <v>2.0</v>
      </c>
      <c r="D2800" s="35" t="s">
        <v>4635</v>
      </c>
      <c r="E2800" s="35">
        <v>46027.0</v>
      </c>
      <c r="F2800" s="35">
        <v>0.0</v>
      </c>
      <c r="G2800" s="35">
        <v>1.0</v>
      </c>
      <c r="H2800" s="35">
        <v>0.0</v>
      </c>
      <c r="I2800" s="35">
        <v>0.0</v>
      </c>
      <c r="J2800" s="35"/>
      <c r="K2800" s="35">
        <v>0.0</v>
      </c>
    </row>
    <row r="2801" ht="15.75" customHeight="1">
      <c r="A2801" s="35" t="s">
        <v>7670</v>
      </c>
      <c r="B2801" s="35"/>
      <c r="C2801" s="35">
        <v>2.0</v>
      </c>
      <c r="D2801" s="35" t="s">
        <v>4635</v>
      </c>
      <c r="E2801" s="35">
        <v>46027.0</v>
      </c>
      <c r="F2801" s="35">
        <v>0.0</v>
      </c>
      <c r="G2801" s="35">
        <v>2.0</v>
      </c>
      <c r="H2801" s="35">
        <v>0.0</v>
      </c>
      <c r="I2801" s="35">
        <v>0.0</v>
      </c>
      <c r="J2801" s="35"/>
      <c r="K2801" s="35">
        <v>0.0</v>
      </c>
    </row>
    <row r="2802" ht="15.75" customHeight="1">
      <c r="A2802" s="35" t="s">
        <v>7671</v>
      </c>
      <c r="B2802" s="35"/>
      <c r="C2802" s="35">
        <v>2.0</v>
      </c>
      <c r="D2802" s="35" t="s">
        <v>4635</v>
      </c>
      <c r="E2802" s="35">
        <v>46027.0</v>
      </c>
      <c r="F2802" s="35">
        <v>0.0</v>
      </c>
      <c r="G2802" s="35">
        <v>1.0</v>
      </c>
      <c r="H2802" s="35">
        <v>0.0</v>
      </c>
      <c r="I2802" s="35">
        <v>0.0</v>
      </c>
      <c r="J2802" s="35"/>
      <c r="K2802" s="35">
        <v>0.0</v>
      </c>
    </row>
    <row r="2803" ht="15.75" customHeight="1">
      <c r="A2803" s="35" t="s">
        <v>7673</v>
      </c>
      <c r="B2803" s="35"/>
      <c r="C2803" s="35">
        <v>2.0</v>
      </c>
      <c r="D2803" s="35" t="s">
        <v>4635</v>
      </c>
      <c r="E2803" s="35">
        <v>46027.0</v>
      </c>
      <c r="F2803" s="35">
        <v>0.0</v>
      </c>
      <c r="G2803" s="35">
        <v>1.0</v>
      </c>
      <c r="H2803" s="35">
        <v>0.0</v>
      </c>
      <c r="I2803" s="35">
        <v>0.0</v>
      </c>
      <c r="J2803" s="35"/>
      <c r="K2803" s="35">
        <v>0.0</v>
      </c>
    </row>
    <row r="2804" ht="15.75" customHeight="1">
      <c r="A2804" s="35" t="s">
        <v>7674</v>
      </c>
      <c r="B2804" s="35"/>
      <c r="C2804" s="35">
        <v>2.0</v>
      </c>
      <c r="D2804" s="35">
        <v>23.0</v>
      </c>
      <c r="E2804" s="35">
        <v>46027.0</v>
      </c>
      <c r="F2804" s="35">
        <v>0.0</v>
      </c>
      <c r="G2804" s="35">
        <v>12.0</v>
      </c>
      <c r="H2804" s="35">
        <v>0.0</v>
      </c>
      <c r="I2804" s="35">
        <v>0.0</v>
      </c>
      <c r="J2804" s="35"/>
      <c r="K2804" s="35">
        <v>0.0</v>
      </c>
    </row>
    <row r="2805" ht="15.75" customHeight="1">
      <c r="A2805" s="35" t="s">
        <v>7676</v>
      </c>
      <c r="B2805" s="35"/>
      <c r="C2805" s="35">
        <v>2.0</v>
      </c>
      <c r="D2805" s="35" t="s">
        <v>4635</v>
      </c>
      <c r="E2805" s="35">
        <v>46027.0</v>
      </c>
      <c r="F2805" s="35">
        <v>0.0</v>
      </c>
      <c r="G2805" s="35">
        <v>1.0</v>
      </c>
      <c r="H2805" s="35">
        <v>0.0</v>
      </c>
      <c r="I2805" s="35">
        <v>0.0</v>
      </c>
      <c r="J2805" s="35"/>
      <c r="K2805" s="35">
        <v>0.0</v>
      </c>
    </row>
    <row r="2806" ht="15.75" customHeight="1">
      <c r="A2806" s="35" t="s">
        <v>7677</v>
      </c>
      <c r="B2806" s="35"/>
      <c r="C2806" s="35">
        <v>2.0</v>
      </c>
      <c r="D2806" s="35">
        <v>419.0</v>
      </c>
      <c r="E2806" s="35">
        <v>46027.0</v>
      </c>
      <c r="F2806" s="35">
        <v>0.0</v>
      </c>
      <c r="G2806" s="35">
        <v>2.0</v>
      </c>
      <c r="H2806" s="35">
        <v>0.0</v>
      </c>
      <c r="I2806" s="35">
        <v>0.0</v>
      </c>
      <c r="J2806" s="35"/>
      <c r="K2806" s="35">
        <v>0.0</v>
      </c>
    </row>
    <row r="2807" ht="15.75" customHeight="1">
      <c r="A2807" s="35" t="s">
        <v>7679</v>
      </c>
      <c r="B2807" s="35"/>
      <c r="C2807" s="35">
        <v>2.0</v>
      </c>
      <c r="D2807" s="35">
        <v>134.0</v>
      </c>
      <c r="E2807" s="35">
        <v>46027.0</v>
      </c>
      <c r="F2807" s="35">
        <v>0.0</v>
      </c>
      <c r="G2807" s="35">
        <v>1.0</v>
      </c>
      <c r="H2807" s="35">
        <v>0.0</v>
      </c>
      <c r="I2807" s="35">
        <v>0.0</v>
      </c>
      <c r="J2807" s="35"/>
      <c r="K2807" s="35">
        <v>0.0</v>
      </c>
    </row>
    <row r="2808" ht="15.75" customHeight="1">
      <c r="A2808" s="35" t="s">
        <v>7680</v>
      </c>
      <c r="B2808" s="35"/>
      <c r="C2808" s="35">
        <v>2.0</v>
      </c>
      <c r="D2808" s="35" t="s">
        <v>4635</v>
      </c>
      <c r="E2808" s="35">
        <v>46027.0</v>
      </c>
      <c r="F2808" s="35">
        <v>0.0</v>
      </c>
      <c r="G2808" s="35">
        <v>1.0</v>
      </c>
      <c r="H2808" s="35">
        <v>0.0</v>
      </c>
      <c r="I2808" s="35">
        <v>0.0</v>
      </c>
      <c r="J2808" s="35"/>
      <c r="K2808" s="35">
        <v>0.0</v>
      </c>
    </row>
    <row r="2809" ht="15.75" customHeight="1">
      <c r="A2809" s="35" t="s">
        <v>7681</v>
      </c>
      <c r="B2809" s="35"/>
      <c r="C2809" s="35">
        <v>2.0</v>
      </c>
      <c r="D2809" s="35" t="s">
        <v>4635</v>
      </c>
      <c r="E2809" s="35">
        <v>46027.0</v>
      </c>
      <c r="F2809" s="35">
        <v>0.0</v>
      </c>
      <c r="G2809" s="35">
        <v>4.0</v>
      </c>
      <c r="H2809" s="35">
        <v>0.0</v>
      </c>
      <c r="I2809" s="35">
        <v>0.0</v>
      </c>
      <c r="J2809" s="35"/>
      <c r="K2809" s="35">
        <v>0.0</v>
      </c>
    </row>
    <row r="2810" ht="15.75" customHeight="1">
      <c r="A2810" s="35" t="s">
        <v>7683</v>
      </c>
      <c r="B2810" s="35"/>
      <c r="C2810" s="35">
        <v>2.0</v>
      </c>
      <c r="D2810" s="35">
        <v>60.0</v>
      </c>
      <c r="E2810" s="35">
        <v>46027.0</v>
      </c>
      <c r="F2810" s="35">
        <v>0.0</v>
      </c>
      <c r="G2810" s="35">
        <v>2.0</v>
      </c>
      <c r="H2810" s="35">
        <v>0.0</v>
      </c>
      <c r="I2810" s="35">
        <v>0.0</v>
      </c>
      <c r="J2810" s="35"/>
      <c r="K2810" s="35">
        <v>0.0</v>
      </c>
    </row>
    <row r="2811" ht="15.75" customHeight="1">
      <c r="A2811" s="35" t="s">
        <v>7684</v>
      </c>
      <c r="B2811" s="35"/>
      <c r="C2811" s="35">
        <v>2.0</v>
      </c>
      <c r="D2811" s="35">
        <v>439.0</v>
      </c>
      <c r="E2811" s="35">
        <v>46027.0</v>
      </c>
      <c r="F2811" s="35">
        <v>0.0</v>
      </c>
      <c r="G2811" s="35">
        <v>1.0</v>
      </c>
      <c r="H2811" s="35">
        <v>0.0</v>
      </c>
      <c r="I2811" s="35">
        <v>0.0</v>
      </c>
      <c r="J2811" s="35"/>
      <c r="K2811" s="35">
        <v>0.0</v>
      </c>
    </row>
    <row r="2812" ht="15.75" customHeight="1">
      <c r="A2812" s="35" t="s">
        <v>7686</v>
      </c>
      <c r="B2812" s="35"/>
      <c r="C2812" s="35">
        <v>2.0</v>
      </c>
      <c r="D2812" s="35" t="s">
        <v>4635</v>
      </c>
      <c r="E2812" s="35">
        <v>46027.0</v>
      </c>
      <c r="F2812" s="35">
        <v>0.0</v>
      </c>
      <c r="G2812" s="35">
        <v>2.0</v>
      </c>
      <c r="H2812" s="35">
        <v>0.0</v>
      </c>
      <c r="I2812" s="35">
        <v>0.0</v>
      </c>
      <c r="J2812" s="35"/>
      <c r="K2812" s="35">
        <v>0.0</v>
      </c>
    </row>
    <row r="2813" ht="15.75" customHeight="1">
      <c r="A2813" s="35" t="s">
        <v>7687</v>
      </c>
      <c r="B2813" s="35"/>
      <c r="C2813" s="35">
        <v>2.0</v>
      </c>
      <c r="D2813" s="35" t="s">
        <v>4635</v>
      </c>
      <c r="E2813" s="35">
        <v>46027.0</v>
      </c>
      <c r="F2813" s="35">
        <v>0.0</v>
      </c>
      <c r="G2813" s="35">
        <v>0.0</v>
      </c>
      <c r="H2813" s="35">
        <v>1.0</v>
      </c>
      <c r="I2813" s="35">
        <v>0.0</v>
      </c>
      <c r="J2813" s="35"/>
      <c r="K2813" s="35">
        <v>0.0</v>
      </c>
    </row>
    <row r="2814" ht="15.75" customHeight="1">
      <c r="A2814" s="35" t="s">
        <v>7689</v>
      </c>
      <c r="B2814" s="35"/>
      <c r="C2814" s="35">
        <v>2.0</v>
      </c>
      <c r="D2814" s="35">
        <v>860.0</v>
      </c>
      <c r="E2814" s="35">
        <v>46027.0</v>
      </c>
      <c r="F2814" s="35">
        <v>0.0</v>
      </c>
      <c r="G2814" s="35">
        <v>0.0</v>
      </c>
      <c r="H2814" s="35">
        <v>2.0</v>
      </c>
      <c r="I2814" s="35">
        <v>0.0</v>
      </c>
      <c r="J2814" s="35"/>
      <c r="K2814" s="35">
        <v>0.0</v>
      </c>
    </row>
    <row r="2815" ht="15.75" customHeight="1">
      <c r="A2815" s="35" t="s">
        <v>7690</v>
      </c>
      <c r="B2815" s="35"/>
      <c r="C2815" s="35">
        <v>2.0</v>
      </c>
      <c r="D2815" s="35" t="s">
        <v>4635</v>
      </c>
      <c r="E2815" s="35">
        <v>46027.0</v>
      </c>
      <c r="F2815" s="35">
        <v>0.0</v>
      </c>
      <c r="G2815" s="35">
        <v>1.0</v>
      </c>
      <c r="H2815" s="35">
        <v>0.0</v>
      </c>
      <c r="I2815" s="35">
        <v>0.0</v>
      </c>
      <c r="J2815" s="35"/>
      <c r="K2815" s="35">
        <v>0.0</v>
      </c>
    </row>
    <row r="2816" ht="15.75" customHeight="1">
      <c r="A2816" s="35" t="s">
        <v>7692</v>
      </c>
      <c r="B2816" s="35"/>
      <c r="C2816" s="35">
        <v>2.0</v>
      </c>
      <c r="D2816" s="35">
        <v>23.0</v>
      </c>
      <c r="E2816" s="35">
        <v>46027.0</v>
      </c>
      <c r="F2816" s="35">
        <v>0.0</v>
      </c>
      <c r="G2816" s="35">
        <v>9.0</v>
      </c>
      <c r="H2816" s="35">
        <v>0.0</v>
      </c>
      <c r="I2816" s="35">
        <v>0.0</v>
      </c>
      <c r="J2816" s="35"/>
      <c r="K2816" s="35">
        <v>0.0</v>
      </c>
    </row>
    <row r="2817" ht="15.75" customHeight="1">
      <c r="A2817" s="35" t="s">
        <v>7693</v>
      </c>
      <c r="B2817" s="35"/>
      <c r="C2817" s="35">
        <v>2.0</v>
      </c>
      <c r="D2817" s="35" t="s">
        <v>4635</v>
      </c>
      <c r="E2817" s="35">
        <v>46027.0</v>
      </c>
      <c r="F2817" s="35">
        <v>0.0</v>
      </c>
      <c r="G2817" s="35">
        <v>5.0</v>
      </c>
      <c r="H2817" s="35">
        <v>0.0</v>
      </c>
      <c r="I2817" s="35">
        <v>0.0</v>
      </c>
      <c r="J2817" s="35"/>
      <c r="K2817" s="35">
        <v>0.0</v>
      </c>
    </row>
    <row r="2818" ht="15.75" customHeight="1">
      <c r="A2818" s="35" t="s">
        <v>7694</v>
      </c>
      <c r="B2818" s="35"/>
      <c r="C2818" s="35">
        <v>2.0</v>
      </c>
      <c r="D2818" s="35" t="s">
        <v>4722</v>
      </c>
      <c r="E2818" s="35">
        <v>46027.0</v>
      </c>
      <c r="F2818" s="35">
        <v>0.0</v>
      </c>
      <c r="G2818" s="35">
        <v>0.0</v>
      </c>
      <c r="H2818" s="35">
        <v>7.0</v>
      </c>
      <c r="I2818" s="35">
        <v>0.0</v>
      </c>
      <c r="J2818" s="35"/>
      <c r="K2818" s="35">
        <v>0.0</v>
      </c>
    </row>
    <row r="2819" ht="15.75" customHeight="1">
      <c r="A2819" s="35" t="s">
        <v>7696</v>
      </c>
      <c r="B2819" s="35"/>
      <c r="C2819" s="35">
        <v>2.0</v>
      </c>
      <c r="D2819" s="35" t="s">
        <v>4694</v>
      </c>
      <c r="E2819" s="35">
        <v>46027.0</v>
      </c>
      <c r="F2819" s="35">
        <v>0.0</v>
      </c>
      <c r="G2819" s="35">
        <v>1.0</v>
      </c>
      <c r="H2819" s="35">
        <v>0.0</v>
      </c>
      <c r="I2819" s="35">
        <v>0.0</v>
      </c>
      <c r="J2819" s="35"/>
      <c r="K2819" s="35">
        <v>0.0</v>
      </c>
    </row>
    <row r="2820" ht="15.75" customHeight="1">
      <c r="A2820" s="35" t="s">
        <v>7697</v>
      </c>
      <c r="B2820" s="35"/>
      <c r="C2820" s="35">
        <v>2.0</v>
      </c>
      <c r="D2820" s="35" t="s">
        <v>2022</v>
      </c>
      <c r="E2820" s="35">
        <v>46027.0</v>
      </c>
      <c r="F2820" s="35">
        <v>0.0</v>
      </c>
      <c r="G2820" s="35">
        <v>4.0</v>
      </c>
      <c r="H2820" s="35">
        <v>0.0</v>
      </c>
      <c r="I2820" s="35">
        <v>0.0</v>
      </c>
      <c r="J2820" s="35"/>
      <c r="K2820" s="35">
        <v>0.0</v>
      </c>
    </row>
    <row r="2821" ht="15.75" customHeight="1">
      <c r="A2821" s="35" t="s">
        <v>7698</v>
      </c>
      <c r="B2821" s="35"/>
      <c r="C2821" s="35">
        <v>2.0</v>
      </c>
      <c r="D2821" s="35">
        <v>42.0</v>
      </c>
      <c r="E2821" s="35">
        <v>46027.0</v>
      </c>
      <c r="F2821" s="35">
        <v>0.0</v>
      </c>
      <c r="G2821" s="35">
        <v>22.0</v>
      </c>
      <c r="H2821" s="35">
        <v>0.0</v>
      </c>
      <c r="I2821" s="35">
        <v>0.0</v>
      </c>
      <c r="J2821" s="35"/>
      <c r="K2821" s="35">
        <v>0.0</v>
      </c>
    </row>
    <row r="2822" ht="15.75" customHeight="1">
      <c r="A2822" s="35" t="s">
        <v>7699</v>
      </c>
      <c r="B2822" s="35"/>
      <c r="C2822" s="35">
        <v>2.0</v>
      </c>
      <c r="D2822" s="35" t="s">
        <v>4635</v>
      </c>
      <c r="E2822" s="35">
        <v>46027.0</v>
      </c>
      <c r="F2822" s="35">
        <v>0.0</v>
      </c>
      <c r="G2822" s="35">
        <v>3.0</v>
      </c>
      <c r="H2822" s="35">
        <v>0.0</v>
      </c>
      <c r="I2822" s="35">
        <v>0.0</v>
      </c>
      <c r="J2822" s="35"/>
      <c r="K2822" s="35">
        <v>0.0</v>
      </c>
    </row>
    <row r="2823" ht="15.75" customHeight="1">
      <c r="A2823" s="35" t="s">
        <v>7700</v>
      </c>
      <c r="B2823" s="35"/>
      <c r="C2823" s="35">
        <v>2.0</v>
      </c>
      <c r="D2823" s="35">
        <v>322.0</v>
      </c>
      <c r="E2823" s="35">
        <v>46027.0</v>
      </c>
      <c r="F2823" s="35">
        <v>0.0</v>
      </c>
      <c r="G2823" s="35">
        <v>1.0</v>
      </c>
      <c r="H2823" s="35">
        <v>0.0</v>
      </c>
      <c r="I2823" s="35">
        <v>0.0</v>
      </c>
      <c r="J2823" s="35"/>
      <c r="K2823" s="35">
        <v>0.0</v>
      </c>
    </row>
    <row r="2824" ht="15.75" customHeight="1">
      <c r="A2824" s="35" t="s">
        <v>7702</v>
      </c>
      <c r="B2824" s="35"/>
      <c r="C2824" s="35">
        <v>2.0</v>
      </c>
      <c r="D2824" s="35" t="s">
        <v>4231</v>
      </c>
      <c r="E2824" s="35">
        <v>46027.0</v>
      </c>
      <c r="F2824" s="35">
        <v>0.0</v>
      </c>
      <c r="G2824" s="35">
        <v>1.0</v>
      </c>
      <c r="H2824" s="35">
        <v>0.0</v>
      </c>
      <c r="I2824" s="35">
        <v>0.0</v>
      </c>
      <c r="J2824" s="35"/>
      <c r="K2824" s="35">
        <v>0.0</v>
      </c>
    </row>
    <row r="2825" ht="15.75" customHeight="1">
      <c r="A2825" s="35" t="s">
        <v>7703</v>
      </c>
      <c r="B2825" s="35"/>
      <c r="C2825" s="35">
        <v>2.0</v>
      </c>
      <c r="D2825" s="35" t="s">
        <v>4635</v>
      </c>
      <c r="E2825" s="35">
        <v>46027.0</v>
      </c>
      <c r="F2825" s="35">
        <v>0.0</v>
      </c>
      <c r="G2825" s="35">
        <v>22.0</v>
      </c>
      <c r="H2825" s="35">
        <v>0.0</v>
      </c>
      <c r="I2825" s="35">
        <v>0.0</v>
      </c>
      <c r="J2825" s="35"/>
      <c r="K2825" s="35">
        <v>0.0</v>
      </c>
    </row>
    <row r="2826" ht="15.75" customHeight="1">
      <c r="A2826" s="35" t="s">
        <v>7705</v>
      </c>
      <c r="B2826" s="35"/>
      <c r="C2826" s="35">
        <v>2.0</v>
      </c>
      <c r="D2826" s="35" t="s">
        <v>4635</v>
      </c>
      <c r="E2826" s="35">
        <v>46027.0</v>
      </c>
      <c r="F2826" s="35">
        <v>0.0</v>
      </c>
      <c r="G2826" s="35">
        <v>1.0</v>
      </c>
      <c r="H2826" s="35">
        <v>0.0</v>
      </c>
      <c r="I2826" s="35">
        <v>0.0</v>
      </c>
      <c r="J2826" s="35"/>
      <c r="K2826" s="35">
        <v>0.0</v>
      </c>
    </row>
    <row r="2827" ht="15.75" customHeight="1">
      <c r="A2827" s="35" t="s">
        <v>7706</v>
      </c>
      <c r="B2827" s="35"/>
      <c r="C2827" s="35">
        <v>2.0</v>
      </c>
      <c r="D2827" s="35" t="s">
        <v>4635</v>
      </c>
      <c r="E2827" s="35">
        <v>46027.0</v>
      </c>
      <c r="F2827" s="35">
        <v>0.0</v>
      </c>
      <c r="G2827" s="35">
        <v>1.0</v>
      </c>
      <c r="H2827" s="35">
        <v>0.0</v>
      </c>
      <c r="I2827" s="35">
        <v>0.0</v>
      </c>
      <c r="J2827" s="35"/>
      <c r="K2827" s="35">
        <v>0.0</v>
      </c>
    </row>
    <row r="2828" ht="15.75" customHeight="1">
      <c r="A2828" s="35" t="s">
        <v>7708</v>
      </c>
      <c r="B2828" s="35"/>
      <c r="C2828" s="35">
        <v>2.0</v>
      </c>
      <c r="D2828" s="35" t="s">
        <v>4635</v>
      </c>
      <c r="E2828" s="35">
        <v>46027.0</v>
      </c>
      <c r="F2828" s="35">
        <v>0.0</v>
      </c>
      <c r="G2828" s="35">
        <v>55.0</v>
      </c>
      <c r="H2828" s="35">
        <v>0.0</v>
      </c>
      <c r="I2828" s="35">
        <v>0.0</v>
      </c>
      <c r="J2828" s="35"/>
      <c r="K2828" s="35">
        <v>0.0</v>
      </c>
    </row>
    <row r="2829" ht="15.75" customHeight="1">
      <c r="A2829" s="35" t="s">
        <v>7709</v>
      </c>
      <c r="B2829" s="35"/>
      <c r="C2829" s="35">
        <v>2.0</v>
      </c>
      <c r="D2829" s="35">
        <v>145.0</v>
      </c>
      <c r="E2829" s="35">
        <v>46027.0</v>
      </c>
      <c r="F2829" s="35">
        <v>0.0</v>
      </c>
      <c r="G2829" s="35">
        <v>1.0</v>
      </c>
      <c r="H2829" s="35">
        <v>0.0</v>
      </c>
      <c r="I2829" s="35">
        <v>0.0</v>
      </c>
      <c r="J2829" s="35"/>
      <c r="K2829" s="35">
        <v>0.0</v>
      </c>
    </row>
    <row r="2830" ht="15.75" customHeight="1">
      <c r="A2830" s="35" t="s">
        <v>7710</v>
      </c>
      <c r="B2830" s="35"/>
      <c r="C2830" s="35">
        <v>2.0</v>
      </c>
      <c r="D2830" s="35" t="s">
        <v>4635</v>
      </c>
      <c r="E2830" s="35">
        <v>46027.0</v>
      </c>
      <c r="F2830" s="35">
        <v>0.0</v>
      </c>
      <c r="G2830" s="35">
        <v>0.0</v>
      </c>
      <c r="H2830" s="35">
        <v>1.0</v>
      </c>
      <c r="I2830" s="35">
        <v>0.0</v>
      </c>
      <c r="J2830" s="35"/>
      <c r="K2830" s="35">
        <v>0.0</v>
      </c>
    </row>
    <row r="2831" ht="15.75" customHeight="1">
      <c r="A2831" s="35" t="s">
        <v>7712</v>
      </c>
      <c r="B2831" s="35"/>
      <c r="C2831" s="35">
        <v>2.0</v>
      </c>
      <c r="D2831" s="35" t="s">
        <v>4635</v>
      </c>
      <c r="E2831" s="35">
        <v>46027.0</v>
      </c>
      <c r="F2831" s="35">
        <v>0.0</v>
      </c>
      <c r="G2831" s="35">
        <v>0.0</v>
      </c>
      <c r="H2831" s="35">
        <v>0.0</v>
      </c>
      <c r="I2831" s="35">
        <v>1.0</v>
      </c>
      <c r="J2831" s="35"/>
      <c r="K2831" s="35">
        <v>0.0</v>
      </c>
    </row>
    <row r="2832" ht="15.75" customHeight="1">
      <c r="A2832" s="35" t="s">
        <v>7713</v>
      </c>
      <c r="B2832" s="35"/>
      <c r="C2832" s="35">
        <v>2.0</v>
      </c>
      <c r="D2832" s="35" t="s">
        <v>4635</v>
      </c>
      <c r="E2832" s="35">
        <v>46027.0</v>
      </c>
      <c r="F2832" s="35">
        <v>0.0</v>
      </c>
      <c r="G2832" s="35">
        <v>1.0</v>
      </c>
      <c r="H2832" s="35">
        <v>0.0</v>
      </c>
      <c r="I2832" s="35">
        <v>0.0</v>
      </c>
      <c r="J2832" s="35"/>
      <c r="K2832" s="35">
        <v>0.0</v>
      </c>
    </row>
    <row r="2833" ht="15.75" customHeight="1">
      <c r="A2833" s="35" t="s">
        <v>7715</v>
      </c>
      <c r="B2833" s="35"/>
      <c r="C2833" s="35">
        <v>2.0</v>
      </c>
      <c r="D2833" s="35" t="s">
        <v>4635</v>
      </c>
      <c r="E2833" s="35">
        <v>46027.0</v>
      </c>
      <c r="F2833" s="35">
        <v>0.0</v>
      </c>
      <c r="G2833" s="35">
        <v>25.0</v>
      </c>
      <c r="H2833" s="35">
        <v>0.0</v>
      </c>
      <c r="I2833" s="35">
        <v>0.0</v>
      </c>
      <c r="J2833" s="35"/>
      <c r="K2833" s="35">
        <v>0.0</v>
      </c>
    </row>
    <row r="2834" ht="15.75" customHeight="1">
      <c r="A2834" s="35" t="s">
        <v>7716</v>
      </c>
      <c r="B2834" s="35"/>
      <c r="C2834" s="35">
        <v>2.0</v>
      </c>
      <c r="D2834" s="35" t="s">
        <v>4635</v>
      </c>
      <c r="E2834" s="35">
        <v>46027.0</v>
      </c>
      <c r="F2834" s="35">
        <v>0.0</v>
      </c>
      <c r="G2834" s="35">
        <v>0.0</v>
      </c>
      <c r="H2834" s="35">
        <v>3.0</v>
      </c>
      <c r="I2834" s="35">
        <v>0.0</v>
      </c>
      <c r="J2834" s="35"/>
      <c r="K2834" s="35">
        <v>0.0</v>
      </c>
    </row>
    <row r="2835" ht="15.75" customHeight="1">
      <c r="A2835" s="35" t="s">
        <v>7718</v>
      </c>
      <c r="B2835" s="35"/>
      <c r="C2835" s="35">
        <v>2.0</v>
      </c>
      <c r="D2835" s="35" t="s">
        <v>4635</v>
      </c>
      <c r="E2835" s="35">
        <v>46027.0</v>
      </c>
      <c r="F2835" s="35">
        <v>0.0</v>
      </c>
      <c r="G2835" s="35">
        <v>2.0</v>
      </c>
      <c r="H2835" s="35">
        <v>0.0</v>
      </c>
      <c r="I2835" s="35">
        <v>0.0</v>
      </c>
      <c r="J2835" s="35"/>
      <c r="K2835" s="35">
        <v>0.0</v>
      </c>
    </row>
    <row r="2836" ht="15.75" customHeight="1">
      <c r="A2836" s="35" t="s">
        <v>7719</v>
      </c>
      <c r="B2836" s="35"/>
      <c r="C2836" s="35">
        <v>2.0</v>
      </c>
      <c r="D2836" s="35" t="s">
        <v>4635</v>
      </c>
      <c r="E2836" s="35">
        <v>46027.0</v>
      </c>
      <c r="F2836" s="35">
        <v>0.0</v>
      </c>
      <c r="G2836" s="35">
        <v>3.0</v>
      </c>
      <c r="H2836" s="35">
        <v>0.0</v>
      </c>
      <c r="I2836" s="35">
        <v>0.0</v>
      </c>
      <c r="J2836" s="35"/>
      <c r="K2836" s="35">
        <v>0.0</v>
      </c>
    </row>
    <row r="2837" ht="15.75" customHeight="1">
      <c r="A2837" s="35" t="s">
        <v>7720</v>
      </c>
      <c r="B2837" s="35"/>
      <c r="C2837" s="35">
        <v>2.0</v>
      </c>
      <c r="D2837" s="35">
        <v>634.0</v>
      </c>
      <c r="E2837" s="35">
        <v>46027.0</v>
      </c>
      <c r="F2837" s="35">
        <v>0.0</v>
      </c>
      <c r="G2837" s="35">
        <v>0.0</v>
      </c>
      <c r="H2837" s="35">
        <v>1.0</v>
      </c>
      <c r="I2837" s="35">
        <v>0.0</v>
      </c>
      <c r="J2837" s="35"/>
      <c r="K2837" s="35">
        <v>0.0</v>
      </c>
    </row>
    <row r="2838" ht="15.75" customHeight="1">
      <c r="A2838" s="35" t="s">
        <v>7722</v>
      </c>
      <c r="B2838" s="35"/>
      <c r="C2838" s="35">
        <v>2.0</v>
      </c>
      <c r="D2838" s="35" t="s">
        <v>4635</v>
      </c>
      <c r="E2838" s="35">
        <v>46027.0</v>
      </c>
      <c r="F2838" s="35">
        <v>0.0</v>
      </c>
      <c r="G2838" s="35">
        <v>14.0</v>
      </c>
      <c r="H2838" s="35">
        <v>0.0</v>
      </c>
      <c r="I2838" s="35">
        <v>0.0</v>
      </c>
      <c r="J2838" s="35"/>
      <c r="K2838" s="35">
        <v>0.0</v>
      </c>
    </row>
    <row r="2839" ht="15.75" customHeight="1">
      <c r="A2839" s="35" t="s">
        <v>7723</v>
      </c>
      <c r="B2839" s="35"/>
      <c r="C2839" s="35">
        <v>2.0</v>
      </c>
      <c r="D2839" s="35" t="s">
        <v>4635</v>
      </c>
      <c r="E2839" s="35">
        <v>46027.0</v>
      </c>
      <c r="F2839" s="35">
        <v>0.0</v>
      </c>
      <c r="G2839" s="35">
        <v>0.0</v>
      </c>
      <c r="H2839" s="35">
        <v>0.0</v>
      </c>
      <c r="I2839" s="35">
        <v>1.0</v>
      </c>
      <c r="J2839" s="35"/>
      <c r="K2839" s="35">
        <v>0.0</v>
      </c>
    </row>
    <row r="2840" ht="15.75" customHeight="1">
      <c r="A2840" s="35" t="s">
        <v>7725</v>
      </c>
      <c r="B2840" s="35"/>
      <c r="C2840" s="35">
        <v>2.0</v>
      </c>
      <c r="D2840" s="35" t="s">
        <v>4635</v>
      </c>
      <c r="E2840" s="35">
        <v>46027.0</v>
      </c>
      <c r="F2840" s="35">
        <v>0.0</v>
      </c>
      <c r="G2840" s="35">
        <v>0.0</v>
      </c>
      <c r="H2840" s="35">
        <v>0.0</v>
      </c>
      <c r="I2840" s="35">
        <v>3.0</v>
      </c>
      <c r="J2840" s="35"/>
      <c r="K2840" s="35">
        <v>0.0</v>
      </c>
    </row>
    <row r="2841" ht="15.75" customHeight="1">
      <c r="A2841" s="35" t="s">
        <v>7726</v>
      </c>
      <c r="B2841" s="35"/>
      <c r="C2841" s="35">
        <v>2.0</v>
      </c>
      <c r="D2841" s="35" t="s">
        <v>4635</v>
      </c>
      <c r="E2841" s="35">
        <v>46027.0</v>
      </c>
      <c r="F2841" s="35">
        <v>0.0</v>
      </c>
      <c r="G2841" s="35">
        <v>1.0</v>
      </c>
      <c r="H2841" s="35">
        <v>0.0</v>
      </c>
      <c r="I2841" s="35">
        <v>0.0</v>
      </c>
      <c r="J2841" s="35"/>
      <c r="K2841" s="35">
        <v>0.0</v>
      </c>
    </row>
    <row r="2842" ht="15.75" customHeight="1">
      <c r="A2842" s="35" t="s">
        <v>7728</v>
      </c>
      <c r="B2842" s="35"/>
      <c r="C2842" s="35">
        <v>2.0</v>
      </c>
      <c r="D2842" s="35" t="s">
        <v>4546</v>
      </c>
      <c r="E2842" s="35">
        <v>46027.0</v>
      </c>
      <c r="F2842" s="35">
        <v>0.0</v>
      </c>
      <c r="G2842" s="35">
        <v>1.0</v>
      </c>
      <c r="H2842" s="35">
        <v>0.0</v>
      </c>
      <c r="I2842" s="35">
        <v>0.0</v>
      </c>
      <c r="J2842" s="35"/>
      <c r="K2842" s="35">
        <v>0.0</v>
      </c>
    </row>
    <row r="2843" ht="15.75" customHeight="1">
      <c r="A2843" s="35" t="s">
        <v>7729</v>
      </c>
      <c r="B2843" s="35"/>
      <c r="C2843" s="35">
        <v>2.0</v>
      </c>
      <c r="D2843" s="35" t="s">
        <v>4635</v>
      </c>
      <c r="E2843" s="35">
        <v>46027.0</v>
      </c>
      <c r="F2843" s="35">
        <v>0.0</v>
      </c>
      <c r="G2843" s="35">
        <v>0.0</v>
      </c>
      <c r="H2843" s="35">
        <v>1.0</v>
      </c>
      <c r="I2843" s="35">
        <v>0.0</v>
      </c>
      <c r="J2843" s="35"/>
      <c r="K2843" s="35">
        <v>0.0</v>
      </c>
    </row>
    <row r="2844" ht="15.75" customHeight="1">
      <c r="A2844" s="35" t="s">
        <v>7731</v>
      </c>
      <c r="B2844" s="35"/>
      <c r="C2844" s="35">
        <v>2.0</v>
      </c>
      <c r="D2844" s="35" t="s">
        <v>4635</v>
      </c>
      <c r="E2844" s="35">
        <v>46027.0</v>
      </c>
      <c r="F2844" s="35">
        <v>0.0</v>
      </c>
      <c r="G2844" s="35">
        <v>1.0</v>
      </c>
      <c r="H2844" s="35">
        <v>0.0</v>
      </c>
      <c r="I2844" s="35">
        <v>0.0</v>
      </c>
      <c r="J2844" s="35"/>
      <c r="K2844" s="35">
        <v>0.0</v>
      </c>
    </row>
    <row r="2845" ht="15.75" customHeight="1">
      <c r="A2845" s="35" t="s">
        <v>7732</v>
      </c>
      <c r="B2845" s="35"/>
      <c r="C2845" s="35">
        <v>2.0</v>
      </c>
      <c r="D2845" s="35" t="s">
        <v>4635</v>
      </c>
      <c r="E2845" s="35">
        <v>46027.0</v>
      </c>
      <c r="F2845" s="35">
        <v>0.0</v>
      </c>
      <c r="G2845" s="35">
        <v>0.0</v>
      </c>
      <c r="H2845" s="35">
        <v>1.0</v>
      </c>
      <c r="I2845" s="35">
        <v>0.0</v>
      </c>
      <c r="J2845" s="35"/>
      <c r="K2845" s="35">
        <v>0.0</v>
      </c>
    </row>
    <row r="2846" ht="15.75" customHeight="1">
      <c r="A2846" s="35" t="s">
        <v>7734</v>
      </c>
      <c r="B2846" s="35"/>
      <c r="C2846" s="35">
        <v>2.0</v>
      </c>
      <c r="D2846" s="35" t="s">
        <v>4635</v>
      </c>
      <c r="E2846" s="35">
        <v>46027.0</v>
      </c>
      <c r="F2846" s="35">
        <v>0.0</v>
      </c>
      <c r="G2846" s="35">
        <v>2.0</v>
      </c>
      <c r="H2846" s="35">
        <v>0.0</v>
      </c>
      <c r="I2846" s="35">
        <v>0.0</v>
      </c>
      <c r="J2846" s="35"/>
      <c r="K2846" s="35">
        <v>0.0</v>
      </c>
    </row>
    <row r="2847" ht="15.75" customHeight="1">
      <c r="A2847" s="35" t="s">
        <v>7735</v>
      </c>
      <c r="B2847" s="35"/>
      <c r="C2847" s="35">
        <v>2.0</v>
      </c>
      <c r="D2847" s="35" t="s">
        <v>4635</v>
      </c>
      <c r="E2847" s="35">
        <v>46027.0</v>
      </c>
      <c r="F2847" s="35">
        <v>0.0</v>
      </c>
      <c r="G2847" s="35">
        <v>4.0</v>
      </c>
      <c r="H2847" s="35">
        <v>0.0</v>
      </c>
      <c r="I2847" s="35">
        <v>0.0</v>
      </c>
      <c r="J2847" s="35"/>
      <c r="K2847" s="35">
        <v>0.0</v>
      </c>
    </row>
    <row r="2848" ht="15.75" customHeight="1">
      <c r="A2848" s="35" t="s">
        <v>7736</v>
      </c>
      <c r="B2848" s="35"/>
      <c r="C2848" s="35">
        <v>2.0</v>
      </c>
      <c r="D2848" s="35">
        <v>23.0</v>
      </c>
      <c r="E2848" s="35">
        <v>46027.0</v>
      </c>
      <c r="F2848" s="35">
        <v>0.0</v>
      </c>
      <c r="G2848" s="35">
        <v>13.0</v>
      </c>
      <c r="H2848" s="35">
        <v>0.0</v>
      </c>
      <c r="I2848" s="35">
        <v>0.0</v>
      </c>
      <c r="J2848" s="35"/>
      <c r="K2848" s="35">
        <v>0.0</v>
      </c>
    </row>
    <row r="2849" ht="15.75" customHeight="1">
      <c r="A2849" s="35" t="s">
        <v>7738</v>
      </c>
      <c r="B2849" s="35"/>
      <c r="C2849" s="35">
        <v>2.0</v>
      </c>
      <c r="D2849" s="35">
        <v>63.0</v>
      </c>
      <c r="E2849" s="35">
        <v>46027.0</v>
      </c>
      <c r="F2849" s="35">
        <v>0.0</v>
      </c>
      <c r="G2849" s="35">
        <v>2.0</v>
      </c>
      <c r="H2849" s="35">
        <v>0.0</v>
      </c>
      <c r="I2849" s="35">
        <v>0.0</v>
      </c>
      <c r="J2849" s="35"/>
      <c r="K2849" s="35">
        <v>0.0</v>
      </c>
    </row>
    <row r="2850" ht="15.75" customHeight="1">
      <c r="A2850" s="35" t="s">
        <v>7739</v>
      </c>
      <c r="B2850" s="35"/>
      <c r="C2850" s="35">
        <v>2.0</v>
      </c>
      <c r="D2850" s="35" t="s">
        <v>4635</v>
      </c>
      <c r="E2850" s="35">
        <v>46027.0</v>
      </c>
      <c r="F2850" s="35">
        <v>0.0</v>
      </c>
      <c r="G2850" s="35">
        <v>3.0</v>
      </c>
      <c r="H2850" s="35">
        <v>0.0</v>
      </c>
      <c r="I2850" s="35">
        <v>0.0</v>
      </c>
      <c r="J2850" s="35"/>
      <c r="K2850" s="35">
        <v>0.0</v>
      </c>
    </row>
    <row r="2851" ht="15.75" customHeight="1">
      <c r="A2851" s="35" t="s">
        <v>7741</v>
      </c>
      <c r="B2851" s="35"/>
      <c r="C2851" s="35">
        <v>2.0</v>
      </c>
      <c r="D2851" s="35" t="s">
        <v>4635</v>
      </c>
      <c r="E2851" s="35">
        <v>46027.0</v>
      </c>
      <c r="F2851" s="35">
        <v>0.0</v>
      </c>
      <c r="G2851" s="35">
        <v>1.0</v>
      </c>
      <c r="H2851" s="35">
        <v>0.0</v>
      </c>
      <c r="I2851" s="35">
        <v>0.0</v>
      </c>
      <c r="J2851" s="35"/>
      <c r="K2851" s="35">
        <v>0.0</v>
      </c>
    </row>
    <row r="2852" ht="15.75" customHeight="1">
      <c r="A2852" s="35" t="s">
        <v>7742</v>
      </c>
      <c r="B2852" s="35"/>
      <c r="C2852" s="35">
        <v>2.0</v>
      </c>
      <c r="D2852" s="35">
        <v>78.0</v>
      </c>
      <c r="E2852" s="35">
        <v>46027.0</v>
      </c>
      <c r="F2852" s="35">
        <v>0.0</v>
      </c>
      <c r="G2852" s="35">
        <v>2.0</v>
      </c>
      <c r="H2852" s="35">
        <v>0.0</v>
      </c>
      <c r="I2852" s="35">
        <v>0.0</v>
      </c>
      <c r="J2852" s="35"/>
      <c r="K2852" s="35">
        <v>0.0</v>
      </c>
    </row>
    <row r="2853" ht="15.75" customHeight="1">
      <c r="A2853" s="35" t="s">
        <v>7743</v>
      </c>
      <c r="B2853" s="35"/>
      <c r="C2853" s="35">
        <v>2.0</v>
      </c>
      <c r="D2853" s="35" t="s">
        <v>2065</v>
      </c>
      <c r="E2853" s="35">
        <v>46027.0</v>
      </c>
      <c r="F2853" s="35">
        <v>0.0</v>
      </c>
      <c r="G2853" s="35">
        <v>25.0</v>
      </c>
      <c r="H2853" s="35">
        <v>0.0</v>
      </c>
      <c r="I2853" s="35">
        <v>0.0</v>
      </c>
      <c r="J2853" s="35"/>
      <c r="K2853" s="35">
        <v>0.0</v>
      </c>
    </row>
    <row r="2854" ht="15.75" customHeight="1">
      <c r="A2854" s="35" t="s">
        <v>7745</v>
      </c>
      <c r="B2854" s="35"/>
      <c r="C2854" s="35">
        <v>2.0</v>
      </c>
      <c r="D2854" s="35" t="s">
        <v>4635</v>
      </c>
      <c r="E2854" s="35">
        <v>46027.0</v>
      </c>
      <c r="F2854" s="35">
        <v>0.0</v>
      </c>
      <c r="G2854" s="35">
        <v>3.0</v>
      </c>
      <c r="H2854" s="35">
        <v>0.0</v>
      </c>
      <c r="I2854" s="35">
        <v>0.0</v>
      </c>
      <c r="J2854" s="35"/>
      <c r="K2854" s="35">
        <v>0.0</v>
      </c>
    </row>
    <row r="2855" ht="15.75" customHeight="1">
      <c r="A2855" s="35" t="s">
        <v>7746</v>
      </c>
      <c r="B2855" s="35"/>
      <c r="C2855" s="35">
        <v>2.0</v>
      </c>
      <c r="D2855" s="35">
        <v>341.0</v>
      </c>
      <c r="E2855" s="35">
        <v>46027.0</v>
      </c>
      <c r="F2855" s="35">
        <v>0.0</v>
      </c>
      <c r="G2855" s="35">
        <v>0.0</v>
      </c>
      <c r="H2855" s="35">
        <v>1.0</v>
      </c>
      <c r="I2855" s="35">
        <v>0.0</v>
      </c>
      <c r="J2855" s="35"/>
      <c r="K2855" s="35">
        <v>0.0</v>
      </c>
    </row>
    <row r="2856" ht="15.75" customHeight="1">
      <c r="A2856" s="35" t="s">
        <v>7748</v>
      </c>
      <c r="B2856" s="35"/>
      <c r="C2856" s="35">
        <v>2.0</v>
      </c>
      <c r="D2856" s="35">
        <v>418.0</v>
      </c>
      <c r="E2856" s="35">
        <v>46027.0</v>
      </c>
      <c r="F2856" s="35">
        <v>0.0</v>
      </c>
      <c r="G2856" s="35">
        <v>2.0</v>
      </c>
      <c r="H2856" s="35">
        <v>0.0</v>
      </c>
      <c r="I2856" s="35">
        <v>0.0</v>
      </c>
      <c r="J2856" s="35"/>
      <c r="K2856" s="35">
        <v>0.0</v>
      </c>
    </row>
    <row r="2857" ht="15.75" customHeight="1">
      <c r="A2857" s="35" t="s">
        <v>7749</v>
      </c>
      <c r="B2857" s="35"/>
      <c r="C2857" s="35">
        <v>2.0</v>
      </c>
      <c r="D2857" s="35">
        <v>300.0</v>
      </c>
      <c r="E2857" s="35">
        <v>46027.0</v>
      </c>
      <c r="F2857" s="35">
        <v>0.0</v>
      </c>
      <c r="G2857" s="35">
        <v>2.0</v>
      </c>
      <c r="H2857" s="35">
        <v>0.0</v>
      </c>
      <c r="I2857" s="35">
        <v>0.0</v>
      </c>
      <c r="J2857" s="35"/>
      <c r="K2857" s="35">
        <v>0.0</v>
      </c>
    </row>
    <row r="2858" ht="15.75" customHeight="1">
      <c r="A2858" s="35" t="s">
        <v>7750</v>
      </c>
      <c r="B2858" s="35"/>
      <c r="C2858" s="35">
        <v>2.0</v>
      </c>
      <c r="D2858" s="35">
        <v>49.0</v>
      </c>
      <c r="E2858" s="35">
        <v>46027.0</v>
      </c>
      <c r="F2858" s="35">
        <v>0.0</v>
      </c>
      <c r="G2858" s="35">
        <v>1.0</v>
      </c>
      <c r="H2858" s="35">
        <v>0.0</v>
      </c>
      <c r="I2858" s="35">
        <v>0.0</v>
      </c>
      <c r="J2858" s="35"/>
      <c r="K2858" s="35">
        <v>0.0</v>
      </c>
    </row>
    <row r="2859" ht="15.75" customHeight="1">
      <c r="A2859" s="35" t="s">
        <v>7752</v>
      </c>
      <c r="B2859" s="35"/>
      <c r="C2859" s="35">
        <v>2.0</v>
      </c>
      <c r="D2859" s="35" t="s">
        <v>2065</v>
      </c>
      <c r="E2859" s="35">
        <v>46027.0</v>
      </c>
      <c r="F2859" s="35">
        <v>0.0</v>
      </c>
      <c r="G2859" s="35">
        <v>22.0</v>
      </c>
      <c r="H2859" s="35">
        <v>0.0</v>
      </c>
      <c r="I2859" s="35">
        <v>0.0</v>
      </c>
      <c r="J2859" s="35"/>
      <c r="K2859" s="35">
        <v>0.0</v>
      </c>
    </row>
    <row r="2860" ht="15.75" customHeight="1">
      <c r="A2860" s="35" t="s">
        <v>7753</v>
      </c>
      <c r="B2860" s="35"/>
      <c r="C2860" s="35">
        <v>2.0</v>
      </c>
      <c r="D2860" s="35" t="s">
        <v>4635</v>
      </c>
      <c r="E2860" s="35">
        <v>46027.0</v>
      </c>
      <c r="F2860" s="35">
        <v>0.0</v>
      </c>
      <c r="G2860" s="35">
        <v>9.0</v>
      </c>
      <c r="H2860" s="35">
        <v>0.0</v>
      </c>
      <c r="I2860" s="35">
        <v>0.0</v>
      </c>
      <c r="J2860" s="35"/>
      <c r="K2860" s="35">
        <v>0.0</v>
      </c>
    </row>
    <row r="2861" ht="15.75" customHeight="1">
      <c r="A2861" s="35" t="s">
        <v>7755</v>
      </c>
      <c r="B2861" s="35"/>
      <c r="C2861" s="35">
        <v>2.0</v>
      </c>
      <c r="D2861" s="35" t="s">
        <v>4635</v>
      </c>
      <c r="E2861" s="35">
        <v>46027.0</v>
      </c>
      <c r="F2861" s="35">
        <v>0.0</v>
      </c>
      <c r="G2861" s="35">
        <v>11.0</v>
      </c>
      <c r="H2861" s="35">
        <v>0.0</v>
      </c>
      <c r="I2861" s="35">
        <v>0.0</v>
      </c>
      <c r="J2861" s="35"/>
      <c r="K2861" s="35">
        <v>0.0</v>
      </c>
    </row>
    <row r="2862" ht="15.75" customHeight="1">
      <c r="A2862" s="35" t="s">
        <v>7756</v>
      </c>
      <c r="B2862" s="35"/>
      <c r="C2862" s="35">
        <v>2.0</v>
      </c>
      <c r="D2862" s="35" t="s">
        <v>4635</v>
      </c>
      <c r="E2862" s="35">
        <v>46027.0</v>
      </c>
      <c r="F2862" s="35">
        <v>0.0</v>
      </c>
      <c r="G2862" s="35">
        <v>1.0</v>
      </c>
      <c r="H2862" s="35">
        <v>0.0</v>
      </c>
      <c r="I2862" s="35">
        <v>0.0</v>
      </c>
      <c r="J2862" s="35"/>
      <c r="K2862" s="35">
        <v>0.0</v>
      </c>
    </row>
    <row r="2863" ht="15.75" customHeight="1">
      <c r="A2863" s="35" t="s">
        <v>7758</v>
      </c>
      <c r="B2863" s="35"/>
      <c r="C2863" s="35">
        <v>2.0</v>
      </c>
      <c r="D2863" s="35">
        <v>278.0</v>
      </c>
      <c r="E2863" s="35">
        <v>46027.0</v>
      </c>
      <c r="F2863" s="35">
        <v>0.0</v>
      </c>
      <c r="G2863" s="35">
        <v>63.0</v>
      </c>
      <c r="H2863" s="35">
        <v>0.0</v>
      </c>
      <c r="I2863" s="35">
        <v>0.0</v>
      </c>
      <c r="J2863" s="35"/>
      <c r="K2863" s="35">
        <v>0.0</v>
      </c>
    </row>
    <row r="2864" ht="15.75" customHeight="1">
      <c r="A2864" s="35" t="s">
        <v>7759</v>
      </c>
      <c r="B2864" s="35"/>
      <c r="C2864" s="35">
        <v>2.0</v>
      </c>
      <c r="D2864" s="35" t="s">
        <v>2018</v>
      </c>
      <c r="E2864" s="35">
        <v>46027.0</v>
      </c>
      <c r="F2864" s="35">
        <v>0.0</v>
      </c>
      <c r="G2864" s="35">
        <v>1.0</v>
      </c>
      <c r="H2864" s="35">
        <v>0.0</v>
      </c>
      <c r="I2864" s="35">
        <v>0.0</v>
      </c>
      <c r="J2864" s="35"/>
      <c r="K2864" s="35">
        <v>0.0</v>
      </c>
    </row>
    <row r="2865" ht="15.75" customHeight="1">
      <c r="A2865" s="35" t="s">
        <v>7761</v>
      </c>
      <c r="B2865" s="35"/>
      <c r="C2865" s="35">
        <v>2.0</v>
      </c>
      <c r="D2865" s="35" t="s">
        <v>3577</v>
      </c>
      <c r="E2865" s="35">
        <v>46027.0</v>
      </c>
      <c r="F2865" s="35">
        <v>0.0</v>
      </c>
      <c r="G2865" s="35">
        <v>1.0</v>
      </c>
      <c r="H2865" s="35">
        <v>0.0</v>
      </c>
      <c r="I2865" s="35">
        <v>0.0</v>
      </c>
      <c r="J2865" s="35"/>
      <c r="K2865" s="35">
        <v>0.0</v>
      </c>
    </row>
    <row r="2866" ht="15.75" customHeight="1">
      <c r="A2866" s="35" t="s">
        <v>7762</v>
      </c>
      <c r="B2866" s="35"/>
      <c r="C2866" s="35">
        <v>2.0</v>
      </c>
      <c r="D2866" s="35" t="s">
        <v>4635</v>
      </c>
      <c r="E2866" s="35">
        <v>46027.0</v>
      </c>
      <c r="F2866" s="35">
        <v>0.0</v>
      </c>
      <c r="G2866" s="35">
        <v>1.0</v>
      </c>
      <c r="H2866" s="35">
        <v>0.0</v>
      </c>
      <c r="I2866" s="35">
        <v>0.0</v>
      </c>
      <c r="J2866" s="35"/>
      <c r="K2866" s="35">
        <v>0.0</v>
      </c>
    </row>
    <row r="2867" ht="15.75" customHeight="1">
      <c r="A2867" s="35" t="s">
        <v>7764</v>
      </c>
      <c r="B2867" s="35"/>
      <c r="C2867" s="35">
        <v>2.0</v>
      </c>
      <c r="D2867" s="35">
        <v>46.0</v>
      </c>
      <c r="E2867" s="35">
        <v>46027.0</v>
      </c>
      <c r="F2867" s="35">
        <v>0.0</v>
      </c>
      <c r="G2867" s="35">
        <v>13.0</v>
      </c>
      <c r="H2867" s="35">
        <v>0.0</v>
      </c>
      <c r="I2867" s="35">
        <v>0.0</v>
      </c>
      <c r="J2867" s="35"/>
      <c r="K2867" s="35">
        <v>0.0</v>
      </c>
    </row>
    <row r="2868" ht="15.75" customHeight="1">
      <c r="A2868" s="35" t="s">
        <v>7765</v>
      </c>
      <c r="B2868" s="35"/>
      <c r="C2868" s="35">
        <v>2.0</v>
      </c>
      <c r="D2868" s="35">
        <v>42.0</v>
      </c>
      <c r="E2868" s="35">
        <v>46027.0</v>
      </c>
      <c r="F2868" s="35">
        <v>0.0</v>
      </c>
      <c r="G2868" s="35">
        <v>17.0</v>
      </c>
      <c r="H2868" s="35">
        <v>0.0</v>
      </c>
      <c r="I2868" s="35">
        <v>0.0</v>
      </c>
      <c r="J2868" s="35"/>
      <c r="K2868" s="35">
        <v>0.0</v>
      </c>
    </row>
    <row r="2869" ht="15.75" customHeight="1">
      <c r="A2869" s="35" t="s">
        <v>7766</v>
      </c>
      <c r="B2869" s="35"/>
      <c r="C2869" s="35">
        <v>2.0</v>
      </c>
      <c r="D2869" s="35">
        <v>23.0</v>
      </c>
      <c r="E2869" s="35">
        <v>46027.0</v>
      </c>
      <c r="F2869" s="35">
        <v>0.0</v>
      </c>
      <c r="G2869" s="35">
        <v>12.0</v>
      </c>
      <c r="H2869" s="35">
        <v>0.0</v>
      </c>
      <c r="I2869" s="35">
        <v>0.0</v>
      </c>
      <c r="J2869" s="35"/>
      <c r="K2869" s="35">
        <v>0.0</v>
      </c>
    </row>
    <row r="2870" ht="15.75" customHeight="1">
      <c r="A2870" s="35" t="s">
        <v>7768</v>
      </c>
      <c r="B2870" s="35"/>
      <c r="C2870" s="35">
        <v>2.0</v>
      </c>
      <c r="D2870" s="35" t="s">
        <v>4635</v>
      </c>
      <c r="E2870" s="35">
        <v>46027.0</v>
      </c>
      <c r="F2870" s="35">
        <v>0.0</v>
      </c>
      <c r="G2870" s="35">
        <v>1.0</v>
      </c>
      <c r="H2870" s="35">
        <v>0.0</v>
      </c>
      <c r="I2870" s="35">
        <v>0.0</v>
      </c>
      <c r="J2870" s="35"/>
      <c r="K2870" s="35">
        <v>0.0</v>
      </c>
    </row>
    <row r="2871" ht="15.75" customHeight="1">
      <c r="A2871" s="35" t="s">
        <v>7769</v>
      </c>
      <c r="B2871" s="35"/>
      <c r="C2871" s="35">
        <v>2.0</v>
      </c>
      <c r="D2871" s="35" t="s">
        <v>2038</v>
      </c>
      <c r="E2871" s="35">
        <v>46027.0</v>
      </c>
      <c r="F2871" s="35">
        <v>0.0</v>
      </c>
      <c r="G2871" s="35">
        <v>1.0</v>
      </c>
      <c r="H2871" s="35">
        <v>0.0</v>
      </c>
      <c r="I2871" s="35">
        <v>0.0</v>
      </c>
      <c r="J2871" s="35"/>
      <c r="K2871" s="35">
        <v>0.0</v>
      </c>
    </row>
    <row r="2872" ht="15.75" customHeight="1">
      <c r="A2872" s="35" t="s">
        <v>7770</v>
      </c>
      <c r="B2872" s="35"/>
      <c r="C2872" s="35">
        <v>2.0</v>
      </c>
      <c r="D2872" s="35" t="s">
        <v>4635</v>
      </c>
      <c r="E2872" s="35">
        <v>46027.0</v>
      </c>
      <c r="F2872" s="35">
        <v>0.0</v>
      </c>
      <c r="G2872" s="35">
        <v>5.0</v>
      </c>
      <c r="H2872" s="35">
        <v>0.0</v>
      </c>
      <c r="I2872" s="35">
        <v>0.0</v>
      </c>
      <c r="J2872" s="35"/>
      <c r="K2872" s="35">
        <v>0.0</v>
      </c>
    </row>
    <row r="2873" ht="15.75" customHeight="1">
      <c r="A2873" s="35" t="s">
        <v>7772</v>
      </c>
      <c r="B2873" s="35"/>
      <c r="C2873" s="35">
        <v>2.0</v>
      </c>
      <c r="D2873" s="35">
        <v>422.0</v>
      </c>
      <c r="E2873" s="35">
        <v>46027.0</v>
      </c>
      <c r="F2873" s="35">
        <v>0.0</v>
      </c>
      <c r="G2873" s="35">
        <v>2.0</v>
      </c>
      <c r="H2873" s="35">
        <v>0.0</v>
      </c>
      <c r="I2873" s="35">
        <v>0.0</v>
      </c>
      <c r="J2873" s="35"/>
      <c r="K2873" s="35">
        <v>0.0</v>
      </c>
    </row>
    <row r="2874" ht="15.75" customHeight="1">
      <c r="A2874" s="35" t="s">
        <v>7773</v>
      </c>
      <c r="B2874" s="35"/>
      <c r="C2874" s="35">
        <v>2.0</v>
      </c>
      <c r="D2874" s="35" t="s">
        <v>4635</v>
      </c>
      <c r="E2874" s="35">
        <v>46027.0</v>
      </c>
      <c r="F2874" s="35">
        <v>0.0</v>
      </c>
      <c r="G2874" s="35">
        <v>1.0</v>
      </c>
      <c r="H2874" s="35">
        <v>0.0</v>
      </c>
      <c r="I2874" s="35">
        <v>0.0</v>
      </c>
      <c r="J2874" s="35"/>
      <c r="K2874" s="35">
        <v>0.0</v>
      </c>
    </row>
    <row r="2875" ht="15.75" customHeight="1">
      <c r="A2875" s="35" t="s">
        <v>7775</v>
      </c>
      <c r="B2875" s="35"/>
      <c r="C2875" s="35">
        <v>2.0</v>
      </c>
      <c r="D2875" s="35" t="s">
        <v>4635</v>
      </c>
      <c r="E2875" s="35">
        <v>46027.0</v>
      </c>
      <c r="F2875" s="35">
        <v>0.0</v>
      </c>
      <c r="G2875" s="35">
        <v>2.0</v>
      </c>
      <c r="H2875" s="35">
        <v>0.0</v>
      </c>
      <c r="I2875" s="35">
        <v>0.0</v>
      </c>
      <c r="J2875" s="35"/>
      <c r="K2875" s="35">
        <v>0.0</v>
      </c>
    </row>
    <row r="2876" ht="15.75" customHeight="1">
      <c r="A2876" s="35" t="s">
        <v>7776</v>
      </c>
      <c r="B2876" s="35"/>
      <c r="C2876" s="35">
        <v>2.0</v>
      </c>
      <c r="D2876" s="35" t="s">
        <v>4635</v>
      </c>
      <c r="E2876" s="35">
        <v>46027.0</v>
      </c>
      <c r="F2876" s="35">
        <v>0.0</v>
      </c>
      <c r="G2876" s="35">
        <v>0.0</v>
      </c>
      <c r="H2876" s="35">
        <v>2.0</v>
      </c>
      <c r="I2876" s="35">
        <v>0.0</v>
      </c>
      <c r="J2876" s="35"/>
      <c r="K2876" s="35">
        <v>0.0</v>
      </c>
    </row>
    <row r="2877" ht="15.75" customHeight="1">
      <c r="A2877" s="35" t="s">
        <v>7778</v>
      </c>
      <c r="B2877" s="35"/>
      <c r="C2877" s="35">
        <v>2.0</v>
      </c>
      <c r="D2877" s="35" t="s">
        <v>4635</v>
      </c>
      <c r="E2877" s="35">
        <v>46027.0</v>
      </c>
      <c r="F2877" s="35">
        <v>0.0</v>
      </c>
      <c r="G2877" s="35">
        <v>18.0</v>
      </c>
      <c r="H2877" s="35">
        <v>0.0</v>
      </c>
      <c r="I2877" s="35">
        <v>0.0</v>
      </c>
      <c r="J2877" s="35"/>
      <c r="K2877" s="35">
        <v>0.0</v>
      </c>
    </row>
    <row r="2878" ht="15.75" customHeight="1">
      <c r="A2878" s="35" t="s">
        <v>7779</v>
      </c>
      <c r="B2878" s="35"/>
      <c r="C2878" s="35">
        <v>2.0</v>
      </c>
      <c r="D2878" s="35">
        <v>41.0</v>
      </c>
      <c r="E2878" s="35">
        <v>46027.0</v>
      </c>
      <c r="F2878" s="35">
        <v>0.0</v>
      </c>
      <c r="G2878" s="35">
        <v>11.0</v>
      </c>
      <c r="H2878" s="35">
        <v>0.0</v>
      </c>
      <c r="I2878" s="35">
        <v>0.0</v>
      </c>
      <c r="J2878" s="35"/>
      <c r="K2878" s="35">
        <v>0.0</v>
      </c>
    </row>
    <row r="2879" ht="15.75" customHeight="1">
      <c r="A2879" s="35" t="s">
        <v>7781</v>
      </c>
      <c r="B2879" s="35"/>
      <c r="C2879" s="35">
        <v>2.0</v>
      </c>
      <c r="D2879" s="35">
        <v>92.0</v>
      </c>
      <c r="E2879" s="35">
        <v>46027.0</v>
      </c>
      <c r="F2879" s="35">
        <v>0.0</v>
      </c>
      <c r="G2879" s="35">
        <v>10.0</v>
      </c>
      <c r="H2879" s="35">
        <v>0.0</v>
      </c>
      <c r="I2879" s="35">
        <v>0.0</v>
      </c>
      <c r="J2879" s="35"/>
      <c r="K2879" s="35">
        <v>0.0</v>
      </c>
    </row>
    <row r="2880" ht="15.75" customHeight="1">
      <c r="A2880" s="35" t="s">
        <v>7782</v>
      </c>
      <c r="B2880" s="35"/>
      <c r="C2880" s="35">
        <v>2.0</v>
      </c>
      <c r="D2880" s="35">
        <v>41.0</v>
      </c>
      <c r="E2880" s="35">
        <v>46027.0</v>
      </c>
      <c r="F2880" s="35">
        <v>0.0</v>
      </c>
      <c r="G2880" s="35">
        <v>19.0</v>
      </c>
      <c r="H2880" s="35">
        <v>0.0</v>
      </c>
      <c r="I2880" s="35">
        <v>0.0</v>
      </c>
      <c r="J2880" s="35"/>
      <c r="K2880" s="35">
        <v>0.0</v>
      </c>
    </row>
    <row r="2881" ht="15.75" customHeight="1">
      <c r="A2881" s="35" t="s">
        <v>7783</v>
      </c>
      <c r="B2881" s="35"/>
      <c r="C2881" s="35">
        <v>2.0</v>
      </c>
      <c r="D2881" s="35" t="s">
        <v>4635</v>
      </c>
      <c r="E2881" s="35">
        <v>46027.0</v>
      </c>
      <c r="F2881" s="35">
        <v>0.0</v>
      </c>
      <c r="G2881" s="35">
        <v>4.0</v>
      </c>
      <c r="H2881" s="35">
        <v>0.0</v>
      </c>
      <c r="I2881" s="35">
        <v>0.0</v>
      </c>
      <c r="J2881" s="35"/>
      <c r="K2881" s="35">
        <v>0.0</v>
      </c>
    </row>
    <row r="2882" ht="15.75" customHeight="1">
      <c r="A2882" s="35" t="s">
        <v>7785</v>
      </c>
      <c r="B2882" s="35"/>
      <c r="C2882" s="35">
        <v>2.0</v>
      </c>
      <c r="D2882" s="35" t="s">
        <v>2016</v>
      </c>
      <c r="E2882" s="35">
        <v>46027.0</v>
      </c>
      <c r="F2882" s="35">
        <v>0.0</v>
      </c>
      <c r="G2882" s="35">
        <v>1.0</v>
      </c>
      <c r="H2882" s="35">
        <v>0.0</v>
      </c>
      <c r="I2882" s="35">
        <v>0.0</v>
      </c>
      <c r="J2882" s="35"/>
      <c r="K2882" s="35">
        <v>0.0</v>
      </c>
    </row>
    <row r="2883" ht="15.75" customHeight="1">
      <c r="A2883" s="35" t="s">
        <v>7786</v>
      </c>
      <c r="B2883" s="35"/>
      <c r="C2883" s="35">
        <v>2.0</v>
      </c>
      <c r="D2883" s="35" t="s">
        <v>4635</v>
      </c>
      <c r="E2883" s="35">
        <v>46027.0</v>
      </c>
      <c r="F2883" s="35">
        <v>0.0</v>
      </c>
      <c r="G2883" s="35">
        <v>0.0</v>
      </c>
      <c r="H2883" s="35">
        <v>0.0</v>
      </c>
      <c r="I2883" s="35">
        <v>1.0</v>
      </c>
      <c r="J2883" s="35"/>
      <c r="K2883" s="35">
        <v>0.0</v>
      </c>
    </row>
    <row r="2884" ht="15.75" customHeight="1">
      <c r="A2884" s="35" t="s">
        <v>7788</v>
      </c>
      <c r="B2884" s="35"/>
      <c r="C2884" s="35">
        <v>2.0</v>
      </c>
      <c r="D2884" s="35" t="s">
        <v>4563</v>
      </c>
      <c r="E2884" s="35">
        <v>46027.0</v>
      </c>
      <c r="F2884" s="35">
        <v>0.0</v>
      </c>
      <c r="G2884" s="35">
        <v>2.0</v>
      </c>
      <c r="H2884" s="35">
        <v>0.0</v>
      </c>
      <c r="I2884" s="35">
        <v>0.0</v>
      </c>
      <c r="J2884" s="35"/>
      <c r="K2884" s="35">
        <v>0.0</v>
      </c>
    </row>
    <row r="2885" ht="15.75" customHeight="1">
      <c r="A2885" s="35" t="s">
        <v>7789</v>
      </c>
      <c r="B2885" s="35"/>
      <c r="C2885" s="35">
        <v>2.0</v>
      </c>
      <c r="D2885" s="35" t="s">
        <v>4635</v>
      </c>
      <c r="E2885" s="35">
        <v>46027.0</v>
      </c>
      <c r="F2885" s="35">
        <v>0.0</v>
      </c>
      <c r="G2885" s="35">
        <v>1.0</v>
      </c>
      <c r="H2885" s="35">
        <v>0.0</v>
      </c>
      <c r="I2885" s="35">
        <v>0.0</v>
      </c>
      <c r="J2885" s="35"/>
      <c r="K2885" s="35">
        <v>0.0</v>
      </c>
    </row>
    <row r="2886" ht="15.75" customHeight="1">
      <c r="A2886" s="35" t="s">
        <v>7791</v>
      </c>
      <c r="B2886" s="35"/>
      <c r="C2886" s="35">
        <v>2.0</v>
      </c>
      <c r="D2886" s="35" t="s">
        <v>4635</v>
      </c>
      <c r="E2886" s="35">
        <v>46027.0</v>
      </c>
      <c r="F2886" s="35">
        <v>0.0</v>
      </c>
      <c r="G2886" s="35">
        <v>0.0</v>
      </c>
      <c r="H2886" s="35">
        <v>0.0</v>
      </c>
      <c r="I2886" s="35">
        <v>2.0</v>
      </c>
      <c r="J2886" s="35"/>
      <c r="K2886" s="35">
        <v>0.0</v>
      </c>
    </row>
    <row r="2887" ht="15.75" customHeight="1">
      <c r="A2887" s="35" t="s">
        <v>7792</v>
      </c>
      <c r="B2887" s="35"/>
      <c r="C2887" s="35">
        <v>2.0</v>
      </c>
      <c r="D2887" s="35" t="s">
        <v>4635</v>
      </c>
      <c r="E2887" s="35">
        <v>46027.0</v>
      </c>
      <c r="F2887" s="35">
        <v>0.0</v>
      </c>
      <c r="G2887" s="35">
        <v>2825.0</v>
      </c>
      <c r="H2887" s="35">
        <v>0.0</v>
      </c>
      <c r="I2887" s="35">
        <v>0.0</v>
      </c>
      <c r="J2887" s="35"/>
      <c r="K2887" s="35">
        <v>0.0</v>
      </c>
    </row>
    <row r="2888" ht="15.75" customHeight="1">
      <c r="A2888" s="35" t="s">
        <v>7794</v>
      </c>
      <c r="B2888" s="35"/>
      <c r="C2888" s="35">
        <v>2.0</v>
      </c>
      <c r="D2888" s="35" t="s">
        <v>4841</v>
      </c>
      <c r="E2888" s="35">
        <v>46027.0</v>
      </c>
      <c r="F2888" s="35">
        <v>0.0</v>
      </c>
      <c r="G2888" s="35">
        <v>1.0</v>
      </c>
      <c r="H2888" s="35">
        <v>0.0</v>
      </c>
      <c r="I2888" s="35">
        <v>0.0</v>
      </c>
      <c r="J2888" s="35"/>
      <c r="K2888" s="35">
        <v>0.0</v>
      </c>
    </row>
    <row r="2889" ht="15.75" customHeight="1">
      <c r="A2889" s="35" t="s">
        <v>7795</v>
      </c>
      <c r="B2889" s="35"/>
      <c r="C2889" s="35">
        <v>2.0</v>
      </c>
      <c r="D2889" s="35">
        <v>33.0</v>
      </c>
      <c r="E2889" s="35">
        <v>46027.0</v>
      </c>
      <c r="F2889" s="35">
        <v>0.0</v>
      </c>
      <c r="G2889" s="35">
        <v>3.0</v>
      </c>
      <c r="H2889" s="35">
        <v>0.0</v>
      </c>
      <c r="I2889" s="35">
        <v>0.0</v>
      </c>
      <c r="J2889" s="35"/>
      <c r="K2889" s="35">
        <v>0.0</v>
      </c>
    </row>
    <row r="2890" ht="15.75" customHeight="1">
      <c r="A2890" s="35" t="s">
        <v>7796</v>
      </c>
      <c r="B2890" s="35"/>
      <c r="C2890" s="35">
        <v>2.0</v>
      </c>
      <c r="D2890" s="35" t="s">
        <v>4635</v>
      </c>
      <c r="E2890" s="35">
        <v>46027.0</v>
      </c>
      <c r="F2890" s="35">
        <v>0.0</v>
      </c>
      <c r="G2890" s="35">
        <v>2.0</v>
      </c>
      <c r="H2890" s="35">
        <v>0.0</v>
      </c>
      <c r="I2890" s="35">
        <v>0.0</v>
      </c>
      <c r="J2890" s="35"/>
      <c r="K2890" s="35">
        <v>0.0</v>
      </c>
    </row>
    <row r="2891" ht="15.75" customHeight="1">
      <c r="A2891" s="35" t="s">
        <v>7798</v>
      </c>
      <c r="B2891" s="35"/>
      <c r="C2891" s="35">
        <v>2.0</v>
      </c>
      <c r="D2891" s="35" t="s">
        <v>4635</v>
      </c>
      <c r="E2891" s="35">
        <v>46027.0</v>
      </c>
      <c r="F2891" s="35">
        <v>0.0</v>
      </c>
      <c r="G2891" s="35">
        <v>1.0</v>
      </c>
      <c r="H2891" s="35">
        <v>0.0</v>
      </c>
      <c r="I2891" s="35">
        <v>0.0</v>
      </c>
      <c r="J2891" s="35"/>
      <c r="K2891" s="35">
        <v>0.0</v>
      </c>
    </row>
    <row r="2892" ht="15.75" customHeight="1">
      <c r="A2892" s="35" t="s">
        <v>7799</v>
      </c>
      <c r="B2892" s="35"/>
      <c r="C2892" s="35">
        <v>2.0</v>
      </c>
      <c r="D2892" s="35">
        <v>53.0</v>
      </c>
      <c r="E2892" s="35">
        <v>46027.0</v>
      </c>
      <c r="F2892" s="35">
        <v>0.0</v>
      </c>
      <c r="G2892" s="35">
        <v>1.0</v>
      </c>
      <c r="H2892" s="35">
        <v>0.0</v>
      </c>
      <c r="I2892" s="35">
        <v>0.0</v>
      </c>
      <c r="J2892" s="35"/>
      <c r="K2892" s="35">
        <v>0.0</v>
      </c>
    </row>
    <row r="2893" ht="15.75" customHeight="1">
      <c r="A2893" s="35" t="s">
        <v>7801</v>
      </c>
      <c r="B2893" s="35"/>
      <c r="C2893" s="35">
        <v>2.0</v>
      </c>
      <c r="D2893" s="35" t="s">
        <v>4568</v>
      </c>
      <c r="E2893" s="35">
        <v>46027.0</v>
      </c>
      <c r="F2893" s="35">
        <v>0.0</v>
      </c>
      <c r="G2893" s="35">
        <v>28.0</v>
      </c>
      <c r="H2893" s="35">
        <v>0.0</v>
      </c>
      <c r="I2893" s="35">
        <v>0.0</v>
      </c>
      <c r="J2893" s="35"/>
      <c r="K2893" s="35">
        <v>0.0</v>
      </c>
    </row>
    <row r="2894" ht="15.75" customHeight="1">
      <c r="A2894" s="35" t="s">
        <v>7802</v>
      </c>
      <c r="B2894" s="35"/>
      <c r="C2894" s="35">
        <v>2.0</v>
      </c>
      <c r="D2894" s="35">
        <v>23.0</v>
      </c>
      <c r="E2894" s="35">
        <v>46027.0</v>
      </c>
      <c r="F2894" s="35">
        <v>0.0</v>
      </c>
      <c r="G2894" s="35">
        <v>12.0</v>
      </c>
      <c r="H2894" s="35">
        <v>0.0</v>
      </c>
      <c r="I2894" s="35">
        <v>0.0</v>
      </c>
      <c r="J2894" s="35"/>
      <c r="K2894" s="35">
        <v>0.0</v>
      </c>
    </row>
    <row r="2895" ht="15.75" customHeight="1">
      <c r="A2895" s="35" t="s">
        <v>7804</v>
      </c>
      <c r="B2895" s="35"/>
      <c r="C2895" s="35">
        <v>2.0</v>
      </c>
      <c r="D2895" s="35" t="s">
        <v>4635</v>
      </c>
      <c r="E2895" s="35">
        <v>46027.0</v>
      </c>
      <c r="F2895" s="35">
        <v>0.0</v>
      </c>
      <c r="G2895" s="35">
        <v>1.0</v>
      </c>
      <c r="H2895" s="35">
        <v>0.0</v>
      </c>
      <c r="I2895" s="35">
        <v>0.0</v>
      </c>
      <c r="J2895" s="35"/>
      <c r="K2895" s="35">
        <v>0.0</v>
      </c>
    </row>
    <row r="2896" ht="15.75" customHeight="1">
      <c r="A2896" s="35" t="s">
        <v>7805</v>
      </c>
      <c r="B2896" s="35"/>
      <c r="C2896" s="35">
        <v>2.0</v>
      </c>
      <c r="D2896" s="35">
        <v>31.0</v>
      </c>
      <c r="E2896" s="35">
        <v>46027.0</v>
      </c>
      <c r="F2896" s="35">
        <v>0.0</v>
      </c>
      <c r="G2896" s="35">
        <v>0.0</v>
      </c>
      <c r="H2896" s="35">
        <v>1.0</v>
      </c>
      <c r="I2896" s="35">
        <v>0.0</v>
      </c>
      <c r="J2896" s="35"/>
      <c r="K2896" s="35">
        <v>0.0</v>
      </c>
    </row>
    <row r="2897" ht="15.75" customHeight="1">
      <c r="A2897" s="35" t="s">
        <v>7807</v>
      </c>
      <c r="B2897" s="35"/>
      <c r="C2897" s="35">
        <v>2.0</v>
      </c>
      <c r="D2897" s="35">
        <v>67.0</v>
      </c>
      <c r="E2897" s="35">
        <v>46027.0</v>
      </c>
      <c r="F2897" s="35">
        <v>0.0</v>
      </c>
      <c r="G2897" s="35">
        <v>0.0</v>
      </c>
      <c r="H2897" s="35">
        <v>5.0</v>
      </c>
      <c r="I2897" s="35">
        <v>0.0</v>
      </c>
      <c r="J2897" s="35"/>
      <c r="K2897" s="35">
        <v>0.0</v>
      </c>
    </row>
    <row r="2898" ht="15.75" customHeight="1">
      <c r="A2898" s="35" t="s">
        <v>7808</v>
      </c>
      <c r="B2898" s="35"/>
      <c r="C2898" s="35">
        <v>2.0</v>
      </c>
      <c r="D2898" s="35" t="s">
        <v>4635</v>
      </c>
      <c r="E2898" s="35">
        <v>46027.0</v>
      </c>
      <c r="F2898" s="35">
        <v>0.0</v>
      </c>
      <c r="G2898" s="35">
        <v>1.0</v>
      </c>
      <c r="H2898" s="35">
        <v>0.0</v>
      </c>
      <c r="I2898" s="35">
        <v>0.0</v>
      </c>
      <c r="J2898" s="35"/>
      <c r="K2898" s="35">
        <v>0.0</v>
      </c>
    </row>
    <row r="2899" ht="15.75" customHeight="1">
      <c r="A2899" s="35" t="s">
        <v>7810</v>
      </c>
      <c r="B2899" s="35"/>
      <c r="C2899" s="35">
        <v>2.0</v>
      </c>
      <c r="D2899" s="35" t="s">
        <v>4635</v>
      </c>
      <c r="E2899" s="35">
        <v>46027.0</v>
      </c>
      <c r="F2899" s="35">
        <v>0.0</v>
      </c>
      <c r="G2899" s="35">
        <v>1.0</v>
      </c>
      <c r="H2899" s="35">
        <v>0.0</v>
      </c>
      <c r="I2899" s="35">
        <v>0.0</v>
      </c>
      <c r="J2899" s="35"/>
      <c r="K2899" s="35">
        <v>0.0</v>
      </c>
    </row>
    <row r="2900" ht="15.75" customHeight="1">
      <c r="A2900" s="35" t="s">
        <v>7811</v>
      </c>
      <c r="B2900" s="35"/>
      <c r="C2900" s="35">
        <v>2.0</v>
      </c>
      <c r="D2900" s="35" t="s">
        <v>4635</v>
      </c>
      <c r="E2900" s="35">
        <v>46027.0</v>
      </c>
      <c r="F2900" s="35">
        <v>0.0</v>
      </c>
      <c r="G2900" s="35">
        <v>1.0</v>
      </c>
      <c r="H2900" s="35">
        <v>0.0</v>
      </c>
      <c r="I2900" s="35">
        <v>0.0</v>
      </c>
      <c r="J2900" s="35"/>
      <c r="K2900" s="35">
        <v>0.0</v>
      </c>
    </row>
    <row r="2901" ht="15.75" customHeight="1">
      <c r="A2901" s="35" t="s">
        <v>7812</v>
      </c>
      <c r="B2901" s="35"/>
      <c r="C2901" s="35">
        <v>2.0</v>
      </c>
      <c r="D2901" s="35" t="s">
        <v>4635</v>
      </c>
      <c r="E2901" s="35">
        <v>46027.0</v>
      </c>
      <c r="F2901" s="35">
        <v>0.0</v>
      </c>
      <c r="G2901" s="35">
        <v>9.0</v>
      </c>
      <c r="H2901" s="35">
        <v>0.0</v>
      </c>
      <c r="I2901" s="35">
        <v>0.0</v>
      </c>
      <c r="J2901" s="35"/>
      <c r="K2901" s="35">
        <v>0.0</v>
      </c>
    </row>
    <row r="2902" ht="15.75" customHeight="1">
      <c r="A2902" s="35" t="s">
        <v>7814</v>
      </c>
      <c r="B2902" s="35"/>
      <c r="C2902" s="35">
        <v>2.0</v>
      </c>
      <c r="D2902" s="35" t="s">
        <v>4635</v>
      </c>
      <c r="E2902" s="35">
        <v>46027.0</v>
      </c>
      <c r="F2902" s="35">
        <v>0.0</v>
      </c>
      <c r="G2902" s="35">
        <v>3.0</v>
      </c>
      <c r="H2902" s="35">
        <v>0.0</v>
      </c>
      <c r="I2902" s="35">
        <v>0.0</v>
      </c>
      <c r="J2902" s="35"/>
      <c r="K2902" s="35">
        <v>0.0</v>
      </c>
    </row>
    <row r="2903" ht="15.75" customHeight="1">
      <c r="A2903" s="35" t="s">
        <v>7815</v>
      </c>
      <c r="B2903" s="35"/>
      <c r="C2903" s="35">
        <v>2.0</v>
      </c>
      <c r="D2903" s="35" t="s">
        <v>4635</v>
      </c>
      <c r="E2903" s="35">
        <v>46027.0</v>
      </c>
      <c r="F2903" s="35">
        <v>0.0</v>
      </c>
      <c r="G2903" s="35">
        <v>2.0</v>
      </c>
      <c r="H2903" s="35">
        <v>0.0</v>
      </c>
      <c r="I2903" s="35">
        <v>0.0</v>
      </c>
      <c r="J2903" s="35"/>
      <c r="K2903" s="35">
        <v>0.0</v>
      </c>
    </row>
    <row r="2904" ht="15.75" customHeight="1">
      <c r="A2904" s="35" t="s">
        <v>7817</v>
      </c>
      <c r="B2904" s="35"/>
      <c r="C2904" s="35">
        <v>2.0</v>
      </c>
      <c r="D2904" s="35" t="s">
        <v>4635</v>
      </c>
      <c r="E2904" s="35">
        <v>46027.0</v>
      </c>
      <c r="F2904" s="35">
        <v>0.0</v>
      </c>
      <c r="G2904" s="35">
        <v>2.0</v>
      </c>
      <c r="H2904" s="35">
        <v>0.0</v>
      </c>
      <c r="I2904" s="35">
        <v>0.0</v>
      </c>
      <c r="J2904" s="35"/>
      <c r="K2904" s="35">
        <v>0.0</v>
      </c>
    </row>
    <row r="2905" ht="15.75" customHeight="1">
      <c r="A2905" s="35" t="s">
        <v>7818</v>
      </c>
      <c r="B2905" s="35"/>
      <c r="C2905" s="35">
        <v>2.0</v>
      </c>
      <c r="D2905" s="35" t="s">
        <v>4635</v>
      </c>
      <c r="E2905" s="35">
        <v>46027.0</v>
      </c>
      <c r="F2905" s="35">
        <v>0.0</v>
      </c>
      <c r="G2905" s="35">
        <v>1.0</v>
      </c>
      <c r="H2905" s="35">
        <v>0.0</v>
      </c>
      <c r="I2905" s="35">
        <v>0.0</v>
      </c>
      <c r="J2905" s="35"/>
      <c r="K2905" s="35">
        <v>0.0</v>
      </c>
    </row>
    <row r="2906" ht="15.75" customHeight="1">
      <c r="A2906" s="35" t="s">
        <v>7820</v>
      </c>
      <c r="B2906" s="35"/>
      <c r="C2906" s="35">
        <v>2.0</v>
      </c>
      <c r="D2906" s="35">
        <v>826.0</v>
      </c>
      <c r="E2906" s="35">
        <v>46027.0</v>
      </c>
      <c r="F2906" s="35">
        <v>0.0</v>
      </c>
      <c r="G2906" s="35">
        <v>1.0</v>
      </c>
      <c r="H2906" s="35">
        <v>0.0</v>
      </c>
      <c r="I2906" s="35">
        <v>0.0</v>
      </c>
      <c r="J2906" s="35"/>
      <c r="K2906" s="35">
        <v>0.0</v>
      </c>
    </row>
    <row r="2907" ht="15.75" customHeight="1">
      <c r="A2907" s="35" t="s">
        <v>7821</v>
      </c>
      <c r="B2907" s="35"/>
      <c r="C2907" s="35">
        <v>2.0</v>
      </c>
      <c r="D2907" s="35">
        <v>240.0</v>
      </c>
      <c r="E2907" s="35">
        <v>46027.0</v>
      </c>
      <c r="F2907" s="35">
        <v>0.0</v>
      </c>
      <c r="G2907" s="35">
        <v>0.0</v>
      </c>
      <c r="H2907" s="35">
        <v>16.0</v>
      </c>
      <c r="I2907" s="35">
        <v>0.0</v>
      </c>
      <c r="J2907" s="35"/>
      <c r="K2907" s="35">
        <v>0.0</v>
      </c>
    </row>
    <row r="2908" ht="15.75" customHeight="1">
      <c r="A2908" s="35" t="s">
        <v>7823</v>
      </c>
      <c r="B2908" s="35"/>
      <c r="C2908" s="35">
        <v>2.0</v>
      </c>
      <c r="D2908" s="35" t="s">
        <v>4635</v>
      </c>
      <c r="E2908" s="35">
        <v>46027.0</v>
      </c>
      <c r="F2908" s="35">
        <v>0.0</v>
      </c>
      <c r="G2908" s="35">
        <v>13.0</v>
      </c>
      <c r="H2908" s="35">
        <v>0.0</v>
      </c>
      <c r="I2908" s="35">
        <v>0.0</v>
      </c>
      <c r="J2908" s="35"/>
      <c r="K2908" s="35">
        <v>0.0</v>
      </c>
    </row>
    <row r="2909" ht="15.75" customHeight="1">
      <c r="A2909" s="35" t="s">
        <v>7824</v>
      </c>
      <c r="B2909" s="35"/>
      <c r="C2909" s="35">
        <v>2.0</v>
      </c>
      <c r="D2909" s="35" t="s">
        <v>4635</v>
      </c>
      <c r="E2909" s="35">
        <v>46027.0</v>
      </c>
      <c r="F2909" s="35">
        <v>0.0</v>
      </c>
      <c r="G2909" s="35">
        <v>16.0</v>
      </c>
      <c r="H2909" s="35">
        <v>0.0</v>
      </c>
      <c r="I2909" s="35">
        <v>0.0</v>
      </c>
      <c r="J2909" s="35"/>
      <c r="K2909" s="35">
        <v>0.0</v>
      </c>
    </row>
    <row r="2910" ht="15.75" customHeight="1">
      <c r="A2910" s="35" t="s">
        <v>7825</v>
      </c>
      <c r="B2910" s="35"/>
      <c r="C2910" s="35">
        <v>2.0</v>
      </c>
      <c r="D2910" s="35" t="s">
        <v>4635</v>
      </c>
      <c r="E2910" s="35">
        <v>46027.0</v>
      </c>
      <c r="F2910" s="35">
        <v>0.0</v>
      </c>
      <c r="G2910" s="35">
        <v>3.0</v>
      </c>
      <c r="H2910" s="35">
        <v>0.0</v>
      </c>
      <c r="I2910" s="35">
        <v>0.0</v>
      </c>
      <c r="J2910" s="35"/>
      <c r="K2910" s="35">
        <v>0.0</v>
      </c>
    </row>
    <row r="2911" ht="15.75" customHeight="1">
      <c r="A2911" s="35" t="s">
        <v>7827</v>
      </c>
      <c r="B2911" s="35"/>
      <c r="C2911" s="35">
        <v>2.0</v>
      </c>
      <c r="D2911" s="35" t="s">
        <v>4635</v>
      </c>
      <c r="E2911" s="35">
        <v>46027.0</v>
      </c>
      <c r="F2911" s="35">
        <v>0.0</v>
      </c>
      <c r="G2911" s="35">
        <v>8.0</v>
      </c>
      <c r="H2911" s="35">
        <v>0.0</v>
      </c>
      <c r="I2911" s="35">
        <v>0.0</v>
      </c>
      <c r="J2911" s="35"/>
      <c r="K2911" s="35">
        <v>0.0</v>
      </c>
    </row>
    <row r="2912" ht="15.75" customHeight="1">
      <c r="A2912" s="35" t="s">
        <v>7828</v>
      </c>
      <c r="B2912" s="35"/>
      <c r="C2912" s="35">
        <v>2.0</v>
      </c>
      <c r="D2912" s="35" t="s">
        <v>4635</v>
      </c>
      <c r="E2912" s="35">
        <v>46027.0</v>
      </c>
      <c r="F2912" s="35">
        <v>0.0</v>
      </c>
      <c r="G2912" s="35">
        <v>10.0</v>
      </c>
      <c r="H2912" s="35">
        <v>0.0</v>
      </c>
      <c r="I2912" s="35">
        <v>0.0</v>
      </c>
      <c r="J2912" s="35"/>
      <c r="K2912" s="35">
        <v>0.0</v>
      </c>
    </row>
    <row r="2913" ht="15.75" customHeight="1">
      <c r="A2913" s="35" t="s">
        <v>7829</v>
      </c>
      <c r="B2913" s="35"/>
      <c r="C2913" s="35">
        <v>2.0</v>
      </c>
      <c r="D2913" s="35" t="s">
        <v>4635</v>
      </c>
      <c r="E2913" s="35">
        <v>46027.0</v>
      </c>
      <c r="F2913" s="35">
        <v>0.0</v>
      </c>
      <c r="G2913" s="35">
        <v>4.0</v>
      </c>
      <c r="H2913" s="35">
        <v>0.0</v>
      </c>
      <c r="I2913" s="35">
        <v>0.0</v>
      </c>
      <c r="J2913" s="35"/>
      <c r="K2913" s="35">
        <v>0.0</v>
      </c>
    </row>
    <row r="2914" ht="15.75" customHeight="1">
      <c r="A2914" s="35" t="s">
        <v>7830</v>
      </c>
      <c r="B2914" s="35"/>
      <c r="C2914" s="35">
        <v>2.0</v>
      </c>
      <c r="D2914" s="35" t="s">
        <v>4635</v>
      </c>
      <c r="E2914" s="35">
        <v>46027.0</v>
      </c>
      <c r="F2914" s="35">
        <v>0.0</v>
      </c>
      <c r="G2914" s="35">
        <v>1.0</v>
      </c>
      <c r="H2914" s="35">
        <v>0.0</v>
      </c>
      <c r="I2914" s="35">
        <v>0.0</v>
      </c>
      <c r="J2914" s="35"/>
      <c r="K2914" s="35">
        <v>0.0</v>
      </c>
    </row>
    <row r="2915" ht="15.75" customHeight="1">
      <c r="A2915" s="35" t="s">
        <v>7832</v>
      </c>
      <c r="B2915" s="35"/>
      <c r="C2915" s="35">
        <v>2.0</v>
      </c>
      <c r="D2915" s="35" t="s">
        <v>4635</v>
      </c>
      <c r="E2915" s="35">
        <v>46027.0</v>
      </c>
      <c r="F2915" s="35">
        <v>0.0</v>
      </c>
      <c r="G2915" s="35">
        <v>1.0</v>
      </c>
      <c r="H2915" s="35">
        <v>0.0</v>
      </c>
      <c r="I2915" s="35">
        <v>0.0</v>
      </c>
      <c r="J2915" s="35"/>
      <c r="K2915" s="35">
        <v>0.0</v>
      </c>
    </row>
    <row r="2916" ht="15.75" customHeight="1">
      <c r="A2916" s="35" t="s">
        <v>7833</v>
      </c>
      <c r="B2916" s="35"/>
      <c r="C2916" s="35">
        <v>2.0</v>
      </c>
      <c r="D2916" s="35" t="s">
        <v>4635</v>
      </c>
      <c r="E2916" s="35">
        <v>46027.0</v>
      </c>
      <c r="F2916" s="35">
        <v>0.0</v>
      </c>
      <c r="G2916" s="35">
        <v>1.0</v>
      </c>
      <c r="H2916" s="35">
        <v>0.0</v>
      </c>
      <c r="I2916" s="35">
        <v>0.0</v>
      </c>
      <c r="J2916" s="35"/>
      <c r="K2916" s="35">
        <v>0.0</v>
      </c>
    </row>
    <row r="2917" ht="15.75" customHeight="1">
      <c r="A2917" s="35" t="s">
        <v>7835</v>
      </c>
      <c r="B2917" s="35"/>
      <c r="C2917" s="35">
        <v>2.0</v>
      </c>
      <c r="D2917" s="35" t="s">
        <v>4635</v>
      </c>
      <c r="E2917" s="35">
        <v>46027.0</v>
      </c>
      <c r="F2917" s="35">
        <v>0.0</v>
      </c>
      <c r="G2917" s="35">
        <v>1.0</v>
      </c>
      <c r="H2917" s="35">
        <v>0.0</v>
      </c>
      <c r="I2917" s="35">
        <v>0.0</v>
      </c>
      <c r="J2917" s="35"/>
      <c r="K2917" s="35">
        <v>0.0</v>
      </c>
    </row>
    <row r="2918" ht="15.75" customHeight="1">
      <c r="A2918" s="35" t="s">
        <v>7836</v>
      </c>
      <c r="B2918" s="35"/>
      <c r="C2918" s="35">
        <v>2.0</v>
      </c>
      <c r="D2918" s="35" t="s">
        <v>4343</v>
      </c>
      <c r="E2918" s="35">
        <v>46027.0</v>
      </c>
      <c r="F2918" s="35">
        <v>0.0</v>
      </c>
      <c r="G2918" s="35">
        <v>2.0</v>
      </c>
      <c r="H2918" s="35">
        <v>0.0</v>
      </c>
      <c r="I2918" s="35">
        <v>0.0</v>
      </c>
      <c r="J2918" s="35"/>
      <c r="K2918" s="35">
        <v>0.0</v>
      </c>
    </row>
    <row r="2919" ht="15.75" customHeight="1">
      <c r="A2919" s="35" t="s">
        <v>7838</v>
      </c>
      <c r="B2919" s="35"/>
      <c r="C2919" s="35">
        <v>2.0</v>
      </c>
      <c r="D2919" s="35">
        <v>162.0</v>
      </c>
      <c r="E2919" s="35">
        <v>46027.0</v>
      </c>
      <c r="F2919" s="35">
        <v>0.0</v>
      </c>
      <c r="G2919" s="35">
        <v>0.0</v>
      </c>
      <c r="H2919" s="35">
        <v>0.0</v>
      </c>
      <c r="I2919" s="35">
        <v>2.0</v>
      </c>
      <c r="J2919" s="35"/>
      <c r="K2919" s="35">
        <v>0.0</v>
      </c>
    </row>
    <row r="2920" ht="15.75" customHeight="1">
      <c r="A2920" s="35" t="s">
        <v>7839</v>
      </c>
      <c r="B2920" s="35"/>
      <c r="C2920" s="35">
        <v>2.0</v>
      </c>
      <c r="D2920" s="35" t="s">
        <v>5330</v>
      </c>
      <c r="E2920" s="35">
        <v>46027.0</v>
      </c>
      <c r="F2920" s="35">
        <v>0.0</v>
      </c>
      <c r="G2920" s="35">
        <v>4.0</v>
      </c>
      <c r="H2920" s="35">
        <v>0.0</v>
      </c>
      <c r="I2920" s="35">
        <v>0.0</v>
      </c>
      <c r="J2920" s="35"/>
      <c r="K2920" s="35">
        <v>0.0</v>
      </c>
    </row>
    <row r="2921" ht="15.75" customHeight="1">
      <c r="A2921" s="35" t="s">
        <v>7840</v>
      </c>
      <c r="B2921" s="35"/>
      <c r="C2921" s="35">
        <v>2.0</v>
      </c>
      <c r="D2921" s="35" t="s">
        <v>4635</v>
      </c>
      <c r="E2921" s="35">
        <v>46027.0</v>
      </c>
      <c r="F2921" s="35">
        <v>0.0</v>
      </c>
      <c r="G2921" s="35">
        <v>2.0</v>
      </c>
      <c r="H2921" s="35">
        <v>0.0</v>
      </c>
      <c r="I2921" s="35">
        <v>0.0</v>
      </c>
      <c r="J2921" s="35"/>
      <c r="K2921" s="35">
        <v>0.0</v>
      </c>
    </row>
    <row r="2922" ht="15.75" customHeight="1">
      <c r="A2922" s="35" t="s">
        <v>7842</v>
      </c>
      <c r="B2922" s="35"/>
      <c r="C2922" s="35">
        <v>2.0</v>
      </c>
      <c r="D2922" s="35" t="s">
        <v>4635</v>
      </c>
      <c r="E2922" s="35">
        <v>46027.0</v>
      </c>
      <c r="F2922" s="35">
        <v>0.0</v>
      </c>
      <c r="G2922" s="35">
        <v>1.0</v>
      </c>
      <c r="H2922" s="35">
        <v>0.0</v>
      </c>
      <c r="I2922" s="35">
        <v>0.0</v>
      </c>
      <c r="J2922" s="35"/>
      <c r="K2922" s="35">
        <v>0.0</v>
      </c>
    </row>
    <row r="2923" ht="15.75" customHeight="1">
      <c r="A2923" s="35" t="s">
        <v>7843</v>
      </c>
      <c r="B2923" s="35"/>
      <c r="C2923" s="35">
        <v>2.0</v>
      </c>
      <c r="D2923" s="35" t="s">
        <v>4635</v>
      </c>
      <c r="E2923" s="35">
        <v>46027.0</v>
      </c>
      <c r="F2923" s="35">
        <v>0.0</v>
      </c>
      <c r="G2923" s="35">
        <v>13.0</v>
      </c>
      <c r="H2923" s="35">
        <v>0.0</v>
      </c>
      <c r="I2923" s="35">
        <v>0.0</v>
      </c>
      <c r="J2923" s="35"/>
      <c r="K2923" s="35">
        <v>0.0</v>
      </c>
    </row>
    <row r="2924" ht="15.75" customHeight="1">
      <c r="A2924" s="35" t="s">
        <v>7845</v>
      </c>
      <c r="B2924" s="35"/>
      <c r="C2924" s="35">
        <v>2.0</v>
      </c>
      <c r="D2924" s="35" t="s">
        <v>4635</v>
      </c>
      <c r="E2924" s="35">
        <v>46027.0</v>
      </c>
      <c r="F2924" s="35">
        <v>0.0</v>
      </c>
      <c r="G2924" s="35">
        <v>1.0</v>
      </c>
      <c r="H2924" s="35">
        <v>0.0</v>
      </c>
      <c r="I2924" s="35">
        <v>0.0</v>
      </c>
      <c r="J2924" s="35"/>
      <c r="K2924" s="35">
        <v>0.0</v>
      </c>
    </row>
    <row r="2925" ht="15.75" customHeight="1">
      <c r="A2925" s="35" t="s">
        <v>7846</v>
      </c>
      <c r="B2925" s="35"/>
      <c r="C2925" s="35">
        <v>2.0</v>
      </c>
      <c r="D2925" s="35">
        <v>49.0</v>
      </c>
      <c r="E2925" s="35">
        <v>46027.0</v>
      </c>
      <c r="F2925" s="35">
        <v>0.0</v>
      </c>
      <c r="G2925" s="35">
        <v>2.0</v>
      </c>
      <c r="H2925" s="35">
        <v>0.0</v>
      </c>
      <c r="I2925" s="35">
        <v>0.0</v>
      </c>
      <c r="J2925" s="35"/>
      <c r="K2925" s="35">
        <v>0.0</v>
      </c>
    </row>
    <row r="2926" ht="15.75" customHeight="1">
      <c r="A2926" s="35" t="s">
        <v>7848</v>
      </c>
      <c r="B2926" s="35"/>
      <c r="C2926" s="35">
        <v>2.0</v>
      </c>
      <c r="D2926" s="35">
        <v>321.0</v>
      </c>
      <c r="E2926" s="35">
        <v>46027.0</v>
      </c>
      <c r="F2926" s="35">
        <v>0.0</v>
      </c>
      <c r="G2926" s="35">
        <v>1.0</v>
      </c>
      <c r="H2926" s="35">
        <v>0.0</v>
      </c>
      <c r="I2926" s="35">
        <v>0.0</v>
      </c>
      <c r="J2926" s="35"/>
      <c r="K2926" s="35">
        <v>0.0</v>
      </c>
    </row>
    <row r="2927" ht="15.75" customHeight="1">
      <c r="A2927" s="35" t="s">
        <v>7849</v>
      </c>
      <c r="B2927" s="35"/>
      <c r="C2927" s="35">
        <v>2.0</v>
      </c>
      <c r="D2927" s="35" t="s">
        <v>4635</v>
      </c>
      <c r="E2927" s="35">
        <v>46027.0</v>
      </c>
      <c r="F2927" s="35">
        <v>0.0</v>
      </c>
      <c r="G2927" s="35">
        <v>15.0</v>
      </c>
      <c r="H2927" s="35">
        <v>0.0</v>
      </c>
      <c r="I2927" s="35">
        <v>0.0</v>
      </c>
      <c r="J2927" s="35"/>
      <c r="K2927" s="35">
        <v>0.0</v>
      </c>
    </row>
    <row r="2928" ht="15.75" customHeight="1">
      <c r="A2928" s="35" t="s">
        <v>7851</v>
      </c>
      <c r="B2928" s="35"/>
      <c r="C2928" s="35">
        <v>2.0</v>
      </c>
      <c r="D2928" s="35">
        <v>51.0</v>
      </c>
      <c r="E2928" s="35">
        <v>46027.0</v>
      </c>
      <c r="F2928" s="35">
        <v>0.0</v>
      </c>
      <c r="G2928" s="35">
        <v>6.0</v>
      </c>
      <c r="H2928" s="35">
        <v>0.0</v>
      </c>
      <c r="I2928" s="35">
        <v>0.0</v>
      </c>
      <c r="J2928" s="35"/>
      <c r="K2928" s="35">
        <v>0.0</v>
      </c>
    </row>
    <row r="2929" ht="15.75" customHeight="1">
      <c r="A2929" s="35" t="s">
        <v>7852</v>
      </c>
      <c r="B2929" s="35"/>
      <c r="C2929" s="35">
        <v>2.0</v>
      </c>
      <c r="D2929" s="35">
        <v>58.0</v>
      </c>
      <c r="E2929" s="35">
        <v>46027.0</v>
      </c>
      <c r="F2929" s="35">
        <v>0.0</v>
      </c>
      <c r="G2929" s="35">
        <v>1.0</v>
      </c>
      <c r="H2929" s="35">
        <v>0.0</v>
      </c>
      <c r="I2929" s="35">
        <v>0.0</v>
      </c>
      <c r="J2929" s="35"/>
      <c r="K2929" s="35">
        <v>0.0</v>
      </c>
    </row>
    <row r="2930" ht="15.75" customHeight="1">
      <c r="A2930" s="35" t="s">
        <v>7854</v>
      </c>
      <c r="B2930" s="35"/>
      <c r="C2930" s="35">
        <v>2.0</v>
      </c>
      <c r="D2930" s="35" t="s">
        <v>4635</v>
      </c>
      <c r="E2930" s="35">
        <v>46027.0</v>
      </c>
      <c r="F2930" s="35">
        <v>0.0</v>
      </c>
      <c r="G2930" s="35">
        <v>28.0</v>
      </c>
      <c r="H2930" s="35">
        <v>0.0</v>
      </c>
      <c r="I2930" s="35">
        <v>0.0</v>
      </c>
      <c r="J2930" s="35"/>
      <c r="K2930" s="35">
        <v>0.0</v>
      </c>
    </row>
    <row r="2931" ht="15.75" customHeight="1">
      <c r="A2931" s="35" t="s">
        <v>7855</v>
      </c>
      <c r="B2931" s="35"/>
      <c r="C2931" s="35">
        <v>2.0</v>
      </c>
      <c r="D2931" s="35" t="s">
        <v>2021</v>
      </c>
      <c r="E2931" s="35">
        <v>46027.0</v>
      </c>
      <c r="F2931" s="35">
        <v>0.0</v>
      </c>
      <c r="G2931" s="35">
        <v>2.0</v>
      </c>
      <c r="H2931" s="35">
        <v>0.0</v>
      </c>
      <c r="I2931" s="35">
        <v>0.0</v>
      </c>
      <c r="J2931" s="35"/>
      <c r="K2931" s="35">
        <v>0.0</v>
      </c>
    </row>
    <row r="2932" ht="15.75" customHeight="1">
      <c r="A2932" s="35" t="s">
        <v>7856</v>
      </c>
      <c r="B2932" s="35"/>
      <c r="C2932" s="35">
        <v>2.0</v>
      </c>
      <c r="D2932" s="35">
        <v>395.0</v>
      </c>
      <c r="E2932" s="35">
        <v>46027.0</v>
      </c>
      <c r="F2932" s="35">
        <v>0.0</v>
      </c>
      <c r="G2932" s="35">
        <v>0.0</v>
      </c>
      <c r="H2932" s="35">
        <v>1.0</v>
      </c>
      <c r="I2932" s="35">
        <v>0.0</v>
      </c>
      <c r="J2932" s="35"/>
      <c r="K2932" s="35">
        <v>0.0</v>
      </c>
    </row>
    <row r="2933" ht="15.75" customHeight="1">
      <c r="A2933" s="35" t="s">
        <v>7858</v>
      </c>
      <c r="B2933" s="35"/>
      <c r="C2933" s="35">
        <v>2.0</v>
      </c>
      <c r="D2933" s="35">
        <v>206.0</v>
      </c>
      <c r="E2933" s="35">
        <v>46027.0</v>
      </c>
      <c r="F2933" s="35">
        <v>0.0</v>
      </c>
      <c r="G2933" s="35">
        <v>1.0</v>
      </c>
      <c r="H2933" s="35">
        <v>0.0</v>
      </c>
      <c r="I2933" s="35">
        <v>0.0</v>
      </c>
      <c r="J2933" s="35"/>
      <c r="K2933" s="35">
        <v>0.0</v>
      </c>
    </row>
    <row r="2934" ht="15.75" customHeight="1">
      <c r="A2934" s="35" t="s">
        <v>7859</v>
      </c>
      <c r="B2934" s="35"/>
      <c r="C2934" s="35">
        <v>2.0</v>
      </c>
      <c r="D2934" s="35">
        <v>663.0</v>
      </c>
      <c r="E2934" s="35">
        <v>46027.0</v>
      </c>
      <c r="F2934" s="35">
        <v>0.0</v>
      </c>
      <c r="G2934" s="35">
        <v>1.0</v>
      </c>
      <c r="H2934" s="35">
        <v>0.0</v>
      </c>
      <c r="I2934" s="35">
        <v>0.0</v>
      </c>
      <c r="J2934" s="35"/>
      <c r="K2934" s="35">
        <v>0.0</v>
      </c>
    </row>
    <row r="2935" ht="15.75" customHeight="1">
      <c r="A2935" s="35" t="s">
        <v>7861</v>
      </c>
      <c r="B2935" s="35"/>
      <c r="C2935" s="35">
        <v>2.0</v>
      </c>
      <c r="D2935" s="35" t="s">
        <v>4635</v>
      </c>
      <c r="E2935" s="35">
        <v>46027.0</v>
      </c>
      <c r="F2935" s="35">
        <v>0.0</v>
      </c>
      <c r="G2935" s="35">
        <v>2.0</v>
      </c>
      <c r="H2935" s="35">
        <v>0.0</v>
      </c>
      <c r="I2935" s="35">
        <v>0.0</v>
      </c>
      <c r="J2935" s="35"/>
      <c r="K2935" s="35">
        <v>0.0</v>
      </c>
    </row>
    <row r="2936" ht="15.75" customHeight="1">
      <c r="A2936" s="35" t="s">
        <v>7862</v>
      </c>
      <c r="B2936" s="35"/>
      <c r="C2936" s="35">
        <v>2.0</v>
      </c>
      <c r="D2936" s="35" t="s">
        <v>4635</v>
      </c>
      <c r="E2936" s="35">
        <v>46027.0</v>
      </c>
      <c r="F2936" s="35">
        <v>0.0</v>
      </c>
      <c r="G2936" s="35">
        <v>5.0</v>
      </c>
      <c r="H2936" s="35">
        <v>0.0</v>
      </c>
      <c r="I2936" s="35">
        <v>0.0</v>
      </c>
      <c r="J2936" s="35"/>
      <c r="K2936" s="35">
        <v>0.0</v>
      </c>
    </row>
    <row r="2937" ht="15.75" customHeight="1">
      <c r="A2937" s="35" t="s">
        <v>7864</v>
      </c>
      <c r="B2937" s="35"/>
      <c r="C2937" s="35">
        <v>2.0</v>
      </c>
      <c r="D2937" s="35">
        <v>358.0</v>
      </c>
      <c r="E2937" s="35">
        <v>46027.0</v>
      </c>
      <c r="F2937" s="35">
        <v>0.0</v>
      </c>
      <c r="G2937" s="35">
        <v>0.0</v>
      </c>
      <c r="H2937" s="35">
        <v>1.0</v>
      </c>
      <c r="I2937" s="35">
        <v>0.0</v>
      </c>
      <c r="J2937" s="35"/>
      <c r="K2937" s="35">
        <v>0.0</v>
      </c>
    </row>
    <row r="2938" ht="15.75" customHeight="1">
      <c r="A2938" s="35" t="s">
        <v>7865</v>
      </c>
      <c r="B2938" s="35"/>
      <c r="C2938" s="35">
        <v>2.0</v>
      </c>
      <c r="D2938" s="35" t="s">
        <v>4635</v>
      </c>
      <c r="E2938" s="35">
        <v>46027.0</v>
      </c>
      <c r="F2938" s="35">
        <v>0.0</v>
      </c>
      <c r="G2938" s="35">
        <v>2.0</v>
      </c>
      <c r="H2938" s="35">
        <v>0.0</v>
      </c>
      <c r="I2938" s="35">
        <v>0.0</v>
      </c>
      <c r="J2938" s="35"/>
      <c r="K2938" s="35">
        <v>0.0</v>
      </c>
    </row>
    <row r="2939" ht="15.75" customHeight="1">
      <c r="A2939" s="35" t="s">
        <v>7867</v>
      </c>
      <c r="B2939" s="35"/>
      <c r="C2939" s="35">
        <v>2.0</v>
      </c>
      <c r="D2939" s="35" t="s">
        <v>4635</v>
      </c>
      <c r="E2939" s="35">
        <v>46027.0</v>
      </c>
      <c r="F2939" s="35">
        <v>0.0</v>
      </c>
      <c r="G2939" s="35">
        <v>4.0</v>
      </c>
      <c r="H2939" s="35">
        <v>0.0</v>
      </c>
      <c r="I2939" s="35">
        <v>0.0</v>
      </c>
      <c r="J2939" s="35"/>
      <c r="K2939" s="35">
        <v>0.0</v>
      </c>
    </row>
    <row r="2940" ht="15.75" customHeight="1">
      <c r="A2940" s="35" t="s">
        <v>7868</v>
      </c>
      <c r="B2940" s="35"/>
      <c r="C2940" s="35">
        <v>2.0</v>
      </c>
      <c r="D2940" s="35" t="s">
        <v>4635</v>
      </c>
      <c r="E2940" s="35">
        <v>46027.0</v>
      </c>
      <c r="F2940" s="35">
        <v>0.0</v>
      </c>
      <c r="G2940" s="35">
        <v>3.0</v>
      </c>
      <c r="H2940" s="35">
        <v>0.0</v>
      </c>
      <c r="I2940" s="35">
        <v>0.0</v>
      </c>
      <c r="J2940" s="35"/>
      <c r="K2940" s="35">
        <v>0.0</v>
      </c>
    </row>
    <row r="2941" ht="15.75" customHeight="1">
      <c r="A2941" s="35" t="s">
        <v>7869</v>
      </c>
      <c r="B2941" s="35"/>
      <c r="C2941" s="35">
        <v>2.0</v>
      </c>
      <c r="D2941" s="35" t="s">
        <v>4635</v>
      </c>
      <c r="E2941" s="35">
        <v>46027.0</v>
      </c>
      <c r="F2941" s="35">
        <v>0.0</v>
      </c>
      <c r="G2941" s="35">
        <v>3.0</v>
      </c>
      <c r="H2941" s="35">
        <v>0.0</v>
      </c>
      <c r="I2941" s="35">
        <v>0.0</v>
      </c>
      <c r="J2941" s="35"/>
      <c r="K2941" s="35">
        <v>0.0</v>
      </c>
    </row>
    <row r="2942" ht="15.75" customHeight="1">
      <c r="A2942" s="35" t="s">
        <v>7871</v>
      </c>
      <c r="B2942" s="35"/>
      <c r="C2942" s="35">
        <v>2.0</v>
      </c>
      <c r="D2942" s="35" t="s">
        <v>4635</v>
      </c>
      <c r="E2942" s="35">
        <v>46027.0</v>
      </c>
      <c r="F2942" s="35">
        <v>0.0</v>
      </c>
      <c r="G2942" s="35">
        <v>3.0</v>
      </c>
      <c r="H2942" s="35">
        <v>0.0</v>
      </c>
      <c r="I2942" s="35">
        <v>0.0</v>
      </c>
      <c r="J2942" s="35"/>
      <c r="K2942" s="35">
        <v>0.0</v>
      </c>
    </row>
    <row r="2943" ht="15.75" customHeight="1">
      <c r="A2943" s="35" t="s">
        <v>7872</v>
      </c>
      <c r="B2943" s="35"/>
      <c r="C2943" s="35">
        <v>2.0</v>
      </c>
      <c r="D2943" s="35">
        <v>65.0</v>
      </c>
      <c r="E2943" s="35">
        <v>46027.0</v>
      </c>
      <c r="F2943" s="35">
        <v>0.0</v>
      </c>
      <c r="G2943" s="35">
        <v>12.0</v>
      </c>
      <c r="H2943" s="35">
        <v>0.0</v>
      </c>
      <c r="I2943" s="35">
        <v>0.0</v>
      </c>
      <c r="J2943" s="35"/>
      <c r="K2943" s="35">
        <v>0.0</v>
      </c>
    </row>
    <row r="2944" ht="15.75" customHeight="1">
      <c r="A2944" s="35" t="s">
        <v>7874</v>
      </c>
      <c r="B2944" s="35"/>
      <c r="C2944" s="35">
        <v>2.0</v>
      </c>
      <c r="D2944" s="35">
        <v>560.0</v>
      </c>
      <c r="E2944" s="35">
        <v>46027.0</v>
      </c>
      <c r="F2944" s="35">
        <v>0.0</v>
      </c>
      <c r="G2944" s="35">
        <v>0.0</v>
      </c>
      <c r="H2944" s="35">
        <v>0.0</v>
      </c>
      <c r="I2944" s="35">
        <v>0.0</v>
      </c>
      <c r="J2944" s="35"/>
      <c r="K2944" s="35">
        <v>1.0</v>
      </c>
    </row>
    <row r="2945" ht="15.75" customHeight="1">
      <c r="A2945" s="35" t="s">
        <v>7875</v>
      </c>
      <c r="B2945" s="35"/>
      <c r="C2945" s="35">
        <v>2.0</v>
      </c>
      <c r="D2945" s="35" t="s">
        <v>4635</v>
      </c>
      <c r="E2945" s="35">
        <v>46027.0</v>
      </c>
      <c r="F2945" s="35">
        <v>0.0</v>
      </c>
      <c r="G2945" s="35">
        <v>0.0</v>
      </c>
      <c r="H2945" s="35">
        <v>1.0</v>
      </c>
      <c r="I2945" s="35">
        <v>0.0</v>
      </c>
      <c r="J2945" s="35"/>
      <c r="K2945" s="35">
        <v>0.0</v>
      </c>
    </row>
    <row r="2946" ht="15.75" customHeight="1">
      <c r="A2946" s="35" t="s">
        <v>7877</v>
      </c>
      <c r="B2946" s="35"/>
      <c r="C2946" s="35">
        <v>2.0</v>
      </c>
      <c r="D2946" s="35" t="s">
        <v>2049</v>
      </c>
      <c r="E2946" s="35">
        <v>46027.0</v>
      </c>
      <c r="F2946" s="35">
        <v>0.0</v>
      </c>
      <c r="G2946" s="35">
        <v>2.0</v>
      </c>
      <c r="H2946" s="35">
        <v>0.0</v>
      </c>
      <c r="I2946" s="35">
        <v>0.0</v>
      </c>
      <c r="J2946" s="35"/>
      <c r="K2946" s="35">
        <v>0.0</v>
      </c>
    </row>
    <row r="2947" ht="15.75" customHeight="1">
      <c r="A2947" s="35" t="s">
        <v>7878</v>
      </c>
      <c r="B2947" s="35"/>
      <c r="C2947" s="35">
        <v>2.0</v>
      </c>
      <c r="D2947" s="35" t="s">
        <v>4635</v>
      </c>
      <c r="E2947" s="35">
        <v>46027.0</v>
      </c>
      <c r="F2947" s="35">
        <v>0.0</v>
      </c>
      <c r="G2947" s="35">
        <v>1.0</v>
      </c>
      <c r="H2947" s="35">
        <v>0.0</v>
      </c>
      <c r="I2947" s="35">
        <v>0.0</v>
      </c>
      <c r="J2947" s="35"/>
      <c r="K2947" s="35">
        <v>0.0</v>
      </c>
    </row>
    <row r="2948" ht="15.75" customHeight="1">
      <c r="A2948" s="35" t="s">
        <v>7880</v>
      </c>
      <c r="B2948" s="35"/>
      <c r="C2948" s="35">
        <v>2.0</v>
      </c>
      <c r="D2948" s="35">
        <v>60.0</v>
      </c>
      <c r="E2948" s="35">
        <v>46027.0</v>
      </c>
      <c r="F2948" s="35">
        <v>0.0</v>
      </c>
      <c r="G2948" s="35">
        <v>2.0</v>
      </c>
      <c r="H2948" s="35">
        <v>0.0</v>
      </c>
      <c r="I2948" s="35">
        <v>0.0</v>
      </c>
      <c r="J2948" s="35"/>
      <c r="K2948" s="35">
        <v>0.0</v>
      </c>
    </row>
    <row r="2949" ht="15.75" customHeight="1">
      <c r="A2949" s="35" t="s">
        <v>7881</v>
      </c>
      <c r="B2949" s="35"/>
      <c r="C2949" s="35">
        <v>2.0</v>
      </c>
      <c r="D2949" s="35" t="s">
        <v>4635</v>
      </c>
      <c r="E2949" s="35">
        <v>46027.0</v>
      </c>
      <c r="F2949" s="35">
        <v>0.0</v>
      </c>
      <c r="G2949" s="35">
        <v>1.0</v>
      </c>
      <c r="H2949" s="35">
        <v>0.0</v>
      </c>
      <c r="I2949" s="35">
        <v>0.0</v>
      </c>
      <c r="J2949" s="35"/>
      <c r="K2949" s="35">
        <v>0.0</v>
      </c>
    </row>
    <row r="2950" ht="15.75" customHeight="1">
      <c r="A2950" s="35" t="s">
        <v>7882</v>
      </c>
      <c r="B2950" s="35"/>
      <c r="C2950" s="35">
        <v>2.0</v>
      </c>
      <c r="D2950" s="35" t="s">
        <v>4635</v>
      </c>
      <c r="E2950" s="35">
        <v>46027.0</v>
      </c>
      <c r="F2950" s="35">
        <v>0.0</v>
      </c>
      <c r="G2950" s="35">
        <v>0.0</v>
      </c>
      <c r="H2950" s="35">
        <v>0.0</v>
      </c>
      <c r="I2950" s="35">
        <v>1.0</v>
      </c>
      <c r="J2950" s="35"/>
      <c r="K2950" s="35">
        <v>0.0</v>
      </c>
    </row>
    <row r="2951" ht="15.75" customHeight="1">
      <c r="A2951" s="35" t="s">
        <v>7884</v>
      </c>
      <c r="B2951" s="35"/>
      <c r="C2951" s="35">
        <v>2.0</v>
      </c>
      <c r="D2951" s="35" t="s">
        <v>4635</v>
      </c>
      <c r="E2951" s="35">
        <v>46027.0</v>
      </c>
      <c r="F2951" s="35">
        <v>0.0</v>
      </c>
      <c r="G2951" s="35">
        <v>2.0</v>
      </c>
      <c r="H2951" s="35">
        <v>0.0</v>
      </c>
      <c r="I2951" s="35">
        <v>0.0</v>
      </c>
      <c r="J2951" s="35"/>
      <c r="K2951" s="35">
        <v>0.0</v>
      </c>
    </row>
    <row r="2952" ht="15.75" customHeight="1">
      <c r="A2952" s="35" t="s">
        <v>7885</v>
      </c>
      <c r="B2952" s="35"/>
      <c r="C2952" s="35">
        <v>2.0</v>
      </c>
      <c r="D2952" s="35" t="s">
        <v>4635</v>
      </c>
      <c r="E2952" s="35">
        <v>46027.0</v>
      </c>
      <c r="F2952" s="35">
        <v>0.0</v>
      </c>
      <c r="G2952" s="35">
        <v>1.0</v>
      </c>
      <c r="H2952" s="35">
        <v>0.0</v>
      </c>
      <c r="I2952" s="35">
        <v>0.0</v>
      </c>
      <c r="J2952" s="35"/>
      <c r="K2952" s="35">
        <v>0.0</v>
      </c>
    </row>
    <row r="2953" ht="15.75" customHeight="1">
      <c r="A2953" s="35" t="s">
        <v>7887</v>
      </c>
      <c r="B2953" s="35"/>
      <c r="C2953" s="35">
        <v>2.0</v>
      </c>
      <c r="D2953" s="35" t="s">
        <v>4635</v>
      </c>
      <c r="E2953" s="35">
        <v>46027.0</v>
      </c>
      <c r="F2953" s="35">
        <v>0.0</v>
      </c>
      <c r="G2953" s="35">
        <v>2.0</v>
      </c>
      <c r="H2953" s="35">
        <v>0.0</v>
      </c>
      <c r="I2953" s="35">
        <v>0.0</v>
      </c>
      <c r="J2953" s="35"/>
      <c r="K2953" s="35">
        <v>0.0</v>
      </c>
    </row>
    <row r="2954" ht="15.75" customHeight="1">
      <c r="A2954" s="35" t="s">
        <v>7888</v>
      </c>
      <c r="B2954" s="35"/>
      <c r="C2954" s="35">
        <v>2.0</v>
      </c>
      <c r="D2954" s="35" t="s">
        <v>4635</v>
      </c>
      <c r="E2954" s="35">
        <v>46027.0</v>
      </c>
      <c r="F2954" s="35">
        <v>0.0</v>
      </c>
      <c r="G2954" s="35">
        <v>2.0</v>
      </c>
      <c r="H2954" s="35">
        <v>0.0</v>
      </c>
      <c r="I2954" s="35">
        <v>0.0</v>
      </c>
      <c r="J2954" s="35"/>
      <c r="K2954" s="35">
        <v>0.0</v>
      </c>
    </row>
    <row r="2955" ht="15.75" customHeight="1">
      <c r="A2955" s="35" t="s">
        <v>7890</v>
      </c>
      <c r="B2955" s="35"/>
      <c r="C2955" s="35">
        <v>2.0</v>
      </c>
      <c r="D2955" s="35" t="s">
        <v>4635</v>
      </c>
      <c r="E2955" s="35">
        <v>46027.0</v>
      </c>
      <c r="F2955" s="35">
        <v>0.0</v>
      </c>
      <c r="G2955" s="35">
        <v>1.0</v>
      </c>
      <c r="H2955" s="35">
        <v>0.0</v>
      </c>
      <c r="I2955" s="35">
        <v>0.0</v>
      </c>
      <c r="J2955" s="35"/>
      <c r="K2955" s="35">
        <v>0.0</v>
      </c>
    </row>
    <row r="2956" ht="15.75" customHeight="1">
      <c r="A2956" s="35" t="s">
        <v>7891</v>
      </c>
      <c r="B2956" s="35"/>
      <c r="C2956" s="35">
        <v>2.0</v>
      </c>
      <c r="D2956" s="35" t="s">
        <v>4635</v>
      </c>
      <c r="E2956" s="35">
        <v>46027.0</v>
      </c>
      <c r="F2956" s="35">
        <v>0.0</v>
      </c>
      <c r="G2956" s="35">
        <v>36.0</v>
      </c>
      <c r="H2956" s="35">
        <v>0.0</v>
      </c>
      <c r="I2956" s="35">
        <v>0.0</v>
      </c>
      <c r="J2956" s="35"/>
      <c r="K2956" s="35">
        <v>0.0</v>
      </c>
    </row>
    <row r="2957" ht="15.75" customHeight="1">
      <c r="A2957" s="35" t="s">
        <v>7893</v>
      </c>
      <c r="B2957" s="35"/>
      <c r="C2957" s="35">
        <v>2.0</v>
      </c>
      <c r="D2957" s="35" t="s">
        <v>4635</v>
      </c>
      <c r="E2957" s="35">
        <v>46027.0</v>
      </c>
      <c r="F2957" s="35">
        <v>0.0</v>
      </c>
      <c r="G2957" s="35">
        <v>38.0</v>
      </c>
      <c r="H2957" s="35">
        <v>0.0</v>
      </c>
      <c r="I2957" s="35">
        <v>0.0</v>
      </c>
      <c r="J2957" s="35"/>
      <c r="K2957" s="35">
        <v>0.0</v>
      </c>
    </row>
    <row r="2958" ht="15.75" customHeight="1">
      <c r="A2958" s="35" t="s">
        <v>7894</v>
      </c>
      <c r="B2958" s="35"/>
      <c r="C2958" s="35">
        <v>2.0</v>
      </c>
      <c r="D2958" s="35">
        <v>741.0</v>
      </c>
      <c r="E2958" s="35">
        <v>46027.0</v>
      </c>
      <c r="F2958" s="35">
        <v>0.0</v>
      </c>
      <c r="G2958" s="35">
        <v>10.0</v>
      </c>
      <c r="H2958" s="35">
        <v>0.0</v>
      </c>
      <c r="I2958" s="35">
        <v>0.0</v>
      </c>
      <c r="J2958" s="35"/>
      <c r="K2958" s="35">
        <v>0.0</v>
      </c>
    </row>
    <row r="2959" ht="15.75" customHeight="1">
      <c r="A2959" s="35" t="s">
        <v>7896</v>
      </c>
      <c r="B2959" s="35"/>
      <c r="C2959" s="35">
        <v>2.0</v>
      </c>
      <c r="D2959" s="35" t="s">
        <v>4635</v>
      </c>
      <c r="E2959" s="35">
        <v>46027.0</v>
      </c>
      <c r="F2959" s="35">
        <v>0.0</v>
      </c>
      <c r="G2959" s="35">
        <v>1.0</v>
      </c>
      <c r="H2959" s="35">
        <v>0.0</v>
      </c>
      <c r="I2959" s="35">
        <v>0.0</v>
      </c>
      <c r="J2959" s="35"/>
      <c r="K2959" s="35">
        <v>0.0</v>
      </c>
    </row>
    <row r="2960" ht="15.75" customHeight="1">
      <c r="A2960" s="35" t="s">
        <v>7897</v>
      </c>
      <c r="B2960" s="35"/>
      <c r="C2960" s="35">
        <v>2.0</v>
      </c>
      <c r="D2960" s="35" t="s">
        <v>4635</v>
      </c>
      <c r="E2960" s="35">
        <v>46027.0</v>
      </c>
      <c r="F2960" s="35">
        <v>0.0</v>
      </c>
      <c r="G2960" s="35">
        <v>1.0</v>
      </c>
      <c r="H2960" s="35">
        <v>0.0</v>
      </c>
      <c r="I2960" s="35">
        <v>0.0</v>
      </c>
      <c r="J2960" s="35"/>
      <c r="K2960" s="35">
        <v>0.0</v>
      </c>
    </row>
    <row r="2961" ht="15.75" customHeight="1">
      <c r="A2961" s="35" t="s">
        <v>7898</v>
      </c>
      <c r="B2961" s="35"/>
      <c r="C2961" s="35">
        <v>2.0</v>
      </c>
      <c r="D2961" s="35" t="s">
        <v>4635</v>
      </c>
      <c r="E2961" s="35">
        <v>46027.0</v>
      </c>
      <c r="F2961" s="35">
        <v>0.0</v>
      </c>
      <c r="G2961" s="35">
        <v>3.0</v>
      </c>
      <c r="H2961" s="35">
        <v>0.0</v>
      </c>
      <c r="I2961" s="35">
        <v>0.0</v>
      </c>
      <c r="J2961" s="35"/>
      <c r="K2961" s="35">
        <v>0.0</v>
      </c>
    </row>
    <row r="2962" ht="15.75" customHeight="1">
      <c r="A2962" s="35" t="s">
        <v>7900</v>
      </c>
      <c r="B2962" s="35"/>
      <c r="C2962" s="35">
        <v>2.0</v>
      </c>
      <c r="D2962" s="35" t="s">
        <v>4635</v>
      </c>
      <c r="E2962" s="35">
        <v>46027.0</v>
      </c>
      <c r="F2962" s="35">
        <v>0.0</v>
      </c>
      <c r="G2962" s="35">
        <v>4.0</v>
      </c>
      <c r="H2962" s="35">
        <v>0.0</v>
      </c>
      <c r="I2962" s="35">
        <v>0.0</v>
      </c>
      <c r="J2962" s="35"/>
      <c r="K2962" s="35">
        <v>0.0</v>
      </c>
    </row>
    <row r="2963" ht="15.75" customHeight="1">
      <c r="A2963" s="35" t="s">
        <v>7901</v>
      </c>
      <c r="B2963" s="35"/>
      <c r="C2963" s="35">
        <v>2.0</v>
      </c>
      <c r="D2963" s="35" t="s">
        <v>4635</v>
      </c>
      <c r="E2963" s="35">
        <v>46027.0</v>
      </c>
      <c r="F2963" s="35">
        <v>0.0</v>
      </c>
      <c r="G2963" s="35">
        <v>8.0</v>
      </c>
      <c r="H2963" s="35">
        <v>0.0</v>
      </c>
      <c r="I2963" s="35">
        <v>0.0</v>
      </c>
      <c r="J2963" s="35"/>
      <c r="K2963" s="35">
        <v>0.0</v>
      </c>
    </row>
    <row r="2964" ht="15.75" customHeight="1">
      <c r="A2964" s="35" t="s">
        <v>7903</v>
      </c>
      <c r="B2964" s="35"/>
      <c r="C2964" s="35">
        <v>2.0</v>
      </c>
      <c r="D2964" s="35" t="s">
        <v>4692</v>
      </c>
      <c r="E2964" s="35">
        <v>46027.0</v>
      </c>
      <c r="F2964" s="35">
        <v>0.0</v>
      </c>
      <c r="G2964" s="35">
        <v>13.0</v>
      </c>
      <c r="H2964" s="35">
        <v>0.0</v>
      </c>
      <c r="I2964" s="35">
        <v>0.0</v>
      </c>
      <c r="J2964" s="35"/>
      <c r="K2964" s="35">
        <v>0.0</v>
      </c>
    </row>
    <row r="2965" ht="15.75" customHeight="1">
      <c r="A2965" s="35" t="s">
        <v>7904</v>
      </c>
      <c r="B2965" s="35"/>
      <c r="C2965" s="35">
        <v>2.0</v>
      </c>
      <c r="D2965" s="35" t="s">
        <v>4635</v>
      </c>
      <c r="E2965" s="35">
        <v>46027.0</v>
      </c>
      <c r="F2965" s="35">
        <v>0.0</v>
      </c>
      <c r="G2965" s="35">
        <v>4.0</v>
      </c>
      <c r="H2965" s="35">
        <v>0.0</v>
      </c>
      <c r="I2965" s="35">
        <v>0.0</v>
      </c>
      <c r="J2965" s="35"/>
      <c r="K2965" s="35">
        <v>0.0</v>
      </c>
    </row>
    <row r="2966" ht="15.75" customHeight="1">
      <c r="A2966" s="35" t="s">
        <v>7905</v>
      </c>
      <c r="B2966" s="35"/>
      <c r="C2966" s="35">
        <v>2.0</v>
      </c>
      <c r="D2966" s="35">
        <v>107.0</v>
      </c>
      <c r="E2966" s="35">
        <v>46027.0</v>
      </c>
      <c r="F2966" s="35">
        <v>0.0</v>
      </c>
      <c r="G2966" s="35">
        <v>1.0</v>
      </c>
      <c r="H2966" s="35">
        <v>0.0</v>
      </c>
      <c r="I2966" s="35">
        <v>0.0</v>
      </c>
      <c r="J2966" s="35"/>
      <c r="K2966" s="35">
        <v>0.0</v>
      </c>
    </row>
    <row r="2967" ht="15.75" customHeight="1">
      <c r="A2967" s="35" t="s">
        <v>7907</v>
      </c>
      <c r="B2967" s="35"/>
      <c r="C2967" s="35">
        <v>2.0</v>
      </c>
      <c r="D2967" s="35" t="s">
        <v>4635</v>
      </c>
      <c r="E2967" s="35">
        <v>46027.0</v>
      </c>
      <c r="F2967" s="35">
        <v>0.0</v>
      </c>
      <c r="G2967" s="35">
        <v>10.0</v>
      </c>
      <c r="H2967" s="35">
        <v>0.0</v>
      </c>
      <c r="I2967" s="35">
        <v>0.0</v>
      </c>
      <c r="J2967" s="35"/>
      <c r="K2967" s="35">
        <v>0.0</v>
      </c>
    </row>
    <row r="2968" ht="15.75" customHeight="1">
      <c r="A2968" s="35" t="s">
        <v>7908</v>
      </c>
      <c r="B2968" s="35"/>
      <c r="C2968" s="35">
        <v>2.0</v>
      </c>
      <c r="D2968" s="35">
        <v>58.0</v>
      </c>
      <c r="E2968" s="35">
        <v>46027.0</v>
      </c>
      <c r="F2968" s="35">
        <v>0.0</v>
      </c>
      <c r="G2968" s="35">
        <v>0.0</v>
      </c>
      <c r="H2968" s="35">
        <v>1.0</v>
      </c>
      <c r="I2968" s="35">
        <v>0.0</v>
      </c>
      <c r="J2968" s="35"/>
      <c r="K2968" s="35">
        <v>0.0</v>
      </c>
    </row>
    <row r="2969" ht="15.75" customHeight="1">
      <c r="A2969" s="35" t="s">
        <v>7910</v>
      </c>
      <c r="B2969" s="35"/>
      <c r="C2969" s="35">
        <v>2.0</v>
      </c>
      <c r="D2969" s="35" t="s">
        <v>4635</v>
      </c>
      <c r="E2969" s="35">
        <v>46027.0</v>
      </c>
      <c r="F2969" s="35">
        <v>0.0</v>
      </c>
      <c r="G2969" s="35">
        <v>1.0</v>
      </c>
      <c r="H2969" s="35">
        <v>0.0</v>
      </c>
      <c r="I2969" s="35">
        <v>0.0</v>
      </c>
      <c r="J2969" s="35"/>
      <c r="K2969" s="35">
        <v>0.0</v>
      </c>
    </row>
    <row r="2970" ht="15.75" customHeight="1">
      <c r="A2970" s="35" t="s">
        <v>7911</v>
      </c>
      <c r="B2970" s="35"/>
      <c r="C2970" s="35">
        <v>2.0</v>
      </c>
      <c r="D2970" s="35">
        <v>295.0</v>
      </c>
      <c r="E2970" s="35">
        <v>46027.0</v>
      </c>
      <c r="F2970" s="35">
        <v>0.0</v>
      </c>
      <c r="G2970" s="35">
        <v>3.0</v>
      </c>
      <c r="H2970" s="35">
        <v>0.0</v>
      </c>
      <c r="I2970" s="35">
        <v>0.0</v>
      </c>
      <c r="J2970" s="35"/>
      <c r="K2970" s="35">
        <v>0.0</v>
      </c>
    </row>
    <row r="2971" ht="15.75" customHeight="1">
      <c r="A2971" s="35" t="s">
        <v>7913</v>
      </c>
      <c r="B2971" s="35"/>
      <c r="C2971" s="35">
        <v>2.0</v>
      </c>
      <c r="D2971" s="35" t="s">
        <v>4635</v>
      </c>
      <c r="E2971" s="35">
        <v>46027.0</v>
      </c>
      <c r="F2971" s="35">
        <v>0.0</v>
      </c>
      <c r="G2971" s="35">
        <v>18.0</v>
      </c>
      <c r="H2971" s="35">
        <v>0.0</v>
      </c>
      <c r="I2971" s="35">
        <v>0.0</v>
      </c>
      <c r="J2971" s="35"/>
      <c r="K2971" s="35">
        <v>0.0</v>
      </c>
    </row>
    <row r="2972" ht="15.75" customHeight="1">
      <c r="A2972" s="35" t="s">
        <v>7914</v>
      </c>
      <c r="B2972" s="35"/>
      <c r="C2972" s="35">
        <v>2.0</v>
      </c>
      <c r="D2972" s="35">
        <v>56.0</v>
      </c>
      <c r="E2972" s="35">
        <v>46027.0</v>
      </c>
      <c r="F2972" s="35">
        <v>0.0</v>
      </c>
      <c r="G2972" s="35">
        <v>0.0</v>
      </c>
      <c r="H2972" s="35">
        <v>0.0</v>
      </c>
      <c r="I2972" s="35">
        <v>2.0</v>
      </c>
      <c r="J2972" s="35"/>
      <c r="K2972" s="35">
        <v>0.0</v>
      </c>
    </row>
    <row r="2973" ht="15.75" customHeight="1">
      <c r="A2973" s="35" t="s">
        <v>7916</v>
      </c>
      <c r="B2973" s="35"/>
      <c r="C2973" s="35">
        <v>2.0</v>
      </c>
      <c r="D2973" s="35">
        <v>265.0</v>
      </c>
      <c r="E2973" s="35">
        <v>46027.0</v>
      </c>
      <c r="F2973" s="35">
        <v>0.0</v>
      </c>
      <c r="G2973" s="35">
        <v>2.0</v>
      </c>
      <c r="H2973" s="35">
        <v>0.0</v>
      </c>
      <c r="I2973" s="35">
        <v>0.0</v>
      </c>
      <c r="J2973" s="35"/>
      <c r="K2973" s="35">
        <v>0.0</v>
      </c>
    </row>
    <row r="2974" ht="15.75" customHeight="1">
      <c r="A2974" s="35" t="s">
        <v>7917</v>
      </c>
      <c r="B2974" s="35"/>
      <c r="C2974" s="35">
        <v>2.0</v>
      </c>
      <c r="D2974" s="35" t="s">
        <v>4635</v>
      </c>
      <c r="E2974" s="35">
        <v>46027.0</v>
      </c>
      <c r="F2974" s="35">
        <v>0.0</v>
      </c>
      <c r="G2974" s="35">
        <v>1.0</v>
      </c>
      <c r="H2974" s="35">
        <v>0.0</v>
      </c>
      <c r="I2974" s="35">
        <v>0.0</v>
      </c>
      <c r="J2974" s="35"/>
      <c r="K2974" s="35">
        <v>0.0</v>
      </c>
    </row>
    <row r="2975" ht="15.75" customHeight="1">
      <c r="A2975" s="35" t="s">
        <v>7918</v>
      </c>
      <c r="B2975" s="35"/>
      <c r="C2975" s="35">
        <v>2.0</v>
      </c>
      <c r="D2975" s="35" t="s">
        <v>4380</v>
      </c>
      <c r="E2975" s="35">
        <v>46027.0</v>
      </c>
      <c r="F2975" s="35">
        <v>0.0</v>
      </c>
      <c r="G2975" s="35">
        <v>1.0</v>
      </c>
      <c r="H2975" s="35">
        <v>0.0</v>
      </c>
      <c r="I2975" s="35">
        <v>0.0</v>
      </c>
      <c r="J2975" s="35"/>
      <c r="K2975" s="35">
        <v>0.0</v>
      </c>
    </row>
    <row r="2976" ht="15.75" customHeight="1">
      <c r="A2976" s="35" t="s">
        <v>7920</v>
      </c>
      <c r="B2976" s="35"/>
      <c r="C2976" s="35">
        <v>2.0</v>
      </c>
      <c r="D2976" s="35" t="s">
        <v>4635</v>
      </c>
      <c r="E2976" s="35">
        <v>46027.0</v>
      </c>
      <c r="F2976" s="35">
        <v>0.0</v>
      </c>
      <c r="G2976" s="35">
        <v>2.0</v>
      </c>
      <c r="H2976" s="35">
        <v>0.0</v>
      </c>
      <c r="I2976" s="35">
        <v>0.0</v>
      </c>
      <c r="J2976" s="35"/>
      <c r="K2976" s="35">
        <v>0.0</v>
      </c>
    </row>
    <row r="2977" ht="15.75" customHeight="1">
      <c r="A2977" s="35" t="s">
        <v>7921</v>
      </c>
      <c r="B2977" s="35"/>
      <c r="C2977" s="35">
        <v>2.0</v>
      </c>
      <c r="D2977" s="35" t="s">
        <v>4635</v>
      </c>
      <c r="E2977" s="35">
        <v>46027.0</v>
      </c>
      <c r="F2977" s="35">
        <v>0.0</v>
      </c>
      <c r="G2977" s="35">
        <v>2.0</v>
      </c>
      <c r="H2977" s="35">
        <v>0.0</v>
      </c>
      <c r="I2977" s="35">
        <v>0.0</v>
      </c>
      <c r="J2977" s="35"/>
      <c r="K2977" s="35">
        <v>0.0</v>
      </c>
    </row>
    <row r="2978" ht="15.75" customHeight="1">
      <c r="A2978" s="35" t="s">
        <v>7923</v>
      </c>
      <c r="B2978" s="35"/>
      <c r="C2978" s="35">
        <v>2.0</v>
      </c>
      <c r="D2978" s="35">
        <v>51.0</v>
      </c>
      <c r="E2978" s="35">
        <v>46027.0</v>
      </c>
      <c r="F2978" s="35">
        <v>0.0</v>
      </c>
      <c r="G2978" s="35">
        <v>1.0</v>
      </c>
      <c r="H2978" s="35">
        <v>0.0</v>
      </c>
      <c r="I2978" s="35">
        <v>0.0</v>
      </c>
      <c r="J2978" s="35"/>
      <c r="K2978" s="35">
        <v>0.0</v>
      </c>
    </row>
    <row r="2979" ht="15.75" customHeight="1">
      <c r="A2979" s="35" t="s">
        <v>7924</v>
      </c>
      <c r="B2979" s="35"/>
      <c r="C2979" s="35">
        <v>2.0</v>
      </c>
      <c r="D2979" s="35" t="s">
        <v>4635</v>
      </c>
      <c r="E2979" s="35">
        <v>46027.0</v>
      </c>
      <c r="F2979" s="35">
        <v>0.0</v>
      </c>
      <c r="G2979" s="35">
        <v>1.0</v>
      </c>
      <c r="H2979" s="35">
        <v>0.0</v>
      </c>
      <c r="I2979" s="35">
        <v>0.0</v>
      </c>
      <c r="J2979" s="35"/>
      <c r="K2979" s="35">
        <v>0.0</v>
      </c>
    </row>
    <row r="2980" ht="15.75" customHeight="1">
      <c r="A2980" s="35" t="s">
        <v>7926</v>
      </c>
      <c r="B2980" s="35"/>
      <c r="C2980" s="35">
        <v>2.0</v>
      </c>
      <c r="D2980" s="35">
        <v>454.0</v>
      </c>
      <c r="E2980" s="35">
        <v>46027.0</v>
      </c>
      <c r="F2980" s="35">
        <v>0.0</v>
      </c>
      <c r="G2980" s="35">
        <v>3.0</v>
      </c>
      <c r="H2980" s="35">
        <v>0.0</v>
      </c>
      <c r="I2980" s="35">
        <v>0.0</v>
      </c>
      <c r="J2980" s="35"/>
      <c r="K2980" s="35">
        <v>0.0</v>
      </c>
    </row>
    <row r="2981" ht="15.75" customHeight="1">
      <c r="A2981" s="35" t="s">
        <v>7927</v>
      </c>
      <c r="B2981" s="35"/>
      <c r="C2981" s="35">
        <v>2.0</v>
      </c>
      <c r="D2981" s="35">
        <v>58.0</v>
      </c>
      <c r="E2981" s="35">
        <v>46027.0</v>
      </c>
      <c r="F2981" s="35">
        <v>0.0</v>
      </c>
      <c r="G2981" s="35">
        <v>0.0</v>
      </c>
      <c r="H2981" s="35">
        <v>1.0</v>
      </c>
      <c r="I2981" s="35">
        <v>0.0</v>
      </c>
      <c r="J2981" s="35"/>
      <c r="K2981" s="35">
        <v>0.0</v>
      </c>
    </row>
    <row r="2982" ht="15.75" customHeight="1">
      <c r="A2982" s="35" t="s">
        <v>7929</v>
      </c>
      <c r="B2982" s="35"/>
      <c r="C2982" s="35">
        <v>2.0</v>
      </c>
      <c r="D2982" s="35" t="s">
        <v>4635</v>
      </c>
      <c r="E2982" s="35">
        <v>46027.0</v>
      </c>
      <c r="F2982" s="35">
        <v>0.0</v>
      </c>
      <c r="G2982" s="35">
        <v>0.0</v>
      </c>
      <c r="H2982" s="35">
        <v>0.0</v>
      </c>
      <c r="I2982" s="35">
        <v>1.0</v>
      </c>
      <c r="J2982" s="35"/>
      <c r="K2982" s="35">
        <v>0.0</v>
      </c>
    </row>
    <row r="2983" ht="15.75" customHeight="1">
      <c r="A2983" s="35" t="s">
        <v>7930</v>
      </c>
      <c r="B2983" s="35"/>
      <c r="C2983" s="35">
        <v>2.0</v>
      </c>
      <c r="D2983" s="35">
        <v>54.0</v>
      </c>
      <c r="E2983" s="35">
        <v>46027.0</v>
      </c>
      <c r="F2983" s="35">
        <v>0.0</v>
      </c>
      <c r="G2983" s="35">
        <v>7.0</v>
      </c>
      <c r="H2983" s="35">
        <v>0.0</v>
      </c>
      <c r="I2983" s="35">
        <v>0.0</v>
      </c>
      <c r="J2983" s="35"/>
      <c r="K2983" s="35">
        <v>0.0</v>
      </c>
    </row>
    <row r="2984" ht="15.75" customHeight="1">
      <c r="A2984" s="35" t="s">
        <v>7932</v>
      </c>
      <c r="B2984" s="35"/>
      <c r="C2984" s="35">
        <v>2.0</v>
      </c>
      <c r="D2984" s="35" t="s">
        <v>4635</v>
      </c>
      <c r="E2984" s="35">
        <v>46027.0</v>
      </c>
      <c r="F2984" s="35">
        <v>0.0</v>
      </c>
      <c r="G2984" s="35">
        <v>24.0</v>
      </c>
      <c r="H2984" s="35">
        <v>0.0</v>
      </c>
      <c r="I2984" s="35">
        <v>0.0</v>
      </c>
      <c r="J2984" s="35"/>
      <c r="K2984" s="35">
        <v>0.0</v>
      </c>
    </row>
    <row r="2985" ht="15.75" customHeight="1">
      <c r="A2985" s="35" t="s">
        <v>7933</v>
      </c>
      <c r="B2985" s="35"/>
      <c r="C2985" s="35">
        <v>2.0</v>
      </c>
      <c r="D2985" s="35" t="s">
        <v>4635</v>
      </c>
      <c r="E2985" s="35">
        <v>46027.0</v>
      </c>
      <c r="F2985" s="35">
        <v>0.0</v>
      </c>
      <c r="G2985" s="35">
        <v>0.0</v>
      </c>
      <c r="H2985" s="35">
        <v>4.0</v>
      </c>
      <c r="I2985" s="35">
        <v>0.0</v>
      </c>
      <c r="J2985" s="35"/>
      <c r="K2985" s="35">
        <v>0.0</v>
      </c>
    </row>
    <row r="2986" ht="15.75" customHeight="1">
      <c r="A2986" s="35" t="s">
        <v>7935</v>
      </c>
      <c r="B2986" s="35"/>
      <c r="C2986" s="35">
        <v>2.0</v>
      </c>
      <c r="D2986" s="35" t="s">
        <v>4635</v>
      </c>
      <c r="E2986" s="35">
        <v>46027.0</v>
      </c>
      <c r="F2986" s="35">
        <v>0.0</v>
      </c>
      <c r="G2986" s="35">
        <v>3.0</v>
      </c>
      <c r="H2986" s="35">
        <v>0.0</v>
      </c>
      <c r="I2986" s="35">
        <v>0.0</v>
      </c>
      <c r="J2986" s="35"/>
      <c r="K2986" s="35">
        <v>0.0</v>
      </c>
    </row>
    <row r="2987" ht="15.75" customHeight="1">
      <c r="A2987" s="35" t="s">
        <v>7936</v>
      </c>
      <c r="B2987" s="35"/>
      <c r="C2987" s="35">
        <v>2.0</v>
      </c>
      <c r="D2987" s="35" t="s">
        <v>4635</v>
      </c>
      <c r="E2987" s="35">
        <v>46027.0</v>
      </c>
      <c r="F2987" s="35">
        <v>0.0</v>
      </c>
      <c r="G2987" s="35">
        <v>3.0</v>
      </c>
      <c r="H2987" s="35">
        <v>0.0</v>
      </c>
      <c r="I2987" s="35">
        <v>0.0</v>
      </c>
      <c r="J2987" s="35"/>
      <c r="K2987" s="35">
        <v>0.0</v>
      </c>
    </row>
    <row r="2988" ht="15.75" customHeight="1">
      <c r="A2988" s="35" t="s">
        <v>7937</v>
      </c>
      <c r="B2988" s="35"/>
      <c r="C2988" s="35">
        <v>2.0</v>
      </c>
      <c r="D2988" s="35">
        <v>65.0</v>
      </c>
      <c r="E2988" s="35">
        <v>46027.0</v>
      </c>
      <c r="F2988" s="35">
        <v>0.0</v>
      </c>
      <c r="G2988" s="35">
        <v>6.0</v>
      </c>
      <c r="H2988" s="35">
        <v>0.0</v>
      </c>
      <c r="I2988" s="35">
        <v>0.0</v>
      </c>
      <c r="J2988" s="35"/>
      <c r="K2988" s="35">
        <v>0.0</v>
      </c>
    </row>
    <row r="2989" ht="15.75" customHeight="1">
      <c r="A2989" s="35" t="s">
        <v>7939</v>
      </c>
      <c r="B2989" s="35"/>
      <c r="C2989" s="35">
        <v>2.0</v>
      </c>
      <c r="D2989" s="35" t="s">
        <v>4635</v>
      </c>
      <c r="E2989" s="35">
        <v>46027.0</v>
      </c>
      <c r="F2989" s="35">
        <v>0.0</v>
      </c>
      <c r="G2989" s="35">
        <v>3.0</v>
      </c>
      <c r="H2989" s="35">
        <v>0.0</v>
      </c>
      <c r="I2989" s="35">
        <v>0.0</v>
      </c>
      <c r="J2989" s="35"/>
      <c r="K2989" s="35">
        <v>0.0</v>
      </c>
    </row>
    <row r="2990" ht="15.75" customHeight="1">
      <c r="A2990" s="35" t="s">
        <v>7940</v>
      </c>
      <c r="B2990" s="35"/>
      <c r="C2990" s="35">
        <v>2.0</v>
      </c>
      <c r="D2990" s="35" t="s">
        <v>4635</v>
      </c>
      <c r="E2990" s="35">
        <v>46027.0</v>
      </c>
      <c r="F2990" s="35">
        <v>0.0</v>
      </c>
      <c r="G2990" s="35">
        <v>1.0</v>
      </c>
      <c r="H2990" s="35">
        <v>0.0</v>
      </c>
      <c r="I2990" s="35">
        <v>0.0</v>
      </c>
      <c r="J2990" s="35"/>
      <c r="K2990" s="35">
        <v>0.0</v>
      </c>
    </row>
    <row r="2991" ht="15.75" customHeight="1">
      <c r="A2991" s="35" t="s">
        <v>7942</v>
      </c>
      <c r="B2991" s="35"/>
      <c r="C2991" s="35">
        <v>2.0</v>
      </c>
      <c r="D2991" s="35">
        <v>417.0</v>
      </c>
      <c r="E2991" s="35">
        <v>46027.0</v>
      </c>
      <c r="F2991" s="35">
        <v>0.0</v>
      </c>
      <c r="G2991" s="35">
        <v>0.0</v>
      </c>
      <c r="H2991" s="35">
        <v>1.0</v>
      </c>
      <c r="I2991" s="35">
        <v>0.0</v>
      </c>
      <c r="J2991" s="35"/>
      <c r="K2991" s="35">
        <v>0.0</v>
      </c>
    </row>
    <row r="2992" ht="15.75" customHeight="1">
      <c r="A2992" s="35" t="s">
        <v>7943</v>
      </c>
      <c r="B2992" s="35"/>
      <c r="C2992" s="35">
        <v>2.0</v>
      </c>
      <c r="D2992" s="35">
        <v>926.0</v>
      </c>
      <c r="E2992" s="35">
        <v>46027.0</v>
      </c>
      <c r="F2992" s="35">
        <v>0.0</v>
      </c>
      <c r="G2992" s="35">
        <v>10.0</v>
      </c>
      <c r="H2992" s="35">
        <v>0.0</v>
      </c>
      <c r="I2992" s="35">
        <v>0.0</v>
      </c>
      <c r="J2992" s="35"/>
      <c r="K2992" s="35">
        <v>0.0</v>
      </c>
    </row>
    <row r="2993" ht="15.75" customHeight="1">
      <c r="A2993" s="35" t="s">
        <v>7945</v>
      </c>
      <c r="B2993" s="35"/>
      <c r="C2993" s="35">
        <v>2.0</v>
      </c>
      <c r="D2993" s="35">
        <v>63.0</v>
      </c>
      <c r="E2993" s="35">
        <v>46027.0</v>
      </c>
      <c r="F2993" s="35">
        <v>0.0</v>
      </c>
      <c r="G2993" s="35">
        <v>2.0</v>
      </c>
      <c r="H2993" s="35">
        <v>0.0</v>
      </c>
      <c r="I2993" s="35">
        <v>0.0</v>
      </c>
      <c r="J2993" s="35"/>
      <c r="K2993" s="35">
        <v>0.0</v>
      </c>
    </row>
    <row r="2994" ht="15.75" customHeight="1">
      <c r="A2994" s="35" t="s">
        <v>7946</v>
      </c>
      <c r="B2994" s="35"/>
      <c r="C2994" s="35">
        <v>2.0</v>
      </c>
      <c r="D2994" s="35" t="s">
        <v>4635</v>
      </c>
      <c r="E2994" s="35">
        <v>46027.0</v>
      </c>
      <c r="F2994" s="35">
        <v>0.0</v>
      </c>
      <c r="G2994" s="35">
        <v>33.0</v>
      </c>
      <c r="H2994" s="35">
        <v>0.0</v>
      </c>
      <c r="I2994" s="35">
        <v>0.0</v>
      </c>
      <c r="J2994" s="35"/>
      <c r="K2994" s="35">
        <v>0.0</v>
      </c>
    </row>
    <row r="2995" ht="15.75" customHeight="1">
      <c r="A2995" s="35" t="s">
        <v>7948</v>
      </c>
      <c r="B2995" s="35"/>
      <c r="C2995" s="35">
        <v>2.0</v>
      </c>
      <c r="D2995" s="35" t="s">
        <v>4635</v>
      </c>
      <c r="E2995" s="35">
        <v>46027.0</v>
      </c>
      <c r="F2995" s="35">
        <v>0.0</v>
      </c>
      <c r="G2995" s="35">
        <v>5.0</v>
      </c>
      <c r="H2995" s="35">
        <v>0.0</v>
      </c>
      <c r="I2995" s="35">
        <v>0.0</v>
      </c>
      <c r="J2995" s="35"/>
      <c r="K2995" s="35">
        <v>0.0</v>
      </c>
    </row>
    <row r="2996" ht="15.75" customHeight="1">
      <c r="A2996" s="35" t="s">
        <v>7949</v>
      </c>
      <c r="B2996" s="35"/>
      <c r="C2996" s="35">
        <v>2.0</v>
      </c>
      <c r="D2996" s="35">
        <v>140.0</v>
      </c>
      <c r="E2996" s="35">
        <v>46027.0</v>
      </c>
      <c r="F2996" s="35">
        <v>0.0</v>
      </c>
      <c r="G2996" s="35">
        <v>1.0</v>
      </c>
      <c r="H2996" s="35">
        <v>0.0</v>
      </c>
      <c r="I2996" s="35">
        <v>0.0</v>
      </c>
      <c r="J2996" s="35"/>
      <c r="K2996" s="35">
        <v>0.0</v>
      </c>
    </row>
    <row r="2997" ht="15.75" customHeight="1">
      <c r="A2997" s="35" t="s">
        <v>7950</v>
      </c>
      <c r="B2997" s="35"/>
      <c r="C2997" s="35">
        <v>2.0</v>
      </c>
      <c r="D2997" s="35">
        <v>102.0</v>
      </c>
      <c r="E2997" s="35">
        <v>46027.0</v>
      </c>
      <c r="F2997" s="35">
        <v>0.0</v>
      </c>
      <c r="G2997" s="35">
        <v>0.0</v>
      </c>
      <c r="H2997" s="35">
        <v>1.0</v>
      </c>
      <c r="I2997" s="35">
        <v>0.0</v>
      </c>
      <c r="J2997" s="35"/>
      <c r="K2997" s="35">
        <v>0.0</v>
      </c>
    </row>
    <row r="2998" ht="15.75" customHeight="1">
      <c r="A2998" s="35" t="s">
        <v>7952</v>
      </c>
      <c r="B2998" s="35"/>
      <c r="C2998" s="35">
        <v>2.0</v>
      </c>
      <c r="D2998" s="35">
        <v>832.0</v>
      </c>
      <c r="E2998" s="35">
        <v>46027.0</v>
      </c>
      <c r="F2998" s="35">
        <v>0.0</v>
      </c>
      <c r="G2998" s="35">
        <v>21.0</v>
      </c>
      <c r="H2998" s="35">
        <v>0.0</v>
      </c>
      <c r="I2998" s="35">
        <v>0.0</v>
      </c>
      <c r="J2998" s="35"/>
      <c r="K2998" s="35">
        <v>0.0</v>
      </c>
    </row>
    <row r="2999" ht="15.75" customHeight="1">
      <c r="A2999" s="35" t="s">
        <v>7953</v>
      </c>
      <c r="B2999" s="35"/>
      <c r="C2999" s="35">
        <v>2.0</v>
      </c>
      <c r="D2999" s="35" t="s">
        <v>4635</v>
      </c>
      <c r="E2999" s="35">
        <v>46027.0</v>
      </c>
      <c r="F2999" s="35">
        <v>0.0</v>
      </c>
      <c r="G2999" s="35">
        <v>1.0</v>
      </c>
      <c r="H2999" s="35">
        <v>0.0</v>
      </c>
      <c r="I2999" s="35">
        <v>0.0</v>
      </c>
      <c r="J2999" s="35"/>
      <c r="K2999" s="35">
        <v>0.0</v>
      </c>
    </row>
    <row r="3000" ht="15.75" customHeight="1">
      <c r="A3000" s="35" t="s">
        <v>7955</v>
      </c>
      <c r="B3000" s="35"/>
      <c r="C3000" s="35">
        <v>2.0</v>
      </c>
      <c r="D3000" s="35" t="s">
        <v>4635</v>
      </c>
      <c r="E3000" s="35">
        <v>46027.0</v>
      </c>
      <c r="F3000" s="35">
        <v>0.0</v>
      </c>
      <c r="G3000" s="35">
        <v>53.0</v>
      </c>
      <c r="H3000" s="35">
        <v>0.0</v>
      </c>
      <c r="I3000" s="35">
        <v>0.0</v>
      </c>
      <c r="J3000" s="35"/>
      <c r="K3000" s="35">
        <v>0.0</v>
      </c>
    </row>
    <row r="3001" ht="15.75" customHeight="1">
      <c r="A3001" s="35" t="s">
        <v>7956</v>
      </c>
      <c r="B3001" s="35"/>
      <c r="C3001" s="35">
        <v>2.0</v>
      </c>
      <c r="D3001" s="35" t="s">
        <v>4635</v>
      </c>
      <c r="E3001" s="35">
        <v>46027.0</v>
      </c>
      <c r="F3001" s="35">
        <v>0.0</v>
      </c>
      <c r="G3001" s="35">
        <v>3.0</v>
      </c>
      <c r="H3001" s="35">
        <v>0.0</v>
      </c>
      <c r="I3001" s="35">
        <v>0.0</v>
      </c>
      <c r="J3001" s="35"/>
      <c r="K3001" s="35">
        <v>0.0</v>
      </c>
    </row>
    <row r="3002" ht="15.75" customHeight="1">
      <c r="A3002" s="35" t="s">
        <v>7958</v>
      </c>
      <c r="B3002" s="35"/>
      <c r="C3002" s="35">
        <v>2.0</v>
      </c>
      <c r="D3002" s="35" t="s">
        <v>4635</v>
      </c>
      <c r="E3002" s="35">
        <v>46027.0</v>
      </c>
      <c r="F3002" s="35">
        <v>0.0</v>
      </c>
      <c r="G3002" s="35">
        <v>4.0</v>
      </c>
      <c r="H3002" s="35">
        <v>0.0</v>
      </c>
      <c r="I3002" s="35">
        <v>0.0</v>
      </c>
      <c r="J3002" s="35"/>
      <c r="K3002" s="35">
        <v>0.0</v>
      </c>
    </row>
    <row r="3003" ht="15.75" customHeight="1">
      <c r="A3003" s="35" t="s">
        <v>7959</v>
      </c>
      <c r="B3003" s="35"/>
      <c r="C3003" s="35">
        <v>2.0</v>
      </c>
      <c r="D3003" s="35">
        <v>393.0</v>
      </c>
      <c r="E3003" s="35">
        <v>46027.0</v>
      </c>
      <c r="F3003" s="35">
        <v>0.0</v>
      </c>
      <c r="G3003" s="35">
        <v>0.0</v>
      </c>
      <c r="H3003" s="35">
        <v>189.0</v>
      </c>
      <c r="I3003" s="35">
        <v>0.0</v>
      </c>
      <c r="J3003" s="35"/>
      <c r="K3003" s="35">
        <v>0.0</v>
      </c>
    </row>
    <row r="3004" ht="15.75" customHeight="1">
      <c r="A3004" s="35" t="s">
        <v>7961</v>
      </c>
      <c r="B3004" s="35"/>
      <c r="C3004" s="35">
        <v>2.0</v>
      </c>
      <c r="D3004" s="35" t="s">
        <v>4635</v>
      </c>
      <c r="E3004" s="35">
        <v>46027.0</v>
      </c>
      <c r="F3004" s="35">
        <v>0.0</v>
      </c>
      <c r="G3004" s="35">
        <v>5.0</v>
      </c>
      <c r="H3004" s="35">
        <v>0.0</v>
      </c>
      <c r="I3004" s="35">
        <v>0.0</v>
      </c>
      <c r="J3004" s="35"/>
      <c r="K3004" s="35">
        <v>0.0</v>
      </c>
    </row>
    <row r="3005" ht="15.75" customHeight="1">
      <c r="A3005" s="35" t="s">
        <v>7962</v>
      </c>
      <c r="B3005" s="35"/>
      <c r="C3005" s="35">
        <v>2.0</v>
      </c>
      <c r="D3005" s="35" t="s">
        <v>4635</v>
      </c>
      <c r="E3005" s="35">
        <v>46027.0</v>
      </c>
      <c r="F3005" s="35">
        <v>0.0</v>
      </c>
      <c r="G3005" s="35">
        <v>1.0</v>
      </c>
      <c r="H3005" s="35">
        <v>0.0</v>
      </c>
      <c r="I3005" s="35">
        <v>0.0</v>
      </c>
      <c r="J3005" s="35"/>
      <c r="K3005" s="35">
        <v>0.0</v>
      </c>
    </row>
    <row r="3006" ht="15.75" customHeight="1">
      <c r="A3006" s="35" t="s">
        <v>7964</v>
      </c>
      <c r="B3006" s="35"/>
      <c r="C3006" s="35">
        <v>2.0</v>
      </c>
      <c r="D3006" s="35" t="s">
        <v>4692</v>
      </c>
      <c r="E3006" s="35">
        <v>46027.0</v>
      </c>
      <c r="F3006" s="35">
        <v>0.0</v>
      </c>
      <c r="G3006" s="35">
        <v>1.0</v>
      </c>
      <c r="H3006" s="35">
        <v>0.0</v>
      </c>
      <c r="I3006" s="35">
        <v>0.0</v>
      </c>
      <c r="J3006" s="35"/>
      <c r="K3006" s="35">
        <v>0.0</v>
      </c>
    </row>
    <row r="3007" ht="15.75" customHeight="1">
      <c r="A3007" s="35" t="s">
        <v>7965</v>
      </c>
      <c r="B3007" s="35"/>
      <c r="C3007" s="35">
        <v>2.0</v>
      </c>
      <c r="D3007" s="35" t="s">
        <v>4635</v>
      </c>
      <c r="E3007" s="35">
        <v>46027.0</v>
      </c>
      <c r="F3007" s="35">
        <v>0.0</v>
      </c>
      <c r="G3007" s="35">
        <v>3.0</v>
      </c>
      <c r="H3007" s="35">
        <v>0.0</v>
      </c>
      <c r="I3007" s="35">
        <v>0.0</v>
      </c>
      <c r="J3007" s="35"/>
      <c r="K3007" s="35">
        <v>0.0</v>
      </c>
    </row>
    <row r="3008" ht="15.75" customHeight="1">
      <c r="A3008" s="35" t="s">
        <v>7966</v>
      </c>
      <c r="B3008" s="35"/>
      <c r="C3008" s="35">
        <v>2.0</v>
      </c>
      <c r="D3008" s="35">
        <v>294.0</v>
      </c>
      <c r="E3008" s="35">
        <v>46027.0</v>
      </c>
      <c r="F3008" s="35">
        <v>0.0</v>
      </c>
      <c r="G3008" s="35">
        <v>0.0</v>
      </c>
      <c r="H3008" s="35">
        <v>2.0</v>
      </c>
      <c r="I3008" s="35">
        <v>0.0</v>
      </c>
      <c r="J3008" s="35"/>
      <c r="K3008" s="35">
        <v>0.0</v>
      </c>
    </row>
    <row r="3009" ht="15.75" customHeight="1">
      <c r="A3009" s="35" t="s">
        <v>7968</v>
      </c>
      <c r="B3009" s="35"/>
      <c r="C3009" s="35">
        <v>2.0</v>
      </c>
      <c r="D3009" s="35" t="s">
        <v>4635</v>
      </c>
      <c r="E3009" s="35">
        <v>46027.0</v>
      </c>
      <c r="F3009" s="35">
        <v>0.0</v>
      </c>
      <c r="G3009" s="35">
        <v>14.0</v>
      </c>
      <c r="H3009" s="35">
        <v>0.0</v>
      </c>
      <c r="I3009" s="35">
        <v>0.0</v>
      </c>
      <c r="J3009" s="35"/>
      <c r="K3009" s="35">
        <v>0.0</v>
      </c>
    </row>
    <row r="3010" ht="15.75" customHeight="1">
      <c r="A3010" s="35" t="s">
        <v>7969</v>
      </c>
      <c r="B3010" s="35"/>
      <c r="C3010" s="35">
        <v>2.0</v>
      </c>
      <c r="D3010" s="35">
        <v>278.0</v>
      </c>
      <c r="E3010" s="35">
        <v>46027.0</v>
      </c>
      <c r="F3010" s="35">
        <v>0.0</v>
      </c>
      <c r="G3010" s="35">
        <v>60.0</v>
      </c>
      <c r="H3010" s="35">
        <v>0.0</v>
      </c>
      <c r="I3010" s="35">
        <v>0.0</v>
      </c>
      <c r="J3010" s="35"/>
      <c r="K3010" s="35">
        <v>0.0</v>
      </c>
    </row>
    <row r="3011" ht="15.75" customHeight="1">
      <c r="A3011" s="35" t="s">
        <v>7971</v>
      </c>
      <c r="B3011" s="35"/>
      <c r="C3011" s="35">
        <v>2.0</v>
      </c>
      <c r="D3011" s="35" t="s">
        <v>4635</v>
      </c>
      <c r="E3011" s="35">
        <v>46027.0</v>
      </c>
      <c r="F3011" s="35">
        <v>0.0</v>
      </c>
      <c r="G3011" s="35">
        <v>6.0</v>
      </c>
      <c r="H3011" s="35">
        <v>0.0</v>
      </c>
      <c r="I3011" s="35">
        <v>0.0</v>
      </c>
      <c r="J3011" s="35"/>
      <c r="K3011" s="35">
        <v>0.0</v>
      </c>
    </row>
    <row r="3012" ht="15.75" customHeight="1">
      <c r="A3012" s="35" t="s">
        <v>7972</v>
      </c>
      <c r="B3012" s="35"/>
      <c r="C3012" s="35">
        <v>2.0</v>
      </c>
      <c r="D3012" s="35">
        <v>48.0</v>
      </c>
      <c r="E3012" s="35">
        <v>46027.0</v>
      </c>
      <c r="F3012" s="35">
        <v>0.0</v>
      </c>
      <c r="G3012" s="35">
        <v>21.0</v>
      </c>
      <c r="H3012" s="35">
        <v>0.0</v>
      </c>
      <c r="I3012" s="35">
        <v>0.0</v>
      </c>
      <c r="J3012" s="35"/>
      <c r="K3012" s="35">
        <v>0.0</v>
      </c>
    </row>
    <row r="3013" ht="15.75" customHeight="1">
      <c r="A3013" s="35" t="s">
        <v>7974</v>
      </c>
      <c r="B3013" s="35"/>
      <c r="C3013" s="35">
        <v>2.0</v>
      </c>
      <c r="D3013" s="35" t="s">
        <v>2065</v>
      </c>
      <c r="E3013" s="35">
        <v>46027.0</v>
      </c>
      <c r="F3013" s="35">
        <v>0.0</v>
      </c>
      <c r="G3013" s="35">
        <v>28.0</v>
      </c>
      <c r="H3013" s="35">
        <v>0.0</v>
      </c>
      <c r="I3013" s="35">
        <v>0.0</v>
      </c>
      <c r="J3013" s="35"/>
      <c r="K3013" s="35">
        <v>0.0</v>
      </c>
    </row>
    <row r="3014" ht="15.75" customHeight="1">
      <c r="A3014" s="35" t="s">
        <v>7975</v>
      </c>
      <c r="B3014" s="35"/>
      <c r="C3014" s="35">
        <v>2.0</v>
      </c>
      <c r="D3014" s="35" t="s">
        <v>4635</v>
      </c>
      <c r="E3014" s="35">
        <v>46027.0</v>
      </c>
      <c r="F3014" s="35">
        <v>0.0</v>
      </c>
      <c r="G3014" s="35">
        <v>1.0</v>
      </c>
      <c r="H3014" s="35">
        <v>0.0</v>
      </c>
      <c r="I3014" s="35">
        <v>0.0</v>
      </c>
      <c r="J3014" s="35"/>
      <c r="K3014" s="35">
        <v>0.0</v>
      </c>
    </row>
    <row r="3015" ht="15.75" customHeight="1">
      <c r="A3015" s="35" t="s">
        <v>7977</v>
      </c>
      <c r="B3015" s="35"/>
      <c r="C3015" s="35">
        <v>2.0</v>
      </c>
      <c r="D3015" s="35">
        <v>343.0</v>
      </c>
      <c r="E3015" s="35">
        <v>46027.0</v>
      </c>
      <c r="F3015" s="35">
        <v>0.0</v>
      </c>
      <c r="G3015" s="35">
        <v>2.0</v>
      </c>
      <c r="H3015" s="35">
        <v>0.0</v>
      </c>
      <c r="I3015" s="35">
        <v>0.0</v>
      </c>
      <c r="J3015" s="35"/>
      <c r="K3015" s="35">
        <v>0.0</v>
      </c>
    </row>
    <row r="3016" ht="15.75" customHeight="1">
      <c r="A3016" s="35" t="s">
        <v>7978</v>
      </c>
      <c r="B3016" s="35"/>
      <c r="C3016" s="35">
        <v>2.0</v>
      </c>
      <c r="D3016" s="35" t="s">
        <v>4635</v>
      </c>
      <c r="E3016" s="35">
        <v>46027.0</v>
      </c>
      <c r="F3016" s="35">
        <v>0.0</v>
      </c>
      <c r="G3016" s="35">
        <v>2.0</v>
      </c>
      <c r="H3016" s="35">
        <v>0.0</v>
      </c>
      <c r="I3016" s="35">
        <v>0.0</v>
      </c>
      <c r="J3016" s="35"/>
      <c r="K3016" s="35">
        <v>0.0</v>
      </c>
    </row>
    <row r="3017" ht="15.75" customHeight="1">
      <c r="A3017" s="35" t="s">
        <v>7979</v>
      </c>
      <c r="B3017" s="35"/>
      <c r="C3017" s="35">
        <v>2.0</v>
      </c>
      <c r="D3017" s="35" t="s">
        <v>4635</v>
      </c>
      <c r="E3017" s="35">
        <v>46027.0</v>
      </c>
      <c r="F3017" s="35">
        <v>0.0</v>
      </c>
      <c r="G3017" s="35">
        <v>2.0</v>
      </c>
      <c r="H3017" s="35">
        <v>0.0</v>
      </c>
      <c r="I3017" s="35">
        <v>0.0</v>
      </c>
      <c r="J3017" s="35"/>
      <c r="K3017" s="35">
        <v>0.0</v>
      </c>
    </row>
    <row r="3018" ht="15.75" customHeight="1">
      <c r="A3018" s="35" t="s">
        <v>7981</v>
      </c>
      <c r="B3018" s="35"/>
      <c r="C3018" s="35">
        <v>2.0</v>
      </c>
      <c r="D3018" s="35" t="s">
        <v>4635</v>
      </c>
      <c r="E3018" s="35">
        <v>46027.0</v>
      </c>
      <c r="F3018" s="35">
        <v>0.0</v>
      </c>
      <c r="G3018" s="35">
        <v>7.0</v>
      </c>
      <c r="H3018" s="35">
        <v>0.0</v>
      </c>
      <c r="I3018" s="35">
        <v>0.0</v>
      </c>
      <c r="J3018" s="35"/>
      <c r="K3018" s="35">
        <v>0.0</v>
      </c>
    </row>
    <row r="3019" ht="15.75" customHeight="1">
      <c r="A3019" s="35" t="s">
        <v>7982</v>
      </c>
      <c r="B3019" s="35"/>
      <c r="C3019" s="35">
        <v>2.0</v>
      </c>
      <c r="D3019" s="35" t="s">
        <v>4635</v>
      </c>
      <c r="E3019" s="35">
        <v>46027.0</v>
      </c>
      <c r="F3019" s="35">
        <v>0.0</v>
      </c>
      <c r="G3019" s="35">
        <v>1.0</v>
      </c>
      <c r="H3019" s="35">
        <v>0.0</v>
      </c>
      <c r="I3019" s="35">
        <v>0.0</v>
      </c>
      <c r="J3019" s="35"/>
      <c r="K3019" s="35">
        <v>0.0</v>
      </c>
    </row>
    <row r="3020" ht="15.75" customHeight="1">
      <c r="A3020" s="35" t="s">
        <v>7984</v>
      </c>
      <c r="B3020" s="35"/>
      <c r="C3020" s="35">
        <v>2.0</v>
      </c>
      <c r="D3020" s="35">
        <v>750.0</v>
      </c>
      <c r="E3020" s="35">
        <v>46027.0</v>
      </c>
      <c r="F3020" s="35">
        <v>0.0</v>
      </c>
      <c r="G3020" s="35">
        <v>1.0</v>
      </c>
      <c r="H3020" s="35">
        <v>0.0</v>
      </c>
      <c r="I3020" s="35">
        <v>0.0</v>
      </c>
      <c r="J3020" s="35"/>
      <c r="K3020" s="35">
        <v>0.0</v>
      </c>
    </row>
    <row r="3021" ht="15.75" customHeight="1">
      <c r="A3021" s="35" t="s">
        <v>7985</v>
      </c>
      <c r="B3021" s="35"/>
      <c r="C3021" s="35">
        <v>2.0</v>
      </c>
      <c r="D3021" s="35" t="s">
        <v>4635</v>
      </c>
      <c r="E3021" s="35">
        <v>46027.0</v>
      </c>
      <c r="F3021" s="35">
        <v>0.0</v>
      </c>
      <c r="G3021" s="35">
        <v>1.0</v>
      </c>
      <c r="H3021" s="35">
        <v>0.0</v>
      </c>
      <c r="I3021" s="35">
        <v>0.0</v>
      </c>
      <c r="J3021" s="35"/>
      <c r="K3021" s="35">
        <v>0.0</v>
      </c>
    </row>
    <row r="3022" ht="15.75" customHeight="1">
      <c r="A3022" s="35" t="s">
        <v>7987</v>
      </c>
      <c r="B3022" s="35"/>
      <c r="C3022" s="35">
        <v>2.0</v>
      </c>
      <c r="D3022" s="35" t="s">
        <v>4635</v>
      </c>
      <c r="E3022" s="35">
        <v>46027.0</v>
      </c>
      <c r="F3022" s="35">
        <v>0.0</v>
      </c>
      <c r="G3022" s="35">
        <v>2.0</v>
      </c>
      <c r="H3022" s="35">
        <v>0.0</v>
      </c>
      <c r="I3022" s="35">
        <v>0.0</v>
      </c>
      <c r="J3022" s="35"/>
      <c r="K3022" s="35">
        <v>0.0</v>
      </c>
    </row>
    <row r="3023" ht="15.75" customHeight="1">
      <c r="A3023" s="35" t="s">
        <v>7988</v>
      </c>
      <c r="B3023" s="35"/>
      <c r="C3023" s="35">
        <v>2.0</v>
      </c>
      <c r="D3023" s="35" t="s">
        <v>4635</v>
      </c>
      <c r="E3023" s="35">
        <v>46027.0</v>
      </c>
      <c r="F3023" s="35">
        <v>0.0</v>
      </c>
      <c r="G3023" s="35">
        <v>2.0</v>
      </c>
      <c r="H3023" s="35">
        <v>0.0</v>
      </c>
      <c r="I3023" s="35">
        <v>0.0</v>
      </c>
      <c r="J3023" s="35"/>
      <c r="K3023" s="35">
        <v>0.0</v>
      </c>
    </row>
    <row r="3024" ht="15.75" customHeight="1">
      <c r="A3024" s="35" t="s">
        <v>7990</v>
      </c>
      <c r="B3024" s="35"/>
      <c r="C3024" s="35">
        <v>2.0</v>
      </c>
      <c r="D3024" s="35" t="s">
        <v>4635</v>
      </c>
      <c r="E3024" s="35">
        <v>46027.0</v>
      </c>
      <c r="F3024" s="35">
        <v>0.0</v>
      </c>
      <c r="G3024" s="35">
        <v>3.0</v>
      </c>
      <c r="H3024" s="35">
        <v>0.0</v>
      </c>
      <c r="I3024" s="35">
        <v>0.0</v>
      </c>
      <c r="J3024" s="35"/>
      <c r="K3024" s="35">
        <v>0.0</v>
      </c>
    </row>
    <row r="3025" ht="15.75" customHeight="1">
      <c r="A3025" s="35" t="s">
        <v>7991</v>
      </c>
      <c r="B3025" s="35"/>
      <c r="C3025" s="35">
        <v>2.0</v>
      </c>
      <c r="D3025" s="35" t="s">
        <v>4635</v>
      </c>
      <c r="E3025" s="35">
        <v>46027.0</v>
      </c>
      <c r="F3025" s="35">
        <v>0.0</v>
      </c>
      <c r="G3025" s="35">
        <v>6.0</v>
      </c>
      <c r="H3025" s="35">
        <v>0.0</v>
      </c>
      <c r="I3025" s="35">
        <v>0.0</v>
      </c>
      <c r="J3025" s="35"/>
      <c r="K3025" s="35">
        <v>0.0</v>
      </c>
    </row>
    <row r="3026" ht="15.75" customHeight="1">
      <c r="A3026" s="35" t="s">
        <v>7993</v>
      </c>
      <c r="B3026" s="35"/>
      <c r="C3026" s="35">
        <v>2.0</v>
      </c>
      <c r="D3026" s="35" t="s">
        <v>4635</v>
      </c>
      <c r="E3026" s="35">
        <v>46027.0</v>
      </c>
      <c r="F3026" s="35">
        <v>0.0</v>
      </c>
      <c r="G3026" s="35">
        <v>2.0</v>
      </c>
      <c r="H3026" s="35">
        <v>0.0</v>
      </c>
      <c r="I3026" s="35">
        <v>0.0</v>
      </c>
      <c r="J3026" s="35"/>
      <c r="K3026" s="35">
        <v>0.0</v>
      </c>
    </row>
    <row r="3027" ht="15.75" customHeight="1">
      <c r="A3027" s="35" t="s">
        <v>7994</v>
      </c>
      <c r="B3027" s="35"/>
      <c r="C3027" s="35">
        <v>2.0</v>
      </c>
      <c r="D3027" s="35" t="s">
        <v>2004</v>
      </c>
      <c r="E3027" s="35">
        <v>46027.0</v>
      </c>
      <c r="F3027" s="35">
        <v>0.0</v>
      </c>
      <c r="G3027" s="35">
        <v>1.0</v>
      </c>
      <c r="H3027" s="35">
        <v>0.0</v>
      </c>
      <c r="I3027" s="35">
        <v>0.0</v>
      </c>
      <c r="J3027" s="35"/>
      <c r="K3027" s="35">
        <v>0.0</v>
      </c>
    </row>
    <row r="3028" ht="15.75" customHeight="1">
      <c r="A3028" s="35" t="s">
        <v>7995</v>
      </c>
      <c r="B3028" s="35"/>
      <c r="C3028" s="35">
        <v>2.0</v>
      </c>
      <c r="D3028" s="35" t="s">
        <v>4635</v>
      </c>
      <c r="E3028" s="35">
        <v>46027.0</v>
      </c>
      <c r="F3028" s="35">
        <v>0.0</v>
      </c>
      <c r="G3028" s="35">
        <v>4.0</v>
      </c>
      <c r="H3028" s="35">
        <v>0.0</v>
      </c>
      <c r="I3028" s="35">
        <v>0.0</v>
      </c>
      <c r="J3028" s="35"/>
      <c r="K3028" s="35">
        <v>0.0</v>
      </c>
    </row>
    <row r="3029" ht="15.75" customHeight="1">
      <c r="A3029" s="35" t="s">
        <v>7997</v>
      </c>
      <c r="B3029" s="35"/>
      <c r="C3029" s="35">
        <v>2.0</v>
      </c>
      <c r="D3029" s="35" t="s">
        <v>2032</v>
      </c>
      <c r="E3029" s="35">
        <v>46027.0</v>
      </c>
      <c r="F3029" s="35">
        <v>0.0</v>
      </c>
      <c r="G3029" s="35">
        <v>0.0</v>
      </c>
      <c r="H3029" s="35">
        <v>1.0</v>
      </c>
      <c r="I3029" s="35">
        <v>0.0</v>
      </c>
      <c r="J3029" s="35"/>
      <c r="K3029" s="35">
        <v>0.0</v>
      </c>
    </row>
    <row r="3030" ht="15.75" customHeight="1">
      <c r="A3030" s="35" t="s">
        <v>7998</v>
      </c>
      <c r="B3030" s="35"/>
      <c r="C3030" s="35">
        <v>2.0</v>
      </c>
      <c r="D3030" s="35" t="s">
        <v>4635</v>
      </c>
      <c r="E3030" s="35">
        <v>46027.0</v>
      </c>
      <c r="F3030" s="35">
        <v>0.0</v>
      </c>
      <c r="G3030" s="35">
        <v>4.0</v>
      </c>
      <c r="H3030" s="35">
        <v>0.0</v>
      </c>
      <c r="I3030" s="35">
        <v>0.0</v>
      </c>
      <c r="J3030" s="35"/>
      <c r="K3030" s="35">
        <v>0.0</v>
      </c>
    </row>
    <row r="3031" ht="15.75" customHeight="1">
      <c r="A3031" s="35" t="s">
        <v>7999</v>
      </c>
      <c r="B3031" s="35"/>
      <c r="C3031" s="35">
        <v>2.0</v>
      </c>
      <c r="D3031" s="35" t="s">
        <v>4635</v>
      </c>
      <c r="E3031" s="35">
        <v>46027.0</v>
      </c>
      <c r="F3031" s="35">
        <v>0.0</v>
      </c>
      <c r="G3031" s="35">
        <v>21.0</v>
      </c>
      <c r="H3031" s="35">
        <v>0.0</v>
      </c>
      <c r="I3031" s="35">
        <v>0.0</v>
      </c>
      <c r="J3031" s="35"/>
      <c r="K3031" s="35">
        <v>0.0</v>
      </c>
    </row>
    <row r="3032" ht="15.75" customHeight="1">
      <c r="A3032" s="35" t="s">
        <v>8001</v>
      </c>
      <c r="B3032" s="35"/>
      <c r="C3032" s="35">
        <v>2.0</v>
      </c>
      <c r="D3032" s="35" t="s">
        <v>4635</v>
      </c>
      <c r="E3032" s="35">
        <v>46027.0</v>
      </c>
      <c r="F3032" s="35">
        <v>0.0</v>
      </c>
      <c r="G3032" s="35">
        <v>4.0</v>
      </c>
      <c r="H3032" s="35">
        <v>0.0</v>
      </c>
      <c r="I3032" s="35">
        <v>0.0</v>
      </c>
      <c r="J3032" s="35"/>
      <c r="K3032" s="35">
        <v>0.0</v>
      </c>
    </row>
    <row r="3033" ht="15.75" customHeight="1">
      <c r="A3033" s="35" t="s">
        <v>8002</v>
      </c>
      <c r="B3033" s="35"/>
      <c r="C3033" s="35">
        <v>2.0</v>
      </c>
      <c r="D3033" s="35">
        <v>184.0</v>
      </c>
      <c r="E3033" s="35">
        <v>46027.0</v>
      </c>
      <c r="F3033" s="35">
        <v>0.0</v>
      </c>
      <c r="G3033" s="35">
        <v>1.0</v>
      </c>
      <c r="H3033" s="35">
        <v>0.0</v>
      </c>
      <c r="I3033" s="35">
        <v>0.0</v>
      </c>
      <c r="J3033" s="35"/>
      <c r="K3033" s="35">
        <v>0.0</v>
      </c>
    </row>
    <row r="3034" ht="15.75" customHeight="1">
      <c r="A3034" s="35" t="s">
        <v>8004</v>
      </c>
      <c r="B3034" s="35"/>
      <c r="C3034" s="35">
        <v>2.0</v>
      </c>
      <c r="D3034" s="35" t="s">
        <v>4197</v>
      </c>
      <c r="E3034" s="35">
        <v>46027.0</v>
      </c>
      <c r="F3034" s="35">
        <v>0.0</v>
      </c>
      <c r="G3034" s="35">
        <v>1.0</v>
      </c>
      <c r="H3034" s="35">
        <v>0.0</v>
      </c>
      <c r="I3034" s="35">
        <v>0.0</v>
      </c>
      <c r="J3034" s="35"/>
      <c r="K3034" s="35">
        <v>0.0</v>
      </c>
    </row>
    <row r="3035" ht="15.75" customHeight="1">
      <c r="A3035" s="35" t="s">
        <v>8005</v>
      </c>
      <c r="B3035" s="35"/>
      <c r="C3035" s="35">
        <v>2.0</v>
      </c>
      <c r="D3035" s="35" t="s">
        <v>4635</v>
      </c>
      <c r="E3035" s="35">
        <v>46027.0</v>
      </c>
      <c r="F3035" s="35">
        <v>0.0</v>
      </c>
      <c r="G3035" s="35">
        <v>3.0</v>
      </c>
      <c r="H3035" s="35">
        <v>0.0</v>
      </c>
      <c r="I3035" s="35">
        <v>0.0</v>
      </c>
      <c r="J3035" s="35"/>
      <c r="K3035" s="35">
        <v>0.0</v>
      </c>
    </row>
    <row r="3036" ht="15.75" customHeight="1">
      <c r="A3036" s="35" t="s">
        <v>8007</v>
      </c>
      <c r="B3036" s="35"/>
      <c r="C3036" s="35">
        <v>2.0</v>
      </c>
      <c r="D3036" s="35" t="s">
        <v>4635</v>
      </c>
      <c r="E3036" s="35">
        <v>46027.0</v>
      </c>
      <c r="F3036" s="35">
        <v>0.0</v>
      </c>
      <c r="G3036" s="35">
        <v>2.0</v>
      </c>
      <c r="H3036" s="35">
        <v>0.0</v>
      </c>
      <c r="I3036" s="35">
        <v>0.0</v>
      </c>
      <c r="J3036" s="35"/>
      <c r="K3036" s="35">
        <v>0.0</v>
      </c>
    </row>
    <row r="3037" ht="15.75" customHeight="1">
      <c r="A3037" s="35" t="s">
        <v>8008</v>
      </c>
      <c r="B3037" s="35"/>
      <c r="C3037" s="35">
        <v>2.0</v>
      </c>
      <c r="D3037" s="35" t="s">
        <v>4635</v>
      </c>
      <c r="E3037" s="35">
        <v>46027.0</v>
      </c>
      <c r="F3037" s="35">
        <v>0.0</v>
      </c>
      <c r="G3037" s="35">
        <v>0.0</v>
      </c>
      <c r="H3037" s="35">
        <v>1.0</v>
      </c>
      <c r="I3037" s="35">
        <v>0.0</v>
      </c>
      <c r="J3037" s="35"/>
      <c r="K3037" s="35">
        <v>0.0</v>
      </c>
    </row>
    <row r="3038" ht="15.75" customHeight="1">
      <c r="A3038" s="35" t="s">
        <v>8010</v>
      </c>
      <c r="B3038" s="35"/>
      <c r="C3038" s="35">
        <v>2.0</v>
      </c>
      <c r="D3038" s="35">
        <v>150.0</v>
      </c>
      <c r="E3038" s="35">
        <v>46027.0</v>
      </c>
      <c r="F3038" s="35">
        <v>0.0</v>
      </c>
      <c r="G3038" s="35">
        <v>2.0</v>
      </c>
      <c r="H3038" s="35">
        <v>0.0</v>
      </c>
      <c r="I3038" s="35">
        <v>0.0</v>
      </c>
      <c r="J3038" s="35"/>
      <c r="K3038" s="35">
        <v>0.0</v>
      </c>
    </row>
    <row r="3039" ht="15.75" customHeight="1">
      <c r="A3039" s="35" t="s">
        <v>8011</v>
      </c>
      <c r="B3039" s="35"/>
      <c r="C3039" s="35">
        <v>2.0</v>
      </c>
      <c r="D3039" s="35">
        <v>698.0</v>
      </c>
      <c r="E3039" s="35">
        <v>46027.0</v>
      </c>
      <c r="F3039" s="35">
        <v>0.0</v>
      </c>
      <c r="G3039" s="35">
        <v>0.0</v>
      </c>
      <c r="H3039" s="35">
        <v>1.0</v>
      </c>
      <c r="I3039" s="35">
        <v>0.0</v>
      </c>
      <c r="J3039" s="35"/>
      <c r="K3039" s="35">
        <v>0.0</v>
      </c>
    </row>
    <row r="3040" ht="15.75" customHeight="1">
      <c r="A3040" s="35" t="s">
        <v>8012</v>
      </c>
      <c r="B3040" s="35"/>
      <c r="C3040" s="35">
        <v>2.0</v>
      </c>
      <c r="D3040" s="35" t="s">
        <v>4635</v>
      </c>
      <c r="E3040" s="35">
        <v>46027.0</v>
      </c>
      <c r="F3040" s="35">
        <v>0.0</v>
      </c>
      <c r="G3040" s="35">
        <v>0.0</v>
      </c>
      <c r="H3040" s="35">
        <v>6.0</v>
      </c>
      <c r="I3040" s="35">
        <v>0.0</v>
      </c>
      <c r="J3040" s="35"/>
      <c r="K3040" s="35">
        <v>0.0</v>
      </c>
    </row>
    <row r="3041" ht="15.75" customHeight="1">
      <c r="A3041" s="35" t="s">
        <v>8014</v>
      </c>
      <c r="B3041" s="35"/>
      <c r="C3041" s="35">
        <v>2.0</v>
      </c>
      <c r="D3041" s="35" t="s">
        <v>4635</v>
      </c>
      <c r="E3041" s="35">
        <v>46027.0</v>
      </c>
      <c r="F3041" s="35">
        <v>0.0</v>
      </c>
      <c r="G3041" s="35">
        <v>1.0</v>
      </c>
      <c r="H3041" s="35">
        <v>0.0</v>
      </c>
      <c r="I3041" s="35">
        <v>0.0</v>
      </c>
      <c r="J3041" s="35"/>
      <c r="K3041" s="35">
        <v>0.0</v>
      </c>
    </row>
    <row r="3042" ht="15.75" customHeight="1">
      <c r="A3042" s="35" t="s">
        <v>8015</v>
      </c>
      <c r="B3042" s="35"/>
      <c r="C3042" s="35">
        <v>2.0</v>
      </c>
      <c r="D3042" s="35">
        <v>653.0</v>
      </c>
      <c r="E3042" s="35">
        <v>46027.0</v>
      </c>
      <c r="F3042" s="35">
        <v>0.0</v>
      </c>
      <c r="G3042" s="35">
        <v>0.0</v>
      </c>
      <c r="H3042" s="35">
        <v>1.0</v>
      </c>
      <c r="I3042" s="35">
        <v>0.0</v>
      </c>
      <c r="J3042" s="35"/>
      <c r="K3042" s="35">
        <v>0.0</v>
      </c>
    </row>
    <row r="3043" ht="15.75" customHeight="1">
      <c r="A3043" s="35" t="s">
        <v>8017</v>
      </c>
      <c r="B3043" s="35"/>
      <c r="C3043" s="35">
        <v>2.0</v>
      </c>
      <c r="D3043" s="35" t="s">
        <v>4635</v>
      </c>
      <c r="E3043" s="35">
        <v>46027.0</v>
      </c>
      <c r="F3043" s="35">
        <v>0.0</v>
      </c>
      <c r="G3043" s="35">
        <v>3.0</v>
      </c>
      <c r="H3043" s="35">
        <v>0.0</v>
      </c>
      <c r="I3043" s="35">
        <v>0.0</v>
      </c>
      <c r="J3043" s="35"/>
      <c r="K3043" s="35">
        <v>0.0</v>
      </c>
    </row>
    <row r="3044" ht="15.75" customHeight="1">
      <c r="A3044" s="35" t="s">
        <v>8018</v>
      </c>
      <c r="B3044" s="35"/>
      <c r="C3044" s="35">
        <v>2.0</v>
      </c>
      <c r="D3044" s="35" t="s">
        <v>4635</v>
      </c>
      <c r="E3044" s="35">
        <v>46027.0</v>
      </c>
      <c r="F3044" s="35">
        <v>0.0</v>
      </c>
      <c r="G3044" s="35">
        <v>3.0</v>
      </c>
      <c r="H3044" s="35">
        <v>0.0</v>
      </c>
      <c r="I3044" s="35">
        <v>0.0</v>
      </c>
      <c r="J3044" s="35"/>
      <c r="K3044" s="35">
        <v>0.0</v>
      </c>
    </row>
    <row r="3045" ht="15.75" customHeight="1">
      <c r="A3045" s="35" t="s">
        <v>8019</v>
      </c>
      <c r="B3045" s="35"/>
      <c r="C3045" s="35">
        <v>2.0</v>
      </c>
      <c r="D3045" s="35" t="s">
        <v>4635</v>
      </c>
      <c r="E3045" s="35">
        <v>46027.0</v>
      </c>
      <c r="F3045" s="35">
        <v>0.0</v>
      </c>
      <c r="G3045" s="35">
        <v>3.0</v>
      </c>
      <c r="H3045" s="35">
        <v>0.0</v>
      </c>
      <c r="I3045" s="35">
        <v>0.0</v>
      </c>
      <c r="J3045" s="35"/>
      <c r="K3045" s="35">
        <v>0.0</v>
      </c>
    </row>
    <row r="3046" ht="15.75" customHeight="1">
      <c r="A3046" s="35" t="s">
        <v>8020</v>
      </c>
      <c r="B3046" s="35"/>
      <c r="C3046" s="35">
        <v>2.0</v>
      </c>
      <c r="D3046" s="35" t="s">
        <v>4635</v>
      </c>
      <c r="E3046" s="35">
        <v>46027.0</v>
      </c>
      <c r="F3046" s="35">
        <v>0.0</v>
      </c>
      <c r="G3046" s="35">
        <v>1.0</v>
      </c>
      <c r="H3046" s="35">
        <v>0.0</v>
      </c>
      <c r="I3046" s="35">
        <v>0.0</v>
      </c>
      <c r="J3046" s="35"/>
      <c r="K3046" s="35">
        <v>0.0</v>
      </c>
    </row>
    <row r="3047" ht="15.75" customHeight="1">
      <c r="A3047" s="35" t="s">
        <v>8022</v>
      </c>
      <c r="B3047" s="35"/>
      <c r="C3047" s="35">
        <v>2.0</v>
      </c>
      <c r="D3047" s="35" t="s">
        <v>4635</v>
      </c>
      <c r="E3047" s="35">
        <v>46027.0</v>
      </c>
      <c r="F3047" s="35">
        <v>0.0</v>
      </c>
      <c r="G3047" s="35">
        <v>2.0</v>
      </c>
      <c r="H3047" s="35">
        <v>0.0</v>
      </c>
      <c r="I3047" s="35">
        <v>0.0</v>
      </c>
      <c r="J3047" s="35"/>
      <c r="K3047" s="35">
        <v>0.0</v>
      </c>
    </row>
    <row r="3048" ht="15.75" customHeight="1">
      <c r="A3048" s="35" t="s">
        <v>8023</v>
      </c>
      <c r="B3048" s="35"/>
      <c r="C3048" s="35">
        <v>2.0</v>
      </c>
      <c r="D3048" s="35" t="s">
        <v>4635</v>
      </c>
      <c r="E3048" s="35">
        <v>46027.0</v>
      </c>
      <c r="F3048" s="35">
        <v>0.0</v>
      </c>
      <c r="G3048" s="35">
        <v>1.0</v>
      </c>
      <c r="H3048" s="35">
        <v>0.0</v>
      </c>
      <c r="I3048" s="35">
        <v>0.0</v>
      </c>
      <c r="J3048" s="35"/>
      <c r="K3048" s="35">
        <v>0.0</v>
      </c>
    </row>
    <row r="3049" ht="15.75" customHeight="1">
      <c r="A3049" s="35" t="s">
        <v>8025</v>
      </c>
      <c r="B3049" s="35"/>
      <c r="C3049" s="35">
        <v>2.0</v>
      </c>
      <c r="D3049" s="35" t="s">
        <v>4635</v>
      </c>
      <c r="E3049" s="35">
        <v>46027.0</v>
      </c>
      <c r="F3049" s="35">
        <v>0.0</v>
      </c>
      <c r="G3049" s="35">
        <v>0.0</v>
      </c>
      <c r="H3049" s="35">
        <v>1.0</v>
      </c>
      <c r="I3049" s="35">
        <v>0.0</v>
      </c>
      <c r="J3049" s="35"/>
      <c r="K3049" s="35">
        <v>0.0</v>
      </c>
    </row>
    <row r="3050" ht="15.75" customHeight="1">
      <c r="A3050" s="35" t="s">
        <v>8026</v>
      </c>
      <c r="B3050" s="35"/>
      <c r="C3050" s="35">
        <v>2.0</v>
      </c>
      <c r="D3050" s="35" t="s">
        <v>4635</v>
      </c>
      <c r="E3050" s="35">
        <v>46027.0</v>
      </c>
      <c r="F3050" s="35">
        <v>0.0</v>
      </c>
      <c r="G3050" s="35">
        <v>184.0</v>
      </c>
      <c r="H3050" s="35">
        <v>0.0</v>
      </c>
      <c r="I3050" s="35">
        <v>0.0</v>
      </c>
      <c r="J3050" s="35"/>
      <c r="K3050" s="35">
        <v>0.0</v>
      </c>
    </row>
    <row r="3051" ht="15.75" customHeight="1">
      <c r="A3051" s="35" t="s">
        <v>8028</v>
      </c>
      <c r="B3051" s="35"/>
      <c r="C3051" s="35">
        <v>2.0</v>
      </c>
      <c r="D3051" s="35" t="s">
        <v>4635</v>
      </c>
      <c r="E3051" s="35">
        <v>46027.0</v>
      </c>
      <c r="F3051" s="35">
        <v>0.0</v>
      </c>
      <c r="G3051" s="35">
        <v>3.0</v>
      </c>
      <c r="H3051" s="35">
        <v>0.0</v>
      </c>
      <c r="I3051" s="35">
        <v>0.0</v>
      </c>
      <c r="J3051" s="35"/>
      <c r="K3051" s="35">
        <v>0.0</v>
      </c>
    </row>
    <row r="3052" ht="15.75" customHeight="1">
      <c r="A3052" s="35" t="s">
        <v>8029</v>
      </c>
      <c r="B3052" s="35"/>
      <c r="C3052" s="35">
        <v>2.0</v>
      </c>
      <c r="D3052" s="35" t="s">
        <v>4635</v>
      </c>
      <c r="E3052" s="35">
        <v>46027.0</v>
      </c>
      <c r="F3052" s="35">
        <v>0.0</v>
      </c>
      <c r="G3052" s="35">
        <v>1.0</v>
      </c>
      <c r="H3052" s="35">
        <v>0.0</v>
      </c>
      <c r="I3052" s="35">
        <v>0.0</v>
      </c>
      <c r="J3052" s="35"/>
      <c r="K3052" s="35">
        <v>0.0</v>
      </c>
    </row>
    <row r="3053" ht="15.75" customHeight="1">
      <c r="A3053" s="35" t="s">
        <v>8030</v>
      </c>
      <c r="B3053" s="35"/>
      <c r="C3053" s="35">
        <v>2.0</v>
      </c>
      <c r="D3053" s="35" t="s">
        <v>4635</v>
      </c>
      <c r="E3053" s="35">
        <v>46027.0</v>
      </c>
      <c r="F3053" s="35">
        <v>0.0</v>
      </c>
      <c r="G3053" s="35">
        <v>4.0</v>
      </c>
      <c r="H3053" s="35">
        <v>0.0</v>
      </c>
      <c r="I3053" s="35">
        <v>0.0</v>
      </c>
      <c r="J3053" s="35"/>
      <c r="K3053" s="35">
        <v>0.0</v>
      </c>
    </row>
    <row r="3054" ht="15.75" customHeight="1">
      <c r="A3054" s="35" t="s">
        <v>8032</v>
      </c>
      <c r="B3054" s="35"/>
      <c r="C3054" s="35">
        <v>2.0</v>
      </c>
      <c r="D3054" s="35" t="s">
        <v>4635</v>
      </c>
      <c r="E3054" s="35">
        <v>46027.0</v>
      </c>
      <c r="F3054" s="35">
        <v>0.0</v>
      </c>
      <c r="G3054" s="35">
        <v>1.0</v>
      </c>
      <c r="H3054" s="35">
        <v>0.0</v>
      </c>
      <c r="I3054" s="35">
        <v>0.0</v>
      </c>
      <c r="J3054" s="35"/>
      <c r="K3054" s="35">
        <v>0.0</v>
      </c>
    </row>
    <row r="3055" ht="15.75" customHeight="1">
      <c r="A3055" s="35" t="s">
        <v>8033</v>
      </c>
      <c r="B3055" s="35"/>
      <c r="C3055" s="35">
        <v>2.0</v>
      </c>
      <c r="D3055" s="35" t="s">
        <v>4635</v>
      </c>
      <c r="E3055" s="35">
        <v>46027.0</v>
      </c>
      <c r="F3055" s="35">
        <v>0.0</v>
      </c>
      <c r="G3055" s="35">
        <v>14.0</v>
      </c>
      <c r="H3055" s="35">
        <v>0.0</v>
      </c>
      <c r="I3055" s="35">
        <v>0.0</v>
      </c>
      <c r="J3055" s="35"/>
      <c r="K3055" s="35">
        <v>0.0</v>
      </c>
    </row>
    <row r="3056" ht="15.75" customHeight="1">
      <c r="A3056" s="35" t="s">
        <v>8035</v>
      </c>
      <c r="B3056" s="35"/>
      <c r="C3056" s="35">
        <v>2.0</v>
      </c>
      <c r="D3056" s="35" t="s">
        <v>4635</v>
      </c>
      <c r="E3056" s="35">
        <v>46027.0</v>
      </c>
      <c r="F3056" s="35">
        <v>0.0</v>
      </c>
      <c r="G3056" s="35">
        <v>3.0</v>
      </c>
      <c r="H3056" s="35">
        <v>0.0</v>
      </c>
      <c r="I3056" s="35">
        <v>0.0</v>
      </c>
      <c r="J3056" s="35"/>
      <c r="K3056" s="35">
        <v>0.0</v>
      </c>
    </row>
    <row r="3057" ht="15.75" customHeight="1">
      <c r="A3057" s="35" t="s">
        <v>8036</v>
      </c>
      <c r="B3057" s="35"/>
      <c r="C3057" s="35">
        <v>2.0</v>
      </c>
      <c r="D3057" s="35" t="s">
        <v>4635</v>
      </c>
      <c r="E3057" s="35">
        <v>46027.0</v>
      </c>
      <c r="F3057" s="35">
        <v>0.0</v>
      </c>
      <c r="G3057" s="35">
        <v>6.0</v>
      </c>
      <c r="H3057" s="35">
        <v>0.0</v>
      </c>
      <c r="I3057" s="35">
        <v>0.0</v>
      </c>
      <c r="J3057" s="35"/>
      <c r="K3057" s="35">
        <v>0.0</v>
      </c>
    </row>
    <row r="3058" ht="15.75" customHeight="1">
      <c r="A3058" s="35" t="s">
        <v>8038</v>
      </c>
      <c r="B3058" s="35"/>
      <c r="C3058" s="35">
        <v>2.0</v>
      </c>
      <c r="D3058" s="35" t="s">
        <v>4635</v>
      </c>
      <c r="E3058" s="35">
        <v>46027.0</v>
      </c>
      <c r="F3058" s="35">
        <v>0.0</v>
      </c>
      <c r="G3058" s="35">
        <v>4.0</v>
      </c>
      <c r="H3058" s="35">
        <v>0.0</v>
      </c>
      <c r="I3058" s="35">
        <v>0.0</v>
      </c>
      <c r="J3058" s="35"/>
      <c r="K3058" s="35">
        <v>0.0</v>
      </c>
    </row>
    <row r="3059" ht="15.75" customHeight="1">
      <c r="A3059" s="35" t="s">
        <v>8039</v>
      </c>
      <c r="B3059" s="35"/>
      <c r="C3059" s="35">
        <v>2.0</v>
      </c>
      <c r="D3059" s="35" t="s">
        <v>4635</v>
      </c>
      <c r="E3059" s="35">
        <v>46027.0</v>
      </c>
      <c r="F3059" s="35">
        <v>0.0</v>
      </c>
      <c r="G3059" s="35">
        <v>3.0</v>
      </c>
      <c r="H3059" s="35">
        <v>0.0</v>
      </c>
      <c r="I3059" s="35">
        <v>0.0</v>
      </c>
      <c r="J3059" s="35"/>
      <c r="K3059" s="35">
        <v>0.0</v>
      </c>
    </row>
    <row r="3060" ht="15.75" customHeight="1">
      <c r="A3060" s="35" t="s">
        <v>8041</v>
      </c>
      <c r="B3060" s="35"/>
      <c r="C3060" s="35">
        <v>2.0</v>
      </c>
      <c r="D3060" s="35" t="s">
        <v>4635</v>
      </c>
      <c r="E3060" s="35">
        <v>46027.0</v>
      </c>
      <c r="F3060" s="35">
        <v>0.0</v>
      </c>
      <c r="G3060" s="35">
        <v>3.0</v>
      </c>
      <c r="H3060" s="35">
        <v>0.0</v>
      </c>
      <c r="I3060" s="35">
        <v>0.0</v>
      </c>
      <c r="J3060" s="35"/>
      <c r="K3060" s="35">
        <v>0.0</v>
      </c>
    </row>
    <row r="3061" ht="15.75" customHeight="1">
      <c r="A3061" s="35" t="s">
        <v>8042</v>
      </c>
      <c r="B3061" s="35"/>
      <c r="C3061" s="35">
        <v>2.0</v>
      </c>
      <c r="D3061" s="35" t="s">
        <v>4635</v>
      </c>
      <c r="E3061" s="35">
        <v>46027.0</v>
      </c>
      <c r="F3061" s="35">
        <v>0.0</v>
      </c>
      <c r="G3061" s="35">
        <v>3.0</v>
      </c>
      <c r="H3061" s="35">
        <v>0.0</v>
      </c>
      <c r="I3061" s="35">
        <v>0.0</v>
      </c>
      <c r="J3061" s="35"/>
      <c r="K3061" s="35">
        <v>0.0</v>
      </c>
    </row>
    <row r="3062" ht="15.75" customHeight="1">
      <c r="A3062" s="35" t="s">
        <v>8044</v>
      </c>
      <c r="B3062" s="35"/>
      <c r="C3062" s="35">
        <v>2.0</v>
      </c>
      <c r="D3062" s="35" t="s">
        <v>4635</v>
      </c>
      <c r="E3062" s="35">
        <v>46027.0</v>
      </c>
      <c r="F3062" s="35">
        <v>0.0</v>
      </c>
      <c r="G3062" s="35">
        <v>0.0</v>
      </c>
      <c r="H3062" s="35">
        <v>0.0</v>
      </c>
      <c r="I3062" s="35">
        <v>2.0</v>
      </c>
      <c r="J3062" s="35"/>
      <c r="K3062" s="35">
        <v>0.0</v>
      </c>
    </row>
    <row r="3063" ht="15.75" customHeight="1">
      <c r="A3063" s="35" t="s">
        <v>8045</v>
      </c>
      <c r="B3063" s="35"/>
      <c r="C3063" s="35">
        <v>2.0</v>
      </c>
      <c r="D3063" s="35">
        <v>771.0</v>
      </c>
      <c r="E3063" s="35">
        <v>46027.0</v>
      </c>
      <c r="F3063" s="35">
        <v>0.0</v>
      </c>
      <c r="G3063" s="35">
        <v>0.0</v>
      </c>
      <c r="H3063" s="35">
        <v>1.0</v>
      </c>
      <c r="I3063" s="35">
        <v>0.0</v>
      </c>
      <c r="J3063" s="35"/>
      <c r="K3063" s="35">
        <v>0.0</v>
      </c>
    </row>
    <row r="3064" ht="15.75" customHeight="1">
      <c r="A3064" s="35" t="s">
        <v>8046</v>
      </c>
      <c r="B3064" s="35"/>
      <c r="C3064" s="35">
        <v>2.0</v>
      </c>
      <c r="D3064" s="35" t="s">
        <v>4635</v>
      </c>
      <c r="E3064" s="35">
        <v>46027.0</v>
      </c>
      <c r="F3064" s="35">
        <v>0.0</v>
      </c>
      <c r="G3064" s="35">
        <v>3.0</v>
      </c>
      <c r="H3064" s="35">
        <v>0.0</v>
      </c>
      <c r="I3064" s="35">
        <v>0.0</v>
      </c>
      <c r="J3064" s="35"/>
      <c r="K3064" s="35">
        <v>0.0</v>
      </c>
    </row>
    <row r="3065" ht="15.75" customHeight="1">
      <c r="A3065" s="35" t="s">
        <v>8048</v>
      </c>
      <c r="B3065" s="35"/>
      <c r="C3065" s="35">
        <v>2.0</v>
      </c>
      <c r="D3065" s="35" t="s">
        <v>4635</v>
      </c>
      <c r="E3065" s="35">
        <v>46027.0</v>
      </c>
      <c r="F3065" s="35">
        <v>0.0</v>
      </c>
      <c r="G3065" s="35">
        <v>3.0</v>
      </c>
      <c r="H3065" s="35">
        <v>0.0</v>
      </c>
      <c r="I3065" s="35">
        <v>0.0</v>
      </c>
      <c r="J3065" s="35"/>
      <c r="K3065" s="35">
        <v>0.0</v>
      </c>
    </row>
    <row r="3066" ht="15.75" customHeight="1">
      <c r="A3066" s="35" t="s">
        <v>8049</v>
      </c>
      <c r="B3066" s="35"/>
      <c r="C3066" s="35">
        <v>2.0</v>
      </c>
      <c r="D3066" s="35">
        <v>65.0</v>
      </c>
      <c r="E3066" s="35">
        <v>46027.0</v>
      </c>
      <c r="F3066" s="35">
        <v>0.0</v>
      </c>
      <c r="G3066" s="35">
        <v>11.0</v>
      </c>
      <c r="H3066" s="35">
        <v>0.0</v>
      </c>
      <c r="I3066" s="35">
        <v>0.0</v>
      </c>
      <c r="J3066" s="35"/>
      <c r="K3066" s="35">
        <v>0.0</v>
      </c>
    </row>
    <row r="3067" ht="15.75" customHeight="1">
      <c r="A3067" s="35" t="s">
        <v>8051</v>
      </c>
      <c r="B3067" s="35"/>
      <c r="C3067" s="35">
        <v>2.0</v>
      </c>
      <c r="D3067" s="35" t="s">
        <v>4635</v>
      </c>
      <c r="E3067" s="35">
        <v>46027.0</v>
      </c>
      <c r="F3067" s="35">
        <v>0.0</v>
      </c>
      <c r="G3067" s="35">
        <v>3.0</v>
      </c>
      <c r="H3067" s="35">
        <v>0.0</v>
      </c>
      <c r="I3067" s="35">
        <v>0.0</v>
      </c>
      <c r="J3067" s="35"/>
      <c r="K3067" s="35">
        <v>0.0</v>
      </c>
    </row>
    <row r="3068" ht="15.75" customHeight="1">
      <c r="A3068" s="35" t="s">
        <v>8052</v>
      </c>
      <c r="B3068" s="35"/>
      <c r="C3068" s="35">
        <v>2.0</v>
      </c>
      <c r="D3068" s="35" t="s">
        <v>4635</v>
      </c>
      <c r="E3068" s="35">
        <v>46027.0</v>
      </c>
      <c r="F3068" s="35">
        <v>0.0</v>
      </c>
      <c r="G3068" s="35">
        <v>1.0</v>
      </c>
      <c r="H3068" s="35">
        <v>0.0</v>
      </c>
      <c r="I3068" s="35">
        <v>0.0</v>
      </c>
      <c r="J3068" s="35"/>
      <c r="K3068" s="35">
        <v>0.0</v>
      </c>
    </row>
    <row r="3069" ht="15.75" customHeight="1">
      <c r="A3069" s="35" t="s">
        <v>8054</v>
      </c>
      <c r="B3069" s="35"/>
      <c r="C3069" s="35">
        <v>2.0</v>
      </c>
      <c r="D3069" s="35" t="s">
        <v>4635</v>
      </c>
      <c r="E3069" s="35">
        <v>46027.0</v>
      </c>
      <c r="F3069" s="35">
        <v>0.0</v>
      </c>
      <c r="G3069" s="35">
        <v>1.0</v>
      </c>
      <c r="H3069" s="35">
        <v>0.0</v>
      </c>
      <c r="I3069" s="35">
        <v>0.0</v>
      </c>
      <c r="J3069" s="35"/>
      <c r="K3069" s="35">
        <v>0.0</v>
      </c>
    </row>
    <row r="3070" ht="15.75" customHeight="1">
      <c r="A3070" s="35" t="s">
        <v>8055</v>
      </c>
      <c r="B3070" s="35"/>
      <c r="C3070" s="35">
        <v>2.0</v>
      </c>
      <c r="D3070" s="35" t="s">
        <v>4635</v>
      </c>
      <c r="E3070" s="35">
        <v>46027.0</v>
      </c>
      <c r="F3070" s="35">
        <v>0.0</v>
      </c>
      <c r="G3070" s="35">
        <v>1.0</v>
      </c>
      <c r="H3070" s="35">
        <v>0.0</v>
      </c>
      <c r="I3070" s="35">
        <v>0.0</v>
      </c>
      <c r="J3070" s="35"/>
      <c r="K3070" s="35">
        <v>0.0</v>
      </c>
    </row>
    <row r="3071" ht="15.75" customHeight="1">
      <c r="A3071" s="35" t="s">
        <v>8057</v>
      </c>
      <c r="B3071" s="35"/>
      <c r="C3071" s="35">
        <v>2.0</v>
      </c>
      <c r="D3071" s="35" t="s">
        <v>4635</v>
      </c>
      <c r="E3071" s="35">
        <v>46027.0</v>
      </c>
      <c r="F3071" s="35">
        <v>0.0</v>
      </c>
      <c r="G3071" s="35">
        <v>3.0</v>
      </c>
      <c r="H3071" s="35">
        <v>0.0</v>
      </c>
      <c r="I3071" s="35">
        <v>0.0</v>
      </c>
      <c r="J3071" s="35"/>
      <c r="K3071" s="35">
        <v>0.0</v>
      </c>
    </row>
    <row r="3072" ht="15.75" customHeight="1">
      <c r="A3072" s="35" t="s">
        <v>8058</v>
      </c>
      <c r="B3072" s="35"/>
      <c r="C3072" s="35">
        <v>2.0</v>
      </c>
      <c r="D3072" s="35" t="s">
        <v>4635</v>
      </c>
      <c r="E3072" s="35">
        <v>46027.0</v>
      </c>
      <c r="F3072" s="35">
        <v>0.0</v>
      </c>
      <c r="G3072" s="35">
        <v>1.0</v>
      </c>
      <c r="H3072" s="35">
        <v>0.0</v>
      </c>
      <c r="I3072" s="35">
        <v>0.0</v>
      </c>
      <c r="J3072" s="35"/>
      <c r="K3072" s="35">
        <v>0.0</v>
      </c>
    </row>
    <row r="3073" ht="15.75" customHeight="1">
      <c r="A3073" s="35" t="s">
        <v>8059</v>
      </c>
      <c r="B3073" s="35"/>
      <c r="C3073" s="35">
        <v>2.0</v>
      </c>
      <c r="D3073" s="35">
        <v>331.0</v>
      </c>
      <c r="E3073" s="35">
        <v>46027.0</v>
      </c>
      <c r="F3073" s="35">
        <v>0.0</v>
      </c>
      <c r="G3073" s="35">
        <v>0.0</v>
      </c>
      <c r="H3073" s="35">
        <v>4.0</v>
      </c>
      <c r="I3073" s="35">
        <v>0.0</v>
      </c>
      <c r="J3073" s="35"/>
      <c r="K3073" s="35">
        <v>0.0</v>
      </c>
    </row>
    <row r="3074" ht="15.75" customHeight="1">
      <c r="A3074" s="35" t="s">
        <v>8061</v>
      </c>
      <c r="B3074" s="35"/>
      <c r="C3074" s="35">
        <v>2.0</v>
      </c>
      <c r="D3074" s="35" t="s">
        <v>4635</v>
      </c>
      <c r="E3074" s="35">
        <v>46027.0</v>
      </c>
      <c r="F3074" s="35">
        <v>0.0</v>
      </c>
      <c r="G3074" s="35">
        <v>4.0</v>
      </c>
      <c r="H3074" s="35">
        <v>0.0</v>
      </c>
      <c r="I3074" s="35">
        <v>0.0</v>
      </c>
      <c r="J3074" s="35"/>
      <c r="K3074" s="35">
        <v>0.0</v>
      </c>
    </row>
    <row r="3075" ht="15.75" customHeight="1">
      <c r="A3075" s="35" t="s">
        <v>8062</v>
      </c>
      <c r="B3075" s="35"/>
      <c r="C3075" s="35">
        <v>2.0</v>
      </c>
      <c r="D3075" s="35" t="s">
        <v>4635</v>
      </c>
      <c r="E3075" s="35">
        <v>46027.0</v>
      </c>
      <c r="F3075" s="35">
        <v>0.0</v>
      </c>
      <c r="G3075" s="35">
        <v>7.0</v>
      </c>
      <c r="H3075" s="35">
        <v>0.0</v>
      </c>
      <c r="I3075" s="35">
        <v>0.0</v>
      </c>
      <c r="J3075" s="35"/>
      <c r="K3075" s="35">
        <v>0.0</v>
      </c>
    </row>
    <row r="3076" ht="15.75" customHeight="1">
      <c r="A3076" s="35" t="s">
        <v>8064</v>
      </c>
      <c r="B3076" s="35"/>
      <c r="C3076" s="35">
        <v>2.0</v>
      </c>
      <c r="D3076" s="35">
        <v>211.0</v>
      </c>
      <c r="E3076" s="35">
        <v>46027.0</v>
      </c>
      <c r="F3076" s="35">
        <v>0.0</v>
      </c>
      <c r="G3076" s="35">
        <v>6.0</v>
      </c>
      <c r="H3076" s="35">
        <v>0.0</v>
      </c>
      <c r="I3076" s="35">
        <v>0.0</v>
      </c>
      <c r="J3076" s="35"/>
      <c r="K3076" s="35">
        <v>0.0</v>
      </c>
    </row>
    <row r="3077" ht="15.75" customHeight="1">
      <c r="A3077" s="35" t="s">
        <v>8065</v>
      </c>
      <c r="B3077" s="35"/>
      <c r="C3077" s="35">
        <v>2.0</v>
      </c>
      <c r="D3077" s="35" t="s">
        <v>4635</v>
      </c>
      <c r="E3077" s="35">
        <v>46027.0</v>
      </c>
      <c r="F3077" s="35">
        <v>0.0</v>
      </c>
      <c r="G3077" s="35">
        <v>2.0</v>
      </c>
      <c r="H3077" s="35">
        <v>0.0</v>
      </c>
      <c r="I3077" s="35">
        <v>0.0</v>
      </c>
      <c r="J3077" s="35"/>
      <c r="K3077" s="35">
        <v>0.0</v>
      </c>
    </row>
    <row r="3078" ht="15.75" customHeight="1">
      <c r="A3078" s="35" t="s">
        <v>8067</v>
      </c>
      <c r="B3078" s="35"/>
      <c r="C3078" s="35">
        <v>2.0</v>
      </c>
      <c r="D3078" s="35">
        <v>48.0</v>
      </c>
      <c r="E3078" s="35">
        <v>46027.0</v>
      </c>
      <c r="F3078" s="35">
        <v>0.0</v>
      </c>
      <c r="G3078" s="35">
        <v>31.0</v>
      </c>
      <c r="H3078" s="35">
        <v>0.0</v>
      </c>
      <c r="I3078" s="35">
        <v>0.0</v>
      </c>
      <c r="J3078" s="35"/>
      <c r="K3078" s="35">
        <v>0.0</v>
      </c>
    </row>
    <row r="3079" ht="15.75" customHeight="1">
      <c r="A3079" s="35" t="s">
        <v>8068</v>
      </c>
      <c r="B3079" s="35"/>
      <c r="C3079" s="35">
        <v>2.0</v>
      </c>
      <c r="D3079" s="35" t="s">
        <v>4635</v>
      </c>
      <c r="E3079" s="35">
        <v>46027.0</v>
      </c>
      <c r="F3079" s="35">
        <v>0.0</v>
      </c>
      <c r="G3079" s="35">
        <v>0.0</v>
      </c>
      <c r="H3079" s="35">
        <v>1.0</v>
      </c>
      <c r="I3079" s="35">
        <v>0.0</v>
      </c>
      <c r="J3079" s="35"/>
      <c r="K3079" s="35">
        <v>0.0</v>
      </c>
    </row>
    <row r="3080" ht="15.75" customHeight="1">
      <c r="A3080" s="35" t="s">
        <v>8070</v>
      </c>
      <c r="B3080" s="35"/>
      <c r="C3080" s="35">
        <v>2.0</v>
      </c>
      <c r="D3080" s="35" t="s">
        <v>4635</v>
      </c>
      <c r="E3080" s="35">
        <v>46027.0</v>
      </c>
      <c r="F3080" s="35">
        <v>0.0</v>
      </c>
      <c r="G3080" s="35">
        <v>24.0</v>
      </c>
      <c r="H3080" s="35">
        <v>0.0</v>
      </c>
      <c r="I3080" s="35">
        <v>0.0</v>
      </c>
      <c r="J3080" s="35"/>
      <c r="K3080" s="35">
        <v>0.0</v>
      </c>
    </row>
    <row r="3081" ht="15.75" customHeight="1">
      <c r="A3081" s="35" t="s">
        <v>8071</v>
      </c>
      <c r="B3081" s="35"/>
      <c r="C3081" s="35">
        <v>2.0</v>
      </c>
      <c r="D3081" s="35" t="s">
        <v>4635</v>
      </c>
      <c r="E3081" s="35">
        <v>46027.0</v>
      </c>
      <c r="F3081" s="35">
        <v>0.0</v>
      </c>
      <c r="G3081" s="35">
        <v>24.0</v>
      </c>
      <c r="H3081" s="35">
        <v>0.0</v>
      </c>
      <c r="I3081" s="35">
        <v>0.0</v>
      </c>
      <c r="J3081" s="35"/>
      <c r="K3081" s="35">
        <v>0.0</v>
      </c>
    </row>
    <row r="3082" ht="15.75" customHeight="1">
      <c r="A3082" s="35" t="s">
        <v>8073</v>
      </c>
      <c r="B3082" s="35"/>
      <c r="C3082" s="35">
        <v>2.0</v>
      </c>
      <c r="D3082" s="35" t="s">
        <v>4635</v>
      </c>
      <c r="E3082" s="35">
        <v>46027.0</v>
      </c>
      <c r="F3082" s="35">
        <v>0.0</v>
      </c>
      <c r="G3082" s="35">
        <v>2.0</v>
      </c>
      <c r="H3082" s="35">
        <v>0.0</v>
      </c>
      <c r="I3082" s="35">
        <v>0.0</v>
      </c>
      <c r="J3082" s="35"/>
      <c r="K3082" s="35">
        <v>0.0</v>
      </c>
    </row>
    <row r="3083" ht="15.75" customHeight="1">
      <c r="A3083" s="35" t="s">
        <v>8074</v>
      </c>
      <c r="B3083" s="35"/>
      <c r="C3083" s="35">
        <v>2.0</v>
      </c>
      <c r="D3083" s="35" t="s">
        <v>4635</v>
      </c>
      <c r="E3083" s="35">
        <v>46027.0</v>
      </c>
      <c r="F3083" s="35">
        <v>0.0</v>
      </c>
      <c r="G3083" s="35">
        <v>1.0</v>
      </c>
      <c r="H3083" s="35">
        <v>0.0</v>
      </c>
      <c r="I3083" s="35">
        <v>0.0</v>
      </c>
      <c r="J3083" s="35"/>
      <c r="K3083" s="35">
        <v>0.0</v>
      </c>
    </row>
    <row r="3084" ht="15.75" customHeight="1">
      <c r="A3084" s="35" t="s">
        <v>8076</v>
      </c>
      <c r="B3084" s="35"/>
      <c r="C3084" s="35">
        <v>2.0</v>
      </c>
      <c r="D3084" s="35" t="s">
        <v>4635</v>
      </c>
      <c r="E3084" s="35">
        <v>46027.0</v>
      </c>
      <c r="F3084" s="35">
        <v>0.0</v>
      </c>
      <c r="G3084" s="35">
        <v>4.0</v>
      </c>
      <c r="H3084" s="35">
        <v>0.0</v>
      </c>
      <c r="I3084" s="35">
        <v>0.0</v>
      </c>
      <c r="J3084" s="35"/>
      <c r="K3084" s="35">
        <v>0.0</v>
      </c>
    </row>
    <row r="3085" ht="15.75" customHeight="1">
      <c r="A3085" s="35" t="s">
        <v>8077</v>
      </c>
      <c r="B3085" s="35"/>
      <c r="C3085" s="35">
        <v>2.0</v>
      </c>
      <c r="D3085" s="35" t="s">
        <v>5522</v>
      </c>
      <c r="E3085" s="35">
        <v>46027.0</v>
      </c>
      <c r="F3085" s="35">
        <v>0.0</v>
      </c>
      <c r="G3085" s="35">
        <v>0.0</v>
      </c>
      <c r="H3085" s="35">
        <v>2.0</v>
      </c>
      <c r="I3085" s="35">
        <v>0.0</v>
      </c>
      <c r="J3085" s="35"/>
      <c r="K3085" s="35">
        <v>0.0</v>
      </c>
    </row>
    <row r="3086" ht="15.75" customHeight="1">
      <c r="A3086" s="35" t="s">
        <v>8079</v>
      </c>
      <c r="B3086" s="35"/>
      <c r="C3086" s="35">
        <v>2.0</v>
      </c>
      <c r="D3086" s="35">
        <v>114.0</v>
      </c>
      <c r="E3086" s="35">
        <v>46027.0</v>
      </c>
      <c r="F3086" s="35">
        <v>0.0</v>
      </c>
      <c r="G3086" s="35">
        <v>1.0</v>
      </c>
      <c r="H3086" s="35">
        <v>0.0</v>
      </c>
      <c r="I3086" s="35">
        <v>0.0</v>
      </c>
      <c r="J3086" s="35"/>
      <c r="K3086" s="35">
        <v>0.0</v>
      </c>
    </row>
    <row r="3087" ht="15.75" customHeight="1">
      <c r="A3087" s="35" t="s">
        <v>8080</v>
      </c>
      <c r="B3087" s="35"/>
      <c r="C3087" s="35">
        <v>2.0</v>
      </c>
      <c r="D3087" s="35" t="s">
        <v>4635</v>
      </c>
      <c r="E3087" s="35">
        <v>46027.0</v>
      </c>
      <c r="F3087" s="35">
        <v>0.0</v>
      </c>
      <c r="G3087" s="35">
        <v>12.0</v>
      </c>
      <c r="H3087" s="35">
        <v>0.0</v>
      </c>
      <c r="I3087" s="35">
        <v>0.0</v>
      </c>
      <c r="J3087" s="35"/>
      <c r="K3087" s="35">
        <v>0.0</v>
      </c>
    </row>
    <row r="3088" ht="15.75" customHeight="1">
      <c r="A3088" s="35" t="s">
        <v>8081</v>
      </c>
      <c r="B3088" s="35"/>
      <c r="C3088" s="35">
        <v>2.0</v>
      </c>
      <c r="D3088" s="35">
        <v>93.0</v>
      </c>
      <c r="E3088" s="35">
        <v>46027.0</v>
      </c>
      <c r="F3088" s="35">
        <v>0.0</v>
      </c>
      <c r="G3088" s="35">
        <v>1.0</v>
      </c>
      <c r="H3088" s="35">
        <v>0.0</v>
      </c>
      <c r="I3088" s="35">
        <v>0.0</v>
      </c>
      <c r="J3088" s="35"/>
      <c r="K3088" s="35">
        <v>0.0</v>
      </c>
    </row>
    <row r="3089" ht="15.75" customHeight="1">
      <c r="A3089" s="35" t="s">
        <v>8083</v>
      </c>
      <c r="B3089" s="35"/>
      <c r="C3089" s="35">
        <v>2.0</v>
      </c>
      <c r="D3089" s="35">
        <v>218.0</v>
      </c>
      <c r="E3089" s="35">
        <v>46027.0</v>
      </c>
      <c r="F3089" s="35">
        <v>0.0</v>
      </c>
      <c r="G3089" s="35">
        <v>1.0</v>
      </c>
      <c r="H3089" s="35">
        <v>0.0</v>
      </c>
      <c r="I3089" s="35">
        <v>0.0</v>
      </c>
      <c r="J3089" s="35"/>
      <c r="K3089" s="35">
        <v>0.0</v>
      </c>
    </row>
    <row r="3090" ht="15.75" customHeight="1">
      <c r="A3090" s="35" t="s">
        <v>8084</v>
      </c>
      <c r="B3090" s="35"/>
      <c r="C3090" s="35">
        <v>2.0</v>
      </c>
      <c r="D3090" s="35" t="s">
        <v>4635</v>
      </c>
      <c r="E3090" s="35">
        <v>46027.0</v>
      </c>
      <c r="F3090" s="35">
        <v>0.0</v>
      </c>
      <c r="G3090" s="35">
        <v>0.0</v>
      </c>
      <c r="H3090" s="35">
        <v>0.0</v>
      </c>
      <c r="I3090" s="35">
        <v>2.0</v>
      </c>
      <c r="J3090" s="35"/>
      <c r="K3090" s="35">
        <v>0.0</v>
      </c>
    </row>
    <row r="3091" ht="15.75" customHeight="1">
      <c r="A3091" s="35" t="s">
        <v>8086</v>
      </c>
      <c r="B3091" s="35"/>
      <c r="C3091" s="35">
        <v>2.0</v>
      </c>
      <c r="D3091" s="35" t="s">
        <v>2005</v>
      </c>
      <c r="E3091" s="35">
        <v>46027.0</v>
      </c>
      <c r="F3091" s="35">
        <v>0.0</v>
      </c>
      <c r="G3091" s="35">
        <v>2.0</v>
      </c>
      <c r="H3091" s="35">
        <v>0.0</v>
      </c>
      <c r="I3091" s="35">
        <v>0.0</v>
      </c>
      <c r="J3091" s="35"/>
      <c r="K3091" s="35">
        <v>0.0</v>
      </c>
    </row>
    <row r="3092" ht="15.75" customHeight="1">
      <c r="A3092" s="35" t="s">
        <v>8087</v>
      </c>
      <c r="B3092" s="35"/>
      <c r="C3092" s="35">
        <v>2.0</v>
      </c>
      <c r="D3092" s="35">
        <v>96.0</v>
      </c>
      <c r="E3092" s="35">
        <v>46027.0</v>
      </c>
      <c r="F3092" s="35">
        <v>0.0</v>
      </c>
      <c r="G3092" s="35">
        <v>1.0</v>
      </c>
      <c r="H3092" s="35">
        <v>0.0</v>
      </c>
      <c r="I3092" s="35">
        <v>0.0</v>
      </c>
      <c r="J3092" s="35"/>
      <c r="K3092" s="35">
        <v>0.0</v>
      </c>
    </row>
    <row r="3093" ht="15.75" customHeight="1">
      <c r="A3093" s="35" t="s">
        <v>8089</v>
      </c>
      <c r="B3093" s="35"/>
      <c r="C3093" s="35">
        <v>2.0</v>
      </c>
      <c r="D3093" s="35">
        <v>56.0</v>
      </c>
      <c r="E3093" s="35">
        <v>46027.0</v>
      </c>
      <c r="F3093" s="35">
        <v>0.0</v>
      </c>
      <c r="G3093" s="35">
        <v>1.0</v>
      </c>
      <c r="H3093" s="35">
        <v>0.0</v>
      </c>
      <c r="I3093" s="35">
        <v>0.0</v>
      </c>
      <c r="J3093" s="35"/>
      <c r="K3093" s="35">
        <v>0.0</v>
      </c>
    </row>
    <row r="3094" ht="15.75" customHeight="1">
      <c r="A3094" s="35" t="s">
        <v>8090</v>
      </c>
      <c r="B3094" s="35"/>
      <c r="C3094" s="35">
        <v>2.0</v>
      </c>
      <c r="D3094" s="35" t="s">
        <v>4343</v>
      </c>
      <c r="E3094" s="35">
        <v>46027.0</v>
      </c>
      <c r="F3094" s="35">
        <v>0.0</v>
      </c>
      <c r="G3094" s="35">
        <v>1.0</v>
      </c>
      <c r="H3094" s="35">
        <v>0.0</v>
      </c>
      <c r="I3094" s="35">
        <v>0.0</v>
      </c>
      <c r="J3094" s="35"/>
      <c r="K3094" s="35">
        <v>0.0</v>
      </c>
    </row>
    <row r="3095" ht="15.75" customHeight="1">
      <c r="A3095" s="35" t="s">
        <v>8092</v>
      </c>
      <c r="B3095" s="35"/>
      <c r="C3095" s="35">
        <v>2.0</v>
      </c>
      <c r="D3095" s="35" t="s">
        <v>4489</v>
      </c>
      <c r="E3095" s="35">
        <v>46027.0</v>
      </c>
      <c r="F3095" s="35">
        <v>0.0</v>
      </c>
      <c r="G3095" s="35">
        <v>1.0</v>
      </c>
      <c r="H3095" s="35">
        <v>0.0</v>
      </c>
      <c r="I3095" s="35">
        <v>0.0</v>
      </c>
      <c r="J3095" s="35"/>
      <c r="K3095" s="35">
        <v>0.0</v>
      </c>
    </row>
    <row r="3096" ht="15.75" customHeight="1">
      <c r="A3096" s="35" t="s">
        <v>8094</v>
      </c>
      <c r="B3096" s="35"/>
      <c r="C3096" s="35">
        <v>2.0</v>
      </c>
      <c r="D3096" s="35">
        <v>319.0</v>
      </c>
      <c r="E3096" s="35">
        <v>46027.0</v>
      </c>
      <c r="F3096" s="35">
        <v>0.0</v>
      </c>
      <c r="G3096" s="35">
        <v>23.0</v>
      </c>
      <c r="H3096" s="35">
        <v>0.0</v>
      </c>
      <c r="I3096" s="35">
        <v>0.0</v>
      </c>
      <c r="J3096" s="35"/>
      <c r="K3096" s="35">
        <v>0.0</v>
      </c>
    </row>
    <row r="3097" ht="15.75" customHeight="1">
      <c r="A3097" s="35" t="s">
        <v>8095</v>
      </c>
      <c r="B3097" s="35"/>
      <c r="C3097" s="35">
        <v>2.0</v>
      </c>
      <c r="D3097" s="35">
        <v>155.0</v>
      </c>
      <c r="E3097" s="35">
        <v>46027.0</v>
      </c>
      <c r="F3097" s="35">
        <v>0.0</v>
      </c>
      <c r="G3097" s="35">
        <v>4.0</v>
      </c>
      <c r="H3097" s="35">
        <v>0.0</v>
      </c>
      <c r="I3097" s="35">
        <v>0.0</v>
      </c>
      <c r="J3097" s="35"/>
      <c r="K3097" s="35">
        <v>0.0</v>
      </c>
    </row>
    <row r="3098" ht="15.75" customHeight="1">
      <c r="A3098" s="35" t="s">
        <v>8096</v>
      </c>
      <c r="B3098" s="35"/>
      <c r="C3098" s="35">
        <v>2.0</v>
      </c>
      <c r="D3098" s="35" t="s">
        <v>4635</v>
      </c>
      <c r="E3098" s="35">
        <v>46027.0</v>
      </c>
      <c r="F3098" s="35">
        <v>0.0</v>
      </c>
      <c r="G3098" s="35">
        <v>1.0</v>
      </c>
      <c r="H3098" s="35">
        <v>0.0</v>
      </c>
      <c r="I3098" s="35">
        <v>0.0</v>
      </c>
      <c r="J3098" s="35"/>
      <c r="K3098" s="35">
        <v>0.0</v>
      </c>
    </row>
    <row r="3099" ht="15.75" customHeight="1">
      <c r="A3099" s="35" t="s">
        <v>8098</v>
      </c>
      <c r="B3099" s="35"/>
      <c r="C3099" s="35">
        <v>2.0</v>
      </c>
      <c r="D3099" s="35" t="s">
        <v>4635</v>
      </c>
      <c r="E3099" s="35">
        <v>46027.0</v>
      </c>
      <c r="F3099" s="35">
        <v>0.0</v>
      </c>
      <c r="G3099" s="35">
        <v>1.0</v>
      </c>
      <c r="H3099" s="35">
        <v>0.0</v>
      </c>
      <c r="I3099" s="35">
        <v>0.0</v>
      </c>
      <c r="J3099" s="35"/>
      <c r="K3099" s="35">
        <v>0.0</v>
      </c>
    </row>
    <row r="3100" ht="15.75" customHeight="1">
      <c r="A3100" s="35" t="s">
        <v>8099</v>
      </c>
      <c r="B3100" s="35"/>
      <c r="C3100" s="35">
        <v>2.0</v>
      </c>
      <c r="D3100" s="35" t="s">
        <v>2016</v>
      </c>
      <c r="E3100" s="35">
        <v>46027.0</v>
      </c>
      <c r="F3100" s="35">
        <v>0.0</v>
      </c>
      <c r="G3100" s="35">
        <v>2.0</v>
      </c>
      <c r="H3100" s="35">
        <v>0.0</v>
      </c>
      <c r="I3100" s="35">
        <v>0.0</v>
      </c>
      <c r="J3100" s="35"/>
      <c r="K3100" s="35">
        <v>0.0</v>
      </c>
    </row>
    <row r="3101" ht="15.75" customHeight="1">
      <c r="A3101" s="35" t="s">
        <v>8101</v>
      </c>
      <c r="B3101" s="35"/>
      <c r="C3101" s="35">
        <v>2.0</v>
      </c>
      <c r="D3101" s="35" t="s">
        <v>2033</v>
      </c>
      <c r="E3101" s="35">
        <v>46027.0</v>
      </c>
      <c r="F3101" s="35">
        <v>0.0</v>
      </c>
      <c r="G3101" s="35">
        <v>1.0</v>
      </c>
      <c r="H3101" s="35">
        <v>0.0</v>
      </c>
      <c r="I3101" s="35">
        <v>0.0</v>
      </c>
      <c r="J3101" s="35"/>
      <c r="K3101" s="35">
        <v>0.0</v>
      </c>
    </row>
    <row r="3102" ht="15.75" customHeight="1">
      <c r="A3102" s="35" t="s">
        <v>8102</v>
      </c>
      <c r="B3102" s="35"/>
      <c r="C3102" s="35">
        <v>2.0</v>
      </c>
      <c r="D3102" s="35">
        <v>858.0</v>
      </c>
      <c r="E3102" s="35">
        <v>46027.0</v>
      </c>
      <c r="F3102" s="35">
        <v>0.0</v>
      </c>
      <c r="G3102" s="35">
        <v>2.0</v>
      </c>
      <c r="H3102" s="35">
        <v>0.0</v>
      </c>
      <c r="I3102" s="35">
        <v>0.0</v>
      </c>
      <c r="J3102" s="35"/>
      <c r="K3102" s="35">
        <v>0.0</v>
      </c>
    </row>
    <row r="3103" ht="15.75" customHeight="1">
      <c r="A3103" s="35" t="s">
        <v>8103</v>
      </c>
      <c r="B3103" s="35"/>
      <c r="C3103" s="35">
        <v>2.0</v>
      </c>
      <c r="D3103" s="35" t="s">
        <v>4635</v>
      </c>
      <c r="E3103" s="35">
        <v>46027.0</v>
      </c>
      <c r="F3103" s="35">
        <v>0.0</v>
      </c>
      <c r="G3103" s="35">
        <v>8.0</v>
      </c>
      <c r="H3103" s="35">
        <v>0.0</v>
      </c>
      <c r="I3103" s="35">
        <v>0.0</v>
      </c>
      <c r="J3103" s="35"/>
      <c r="K3103" s="35">
        <v>0.0</v>
      </c>
    </row>
    <row r="3104" ht="15.75" customHeight="1">
      <c r="A3104" s="35" t="s">
        <v>8105</v>
      </c>
      <c r="B3104" s="35"/>
      <c r="C3104" s="35">
        <v>2.0</v>
      </c>
      <c r="D3104" s="35" t="s">
        <v>2005</v>
      </c>
      <c r="E3104" s="35">
        <v>46027.0</v>
      </c>
      <c r="F3104" s="35">
        <v>0.0</v>
      </c>
      <c r="G3104" s="35">
        <v>1.0</v>
      </c>
      <c r="H3104" s="35">
        <v>0.0</v>
      </c>
      <c r="I3104" s="35">
        <v>0.0</v>
      </c>
      <c r="J3104" s="35"/>
      <c r="K3104" s="35">
        <v>0.0</v>
      </c>
    </row>
    <row r="3105" ht="15.75" customHeight="1">
      <c r="A3105" s="35" t="s">
        <v>8106</v>
      </c>
      <c r="B3105" s="35"/>
      <c r="C3105" s="35">
        <v>2.0</v>
      </c>
      <c r="D3105" s="35">
        <v>266.0</v>
      </c>
      <c r="E3105" s="35">
        <v>46027.0</v>
      </c>
      <c r="F3105" s="35">
        <v>0.0</v>
      </c>
      <c r="G3105" s="35">
        <v>0.0</v>
      </c>
      <c r="H3105" s="35">
        <v>16.0</v>
      </c>
      <c r="I3105" s="35">
        <v>0.0</v>
      </c>
      <c r="J3105" s="35"/>
      <c r="K3105" s="35">
        <v>0.0</v>
      </c>
    </row>
    <row r="3106" ht="15.75" customHeight="1">
      <c r="A3106" s="35" t="s">
        <v>8108</v>
      </c>
      <c r="B3106" s="35"/>
      <c r="C3106" s="35">
        <v>2.0</v>
      </c>
      <c r="D3106" s="35" t="s">
        <v>4635</v>
      </c>
      <c r="E3106" s="35">
        <v>46027.0</v>
      </c>
      <c r="F3106" s="35">
        <v>0.0</v>
      </c>
      <c r="G3106" s="35">
        <v>8.0</v>
      </c>
      <c r="H3106" s="35">
        <v>0.0</v>
      </c>
      <c r="I3106" s="35">
        <v>0.0</v>
      </c>
      <c r="J3106" s="35"/>
      <c r="K3106" s="35">
        <v>0.0</v>
      </c>
    </row>
    <row r="3107" ht="15.75" customHeight="1">
      <c r="A3107" s="35" t="s">
        <v>8109</v>
      </c>
      <c r="B3107" s="35"/>
      <c r="C3107" s="35">
        <v>2.0</v>
      </c>
      <c r="D3107" s="35">
        <v>908.0</v>
      </c>
      <c r="E3107" s="35">
        <v>46027.0</v>
      </c>
      <c r="F3107" s="35">
        <v>0.0</v>
      </c>
      <c r="G3107" s="35">
        <v>1.0</v>
      </c>
      <c r="H3107" s="35">
        <v>0.0</v>
      </c>
      <c r="I3107" s="35">
        <v>0.0</v>
      </c>
      <c r="J3107" s="35"/>
      <c r="K3107" s="35">
        <v>0.0</v>
      </c>
    </row>
    <row r="3108" ht="15.75" customHeight="1">
      <c r="A3108" s="35" t="s">
        <v>8111</v>
      </c>
      <c r="B3108" s="35"/>
      <c r="C3108" s="35">
        <v>2.0</v>
      </c>
      <c r="D3108" s="35">
        <v>343.0</v>
      </c>
      <c r="E3108" s="35">
        <v>46027.0</v>
      </c>
      <c r="F3108" s="35">
        <v>0.0</v>
      </c>
      <c r="G3108" s="35">
        <v>3.0</v>
      </c>
      <c r="H3108" s="35">
        <v>0.0</v>
      </c>
      <c r="I3108" s="35">
        <v>0.0</v>
      </c>
      <c r="J3108" s="35"/>
      <c r="K3108" s="35">
        <v>0.0</v>
      </c>
    </row>
    <row r="3109" ht="15.75" customHeight="1">
      <c r="A3109" s="35" t="s">
        <v>8112</v>
      </c>
      <c r="B3109" s="35"/>
      <c r="C3109" s="35">
        <v>2.0</v>
      </c>
      <c r="D3109" s="35" t="s">
        <v>4635</v>
      </c>
      <c r="E3109" s="35">
        <v>46027.0</v>
      </c>
      <c r="F3109" s="35">
        <v>0.0</v>
      </c>
      <c r="G3109" s="35">
        <v>1.0</v>
      </c>
      <c r="H3109" s="35">
        <v>0.0</v>
      </c>
      <c r="I3109" s="35">
        <v>0.0</v>
      </c>
      <c r="J3109" s="35"/>
      <c r="K3109" s="35">
        <v>0.0</v>
      </c>
    </row>
    <row r="3110" ht="15.75" customHeight="1">
      <c r="A3110" s="35" t="s">
        <v>8114</v>
      </c>
      <c r="B3110" s="35"/>
      <c r="C3110" s="35">
        <v>2.0</v>
      </c>
      <c r="D3110" s="35">
        <v>725.0</v>
      </c>
      <c r="E3110" s="35">
        <v>46027.0</v>
      </c>
      <c r="F3110" s="35">
        <v>0.0</v>
      </c>
      <c r="G3110" s="35">
        <v>13.0</v>
      </c>
      <c r="H3110" s="35">
        <v>0.0</v>
      </c>
      <c r="I3110" s="35">
        <v>0.0</v>
      </c>
      <c r="J3110" s="35"/>
      <c r="K3110" s="35">
        <v>0.0</v>
      </c>
    </row>
    <row r="3111" ht="15.75" customHeight="1">
      <c r="A3111" s="35" t="s">
        <v>8115</v>
      </c>
      <c r="B3111" s="35"/>
      <c r="C3111" s="35">
        <v>2.0</v>
      </c>
      <c r="D3111" s="35" t="s">
        <v>4635</v>
      </c>
      <c r="E3111" s="35">
        <v>46027.0</v>
      </c>
      <c r="F3111" s="35">
        <v>0.0</v>
      </c>
      <c r="G3111" s="35">
        <v>3.0</v>
      </c>
      <c r="H3111" s="35">
        <v>0.0</v>
      </c>
      <c r="I3111" s="35">
        <v>0.0</v>
      </c>
      <c r="J3111" s="35"/>
      <c r="K3111" s="35">
        <v>0.0</v>
      </c>
    </row>
    <row r="3112" ht="15.75" customHeight="1">
      <c r="A3112" s="35" t="s">
        <v>8116</v>
      </c>
      <c r="B3112" s="35"/>
      <c r="C3112" s="35">
        <v>2.0</v>
      </c>
      <c r="D3112" s="35" t="s">
        <v>4635</v>
      </c>
      <c r="E3112" s="35">
        <v>46027.0</v>
      </c>
      <c r="F3112" s="35">
        <v>0.0</v>
      </c>
      <c r="G3112" s="35">
        <v>1.0</v>
      </c>
      <c r="H3112" s="35">
        <v>0.0</v>
      </c>
      <c r="I3112" s="35">
        <v>0.0</v>
      </c>
      <c r="J3112" s="35"/>
      <c r="K3112" s="35">
        <v>0.0</v>
      </c>
    </row>
    <row r="3113" ht="15.75" customHeight="1">
      <c r="A3113" s="35" t="s">
        <v>8118</v>
      </c>
      <c r="B3113" s="35"/>
      <c r="C3113" s="35">
        <v>2.0</v>
      </c>
      <c r="D3113" s="35">
        <v>307.0</v>
      </c>
      <c r="E3113" s="35">
        <v>46027.0</v>
      </c>
      <c r="F3113" s="35">
        <v>0.0</v>
      </c>
      <c r="G3113" s="35">
        <v>1.0</v>
      </c>
      <c r="H3113" s="35">
        <v>0.0</v>
      </c>
      <c r="I3113" s="35">
        <v>0.0</v>
      </c>
      <c r="J3113" s="35"/>
      <c r="K3113" s="35">
        <v>0.0</v>
      </c>
    </row>
    <row r="3114" ht="15.75" customHeight="1">
      <c r="A3114" s="35" t="s">
        <v>8119</v>
      </c>
      <c r="B3114" s="35"/>
      <c r="C3114" s="35">
        <v>2.0</v>
      </c>
      <c r="D3114" s="35">
        <v>883.0</v>
      </c>
      <c r="E3114" s="35">
        <v>46027.0</v>
      </c>
      <c r="F3114" s="35">
        <v>0.0</v>
      </c>
      <c r="G3114" s="35">
        <v>12.0</v>
      </c>
      <c r="H3114" s="35">
        <v>0.0</v>
      </c>
      <c r="I3114" s="35">
        <v>0.0</v>
      </c>
      <c r="J3114" s="35"/>
      <c r="K3114" s="35">
        <v>0.0</v>
      </c>
    </row>
    <row r="3115" ht="15.75" customHeight="1">
      <c r="A3115" s="35" t="s">
        <v>8121</v>
      </c>
      <c r="B3115" s="35"/>
      <c r="C3115" s="35">
        <v>2.0</v>
      </c>
      <c r="D3115" s="35" t="s">
        <v>4635</v>
      </c>
      <c r="E3115" s="35">
        <v>46027.0</v>
      </c>
      <c r="F3115" s="35">
        <v>0.0</v>
      </c>
      <c r="G3115" s="35">
        <v>1.0</v>
      </c>
      <c r="H3115" s="35">
        <v>0.0</v>
      </c>
      <c r="I3115" s="35">
        <v>0.0</v>
      </c>
      <c r="J3115" s="35"/>
      <c r="K3115" s="35">
        <v>0.0</v>
      </c>
    </row>
    <row r="3116" ht="15.75" customHeight="1">
      <c r="A3116" s="35" t="s">
        <v>8122</v>
      </c>
      <c r="B3116" s="35"/>
      <c r="C3116" s="35">
        <v>2.0</v>
      </c>
      <c r="D3116" s="35">
        <v>671.0</v>
      </c>
      <c r="E3116" s="35">
        <v>46027.0</v>
      </c>
      <c r="F3116" s="35">
        <v>0.0</v>
      </c>
      <c r="G3116" s="35">
        <v>2.0</v>
      </c>
      <c r="H3116" s="35">
        <v>0.0</v>
      </c>
      <c r="I3116" s="35">
        <v>0.0</v>
      </c>
      <c r="J3116" s="35"/>
      <c r="K3116" s="35">
        <v>0.0</v>
      </c>
    </row>
    <row r="3117" ht="15.75" customHeight="1">
      <c r="A3117" s="35" t="s">
        <v>8124</v>
      </c>
      <c r="B3117" s="35"/>
      <c r="C3117" s="35">
        <v>2.0</v>
      </c>
      <c r="D3117" s="35">
        <v>116.0</v>
      </c>
      <c r="E3117" s="35">
        <v>46027.0</v>
      </c>
      <c r="F3117" s="35">
        <v>0.0</v>
      </c>
      <c r="G3117" s="35">
        <v>0.0</v>
      </c>
      <c r="H3117" s="35">
        <v>0.0</v>
      </c>
      <c r="I3117" s="35">
        <v>2.0</v>
      </c>
      <c r="J3117" s="35"/>
      <c r="K3117" s="35">
        <v>0.0</v>
      </c>
    </row>
    <row r="3118" ht="15.75" customHeight="1">
      <c r="A3118" s="35" t="s">
        <v>8125</v>
      </c>
      <c r="B3118" s="35"/>
      <c r="C3118" s="35">
        <v>2.0</v>
      </c>
      <c r="D3118" s="35" t="s">
        <v>4635</v>
      </c>
      <c r="E3118" s="35">
        <v>46027.0</v>
      </c>
      <c r="F3118" s="35">
        <v>0.0</v>
      </c>
      <c r="G3118" s="35">
        <v>2.0</v>
      </c>
      <c r="H3118" s="35">
        <v>0.0</v>
      </c>
      <c r="I3118" s="35">
        <v>0.0</v>
      </c>
      <c r="J3118" s="35"/>
      <c r="K3118" s="35">
        <v>0.0</v>
      </c>
    </row>
    <row r="3119" ht="15.75" customHeight="1">
      <c r="A3119" s="35" t="s">
        <v>8127</v>
      </c>
      <c r="B3119" s="35"/>
      <c r="C3119" s="35">
        <v>2.0</v>
      </c>
      <c r="D3119" s="35" t="s">
        <v>4635</v>
      </c>
      <c r="E3119" s="35">
        <v>46027.0</v>
      </c>
      <c r="F3119" s="35">
        <v>0.0</v>
      </c>
      <c r="G3119" s="35">
        <v>4.0</v>
      </c>
      <c r="H3119" s="35">
        <v>0.0</v>
      </c>
      <c r="I3119" s="35">
        <v>0.0</v>
      </c>
      <c r="J3119" s="35"/>
      <c r="K3119" s="35">
        <v>0.0</v>
      </c>
    </row>
    <row r="3120" ht="15.75" customHeight="1">
      <c r="A3120" s="35" t="s">
        <v>8128</v>
      </c>
      <c r="B3120" s="35"/>
      <c r="C3120" s="35">
        <v>2.0</v>
      </c>
      <c r="D3120" s="35">
        <v>44.0</v>
      </c>
      <c r="E3120" s="35">
        <v>46027.0</v>
      </c>
      <c r="F3120" s="35">
        <v>0.0</v>
      </c>
      <c r="G3120" s="35">
        <v>7.0</v>
      </c>
      <c r="H3120" s="35">
        <v>0.0</v>
      </c>
      <c r="I3120" s="35">
        <v>0.0</v>
      </c>
      <c r="J3120" s="35"/>
      <c r="K3120" s="35">
        <v>0.0</v>
      </c>
    </row>
    <row r="3121" ht="15.75" customHeight="1">
      <c r="A3121" s="35" t="s">
        <v>8130</v>
      </c>
      <c r="B3121" s="35"/>
      <c r="C3121" s="35">
        <v>2.0</v>
      </c>
      <c r="D3121" s="35" t="s">
        <v>4635</v>
      </c>
      <c r="E3121" s="35">
        <v>46027.0</v>
      </c>
      <c r="F3121" s="35">
        <v>0.0</v>
      </c>
      <c r="G3121" s="35">
        <v>2.0</v>
      </c>
      <c r="H3121" s="35">
        <v>0.0</v>
      </c>
      <c r="I3121" s="35">
        <v>0.0</v>
      </c>
      <c r="J3121" s="35"/>
      <c r="K3121" s="35">
        <v>0.0</v>
      </c>
    </row>
    <row r="3122" ht="15.75" customHeight="1">
      <c r="A3122" s="35" t="s">
        <v>8131</v>
      </c>
      <c r="B3122" s="35"/>
      <c r="C3122" s="35">
        <v>2.0</v>
      </c>
      <c r="D3122" s="35" t="s">
        <v>4635</v>
      </c>
      <c r="E3122" s="35">
        <v>46027.0</v>
      </c>
      <c r="F3122" s="35">
        <v>0.0</v>
      </c>
      <c r="G3122" s="35">
        <v>8.0</v>
      </c>
      <c r="H3122" s="35">
        <v>0.0</v>
      </c>
      <c r="I3122" s="35">
        <v>0.0</v>
      </c>
      <c r="J3122" s="35"/>
      <c r="K3122" s="35">
        <v>0.0</v>
      </c>
    </row>
    <row r="3123" ht="15.75" customHeight="1">
      <c r="A3123" s="35" t="s">
        <v>8133</v>
      </c>
      <c r="B3123" s="35"/>
      <c r="C3123" s="35">
        <v>2.0</v>
      </c>
      <c r="D3123" s="35" t="s">
        <v>4635</v>
      </c>
      <c r="E3123" s="35">
        <v>46027.0</v>
      </c>
      <c r="F3123" s="35">
        <v>0.0</v>
      </c>
      <c r="G3123" s="35">
        <v>6.0</v>
      </c>
      <c r="H3123" s="35">
        <v>0.0</v>
      </c>
      <c r="I3123" s="35">
        <v>0.0</v>
      </c>
      <c r="J3123" s="35"/>
      <c r="K3123" s="35">
        <v>0.0</v>
      </c>
    </row>
    <row r="3124" ht="15.75" customHeight="1">
      <c r="A3124" s="35" t="s">
        <v>8134</v>
      </c>
      <c r="B3124" s="35"/>
      <c r="C3124" s="35">
        <v>2.0</v>
      </c>
      <c r="D3124" s="35" t="s">
        <v>4635</v>
      </c>
      <c r="E3124" s="35">
        <v>46027.0</v>
      </c>
      <c r="F3124" s="35">
        <v>0.0</v>
      </c>
      <c r="G3124" s="35">
        <v>3.0</v>
      </c>
      <c r="H3124" s="35">
        <v>0.0</v>
      </c>
      <c r="I3124" s="35">
        <v>0.0</v>
      </c>
      <c r="J3124" s="35"/>
      <c r="K3124" s="35">
        <v>0.0</v>
      </c>
    </row>
    <row r="3125" ht="15.75" customHeight="1">
      <c r="A3125" s="35" t="s">
        <v>8136</v>
      </c>
      <c r="B3125" s="35"/>
      <c r="C3125" s="35">
        <v>2.0</v>
      </c>
      <c r="D3125" s="35" t="s">
        <v>4546</v>
      </c>
      <c r="E3125" s="35">
        <v>46027.0</v>
      </c>
      <c r="F3125" s="35">
        <v>0.0</v>
      </c>
      <c r="G3125" s="35">
        <v>1.0</v>
      </c>
      <c r="H3125" s="35">
        <v>0.0</v>
      </c>
      <c r="I3125" s="35">
        <v>0.0</v>
      </c>
      <c r="J3125" s="35"/>
      <c r="K3125" s="35">
        <v>0.0</v>
      </c>
    </row>
    <row r="3126" ht="15.75" customHeight="1">
      <c r="A3126" s="35" t="s">
        <v>8137</v>
      </c>
      <c r="B3126" s="35"/>
      <c r="C3126" s="35">
        <v>2.0</v>
      </c>
      <c r="D3126" s="35" t="s">
        <v>4635</v>
      </c>
      <c r="E3126" s="35">
        <v>46027.0</v>
      </c>
      <c r="F3126" s="35">
        <v>0.0</v>
      </c>
      <c r="G3126" s="35">
        <v>1.0</v>
      </c>
      <c r="H3126" s="35">
        <v>0.0</v>
      </c>
      <c r="I3126" s="35">
        <v>0.0</v>
      </c>
      <c r="J3126" s="35"/>
      <c r="K3126" s="35">
        <v>0.0</v>
      </c>
    </row>
    <row r="3127" ht="15.75" customHeight="1">
      <c r="A3127" s="35" t="s">
        <v>8138</v>
      </c>
      <c r="B3127" s="35"/>
      <c r="C3127" s="35">
        <v>2.0</v>
      </c>
      <c r="D3127" s="35" t="s">
        <v>4635</v>
      </c>
      <c r="E3127" s="35">
        <v>46027.0</v>
      </c>
      <c r="F3127" s="35">
        <v>0.0</v>
      </c>
      <c r="G3127" s="35">
        <v>0.0</v>
      </c>
      <c r="H3127" s="35">
        <v>1.0</v>
      </c>
      <c r="I3127" s="35">
        <v>0.0</v>
      </c>
      <c r="J3127" s="35"/>
      <c r="K3127" s="35">
        <v>0.0</v>
      </c>
    </row>
    <row r="3128" ht="15.75" customHeight="1">
      <c r="A3128" s="35" t="s">
        <v>8140</v>
      </c>
      <c r="B3128" s="35"/>
      <c r="C3128" s="35">
        <v>2.0</v>
      </c>
      <c r="D3128" s="35" t="s">
        <v>4635</v>
      </c>
      <c r="E3128" s="35">
        <v>46027.0</v>
      </c>
      <c r="F3128" s="35">
        <v>0.0</v>
      </c>
      <c r="G3128" s="35">
        <v>1.0</v>
      </c>
      <c r="H3128" s="35">
        <v>0.0</v>
      </c>
      <c r="I3128" s="35">
        <v>0.0</v>
      </c>
      <c r="J3128" s="35"/>
      <c r="K3128" s="35">
        <v>0.0</v>
      </c>
    </row>
    <row r="3129" ht="15.75" customHeight="1">
      <c r="A3129" s="35" t="s">
        <v>8141</v>
      </c>
      <c r="B3129" s="35"/>
      <c r="C3129" s="35">
        <v>2.0</v>
      </c>
      <c r="D3129" s="35" t="s">
        <v>4635</v>
      </c>
      <c r="E3129" s="35">
        <v>46027.0</v>
      </c>
      <c r="F3129" s="35">
        <v>0.0</v>
      </c>
      <c r="G3129" s="35">
        <v>4.0</v>
      </c>
      <c r="H3129" s="35">
        <v>0.0</v>
      </c>
      <c r="I3129" s="35">
        <v>0.0</v>
      </c>
      <c r="J3129" s="35"/>
      <c r="K3129" s="35">
        <v>0.0</v>
      </c>
    </row>
    <row r="3130" ht="15.75" customHeight="1">
      <c r="A3130" s="35" t="s">
        <v>8143</v>
      </c>
      <c r="B3130" s="35"/>
      <c r="C3130" s="35">
        <v>2.0</v>
      </c>
      <c r="D3130" s="35" t="s">
        <v>4635</v>
      </c>
      <c r="E3130" s="35">
        <v>46027.0</v>
      </c>
      <c r="F3130" s="35">
        <v>0.0</v>
      </c>
      <c r="G3130" s="35">
        <v>4.0</v>
      </c>
      <c r="H3130" s="35">
        <v>0.0</v>
      </c>
      <c r="I3130" s="35">
        <v>0.0</v>
      </c>
      <c r="J3130" s="35"/>
      <c r="K3130" s="35">
        <v>0.0</v>
      </c>
    </row>
    <row r="3131" ht="15.75" customHeight="1">
      <c r="A3131" s="35" t="s">
        <v>8144</v>
      </c>
      <c r="B3131" s="35"/>
      <c r="C3131" s="35">
        <v>2.0</v>
      </c>
      <c r="D3131" s="35" t="s">
        <v>4635</v>
      </c>
      <c r="E3131" s="35">
        <v>46027.0</v>
      </c>
      <c r="F3131" s="35">
        <v>0.0</v>
      </c>
      <c r="G3131" s="35">
        <v>8.0</v>
      </c>
      <c r="H3131" s="35">
        <v>0.0</v>
      </c>
      <c r="I3131" s="35">
        <v>0.0</v>
      </c>
      <c r="J3131" s="35"/>
      <c r="K3131" s="35">
        <v>0.0</v>
      </c>
    </row>
    <row r="3132" ht="15.75" customHeight="1">
      <c r="A3132" s="35" t="s">
        <v>8146</v>
      </c>
      <c r="B3132" s="35"/>
      <c r="C3132" s="35">
        <v>2.0</v>
      </c>
      <c r="D3132" s="35">
        <v>714.0</v>
      </c>
      <c r="E3132" s="35">
        <v>46027.0</v>
      </c>
      <c r="F3132" s="35">
        <v>0.0</v>
      </c>
      <c r="G3132" s="35">
        <v>202.0</v>
      </c>
      <c r="H3132" s="35">
        <v>0.0</v>
      </c>
      <c r="I3132" s="35">
        <v>0.0</v>
      </c>
      <c r="J3132" s="35"/>
      <c r="K3132" s="35">
        <v>0.0</v>
      </c>
    </row>
    <row r="3133" ht="15.75" customHeight="1">
      <c r="A3133" s="35" t="s">
        <v>8148</v>
      </c>
      <c r="B3133" s="35"/>
      <c r="C3133" s="35">
        <v>2.0</v>
      </c>
      <c r="D3133" s="35" t="s">
        <v>4635</v>
      </c>
      <c r="E3133" s="35">
        <v>46027.0</v>
      </c>
      <c r="F3133" s="35">
        <v>0.0</v>
      </c>
      <c r="G3133" s="35">
        <v>5.0</v>
      </c>
      <c r="H3133" s="35">
        <v>0.0</v>
      </c>
      <c r="I3133" s="35">
        <v>0.0</v>
      </c>
      <c r="J3133" s="35"/>
      <c r="K3133" s="35">
        <v>0.0</v>
      </c>
    </row>
    <row r="3134" ht="15.75" customHeight="1">
      <c r="A3134" s="35" t="s">
        <v>8150</v>
      </c>
      <c r="B3134" s="35"/>
      <c r="C3134" s="35">
        <v>2.0</v>
      </c>
      <c r="D3134" s="35" t="s">
        <v>4635</v>
      </c>
      <c r="E3134" s="35">
        <v>46027.0</v>
      </c>
      <c r="F3134" s="35">
        <v>0.0</v>
      </c>
      <c r="G3134" s="35">
        <v>3.0</v>
      </c>
      <c r="H3134" s="35">
        <v>0.0</v>
      </c>
      <c r="I3134" s="35">
        <v>0.0</v>
      </c>
      <c r="J3134" s="35"/>
      <c r="K3134" s="35">
        <v>0.0</v>
      </c>
    </row>
    <row r="3135" ht="15.75" customHeight="1">
      <c r="A3135" s="35" t="s">
        <v>8151</v>
      </c>
      <c r="B3135" s="35"/>
      <c r="C3135" s="35">
        <v>2.0</v>
      </c>
      <c r="D3135" s="35">
        <v>74.0</v>
      </c>
      <c r="E3135" s="35">
        <v>46027.0</v>
      </c>
      <c r="F3135" s="35">
        <v>0.0</v>
      </c>
      <c r="G3135" s="35">
        <v>0.0</v>
      </c>
      <c r="H3135" s="35">
        <v>1.0</v>
      </c>
      <c r="I3135" s="35">
        <v>0.0</v>
      </c>
      <c r="J3135" s="35"/>
      <c r="K3135" s="35">
        <v>0.0</v>
      </c>
    </row>
    <row r="3136" ht="15.75" customHeight="1">
      <c r="A3136" s="35" t="s">
        <v>8153</v>
      </c>
      <c r="B3136" s="35"/>
      <c r="C3136" s="35">
        <v>2.0</v>
      </c>
      <c r="D3136" s="35" t="s">
        <v>4635</v>
      </c>
      <c r="E3136" s="35">
        <v>46027.0</v>
      </c>
      <c r="F3136" s="35">
        <v>0.0</v>
      </c>
      <c r="G3136" s="35">
        <v>4.0</v>
      </c>
      <c r="H3136" s="35">
        <v>0.0</v>
      </c>
      <c r="I3136" s="35">
        <v>0.0</v>
      </c>
      <c r="J3136" s="35"/>
      <c r="K3136" s="35">
        <v>0.0</v>
      </c>
    </row>
    <row r="3137" ht="15.75" customHeight="1">
      <c r="A3137" s="35" t="s">
        <v>8154</v>
      </c>
      <c r="B3137" s="35"/>
      <c r="C3137" s="35">
        <v>2.0</v>
      </c>
      <c r="D3137" s="35">
        <v>65.0</v>
      </c>
      <c r="E3137" s="35">
        <v>46027.0</v>
      </c>
      <c r="F3137" s="35">
        <v>0.0</v>
      </c>
      <c r="G3137" s="35">
        <v>11.0</v>
      </c>
      <c r="H3137" s="35">
        <v>0.0</v>
      </c>
      <c r="I3137" s="35">
        <v>0.0</v>
      </c>
      <c r="J3137" s="35"/>
      <c r="K3137" s="35">
        <v>0.0</v>
      </c>
    </row>
    <row r="3138" ht="15.75" customHeight="1">
      <c r="A3138" s="35" t="s">
        <v>8156</v>
      </c>
      <c r="B3138" s="35"/>
      <c r="C3138" s="35">
        <v>2.0</v>
      </c>
      <c r="D3138" s="35">
        <v>65.0</v>
      </c>
      <c r="E3138" s="35">
        <v>46027.0</v>
      </c>
      <c r="F3138" s="35">
        <v>0.0</v>
      </c>
      <c r="G3138" s="35">
        <v>9.0</v>
      </c>
      <c r="H3138" s="35">
        <v>0.0</v>
      </c>
      <c r="I3138" s="35">
        <v>0.0</v>
      </c>
      <c r="J3138" s="35"/>
      <c r="K3138" s="35">
        <v>0.0</v>
      </c>
    </row>
    <row r="3139" ht="15.75" customHeight="1">
      <c r="A3139" s="35" t="s">
        <v>8157</v>
      </c>
      <c r="B3139" s="35"/>
      <c r="C3139" s="35">
        <v>2.0</v>
      </c>
      <c r="D3139" s="35">
        <v>65.0</v>
      </c>
      <c r="E3139" s="35">
        <v>46027.0</v>
      </c>
      <c r="F3139" s="35">
        <v>0.0</v>
      </c>
      <c r="G3139" s="35">
        <v>9.0</v>
      </c>
      <c r="H3139" s="35">
        <v>0.0</v>
      </c>
      <c r="I3139" s="35">
        <v>0.0</v>
      </c>
      <c r="J3139" s="35"/>
      <c r="K3139" s="35">
        <v>0.0</v>
      </c>
    </row>
    <row r="3140" ht="15.75" customHeight="1">
      <c r="A3140" s="35" t="s">
        <v>8158</v>
      </c>
      <c r="B3140" s="35"/>
      <c r="C3140" s="35">
        <v>2.0</v>
      </c>
      <c r="D3140" s="35">
        <v>65.0</v>
      </c>
      <c r="E3140" s="35">
        <v>46027.0</v>
      </c>
      <c r="F3140" s="35">
        <v>0.0</v>
      </c>
      <c r="G3140" s="35">
        <v>10.0</v>
      </c>
      <c r="H3140" s="35">
        <v>0.0</v>
      </c>
      <c r="I3140" s="35">
        <v>0.0</v>
      </c>
      <c r="J3140" s="35"/>
      <c r="K3140" s="35">
        <v>0.0</v>
      </c>
    </row>
    <row r="3141" ht="15.75" customHeight="1">
      <c r="A3141" s="35" t="s">
        <v>8160</v>
      </c>
      <c r="B3141" s="35"/>
      <c r="C3141" s="35">
        <v>2.0</v>
      </c>
      <c r="D3141" s="35" t="s">
        <v>4635</v>
      </c>
      <c r="E3141" s="35">
        <v>46027.0</v>
      </c>
      <c r="F3141" s="35">
        <v>0.0</v>
      </c>
      <c r="G3141" s="35">
        <v>1.0</v>
      </c>
      <c r="H3141" s="35">
        <v>0.0</v>
      </c>
      <c r="I3141" s="35">
        <v>0.0</v>
      </c>
      <c r="J3141" s="35"/>
      <c r="K3141" s="35">
        <v>0.0</v>
      </c>
    </row>
    <row r="3142" ht="15.75" customHeight="1">
      <c r="A3142" s="35" t="s">
        <v>8161</v>
      </c>
      <c r="B3142" s="35"/>
      <c r="C3142" s="35">
        <v>2.0</v>
      </c>
      <c r="D3142" s="35" t="s">
        <v>4635</v>
      </c>
      <c r="E3142" s="35">
        <v>46027.0</v>
      </c>
      <c r="F3142" s="35">
        <v>0.0</v>
      </c>
      <c r="G3142" s="35">
        <v>0.0</v>
      </c>
      <c r="H3142" s="35">
        <v>0.0</v>
      </c>
      <c r="I3142" s="35">
        <v>1.0</v>
      </c>
      <c r="J3142" s="35"/>
      <c r="K3142" s="35">
        <v>0.0</v>
      </c>
    </row>
    <row r="3143" ht="15.75" customHeight="1">
      <c r="A3143" s="35" t="s">
        <v>8163</v>
      </c>
      <c r="B3143" s="35"/>
      <c r="C3143" s="35">
        <v>2.0</v>
      </c>
      <c r="D3143" s="35" t="s">
        <v>4635</v>
      </c>
      <c r="E3143" s="35">
        <v>46027.0</v>
      </c>
      <c r="F3143" s="35">
        <v>0.0</v>
      </c>
      <c r="G3143" s="35">
        <v>8.0</v>
      </c>
      <c r="H3143" s="35">
        <v>0.0</v>
      </c>
      <c r="I3143" s="35">
        <v>0.0</v>
      </c>
      <c r="J3143" s="35"/>
      <c r="K3143" s="35">
        <v>0.0</v>
      </c>
    </row>
    <row r="3144" ht="15.75" customHeight="1">
      <c r="A3144" s="35" t="s">
        <v>8164</v>
      </c>
      <c r="B3144" s="35"/>
      <c r="C3144" s="35">
        <v>2.0</v>
      </c>
      <c r="D3144" s="35" t="s">
        <v>4635</v>
      </c>
      <c r="E3144" s="35">
        <v>46027.0</v>
      </c>
      <c r="F3144" s="35">
        <v>0.0</v>
      </c>
      <c r="G3144" s="35">
        <v>2.0</v>
      </c>
      <c r="H3144" s="35">
        <v>0.0</v>
      </c>
      <c r="I3144" s="35">
        <v>0.0</v>
      </c>
      <c r="J3144" s="35"/>
      <c r="K3144" s="35">
        <v>0.0</v>
      </c>
    </row>
    <row r="3145" ht="15.75" customHeight="1">
      <c r="A3145" s="35" t="s">
        <v>8166</v>
      </c>
      <c r="B3145" s="35"/>
      <c r="C3145" s="35">
        <v>2.0</v>
      </c>
      <c r="D3145" s="35" t="s">
        <v>4635</v>
      </c>
      <c r="E3145" s="35">
        <v>46027.0</v>
      </c>
      <c r="F3145" s="35">
        <v>0.0</v>
      </c>
      <c r="G3145" s="35">
        <v>4.0</v>
      </c>
      <c r="H3145" s="35">
        <v>0.0</v>
      </c>
      <c r="I3145" s="35">
        <v>0.0</v>
      </c>
      <c r="J3145" s="35"/>
      <c r="K3145" s="35">
        <v>0.0</v>
      </c>
    </row>
    <row r="3146" ht="15.75" customHeight="1">
      <c r="A3146" s="35" t="s">
        <v>8167</v>
      </c>
      <c r="B3146" s="35"/>
      <c r="C3146" s="35">
        <v>2.0</v>
      </c>
      <c r="D3146" s="35" t="s">
        <v>4635</v>
      </c>
      <c r="E3146" s="35">
        <v>46027.0</v>
      </c>
      <c r="F3146" s="35">
        <v>0.0</v>
      </c>
      <c r="G3146" s="35">
        <v>0.0</v>
      </c>
      <c r="H3146" s="35">
        <v>0.0</v>
      </c>
      <c r="I3146" s="35">
        <v>1.0</v>
      </c>
      <c r="J3146" s="35"/>
      <c r="K3146" s="35">
        <v>0.0</v>
      </c>
    </row>
    <row r="3147" ht="15.75" customHeight="1">
      <c r="A3147" s="35" t="s">
        <v>8168</v>
      </c>
      <c r="B3147" s="35"/>
      <c r="C3147" s="35">
        <v>2.0</v>
      </c>
      <c r="D3147" s="35" t="s">
        <v>4635</v>
      </c>
      <c r="E3147" s="35">
        <v>46027.0</v>
      </c>
      <c r="F3147" s="35">
        <v>0.0</v>
      </c>
      <c r="G3147" s="35">
        <v>4.0</v>
      </c>
      <c r="H3147" s="35">
        <v>0.0</v>
      </c>
      <c r="I3147" s="35">
        <v>0.0</v>
      </c>
      <c r="J3147" s="35"/>
      <c r="K3147" s="35">
        <v>0.0</v>
      </c>
    </row>
    <row r="3148" ht="15.75" customHeight="1">
      <c r="A3148" s="35" t="s">
        <v>8170</v>
      </c>
      <c r="B3148" s="35"/>
      <c r="C3148" s="35">
        <v>2.0</v>
      </c>
      <c r="D3148" s="35">
        <v>167.0</v>
      </c>
      <c r="E3148" s="35">
        <v>46027.0</v>
      </c>
      <c r="F3148" s="35">
        <v>0.0</v>
      </c>
      <c r="G3148" s="35">
        <v>189.0</v>
      </c>
      <c r="H3148" s="35">
        <v>0.0</v>
      </c>
      <c r="I3148" s="35">
        <v>0.0</v>
      </c>
      <c r="J3148" s="35"/>
      <c r="K3148" s="35">
        <v>0.0</v>
      </c>
    </row>
    <row r="3149" ht="15.75" customHeight="1">
      <c r="A3149" s="35" t="s">
        <v>8171</v>
      </c>
      <c r="B3149" s="35"/>
      <c r="C3149" s="35">
        <v>2.0</v>
      </c>
      <c r="D3149" s="35" t="s">
        <v>4635</v>
      </c>
      <c r="E3149" s="35">
        <v>46027.0</v>
      </c>
      <c r="F3149" s="35">
        <v>0.0</v>
      </c>
      <c r="G3149" s="35">
        <v>2.0</v>
      </c>
      <c r="H3149" s="35">
        <v>0.0</v>
      </c>
      <c r="I3149" s="35">
        <v>0.0</v>
      </c>
      <c r="J3149" s="35"/>
      <c r="K3149" s="35">
        <v>0.0</v>
      </c>
    </row>
    <row r="3150" ht="15.75" customHeight="1">
      <c r="A3150" s="35" t="s">
        <v>8172</v>
      </c>
      <c r="B3150" s="35"/>
      <c r="C3150" s="35">
        <v>2.0</v>
      </c>
      <c r="D3150" s="35" t="s">
        <v>4635</v>
      </c>
      <c r="E3150" s="35">
        <v>46027.0</v>
      </c>
      <c r="F3150" s="35">
        <v>0.0</v>
      </c>
      <c r="G3150" s="35">
        <v>3.0</v>
      </c>
      <c r="H3150" s="35">
        <v>0.0</v>
      </c>
      <c r="I3150" s="35">
        <v>0.0</v>
      </c>
      <c r="J3150" s="35"/>
      <c r="K3150" s="35">
        <v>0.0</v>
      </c>
    </row>
    <row r="3151" ht="15.75" customHeight="1">
      <c r="A3151" s="35" t="s">
        <v>8174</v>
      </c>
      <c r="B3151" s="35"/>
      <c r="C3151" s="35">
        <v>2.0</v>
      </c>
      <c r="D3151" s="35">
        <v>367.0</v>
      </c>
      <c r="E3151" s="35">
        <v>46027.0</v>
      </c>
      <c r="F3151" s="35">
        <v>0.0</v>
      </c>
      <c r="G3151" s="35">
        <v>4.0</v>
      </c>
      <c r="H3151" s="35">
        <v>0.0</v>
      </c>
      <c r="I3151" s="35">
        <v>0.0</v>
      </c>
      <c r="J3151" s="35"/>
      <c r="K3151" s="35">
        <v>0.0</v>
      </c>
    </row>
    <row r="3152" ht="15.75" customHeight="1">
      <c r="A3152" s="35" t="s">
        <v>8175</v>
      </c>
      <c r="B3152" s="35"/>
      <c r="C3152" s="35">
        <v>2.0</v>
      </c>
      <c r="D3152" s="35" t="s">
        <v>4635</v>
      </c>
      <c r="E3152" s="35">
        <v>46027.0</v>
      </c>
      <c r="F3152" s="35">
        <v>0.0</v>
      </c>
      <c r="G3152" s="35">
        <v>5.0</v>
      </c>
      <c r="H3152" s="35">
        <v>0.0</v>
      </c>
      <c r="I3152" s="35">
        <v>0.0</v>
      </c>
      <c r="J3152" s="35"/>
      <c r="K3152" s="35">
        <v>0.0</v>
      </c>
    </row>
    <row r="3153" ht="15.75" customHeight="1">
      <c r="A3153" s="35" t="s">
        <v>8177</v>
      </c>
      <c r="B3153" s="35"/>
      <c r="C3153" s="35">
        <v>2.0</v>
      </c>
      <c r="D3153" s="35" t="s">
        <v>4563</v>
      </c>
      <c r="E3153" s="35">
        <v>46027.0</v>
      </c>
      <c r="F3153" s="35">
        <v>0.0</v>
      </c>
      <c r="G3153" s="35">
        <v>0.0</v>
      </c>
      <c r="H3153" s="35">
        <v>1.0</v>
      </c>
      <c r="I3153" s="35">
        <v>0.0</v>
      </c>
      <c r="J3153" s="35"/>
      <c r="K3153" s="35">
        <v>0.0</v>
      </c>
    </row>
    <row r="3154" ht="15.75" customHeight="1">
      <c r="A3154" s="35" t="s">
        <v>8178</v>
      </c>
      <c r="B3154" s="35"/>
      <c r="C3154" s="35">
        <v>2.0</v>
      </c>
      <c r="D3154" s="35">
        <v>182.0</v>
      </c>
      <c r="E3154" s="35">
        <v>46027.0</v>
      </c>
      <c r="F3154" s="35">
        <v>0.0</v>
      </c>
      <c r="G3154" s="35">
        <v>1.0</v>
      </c>
      <c r="H3154" s="35">
        <v>0.0</v>
      </c>
      <c r="I3154" s="35">
        <v>0.0</v>
      </c>
      <c r="J3154" s="35"/>
      <c r="K3154" s="35">
        <v>0.0</v>
      </c>
    </row>
    <row r="3155" ht="15.75" customHeight="1">
      <c r="A3155" s="35" t="s">
        <v>8180</v>
      </c>
      <c r="B3155" s="35"/>
      <c r="C3155" s="35">
        <v>2.0</v>
      </c>
      <c r="D3155" s="35" t="s">
        <v>4635</v>
      </c>
      <c r="E3155" s="35">
        <v>46027.0</v>
      </c>
      <c r="F3155" s="35">
        <v>0.0</v>
      </c>
      <c r="G3155" s="35">
        <v>1.0</v>
      </c>
      <c r="H3155" s="35">
        <v>0.0</v>
      </c>
      <c r="I3155" s="35">
        <v>0.0</v>
      </c>
      <c r="J3155" s="35"/>
      <c r="K3155" s="35">
        <v>0.0</v>
      </c>
    </row>
    <row r="3156" ht="15.75" customHeight="1">
      <c r="A3156" s="35" t="s">
        <v>8181</v>
      </c>
      <c r="B3156" s="35"/>
      <c r="C3156" s="35">
        <v>2.0</v>
      </c>
      <c r="D3156" s="35">
        <v>439.0</v>
      </c>
      <c r="E3156" s="35">
        <v>46027.0</v>
      </c>
      <c r="F3156" s="35">
        <v>0.0</v>
      </c>
      <c r="G3156" s="35">
        <v>1.0</v>
      </c>
      <c r="H3156" s="35">
        <v>0.0</v>
      </c>
      <c r="I3156" s="35">
        <v>0.0</v>
      </c>
      <c r="J3156" s="35"/>
      <c r="K3156" s="35">
        <v>0.0</v>
      </c>
    </row>
    <row r="3157" ht="15.75" customHeight="1">
      <c r="A3157" s="35" t="s">
        <v>8183</v>
      </c>
      <c r="B3157" s="35"/>
      <c r="C3157" s="35">
        <v>2.0</v>
      </c>
      <c r="D3157" s="35" t="s">
        <v>4635</v>
      </c>
      <c r="E3157" s="35">
        <v>46027.0</v>
      </c>
      <c r="F3157" s="35">
        <v>0.0</v>
      </c>
      <c r="G3157" s="35">
        <v>4.0</v>
      </c>
      <c r="H3157" s="35">
        <v>0.0</v>
      </c>
      <c r="I3157" s="35">
        <v>0.0</v>
      </c>
      <c r="J3157" s="35"/>
      <c r="K3157" s="35">
        <v>0.0</v>
      </c>
    </row>
    <row r="3158" ht="15.75" customHeight="1">
      <c r="A3158" s="35" t="s">
        <v>8184</v>
      </c>
      <c r="B3158" s="35"/>
      <c r="C3158" s="35">
        <v>2.0</v>
      </c>
      <c r="D3158" s="35">
        <v>53.0</v>
      </c>
      <c r="E3158" s="35">
        <v>46027.0</v>
      </c>
      <c r="F3158" s="35">
        <v>0.0</v>
      </c>
      <c r="G3158" s="35">
        <v>4.0</v>
      </c>
      <c r="H3158" s="35">
        <v>0.0</v>
      </c>
      <c r="I3158" s="35">
        <v>0.0</v>
      </c>
      <c r="J3158" s="35"/>
      <c r="K3158" s="35">
        <v>0.0</v>
      </c>
    </row>
    <row r="3159" ht="15.75" customHeight="1">
      <c r="A3159" s="35" t="s">
        <v>8185</v>
      </c>
      <c r="B3159" s="35"/>
      <c r="C3159" s="35">
        <v>2.0</v>
      </c>
      <c r="D3159" s="35">
        <v>72.0</v>
      </c>
      <c r="E3159" s="35">
        <v>46027.0</v>
      </c>
      <c r="F3159" s="35">
        <v>0.0</v>
      </c>
      <c r="G3159" s="35">
        <v>2.0</v>
      </c>
      <c r="H3159" s="35">
        <v>0.0</v>
      </c>
      <c r="I3159" s="35">
        <v>0.0</v>
      </c>
      <c r="J3159" s="35"/>
      <c r="K3159" s="35">
        <v>0.0</v>
      </c>
    </row>
    <row r="3160" ht="15.75" customHeight="1">
      <c r="A3160" s="35" t="s">
        <v>8187</v>
      </c>
      <c r="B3160" s="35"/>
      <c r="C3160" s="35">
        <v>2.0</v>
      </c>
      <c r="D3160" s="35" t="s">
        <v>4635</v>
      </c>
      <c r="E3160" s="35">
        <v>46027.0</v>
      </c>
      <c r="F3160" s="35">
        <v>0.0</v>
      </c>
      <c r="G3160" s="35">
        <v>0.0</v>
      </c>
      <c r="H3160" s="35">
        <v>0.0</v>
      </c>
      <c r="I3160" s="35">
        <v>1.0</v>
      </c>
      <c r="J3160" s="35"/>
      <c r="K3160" s="35">
        <v>0.0</v>
      </c>
    </row>
    <row r="3161" ht="15.75" customHeight="1">
      <c r="A3161" s="35" t="s">
        <v>8188</v>
      </c>
      <c r="B3161" s="35"/>
      <c r="C3161" s="35">
        <v>2.0</v>
      </c>
      <c r="D3161" s="35">
        <v>145.0</v>
      </c>
      <c r="E3161" s="35">
        <v>46027.0</v>
      </c>
      <c r="F3161" s="35">
        <v>0.0</v>
      </c>
      <c r="G3161" s="35">
        <v>1.0</v>
      </c>
      <c r="H3161" s="35">
        <v>0.0</v>
      </c>
      <c r="I3161" s="35">
        <v>0.0</v>
      </c>
      <c r="J3161" s="35"/>
      <c r="K3161" s="35">
        <v>0.0</v>
      </c>
    </row>
    <row r="3162" ht="15.75" customHeight="1">
      <c r="A3162" s="35" t="s">
        <v>8190</v>
      </c>
      <c r="B3162" s="35"/>
      <c r="C3162" s="35">
        <v>2.0</v>
      </c>
      <c r="D3162" s="35" t="s">
        <v>4635</v>
      </c>
      <c r="E3162" s="35">
        <v>46027.0</v>
      </c>
      <c r="F3162" s="35">
        <v>0.0</v>
      </c>
      <c r="G3162" s="35">
        <v>4.0</v>
      </c>
      <c r="H3162" s="35">
        <v>0.0</v>
      </c>
      <c r="I3162" s="35">
        <v>0.0</v>
      </c>
      <c r="J3162" s="35"/>
      <c r="K3162" s="35">
        <v>0.0</v>
      </c>
    </row>
    <row r="3163" ht="15.75" customHeight="1">
      <c r="A3163" s="35" t="s">
        <v>8191</v>
      </c>
      <c r="B3163" s="35"/>
      <c r="C3163" s="35">
        <v>2.0</v>
      </c>
      <c r="D3163" s="35">
        <v>29.0</v>
      </c>
      <c r="E3163" s="35">
        <v>46027.0</v>
      </c>
      <c r="F3163" s="35">
        <v>0.0</v>
      </c>
      <c r="G3163" s="35">
        <v>9.0</v>
      </c>
      <c r="H3163" s="35">
        <v>0.0</v>
      </c>
      <c r="I3163" s="35">
        <v>0.0</v>
      </c>
      <c r="J3163" s="35"/>
      <c r="K3163" s="35">
        <v>0.0</v>
      </c>
    </row>
    <row r="3164" ht="15.75" customHeight="1">
      <c r="A3164" s="35" t="s">
        <v>8193</v>
      </c>
      <c r="B3164" s="35"/>
      <c r="C3164" s="35">
        <v>2.0</v>
      </c>
      <c r="D3164" s="35" t="s">
        <v>4635</v>
      </c>
      <c r="E3164" s="35">
        <v>46027.0</v>
      </c>
      <c r="F3164" s="35">
        <v>0.0</v>
      </c>
      <c r="G3164" s="35">
        <v>1.0</v>
      </c>
      <c r="H3164" s="35">
        <v>0.0</v>
      </c>
      <c r="I3164" s="35">
        <v>0.0</v>
      </c>
      <c r="J3164" s="35"/>
      <c r="K3164" s="35">
        <v>0.0</v>
      </c>
    </row>
    <row r="3165" ht="15.75" customHeight="1">
      <c r="A3165" s="35" t="s">
        <v>8194</v>
      </c>
      <c r="B3165" s="35"/>
      <c r="C3165" s="35">
        <v>2.0</v>
      </c>
      <c r="D3165" s="35" t="s">
        <v>4635</v>
      </c>
      <c r="E3165" s="35">
        <v>46027.0</v>
      </c>
      <c r="F3165" s="35">
        <v>0.0</v>
      </c>
      <c r="G3165" s="35">
        <v>8.0</v>
      </c>
      <c r="H3165" s="35">
        <v>0.0</v>
      </c>
      <c r="I3165" s="35">
        <v>0.0</v>
      </c>
      <c r="J3165" s="35"/>
      <c r="K3165" s="35">
        <v>0.0</v>
      </c>
    </row>
    <row r="3166" ht="15.75" customHeight="1">
      <c r="A3166" s="35" t="s">
        <v>8196</v>
      </c>
      <c r="B3166" s="35"/>
      <c r="C3166" s="35">
        <v>2.0</v>
      </c>
      <c r="D3166" s="35" t="s">
        <v>4635</v>
      </c>
      <c r="E3166" s="35">
        <v>46027.0</v>
      </c>
      <c r="F3166" s="35">
        <v>0.0</v>
      </c>
      <c r="G3166" s="35">
        <v>8.0</v>
      </c>
      <c r="H3166" s="35">
        <v>0.0</v>
      </c>
      <c r="I3166" s="35">
        <v>0.0</v>
      </c>
      <c r="J3166" s="35"/>
      <c r="K3166" s="35">
        <v>0.0</v>
      </c>
    </row>
    <row r="3167" ht="15.75" customHeight="1">
      <c r="A3167" s="35" t="s">
        <v>8197</v>
      </c>
      <c r="B3167" s="35"/>
      <c r="C3167" s="35">
        <v>2.0</v>
      </c>
      <c r="D3167" s="35" t="s">
        <v>4635</v>
      </c>
      <c r="E3167" s="35">
        <v>46027.0</v>
      </c>
      <c r="F3167" s="35">
        <v>0.0</v>
      </c>
      <c r="G3167" s="35">
        <v>1.0</v>
      </c>
      <c r="H3167" s="35">
        <v>0.0</v>
      </c>
      <c r="I3167" s="35">
        <v>0.0</v>
      </c>
      <c r="J3167" s="35"/>
      <c r="K3167" s="35">
        <v>0.0</v>
      </c>
    </row>
    <row r="3168" ht="15.75" customHeight="1">
      <c r="A3168" s="35" t="s">
        <v>8198</v>
      </c>
      <c r="B3168" s="35"/>
      <c r="C3168" s="35">
        <v>2.0</v>
      </c>
      <c r="D3168" s="35" t="s">
        <v>4635</v>
      </c>
      <c r="E3168" s="35">
        <v>46027.0</v>
      </c>
      <c r="F3168" s="35">
        <v>0.0</v>
      </c>
      <c r="G3168" s="35">
        <v>4.0</v>
      </c>
      <c r="H3168" s="35">
        <v>0.0</v>
      </c>
      <c r="I3168" s="35">
        <v>0.0</v>
      </c>
      <c r="J3168" s="35"/>
      <c r="K3168" s="35">
        <v>0.0</v>
      </c>
    </row>
    <row r="3169" ht="15.75" customHeight="1">
      <c r="A3169" s="35" t="s">
        <v>8199</v>
      </c>
      <c r="B3169" s="35"/>
      <c r="C3169" s="35">
        <v>2.0</v>
      </c>
      <c r="D3169" s="35" t="s">
        <v>4635</v>
      </c>
      <c r="E3169" s="35">
        <v>46027.0</v>
      </c>
      <c r="F3169" s="35">
        <v>0.0</v>
      </c>
      <c r="G3169" s="35">
        <v>3.0</v>
      </c>
      <c r="H3169" s="35">
        <v>0.0</v>
      </c>
      <c r="I3169" s="35">
        <v>0.0</v>
      </c>
      <c r="J3169" s="35"/>
      <c r="K3169" s="35">
        <v>0.0</v>
      </c>
    </row>
    <row r="3170" ht="15.75" customHeight="1">
      <c r="A3170" s="35" t="s">
        <v>8200</v>
      </c>
      <c r="B3170" s="35"/>
      <c r="C3170" s="35">
        <v>2.0</v>
      </c>
      <c r="D3170" s="35" t="s">
        <v>4635</v>
      </c>
      <c r="E3170" s="35">
        <v>46027.0</v>
      </c>
      <c r="F3170" s="35">
        <v>0.0</v>
      </c>
      <c r="G3170" s="35">
        <v>4.0</v>
      </c>
      <c r="H3170" s="35">
        <v>0.0</v>
      </c>
      <c r="I3170" s="35">
        <v>0.0</v>
      </c>
      <c r="J3170" s="35"/>
      <c r="K3170" s="35">
        <v>0.0</v>
      </c>
    </row>
    <row r="3171" ht="15.75" customHeight="1">
      <c r="A3171" s="35" t="s">
        <v>8201</v>
      </c>
      <c r="B3171" s="35"/>
      <c r="C3171" s="35">
        <v>2.0</v>
      </c>
      <c r="D3171" s="35" t="s">
        <v>4635</v>
      </c>
      <c r="E3171" s="35">
        <v>46027.0</v>
      </c>
      <c r="F3171" s="35">
        <v>0.0</v>
      </c>
      <c r="G3171" s="35">
        <v>5.0</v>
      </c>
      <c r="H3171" s="35">
        <v>0.0</v>
      </c>
      <c r="I3171" s="35">
        <v>0.0</v>
      </c>
      <c r="J3171" s="35"/>
      <c r="K3171" s="35">
        <v>0.0</v>
      </c>
    </row>
    <row r="3172" ht="15.75" customHeight="1">
      <c r="A3172" s="35" t="s">
        <v>8202</v>
      </c>
      <c r="B3172" s="35"/>
      <c r="C3172" s="35">
        <v>2.0</v>
      </c>
      <c r="D3172" s="35" t="s">
        <v>4635</v>
      </c>
      <c r="E3172" s="35">
        <v>46027.0</v>
      </c>
      <c r="F3172" s="35">
        <v>0.0</v>
      </c>
      <c r="G3172" s="35">
        <v>6.0</v>
      </c>
      <c r="H3172" s="35">
        <v>0.0</v>
      </c>
      <c r="I3172" s="35">
        <v>0.0</v>
      </c>
      <c r="J3172" s="35"/>
      <c r="K3172" s="35">
        <v>0.0</v>
      </c>
    </row>
    <row r="3173" ht="15.75" customHeight="1">
      <c r="A3173" s="35" t="s">
        <v>8204</v>
      </c>
      <c r="B3173" s="35"/>
      <c r="C3173" s="35">
        <v>2.0</v>
      </c>
      <c r="D3173" s="35">
        <v>184.0</v>
      </c>
      <c r="E3173" s="35">
        <v>46027.0</v>
      </c>
      <c r="F3173" s="35">
        <v>0.0</v>
      </c>
      <c r="G3173" s="35">
        <v>1.0</v>
      </c>
      <c r="H3173" s="35">
        <v>0.0</v>
      </c>
      <c r="I3173" s="35">
        <v>0.0</v>
      </c>
      <c r="J3173" s="35"/>
      <c r="K3173" s="35">
        <v>0.0</v>
      </c>
    </row>
    <row r="3174" ht="15.75" customHeight="1">
      <c r="A3174" s="35" t="s">
        <v>8205</v>
      </c>
      <c r="B3174" s="35"/>
      <c r="C3174" s="35">
        <v>2.0</v>
      </c>
      <c r="D3174" s="35" t="s">
        <v>4635</v>
      </c>
      <c r="E3174" s="35">
        <v>46027.0</v>
      </c>
      <c r="F3174" s="35">
        <v>0.0</v>
      </c>
      <c r="G3174" s="35">
        <v>0.0</v>
      </c>
      <c r="H3174" s="35">
        <v>1.0</v>
      </c>
      <c r="I3174" s="35">
        <v>0.0</v>
      </c>
      <c r="J3174" s="35"/>
      <c r="K3174" s="35">
        <v>0.0</v>
      </c>
    </row>
    <row r="3175" ht="15.75" customHeight="1">
      <c r="A3175" s="35" t="s">
        <v>8206</v>
      </c>
      <c r="B3175" s="35"/>
      <c r="C3175" s="35">
        <v>2.0</v>
      </c>
      <c r="D3175" s="35" t="s">
        <v>4635</v>
      </c>
      <c r="E3175" s="35">
        <v>46027.0</v>
      </c>
      <c r="F3175" s="35">
        <v>0.0</v>
      </c>
      <c r="G3175" s="35">
        <v>1.0</v>
      </c>
      <c r="H3175" s="35">
        <v>0.0</v>
      </c>
      <c r="I3175" s="35">
        <v>0.0</v>
      </c>
      <c r="J3175" s="35"/>
      <c r="K3175" s="35">
        <v>0.0</v>
      </c>
    </row>
    <row r="3176" ht="15.75" customHeight="1">
      <c r="A3176" s="35" t="s">
        <v>8208</v>
      </c>
      <c r="B3176" s="35"/>
      <c r="C3176" s="35">
        <v>2.0</v>
      </c>
      <c r="D3176" s="35">
        <v>25.0</v>
      </c>
      <c r="E3176" s="35">
        <v>46027.0</v>
      </c>
      <c r="F3176" s="35">
        <v>0.0</v>
      </c>
      <c r="G3176" s="35">
        <v>11.0</v>
      </c>
      <c r="H3176" s="35">
        <v>0.0</v>
      </c>
      <c r="I3176" s="35">
        <v>0.0</v>
      </c>
      <c r="J3176" s="35"/>
      <c r="K3176" s="35">
        <v>0.0</v>
      </c>
    </row>
    <row r="3177" ht="15.75" customHeight="1">
      <c r="A3177" s="35" t="s">
        <v>8209</v>
      </c>
      <c r="B3177" s="35"/>
      <c r="C3177" s="35">
        <v>2.0</v>
      </c>
      <c r="D3177" s="35">
        <v>847.0</v>
      </c>
      <c r="E3177" s="35">
        <v>46027.0</v>
      </c>
      <c r="F3177" s="35">
        <v>0.0</v>
      </c>
      <c r="G3177" s="35">
        <v>0.0</v>
      </c>
      <c r="H3177" s="35">
        <v>0.0</v>
      </c>
      <c r="I3177" s="35">
        <v>1.0</v>
      </c>
      <c r="J3177" s="35"/>
      <c r="K3177" s="35">
        <v>0.0</v>
      </c>
    </row>
    <row r="3178" ht="15.75" customHeight="1">
      <c r="A3178" s="35" t="s">
        <v>8211</v>
      </c>
      <c r="B3178" s="35"/>
      <c r="C3178" s="35">
        <v>2.0</v>
      </c>
      <c r="D3178" s="35" t="s">
        <v>2039</v>
      </c>
      <c r="E3178" s="35">
        <v>46027.0</v>
      </c>
      <c r="F3178" s="35">
        <v>0.0</v>
      </c>
      <c r="G3178" s="35">
        <v>25.0</v>
      </c>
      <c r="H3178" s="35">
        <v>0.0</v>
      </c>
      <c r="I3178" s="35">
        <v>0.0</v>
      </c>
      <c r="J3178" s="35"/>
      <c r="K3178" s="35">
        <v>0.0</v>
      </c>
    </row>
    <row r="3179" ht="15.75" customHeight="1">
      <c r="A3179" s="35" t="s">
        <v>8212</v>
      </c>
      <c r="B3179" s="35"/>
      <c r="C3179" s="35">
        <v>2.0</v>
      </c>
      <c r="D3179" s="35" t="s">
        <v>4635</v>
      </c>
      <c r="E3179" s="35">
        <v>46027.0</v>
      </c>
      <c r="F3179" s="35">
        <v>0.0</v>
      </c>
      <c r="G3179" s="35">
        <v>1.0</v>
      </c>
      <c r="H3179" s="35">
        <v>0.0</v>
      </c>
      <c r="I3179" s="35">
        <v>0.0</v>
      </c>
      <c r="J3179" s="35"/>
      <c r="K3179" s="35">
        <v>0.0</v>
      </c>
    </row>
    <row r="3180" ht="15.75" customHeight="1">
      <c r="A3180" s="35" t="s">
        <v>8214</v>
      </c>
      <c r="B3180" s="35"/>
      <c r="C3180" s="35">
        <v>2.0</v>
      </c>
      <c r="D3180" s="35" t="s">
        <v>4635</v>
      </c>
      <c r="E3180" s="35">
        <v>46027.0</v>
      </c>
      <c r="F3180" s="35">
        <v>0.0</v>
      </c>
      <c r="G3180" s="35">
        <v>2.0</v>
      </c>
      <c r="H3180" s="35">
        <v>0.0</v>
      </c>
      <c r="I3180" s="35">
        <v>0.0</v>
      </c>
      <c r="J3180" s="35"/>
      <c r="K3180" s="35">
        <v>0.0</v>
      </c>
    </row>
    <row r="3181" ht="15.75" customHeight="1">
      <c r="A3181" s="35" t="s">
        <v>8215</v>
      </c>
      <c r="B3181" s="35"/>
      <c r="C3181" s="35">
        <v>2.0</v>
      </c>
      <c r="D3181" s="35" t="s">
        <v>4635</v>
      </c>
      <c r="E3181" s="35">
        <v>46027.0</v>
      </c>
      <c r="F3181" s="35">
        <v>0.0</v>
      </c>
      <c r="G3181" s="35">
        <v>3.0</v>
      </c>
      <c r="H3181" s="35">
        <v>0.0</v>
      </c>
      <c r="I3181" s="35">
        <v>0.0</v>
      </c>
      <c r="J3181" s="35"/>
      <c r="K3181" s="35">
        <v>0.0</v>
      </c>
    </row>
    <row r="3182" ht="15.75" customHeight="1">
      <c r="A3182" s="35" t="s">
        <v>8217</v>
      </c>
      <c r="B3182" s="35"/>
      <c r="C3182" s="35">
        <v>2.0</v>
      </c>
      <c r="D3182" s="35">
        <v>64.0</v>
      </c>
      <c r="E3182" s="35">
        <v>46027.0</v>
      </c>
      <c r="F3182" s="35">
        <v>0.0</v>
      </c>
      <c r="G3182" s="35">
        <v>2.0</v>
      </c>
      <c r="H3182" s="35">
        <v>0.0</v>
      </c>
      <c r="I3182" s="35">
        <v>0.0</v>
      </c>
      <c r="J3182" s="35"/>
      <c r="K3182" s="35">
        <v>0.0</v>
      </c>
    </row>
    <row r="3183" ht="15.75" customHeight="1">
      <c r="A3183" s="35" t="s">
        <v>8218</v>
      </c>
      <c r="B3183" s="35"/>
      <c r="C3183" s="35">
        <v>2.0</v>
      </c>
      <c r="D3183" s="35" t="s">
        <v>4635</v>
      </c>
      <c r="E3183" s="35">
        <v>46027.0</v>
      </c>
      <c r="F3183" s="35">
        <v>0.0</v>
      </c>
      <c r="G3183" s="35">
        <v>3.0</v>
      </c>
      <c r="H3183" s="35">
        <v>0.0</v>
      </c>
      <c r="I3183" s="35">
        <v>0.0</v>
      </c>
      <c r="J3183" s="35"/>
      <c r="K3183" s="35">
        <v>0.0</v>
      </c>
    </row>
    <row r="3184" ht="15.75" customHeight="1">
      <c r="A3184" s="35" t="s">
        <v>8220</v>
      </c>
      <c r="B3184" s="35"/>
      <c r="C3184" s="35">
        <v>2.0</v>
      </c>
      <c r="D3184" s="35" t="s">
        <v>4635</v>
      </c>
      <c r="E3184" s="35">
        <v>46027.0</v>
      </c>
      <c r="F3184" s="35">
        <v>0.0</v>
      </c>
      <c r="G3184" s="35">
        <v>7.0</v>
      </c>
      <c r="H3184" s="35">
        <v>0.0</v>
      </c>
      <c r="I3184" s="35">
        <v>0.0</v>
      </c>
      <c r="J3184" s="35"/>
      <c r="K3184" s="35">
        <v>0.0</v>
      </c>
    </row>
    <row r="3185" ht="15.75" customHeight="1">
      <c r="A3185" s="35" t="s">
        <v>8221</v>
      </c>
      <c r="B3185" s="35"/>
      <c r="C3185" s="35">
        <v>2.0</v>
      </c>
      <c r="D3185" s="35" t="s">
        <v>4635</v>
      </c>
      <c r="E3185" s="35">
        <v>46027.0</v>
      </c>
      <c r="F3185" s="35">
        <v>0.0</v>
      </c>
      <c r="G3185" s="35">
        <v>4.0</v>
      </c>
      <c r="H3185" s="35">
        <v>0.0</v>
      </c>
      <c r="I3185" s="35">
        <v>0.0</v>
      </c>
      <c r="J3185" s="35"/>
      <c r="K3185" s="35">
        <v>0.0</v>
      </c>
    </row>
    <row r="3186" ht="15.75" customHeight="1">
      <c r="A3186" s="35" t="s">
        <v>8222</v>
      </c>
      <c r="B3186" s="35"/>
      <c r="C3186" s="35">
        <v>2.0</v>
      </c>
      <c r="D3186" s="35">
        <v>249.0</v>
      </c>
      <c r="E3186" s="35">
        <v>46027.0</v>
      </c>
      <c r="F3186" s="35">
        <v>0.0</v>
      </c>
      <c r="G3186" s="35">
        <v>2.0</v>
      </c>
      <c r="H3186" s="35">
        <v>0.0</v>
      </c>
      <c r="I3186" s="35">
        <v>0.0</v>
      </c>
      <c r="J3186" s="35"/>
      <c r="K3186" s="35">
        <v>0.0</v>
      </c>
    </row>
    <row r="3187" ht="15.75" customHeight="1">
      <c r="A3187" s="35" t="s">
        <v>8224</v>
      </c>
      <c r="B3187" s="35"/>
      <c r="C3187" s="35">
        <v>2.0</v>
      </c>
      <c r="D3187" s="35" t="s">
        <v>4635</v>
      </c>
      <c r="E3187" s="35">
        <v>46027.0</v>
      </c>
      <c r="F3187" s="35">
        <v>0.0</v>
      </c>
      <c r="G3187" s="35">
        <v>2.0</v>
      </c>
      <c r="H3187" s="35">
        <v>0.0</v>
      </c>
      <c r="I3187" s="35">
        <v>0.0</v>
      </c>
      <c r="J3187" s="35"/>
      <c r="K3187" s="35">
        <v>0.0</v>
      </c>
    </row>
    <row r="3188" ht="15.75" customHeight="1">
      <c r="A3188" s="35" t="s">
        <v>8225</v>
      </c>
      <c r="B3188" s="35"/>
      <c r="C3188" s="35">
        <v>2.0</v>
      </c>
      <c r="D3188" s="35" t="s">
        <v>4635</v>
      </c>
      <c r="E3188" s="35">
        <v>46027.0</v>
      </c>
      <c r="F3188" s="35">
        <v>0.0</v>
      </c>
      <c r="G3188" s="35">
        <v>21.0</v>
      </c>
      <c r="H3188" s="35">
        <v>0.0</v>
      </c>
      <c r="I3188" s="35">
        <v>0.0</v>
      </c>
      <c r="J3188" s="35"/>
      <c r="K3188" s="35">
        <v>0.0</v>
      </c>
    </row>
    <row r="3189" ht="15.75" customHeight="1">
      <c r="A3189" s="35" t="s">
        <v>8227</v>
      </c>
      <c r="B3189" s="35"/>
      <c r="C3189" s="35">
        <v>2.0</v>
      </c>
      <c r="D3189" s="35" t="s">
        <v>4635</v>
      </c>
      <c r="E3189" s="35">
        <v>46027.0</v>
      </c>
      <c r="F3189" s="35">
        <v>0.0</v>
      </c>
      <c r="G3189" s="35">
        <v>8.0</v>
      </c>
      <c r="H3189" s="35">
        <v>0.0</v>
      </c>
      <c r="I3189" s="35">
        <v>0.0</v>
      </c>
      <c r="J3189" s="35"/>
      <c r="K3189" s="35">
        <v>0.0</v>
      </c>
    </row>
    <row r="3190" ht="15.75" customHeight="1">
      <c r="A3190" s="35" t="s">
        <v>8228</v>
      </c>
      <c r="B3190" s="35"/>
      <c r="C3190" s="35">
        <v>2.0</v>
      </c>
      <c r="D3190" s="35" t="s">
        <v>4635</v>
      </c>
      <c r="E3190" s="35">
        <v>46027.0</v>
      </c>
      <c r="F3190" s="35">
        <v>0.0</v>
      </c>
      <c r="G3190" s="35">
        <v>1.0</v>
      </c>
      <c r="H3190" s="35">
        <v>0.0</v>
      </c>
      <c r="I3190" s="35">
        <v>0.0</v>
      </c>
      <c r="J3190" s="35"/>
      <c r="K3190" s="35">
        <v>0.0</v>
      </c>
    </row>
    <row r="3191" ht="15.75" customHeight="1">
      <c r="A3191" s="35" t="s">
        <v>8229</v>
      </c>
      <c r="B3191" s="35"/>
      <c r="C3191" s="35">
        <v>2.0</v>
      </c>
      <c r="D3191" s="35" t="s">
        <v>4635</v>
      </c>
      <c r="E3191" s="35">
        <v>46027.0</v>
      </c>
      <c r="F3191" s="35">
        <v>0.0</v>
      </c>
      <c r="G3191" s="35">
        <v>1.0</v>
      </c>
      <c r="H3191" s="35">
        <v>0.0</v>
      </c>
      <c r="I3191" s="35">
        <v>0.0</v>
      </c>
      <c r="J3191" s="35"/>
      <c r="K3191" s="35">
        <v>0.0</v>
      </c>
    </row>
    <row r="3192" ht="15.75" customHeight="1">
      <c r="A3192" s="35" t="s">
        <v>8231</v>
      </c>
      <c r="B3192" s="35"/>
      <c r="C3192" s="35">
        <v>2.0</v>
      </c>
      <c r="D3192" s="35" t="s">
        <v>4635</v>
      </c>
      <c r="E3192" s="35">
        <v>46027.0</v>
      </c>
      <c r="F3192" s="35">
        <v>0.0</v>
      </c>
      <c r="G3192" s="35">
        <v>8.0</v>
      </c>
      <c r="H3192" s="35">
        <v>0.0</v>
      </c>
      <c r="I3192" s="35">
        <v>0.0</v>
      </c>
      <c r="J3192" s="35"/>
      <c r="K3192" s="35">
        <v>0.0</v>
      </c>
    </row>
    <row r="3193" ht="15.75" customHeight="1">
      <c r="A3193" s="35" t="s">
        <v>8232</v>
      </c>
      <c r="B3193" s="35"/>
      <c r="C3193" s="35">
        <v>2.0</v>
      </c>
      <c r="D3193" s="35" t="s">
        <v>4635</v>
      </c>
      <c r="E3193" s="35">
        <v>46027.0</v>
      </c>
      <c r="F3193" s="35">
        <v>0.0</v>
      </c>
      <c r="G3193" s="35">
        <v>2.0</v>
      </c>
      <c r="H3193" s="35">
        <v>0.0</v>
      </c>
      <c r="I3193" s="35">
        <v>0.0</v>
      </c>
      <c r="J3193" s="35"/>
      <c r="K3193" s="35">
        <v>0.0</v>
      </c>
    </row>
    <row r="3194" ht="15.75" customHeight="1">
      <c r="A3194" s="35" t="s">
        <v>8234</v>
      </c>
      <c r="B3194" s="35"/>
      <c r="C3194" s="35">
        <v>2.0</v>
      </c>
      <c r="D3194" s="35" t="s">
        <v>4635</v>
      </c>
      <c r="E3194" s="35">
        <v>46027.0</v>
      </c>
      <c r="F3194" s="35">
        <v>0.0</v>
      </c>
      <c r="G3194" s="35">
        <v>4.0</v>
      </c>
      <c r="H3194" s="35">
        <v>0.0</v>
      </c>
      <c r="I3194" s="35">
        <v>0.0</v>
      </c>
      <c r="J3194" s="35"/>
      <c r="K3194" s="35">
        <v>0.0</v>
      </c>
    </row>
    <row r="3195" ht="15.75" customHeight="1">
      <c r="A3195" s="35" t="s">
        <v>8235</v>
      </c>
      <c r="B3195" s="35"/>
      <c r="C3195" s="35">
        <v>2.0</v>
      </c>
      <c r="D3195" s="35" t="s">
        <v>4635</v>
      </c>
      <c r="E3195" s="35">
        <v>46027.0</v>
      </c>
      <c r="F3195" s="35">
        <v>0.0</v>
      </c>
      <c r="G3195" s="35">
        <v>3.0</v>
      </c>
      <c r="H3195" s="35">
        <v>0.0</v>
      </c>
      <c r="I3195" s="35">
        <v>0.0</v>
      </c>
      <c r="J3195" s="35"/>
      <c r="K3195" s="35">
        <v>0.0</v>
      </c>
    </row>
    <row r="3196" ht="15.75" customHeight="1">
      <c r="A3196" s="35" t="s">
        <v>8237</v>
      </c>
      <c r="B3196" s="35"/>
      <c r="C3196" s="35">
        <v>2.0</v>
      </c>
      <c r="D3196" s="35" t="s">
        <v>4635</v>
      </c>
      <c r="E3196" s="35">
        <v>46027.0</v>
      </c>
      <c r="F3196" s="35">
        <v>0.0</v>
      </c>
      <c r="G3196" s="35">
        <v>5.0</v>
      </c>
      <c r="H3196" s="35">
        <v>0.0</v>
      </c>
      <c r="I3196" s="35">
        <v>0.0</v>
      </c>
      <c r="J3196" s="35"/>
      <c r="K3196" s="35">
        <v>0.0</v>
      </c>
    </row>
    <row r="3197" ht="15.75" customHeight="1">
      <c r="A3197" s="35" t="s">
        <v>8238</v>
      </c>
      <c r="B3197" s="35"/>
      <c r="C3197" s="35">
        <v>2.0</v>
      </c>
      <c r="D3197" s="35" t="s">
        <v>4635</v>
      </c>
      <c r="E3197" s="35">
        <v>46027.0</v>
      </c>
      <c r="F3197" s="35">
        <v>0.0</v>
      </c>
      <c r="G3197" s="35">
        <v>6.0</v>
      </c>
      <c r="H3197" s="35">
        <v>0.0</v>
      </c>
      <c r="I3197" s="35">
        <v>0.0</v>
      </c>
      <c r="J3197" s="35"/>
      <c r="K3197" s="35">
        <v>0.0</v>
      </c>
    </row>
    <row r="3198" ht="15.75" customHeight="1">
      <c r="A3198" s="35" t="s">
        <v>8240</v>
      </c>
      <c r="B3198" s="35"/>
      <c r="C3198" s="35">
        <v>2.0</v>
      </c>
      <c r="D3198" s="35" t="s">
        <v>4635</v>
      </c>
      <c r="E3198" s="35">
        <v>46027.0</v>
      </c>
      <c r="F3198" s="35">
        <v>0.0</v>
      </c>
      <c r="G3198" s="35">
        <v>8.0</v>
      </c>
      <c r="H3198" s="35">
        <v>0.0</v>
      </c>
      <c r="I3198" s="35">
        <v>0.0</v>
      </c>
      <c r="J3198" s="35"/>
      <c r="K3198" s="35">
        <v>0.0</v>
      </c>
    </row>
    <row r="3199" ht="15.75" customHeight="1">
      <c r="A3199" s="35" t="s">
        <v>8241</v>
      </c>
      <c r="B3199" s="35"/>
      <c r="C3199" s="35">
        <v>2.0</v>
      </c>
      <c r="D3199" s="35">
        <v>254.0</v>
      </c>
      <c r="E3199" s="35">
        <v>46027.0</v>
      </c>
      <c r="F3199" s="35">
        <v>0.0</v>
      </c>
      <c r="G3199" s="35">
        <v>2.0</v>
      </c>
      <c r="H3199" s="35">
        <v>0.0</v>
      </c>
      <c r="I3199" s="35">
        <v>0.0</v>
      </c>
      <c r="J3199" s="35"/>
      <c r="K3199" s="35">
        <v>0.0</v>
      </c>
    </row>
    <row r="3200" ht="15.75" customHeight="1">
      <c r="A3200" s="35" t="s">
        <v>8243</v>
      </c>
      <c r="B3200" s="35"/>
      <c r="C3200" s="35">
        <v>2.0</v>
      </c>
      <c r="D3200" s="35" t="s">
        <v>4635</v>
      </c>
      <c r="E3200" s="35">
        <v>46027.0</v>
      </c>
      <c r="F3200" s="35">
        <v>0.0</v>
      </c>
      <c r="G3200" s="35">
        <v>0.0</v>
      </c>
      <c r="H3200" s="35">
        <v>0.0</v>
      </c>
      <c r="I3200" s="35">
        <v>2.0</v>
      </c>
      <c r="J3200" s="35"/>
      <c r="K3200" s="35">
        <v>0.0</v>
      </c>
    </row>
    <row r="3201" ht="15.75" customHeight="1">
      <c r="A3201" s="35" t="s">
        <v>8244</v>
      </c>
      <c r="B3201" s="35"/>
      <c r="C3201" s="35">
        <v>2.0</v>
      </c>
      <c r="D3201" s="35">
        <v>44.0</v>
      </c>
      <c r="E3201" s="35">
        <v>46027.0</v>
      </c>
      <c r="F3201" s="35">
        <v>0.0</v>
      </c>
      <c r="G3201" s="35">
        <v>4.0</v>
      </c>
      <c r="H3201" s="35">
        <v>0.0</v>
      </c>
      <c r="I3201" s="35">
        <v>0.0</v>
      </c>
      <c r="J3201" s="35"/>
      <c r="K3201" s="35">
        <v>0.0</v>
      </c>
    </row>
    <row r="3202" ht="15.75" customHeight="1">
      <c r="A3202" s="35" t="s">
        <v>8246</v>
      </c>
      <c r="B3202" s="35"/>
      <c r="C3202" s="35">
        <v>2.0</v>
      </c>
      <c r="D3202" s="35" t="s">
        <v>2032</v>
      </c>
      <c r="E3202" s="35">
        <v>46027.0</v>
      </c>
      <c r="F3202" s="35">
        <v>0.0</v>
      </c>
      <c r="G3202" s="35">
        <v>0.0</v>
      </c>
      <c r="H3202" s="35">
        <v>0.0</v>
      </c>
      <c r="I3202" s="35">
        <v>4.0</v>
      </c>
      <c r="J3202" s="35"/>
      <c r="K3202" s="35">
        <v>0.0</v>
      </c>
    </row>
    <row r="3203" ht="15.75" customHeight="1">
      <c r="A3203" s="35" t="s">
        <v>8247</v>
      </c>
      <c r="B3203" s="35"/>
      <c r="C3203" s="35">
        <v>2.0</v>
      </c>
      <c r="D3203" s="35" t="s">
        <v>4635</v>
      </c>
      <c r="E3203" s="35">
        <v>46027.0</v>
      </c>
      <c r="F3203" s="35">
        <v>0.0</v>
      </c>
      <c r="G3203" s="35">
        <v>0.0</v>
      </c>
      <c r="H3203" s="35">
        <v>0.0</v>
      </c>
      <c r="I3203" s="35">
        <v>34.0</v>
      </c>
      <c r="J3203" s="35"/>
      <c r="K3203" s="35">
        <v>0.0</v>
      </c>
    </row>
    <row r="3204" ht="15.75" customHeight="1">
      <c r="A3204" s="35" t="s">
        <v>8248</v>
      </c>
      <c r="B3204" s="35"/>
      <c r="C3204" s="35">
        <v>2.0</v>
      </c>
      <c r="D3204" s="35" t="s">
        <v>4635</v>
      </c>
      <c r="E3204" s="35">
        <v>46027.0</v>
      </c>
      <c r="F3204" s="35">
        <v>0.0</v>
      </c>
      <c r="G3204" s="35">
        <v>6.0</v>
      </c>
      <c r="H3204" s="35">
        <v>0.0</v>
      </c>
      <c r="I3204" s="35">
        <v>0.0</v>
      </c>
      <c r="J3204" s="35"/>
      <c r="K3204" s="35">
        <v>0.0</v>
      </c>
    </row>
    <row r="3205" ht="15.75" customHeight="1">
      <c r="A3205" s="35" t="s">
        <v>8250</v>
      </c>
      <c r="B3205" s="35"/>
      <c r="C3205" s="35">
        <v>2.0</v>
      </c>
      <c r="D3205" s="35" t="s">
        <v>4635</v>
      </c>
      <c r="E3205" s="35">
        <v>46027.0</v>
      </c>
      <c r="F3205" s="35">
        <v>0.0</v>
      </c>
      <c r="G3205" s="35">
        <v>7.0</v>
      </c>
      <c r="H3205" s="35">
        <v>0.0</v>
      </c>
      <c r="I3205" s="35">
        <v>0.0</v>
      </c>
      <c r="J3205" s="35"/>
      <c r="K3205" s="35">
        <v>0.0</v>
      </c>
    </row>
    <row r="3206" ht="15.75" customHeight="1">
      <c r="A3206" s="35" t="s">
        <v>8251</v>
      </c>
      <c r="B3206" s="35"/>
      <c r="C3206" s="35">
        <v>2.0</v>
      </c>
      <c r="D3206" s="35" t="s">
        <v>4635</v>
      </c>
      <c r="E3206" s="35">
        <v>46027.0</v>
      </c>
      <c r="F3206" s="35">
        <v>0.0</v>
      </c>
      <c r="G3206" s="35">
        <v>4.0</v>
      </c>
      <c r="H3206" s="35">
        <v>0.0</v>
      </c>
      <c r="I3206" s="35">
        <v>0.0</v>
      </c>
      <c r="J3206" s="35"/>
      <c r="K3206" s="35">
        <v>0.0</v>
      </c>
    </row>
    <row r="3207" ht="15.75" customHeight="1">
      <c r="A3207" s="35" t="s">
        <v>8253</v>
      </c>
      <c r="B3207" s="35"/>
      <c r="C3207" s="35">
        <v>2.0</v>
      </c>
      <c r="D3207" s="35" t="s">
        <v>4635</v>
      </c>
      <c r="E3207" s="35">
        <v>46027.0</v>
      </c>
      <c r="F3207" s="35">
        <v>0.0</v>
      </c>
      <c r="G3207" s="35">
        <v>1.0</v>
      </c>
      <c r="H3207" s="35">
        <v>0.0</v>
      </c>
      <c r="I3207" s="35">
        <v>0.0</v>
      </c>
      <c r="J3207" s="35"/>
      <c r="K3207" s="35">
        <v>0.0</v>
      </c>
    </row>
    <row r="3208" ht="15.75" customHeight="1">
      <c r="A3208" s="35" t="s">
        <v>8254</v>
      </c>
      <c r="B3208" s="35"/>
      <c r="C3208" s="35">
        <v>2.0</v>
      </c>
      <c r="D3208" s="35">
        <v>104.0</v>
      </c>
      <c r="E3208" s="35">
        <v>46027.0</v>
      </c>
      <c r="F3208" s="35">
        <v>0.0</v>
      </c>
      <c r="G3208" s="35">
        <v>6.0</v>
      </c>
      <c r="H3208" s="35">
        <v>0.0</v>
      </c>
      <c r="I3208" s="35">
        <v>0.0</v>
      </c>
      <c r="J3208" s="35"/>
      <c r="K3208" s="35">
        <v>0.0</v>
      </c>
    </row>
    <row r="3209" ht="15.75" customHeight="1">
      <c r="A3209" s="35" t="s">
        <v>8256</v>
      </c>
      <c r="B3209" s="35"/>
      <c r="C3209" s="35">
        <v>2.0</v>
      </c>
      <c r="D3209" s="35">
        <v>65.0</v>
      </c>
      <c r="E3209" s="35">
        <v>46027.0</v>
      </c>
      <c r="F3209" s="35">
        <v>0.0</v>
      </c>
      <c r="G3209" s="35">
        <v>8.0</v>
      </c>
      <c r="H3209" s="35">
        <v>0.0</v>
      </c>
      <c r="I3209" s="35">
        <v>0.0</v>
      </c>
      <c r="J3209" s="35"/>
      <c r="K3209" s="35">
        <v>0.0</v>
      </c>
    </row>
    <row r="3210" ht="15.75" customHeight="1">
      <c r="A3210" s="35" t="s">
        <v>8257</v>
      </c>
      <c r="B3210" s="35"/>
      <c r="C3210" s="35">
        <v>2.0</v>
      </c>
      <c r="D3210" s="35">
        <v>65.0</v>
      </c>
      <c r="E3210" s="35">
        <v>46027.0</v>
      </c>
      <c r="F3210" s="35">
        <v>0.0</v>
      </c>
      <c r="G3210" s="35">
        <v>10.0</v>
      </c>
      <c r="H3210" s="35">
        <v>0.0</v>
      </c>
      <c r="I3210" s="35">
        <v>0.0</v>
      </c>
      <c r="J3210" s="35"/>
      <c r="K3210" s="35">
        <v>0.0</v>
      </c>
    </row>
    <row r="3211" ht="15.75" customHeight="1">
      <c r="A3211" s="35" t="s">
        <v>8258</v>
      </c>
      <c r="B3211" s="35"/>
      <c r="C3211" s="35">
        <v>2.0</v>
      </c>
      <c r="D3211" s="35">
        <v>123.0</v>
      </c>
      <c r="E3211" s="35">
        <v>46027.0</v>
      </c>
      <c r="F3211" s="35">
        <v>0.0</v>
      </c>
      <c r="G3211" s="35">
        <v>8.0</v>
      </c>
      <c r="H3211" s="35">
        <v>0.0</v>
      </c>
      <c r="I3211" s="35">
        <v>0.0</v>
      </c>
      <c r="J3211" s="35"/>
      <c r="K3211" s="35">
        <v>0.0</v>
      </c>
    </row>
    <row r="3212" ht="15.75" customHeight="1">
      <c r="A3212" s="35" t="s">
        <v>8259</v>
      </c>
      <c r="B3212" s="35"/>
      <c r="C3212" s="35">
        <v>2.0</v>
      </c>
      <c r="D3212" s="35" t="s">
        <v>4635</v>
      </c>
      <c r="E3212" s="35">
        <v>46027.0</v>
      </c>
      <c r="F3212" s="35">
        <v>0.0</v>
      </c>
      <c r="G3212" s="35">
        <v>6.0</v>
      </c>
      <c r="H3212" s="35">
        <v>0.0</v>
      </c>
      <c r="I3212" s="35">
        <v>0.0</v>
      </c>
      <c r="J3212" s="35"/>
      <c r="K3212" s="35">
        <v>0.0</v>
      </c>
    </row>
    <row r="3213" ht="15.75" customHeight="1">
      <c r="A3213" s="35" t="s">
        <v>8260</v>
      </c>
      <c r="B3213" s="35"/>
      <c r="C3213" s="35">
        <v>2.0</v>
      </c>
      <c r="D3213" s="35" t="s">
        <v>4635</v>
      </c>
      <c r="E3213" s="35">
        <v>46027.0</v>
      </c>
      <c r="F3213" s="35">
        <v>0.0</v>
      </c>
      <c r="G3213" s="35">
        <v>0.0</v>
      </c>
      <c r="H3213" s="35">
        <v>0.0</v>
      </c>
      <c r="I3213" s="35">
        <v>20.0</v>
      </c>
      <c r="J3213" s="35"/>
      <c r="K3213" s="35">
        <v>0.0</v>
      </c>
    </row>
    <row r="3214" ht="15.75" customHeight="1">
      <c r="A3214" s="35" t="s">
        <v>8262</v>
      </c>
      <c r="B3214" s="35"/>
      <c r="C3214" s="35">
        <v>2.0</v>
      </c>
      <c r="D3214" s="35">
        <v>68.0</v>
      </c>
      <c r="E3214" s="35">
        <v>46027.0</v>
      </c>
      <c r="F3214" s="35">
        <v>0.0</v>
      </c>
      <c r="G3214" s="35">
        <v>1.0</v>
      </c>
      <c r="H3214" s="35">
        <v>0.0</v>
      </c>
      <c r="I3214" s="35">
        <v>0.0</v>
      </c>
      <c r="J3214" s="35"/>
      <c r="K3214" s="35">
        <v>0.0</v>
      </c>
    </row>
    <row r="3215" ht="15.75" customHeight="1">
      <c r="A3215" s="35" t="s">
        <v>8263</v>
      </c>
      <c r="B3215" s="35"/>
      <c r="C3215" s="35">
        <v>2.0</v>
      </c>
      <c r="D3215" s="35" t="s">
        <v>4635</v>
      </c>
      <c r="E3215" s="35">
        <v>46027.0</v>
      </c>
      <c r="F3215" s="35">
        <v>0.0</v>
      </c>
      <c r="G3215" s="35">
        <v>4.0</v>
      </c>
      <c r="H3215" s="35">
        <v>0.0</v>
      </c>
      <c r="I3215" s="35">
        <v>0.0</v>
      </c>
      <c r="J3215" s="35"/>
      <c r="K3215" s="35">
        <v>0.0</v>
      </c>
    </row>
    <row r="3216" ht="15.75" customHeight="1">
      <c r="A3216" s="35" t="s">
        <v>8265</v>
      </c>
      <c r="B3216" s="35"/>
      <c r="C3216" s="35">
        <v>2.0</v>
      </c>
      <c r="D3216" s="35" t="s">
        <v>4635</v>
      </c>
      <c r="E3216" s="35">
        <v>46027.0</v>
      </c>
      <c r="F3216" s="35">
        <v>0.0</v>
      </c>
      <c r="G3216" s="35">
        <v>4.0</v>
      </c>
      <c r="H3216" s="35">
        <v>0.0</v>
      </c>
      <c r="I3216" s="35">
        <v>0.0</v>
      </c>
      <c r="J3216" s="35"/>
      <c r="K3216" s="35">
        <v>0.0</v>
      </c>
    </row>
    <row r="3217" ht="15.75" customHeight="1">
      <c r="A3217" s="35" t="s">
        <v>8266</v>
      </c>
      <c r="B3217" s="35"/>
      <c r="C3217" s="35">
        <v>2.0</v>
      </c>
      <c r="D3217" s="35" t="s">
        <v>4635</v>
      </c>
      <c r="E3217" s="35">
        <v>46027.0</v>
      </c>
      <c r="F3217" s="35">
        <v>0.0</v>
      </c>
      <c r="G3217" s="35">
        <v>4.0</v>
      </c>
      <c r="H3217" s="35">
        <v>0.0</v>
      </c>
      <c r="I3217" s="35">
        <v>0.0</v>
      </c>
      <c r="J3217" s="35"/>
      <c r="K3217" s="35">
        <v>0.0</v>
      </c>
    </row>
    <row r="3218" ht="15.75" customHeight="1">
      <c r="A3218" s="35" t="s">
        <v>8268</v>
      </c>
      <c r="B3218" s="35"/>
      <c r="C3218" s="35">
        <v>2.0</v>
      </c>
      <c r="D3218" s="35" t="s">
        <v>4635</v>
      </c>
      <c r="E3218" s="35">
        <v>46027.0</v>
      </c>
      <c r="F3218" s="35">
        <v>0.0</v>
      </c>
      <c r="G3218" s="35">
        <v>6.0</v>
      </c>
      <c r="H3218" s="35">
        <v>0.0</v>
      </c>
      <c r="I3218" s="35">
        <v>0.0</v>
      </c>
      <c r="J3218" s="35"/>
      <c r="K3218" s="35">
        <v>0.0</v>
      </c>
    </row>
    <row r="3219" ht="15.75" customHeight="1">
      <c r="A3219" s="35" t="s">
        <v>8269</v>
      </c>
      <c r="B3219" s="35"/>
      <c r="C3219" s="35">
        <v>2.0</v>
      </c>
      <c r="D3219" s="35" t="s">
        <v>4635</v>
      </c>
      <c r="E3219" s="35">
        <v>46027.0</v>
      </c>
      <c r="F3219" s="35">
        <v>0.0</v>
      </c>
      <c r="G3219" s="35">
        <v>3.0</v>
      </c>
      <c r="H3219" s="35">
        <v>0.0</v>
      </c>
      <c r="I3219" s="35">
        <v>0.0</v>
      </c>
      <c r="J3219" s="35"/>
      <c r="K3219" s="35">
        <v>0.0</v>
      </c>
    </row>
    <row r="3220" ht="15.75" customHeight="1">
      <c r="A3220" s="35" t="s">
        <v>8271</v>
      </c>
      <c r="B3220" s="35"/>
      <c r="C3220" s="35">
        <v>2.0</v>
      </c>
      <c r="D3220" s="35" t="s">
        <v>2049</v>
      </c>
      <c r="E3220" s="35">
        <v>46027.0</v>
      </c>
      <c r="F3220" s="35">
        <v>0.0</v>
      </c>
      <c r="G3220" s="35">
        <v>1.0</v>
      </c>
      <c r="H3220" s="35">
        <v>0.0</v>
      </c>
      <c r="I3220" s="35">
        <v>0.0</v>
      </c>
      <c r="J3220" s="35"/>
      <c r="K3220" s="35">
        <v>0.0</v>
      </c>
    </row>
    <row r="3221" ht="15.75" customHeight="1">
      <c r="A3221" s="35" t="s">
        <v>8272</v>
      </c>
      <c r="B3221" s="35"/>
      <c r="C3221" s="35">
        <v>2.0</v>
      </c>
      <c r="D3221" s="35" t="s">
        <v>4635</v>
      </c>
      <c r="E3221" s="35">
        <v>46027.0</v>
      </c>
      <c r="F3221" s="35">
        <v>0.0</v>
      </c>
      <c r="G3221" s="35">
        <v>3.0</v>
      </c>
      <c r="H3221" s="35">
        <v>0.0</v>
      </c>
      <c r="I3221" s="35">
        <v>0.0</v>
      </c>
      <c r="J3221" s="35"/>
      <c r="K3221" s="35">
        <v>0.0</v>
      </c>
    </row>
    <row r="3222" ht="15.75" customHeight="1">
      <c r="A3222" s="35" t="s">
        <v>8274</v>
      </c>
      <c r="B3222" s="35"/>
      <c r="C3222" s="35">
        <v>2.0</v>
      </c>
      <c r="D3222" s="35" t="s">
        <v>4635</v>
      </c>
      <c r="E3222" s="35">
        <v>46027.0</v>
      </c>
      <c r="F3222" s="35">
        <v>0.0</v>
      </c>
      <c r="G3222" s="35">
        <v>2.0</v>
      </c>
      <c r="H3222" s="35">
        <v>0.0</v>
      </c>
      <c r="I3222" s="35">
        <v>0.0</v>
      </c>
      <c r="J3222" s="35"/>
      <c r="K3222" s="35">
        <v>0.0</v>
      </c>
    </row>
    <row r="3223" ht="15.75" customHeight="1">
      <c r="A3223" s="35" t="s">
        <v>8275</v>
      </c>
      <c r="B3223" s="35"/>
      <c r="C3223" s="35">
        <v>2.0</v>
      </c>
      <c r="D3223" s="35">
        <v>151.0</v>
      </c>
      <c r="E3223" s="35">
        <v>46027.0</v>
      </c>
      <c r="F3223" s="35">
        <v>0.0</v>
      </c>
      <c r="G3223" s="35">
        <v>1.0</v>
      </c>
      <c r="H3223" s="35">
        <v>0.0</v>
      </c>
      <c r="I3223" s="35">
        <v>0.0</v>
      </c>
      <c r="J3223" s="35"/>
      <c r="K3223" s="35">
        <v>0.0</v>
      </c>
    </row>
    <row r="3224" ht="15.75" customHeight="1">
      <c r="A3224" s="35" t="s">
        <v>8277</v>
      </c>
      <c r="B3224" s="35"/>
      <c r="C3224" s="35">
        <v>2.0</v>
      </c>
      <c r="D3224" s="35" t="s">
        <v>4635</v>
      </c>
      <c r="E3224" s="35">
        <v>46027.0</v>
      </c>
      <c r="F3224" s="35">
        <v>0.0</v>
      </c>
      <c r="G3224" s="35">
        <v>1.0</v>
      </c>
      <c r="H3224" s="35">
        <v>0.0</v>
      </c>
      <c r="I3224" s="35">
        <v>0.0</v>
      </c>
      <c r="J3224" s="35"/>
      <c r="K3224" s="35">
        <v>0.0</v>
      </c>
    </row>
    <row r="3225" ht="15.75" customHeight="1">
      <c r="A3225" s="35" t="s">
        <v>8278</v>
      </c>
      <c r="B3225" s="35"/>
      <c r="C3225" s="35">
        <v>2.0</v>
      </c>
      <c r="D3225" s="35" t="s">
        <v>4635</v>
      </c>
      <c r="E3225" s="35">
        <v>46027.0</v>
      </c>
      <c r="F3225" s="35">
        <v>0.0</v>
      </c>
      <c r="G3225" s="35">
        <v>8.0</v>
      </c>
      <c r="H3225" s="35">
        <v>0.0</v>
      </c>
      <c r="I3225" s="35">
        <v>0.0</v>
      </c>
      <c r="J3225" s="35"/>
      <c r="K3225" s="35">
        <v>0.0</v>
      </c>
    </row>
    <row r="3226" ht="15.75" customHeight="1">
      <c r="A3226" s="35" t="s">
        <v>8280</v>
      </c>
      <c r="B3226" s="35"/>
      <c r="C3226" s="35">
        <v>2.0</v>
      </c>
      <c r="D3226" s="35" t="s">
        <v>4635</v>
      </c>
      <c r="E3226" s="35">
        <v>46027.0</v>
      </c>
      <c r="F3226" s="35">
        <v>0.0</v>
      </c>
      <c r="G3226" s="35">
        <v>8.0</v>
      </c>
      <c r="H3226" s="35">
        <v>0.0</v>
      </c>
      <c r="I3226" s="35">
        <v>0.0</v>
      </c>
      <c r="J3226" s="35"/>
      <c r="K3226" s="35">
        <v>0.0</v>
      </c>
    </row>
    <row r="3227" ht="15.75" customHeight="1">
      <c r="A3227" s="35" t="s">
        <v>8281</v>
      </c>
      <c r="B3227" s="35"/>
      <c r="C3227" s="35">
        <v>2.0</v>
      </c>
      <c r="D3227" s="35" t="s">
        <v>4635</v>
      </c>
      <c r="E3227" s="35">
        <v>46027.0</v>
      </c>
      <c r="F3227" s="35">
        <v>0.0</v>
      </c>
      <c r="G3227" s="35">
        <v>4.0</v>
      </c>
      <c r="H3227" s="35">
        <v>0.0</v>
      </c>
      <c r="I3227" s="35">
        <v>0.0</v>
      </c>
      <c r="J3227" s="35"/>
      <c r="K3227" s="35">
        <v>0.0</v>
      </c>
    </row>
    <row r="3228" ht="15.75" customHeight="1">
      <c r="A3228" s="35" t="s">
        <v>8282</v>
      </c>
      <c r="B3228" s="35"/>
      <c r="C3228" s="35">
        <v>2.0</v>
      </c>
      <c r="D3228" s="35" t="s">
        <v>4635</v>
      </c>
      <c r="E3228" s="35">
        <v>46027.0</v>
      </c>
      <c r="F3228" s="35">
        <v>0.0</v>
      </c>
      <c r="G3228" s="35">
        <v>7.0</v>
      </c>
      <c r="H3228" s="35">
        <v>0.0</v>
      </c>
      <c r="I3228" s="35">
        <v>0.0</v>
      </c>
      <c r="J3228" s="35"/>
      <c r="K3228" s="35">
        <v>0.0</v>
      </c>
    </row>
    <row r="3229" ht="15.75" customHeight="1">
      <c r="A3229" s="35" t="s">
        <v>8284</v>
      </c>
      <c r="B3229" s="35"/>
      <c r="C3229" s="35">
        <v>2.0</v>
      </c>
      <c r="D3229" s="35" t="s">
        <v>4635</v>
      </c>
      <c r="E3229" s="35">
        <v>46027.0</v>
      </c>
      <c r="F3229" s="35">
        <v>0.0</v>
      </c>
      <c r="G3229" s="35">
        <v>1.0</v>
      </c>
      <c r="H3229" s="35">
        <v>0.0</v>
      </c>
      <c r="I3229" s="35">
        <v>0.0</v>
      </c>
      <c r="J3229" s="35"/>
      <c r="K3229" s="35">
        <v>0.0</v>
      </c>
    </row>
    <row r="3230" ht="15.75" customHeight="1">
      <c r="A3230" s="35" t="s">
        <v>8285</v>
      </c>
      <c r="B3230" s="35"/>
      <c r="C3230" s="35">
        <v>2.0</v>
      </c>
      <c r="D3230" s="35" t="s">
        <v>4635</v>
      </c>
      <c r="E3230" s="35">
        <v>46027.0</v>
      </c>
      <c r="F3230" s="35">
        <v>0.0</v>
      </c>
      <c r="G3230" s="35">
        <v>4.0</v>
      </c>
      <c r="H3230" s="35">
        <v>0.0</v>
      </c>
      <c r="I3230" s="35">
        <v>0.0</v>
      </c>
      <c r="J3230" s="35"/>
      <c r="K3230" s="35">
        <v>0.0</v>
      </c>
    </row>
    <row r="3231" ht="15.75" customHeight="1">
      <c r="A3231" s="35" t="s">
        <v>8287</v>
      </c>
      <c r="B3231" s="35"/>
      <c r="C3231" s="35">
        <v>2.0</v>
      </c>
      <c r="D3231" s="35" t="s">
        <v>4635</v>
      </c>
      <c r="E3231" s="35">
        <v>46027.0</v>
      </c>
      <c r="F3231" s="35">
        <v>0.0</v>
      </c>
      <c r="G3231" s="35">
        <v>4.0</v>
      </c>
      <c r="H3231" s="35">
        <v>0.0</v>
      </c>
      <c r="I3231" s="35">
        <v>0.0</v>
      </c>
      <c r="J3231" s="35"/>
      <c r="K3231" s="35">
        <v>0.0</v>
      </c>
    </row>
    <row r="3232" ht="15.75" customHeight="1">
      <c r="A3232" s="35" t="s">
        <v>8288</v>
      </c>
      <c r="B3232" s="35"/>
      <c r="C3232" s="35">
        <v>2.0</v>
      </c>
      <c r="D3232" s="35" t="s">
        <v>4635</v>
      </c>
      <c r="E3232" s="35">
        <v>46027.0</v>
      </c>
      <c r="F3232" s="35">
        <v>0.0</v>
      </c>
      <c r="G3232" s="35">
        <v>8.0</v>
      </c>
      <c r="H3232" s="35">
        <v>0.0</v>
      </c>
      <c r="I3232" s="35">
        <v>0.0</v>
      </c>
      <c r="J3232" s="35"/>
      <c r="K3232" s="35">
        <v>0.0</v>
      </c>
    </row>
    <row r="3233" ht="15.75" customHeight="1">
      <c r="A3233" s="35" t="s">
        <v>8290</v>
      </c>
      <c r="B3233" s="35"/>
      <c r="C3233" s="35">
        <v>2.0</v>
      </c>
      <c r="D3233" s="35" t="s">
        <v>4635</v>
      </c>
      <c r="E3233" s="35">
        <v>46027.0</v>
      </c>
      <c r="F3233" s="35">
        <v>0.0</v>
      </c>
      <c r="G3233" s="35">
        <v>1.0</v>
      </c>
      <c r="H3233" s="35">
        <v>0.0</v>
      </c>
      <c r="I3233" s="35">
        <v>0.0</v>
      </c>
      <c r="J3233" s="35"/>
      <c r="K3233" s="35">
        <v>0.0</v>
      </c>
    </row>
    <row r="3234" ht="15.75" customHeight="1">
      <c r="A3234" s="35" t="s">
        <v>8291</v>
      </c>
      <c r="B3234" s="35"/>
      <c r="C3234" s="35">
        <v>2.0</v>
      </c>
      <c r="D3234" s="35" t="s">
        <v>4635</v>
      </c>
      <c r="E3234" s="35">
        <v>46027.0</v>
      </c>
      <c r="F3234" s="35">
        <v>0.0</v>
      </c>
      <c r="G3234" s="35">
        <v>8.0</v>
      </c>
      <c r="H3234" s="35">
        <v>0.0</v>
      </c>
      <c r="I3234" s="35">
        <v>0.0</v>
      </c>
      <c r="J3234" s="35"/>
      <c r="K3234" s="35">
        <v>0.0</v>
      </c>
    </row>
    <row r="3235" ht="15.75" customHeight="1">
      <c r="A3235" s="35" t="s">
        <v>8292</v>
      </c>
      <c r="B3235" s="35"/>
      <c r="C3235" s="35">
        <v>2.0</v>
      </c>
      <c r="D3235" s="35" t="s">
        <v>4635</v>
      </c>
      <c r="E3235" s="35">
        <v>46027.0</v>
      </c>
      <c r="F3235" s="35">
        <v>0.0</v>
      </c>
      <c r="G3235" s="35">
        <v>4.0</v>
      </c>
      <c r="H3235" s="35">
        <v>0.0</v>
      </c>
      <c r="I3235" s="35">
        <v>0.0</v>
      </c>
      <c r="J3235" s="35"/>
      <c r="K3235" s="35">
        <v>0.0</v>
      </c>
    </row>
    <row r="3236" ht="15.75" customHeight="1">
      <c r="A3236" s="35" t="s">
        <v>8294</v>
      </c>
      <c r="B3236" s="35"/>
      <c r="C3236" s="35">
        <v>2.0</v>
      </c>
      <c r="D3236" s="35" t="s">
        <v>4635</v>
      </c>
      <c r="E3236" s="35">
        <v>46027.0</v>
      </c>
      <c r="F3236" s="35">
        <v>0.0</v>
      </c>
      <c r="G3236" s="35">
        <v>4.0</v>
      </c>
      <c r="H3236" s="35">
        <v>0.0</v>
      </c>
      <c r="I3236" s="35">
        <v>0.0</v>
      </c>
      <c r="J3236" s="35"/>
      <c r="K3236" s="35">
        <v>0.0</v>
      </c>
    </row>
    <row r="3237" ht="15.75" customHeight="1">
      <c r="A3237" s="35" t="s">
        <v>8295</v>
      </c>
      <c r="B3237" s="35"/>
      <c r="C3237" s="35">
        <v>2.0</v>
      </c>
      <c r="D3237" s="35">
        <v>68.0</v>
      </c>
      <c r="E3237" s="35">
        <v>46027.0</v>
      </c>
      <c r="F3237" s="35">
        <v>0.0</v>
      </c>
      <c r="G3237" s="35">
        <v>1.0</v>
      </c>
      <c r="H3237" s="35">
        <v>0.0</v>
      </c>
      <c r="I3237" s="35">
        <v>0.0</v>
      </c>
      <c r="J3237" s="35"/>
      <c r="K3237" s="35">
        <v>0.0</v>
      </c>
    </row>
    <row r="3238" ht="15.75" customHeight="1">
      <c r="A3238" s="35" t="s">
        <v>8296</v>
      </c>
      <c r="B3238" s="35"/>
      <c r="C3238" s="35">
        <v>2.0</v>
      </c>
      <c r="D3238" s="35" t="s">
        <v>4635</v>
      </c>
      <c r="E3238" s="35">
        <v>46027.0</v>
      </c>
      <c r="F3238" s="35">
        <v>0.0</v>
      </c>
      <c r="G3238" s="35">
        <v>8.0</v>
      </c>
      <c r="H3238" s="35">
        <v>0.0</v>
      </c>
      <c r="I3238" s="35">
        <v>0.0</v>
      </c>
      <c r="J3238" s="35"/>
      <c r="K3238" s="35">
        <v>0.0</v>
      </c>
    </row>
    <row r="3239" ht="15.75" customHeight="1">
      <c r="A3239" s="35" t="s">
        <v>8298</v>
      </c>
      <c r="B3239" s="35"/>
      <c r="C3239" s="35">
        <v>2.0</v>
      </c>
      <c r="D3239" s="35" t="s">
        <v>4965</v>
      </c>
      <c r="E3239" s="35">
        <v>46027.0</v>
      </c>
      <c r="F3239" s="35">
        <v>0.0</v>
      </c>
      <c r="G3239" s="35">
        <v>1.0</v>
      </c>
      <c r="H3239" s="35">
        <v>0.0</v>
      </c>
      <c r="I3239" s="35">
        <v>0.0</v>
      </c>
      <c r="J3239" s="35"/>
      <c r="K3239" s="35">
        <v>0.0</v>
      </c>
    </row>
    <row r="3240" ht="15.75" customHeight="1">
      <c r="A3240" s="35" t="s">
        <v>8299</v>
      </c>
      <c r="B3240" s="35"/>
      <c r="C3240" s="35">
        <v>2.0</v>
      </c>
      <c r="D3240" s="35" t="s">
        <v>4635</v>
      </c>
      <c r="E3240" s="35">
        <v>46027.0</v>
      </c>
      <c r="F3240" s="35">
        <v>0.0</v>
      </c>
      <c r="G3240" s="35">
        <v>3.0</v>
      </c>
      <c r="H3240" s="35">
        <v>0.0</v>
      </c>
      <c r="I3240" s="35">
        <v>0.0</v>
      </c>
      <c r="J3240" s="35"/>
      <c r="K3240" s="35">
        <v>0.0</v>
      </c>
    </row>
    <row r="3241" ht="15.75" customHeight="1">
      <c r="A3241" s="35" t="s">
        <v>8301</v>
      </c>
      <c r="B3241" s="35"/>
      <c r="C3241" s="35">
        <v>2.0</v>
      </c>
      <c r="D3241" s="35" t="s">
        <v>4635</v>
      </c>
      <c r="E3241" s="35">
        <v>46027.0</v>
      </c>
      <c r="F3241" s="35">
        <v>0.0</v>
      </c>
      <c r="G3241" s="35">
        <v>6.0</v>
      </c>
      <c r="H3241" s="35">
        <v>0.0</v>
      </c>
      <c r="I3241" s="35">
        <v>0.0</v>
      </c>
      <c r="J3241" s="35"/>
      <c r="K3241" s="35">
        <v>0.0</v>
      </c>
    </row>
    <row r="3242" ht="15.75" customHeight="1">
      <c r="A3242" s="35" t="s">
        <v>8302</v>
      </c>
      <c r="B3242" s="35"/>
      <c r="C3242" s="35">
        <v>2.0</v>
      </c>
      <c r="D3242" s="35" t="s">
        <v>4635</v>
      </c>
      <c r="E3242" s="35">
        <v>46027.0</v>
      </c>
      <c r="F3242" s="35">
        <v>0.0</v>
      </c>
      <c r="G3242" s="35">
        <v>4.0</v>
      </c>
      <c r="H3242" s="35">
        <v>0.0</v>
      </c>
      <c r="I3242" s="35">
        <v>0.0</v>
      </c>
      <c r="J3242" s="35"/>
      <c r="K3242" s="35">
        <v>0.0</v>
      </c>
    </row>
    <row r="3243" ht="15.75" customHeight="1">
      <c r="A3243" s="35" t="s">
        <v>8304</v>
      </c>
      <c r="B3243" s="35"/>
      <c r="C3243" s="35">
        <v>2.0</v>
      </c>
      <c r="D3243" s="35" t="s">
        <v>4635</v>
      </c>
      <c r="E3243" s="35">
        <v>46027.0</v>
      </c>
      <c r="F3243" s="35">
        <v>0.0</v>
      </c>
      <c r="G3243" s="35">
        <v>8.0</v>
      </c>
      <c r="H3243" s="35">
        <v>0.0</v>
      </c>
      <c r="I3243" s="35">
        <v>0.0</v>
      </c>
      <c r="J3243" s="35"/>
      <c r="K3243" s="35">
        <v>0.0</v>
      </c>
    </row>
    <row r="3244" ht="15.75" customHeight="1">
      <c r="A3244" s="35" t="s">
        <v>8305</v>
      </c>
      <c r="B3244" s="35"/>
      <c r="C3244" s="35">
        <v>2.0</v>
      </c>
      <c r="D3244" s="35" t="s">
        <v>4635</v>
      </c>
      <c r="E3244" s="35">
        <v>46027.0</v>
      </c>
      <c r="F3244" s="35">
        <v>0.0</v>
      </c>
      <c r="G3244" s="35">
        <v>2.0</v>
      </c>
      <c r="H3244" s="35">
        <v>0.0</v>
      </c>
      <c r="I3244" s="35">
        <v>0.0</v>
      </c>
      <c r="J3244" s="35"/>
      <c r="K3244" s="35">
        <v>0.0</v>
      </c>
    </row>
    <row r="3245" ht="15.75" customHeight="1">
      <c r="A3245" s="35" t="s">
        <v>8307</v>
      </c>
      <c r="B3245" s="35"/>
      <c r="C3245" s="35">
        <v>2.0</v>
      </c>
      <c r="D3245" s="35">
        <v>431.0</v>
      </c>
      <c r="E3245" s="35">
        <v>46027.0</v>
      </c>
      <c r="F3245" s="35">
        <v>0.0</v>
      </c>
      <c r="G3245" s="35">
        <v>1.0</v>
      </c>
      <c r="H3245" s="35">
        <v>0.0</v>
      </c>
      <c r="I3245" s="35">
        <v>0.0</v>
      </c>
      <c r="J3245" s="35"/>
      <c r="K3245" s="35">
        <v>0.0</v>
      </c>
    </row>
    <row r="3246" ht="15.75" customHeight="1">
      <c r="A3246" s="35" t="s">
        <v>8308</v>
      </c>
      <c r="B3246" s="35"/>
      <c r="C3246" s="35">
        <v>2.0</v>
      </c>
      <c r="D3246" s="35" t="s">
        <v>2005</v>
      </c>
      <c r="E3246" s="35">
        <v>46027.0</v>
      </c>
      <c r="F3246" s="35">
        <v>0.0</v>
      </c>
      <c r="G3246" s="35">
        <v>1.0</v>
      </c>
      <c r="H3246" s="35">
        <v>0.0</v>
      </c>
      <c r="I3246" s="35">
        <v>0.0</v>
      </c>
      <c r="J3246" s="35"/>
      <c r="K3246" s="35">
        <v>0.0</v>
      </c>
    </row>
    <row r="3247" ht="15.75" customHeight="1">
      <c r="A3247" s="35" t="s">
        <v>8309</v>
      </c>
      <c r="B3247" s="35"/>
      <c r="C3247" s="35">
        <v>2.0</v>
      </c>
      <c r="D3247" s="35" t="s">
        <v>4635</v>
      </c>
      <c r="E3247" s="35">
        <v>46027.0</v>
      </c>
      <c r="F3247" s="35">
        <v>0.0</v>
      </c>
      <c r="G3247" s="35">
        <v>8.0</v>
      </c>
      <c r="H3247" s="35">
        <v>0.0</v>
      </c>
      <c r="I3247" s="35">
        <v>0.0</v>
      </c>
      <c r="J3247" s="35"/>
      <c r="K3247" s="35">
        <v>0.0</v>
      </c>
    </row>
    <row r="3248" ht="15.75" customHeight="1">
      <c r="A3248" s="35" t="s">
        <v>8311</v>
      </c>
      <c r="B3248" s="35"/>
      <c r="C3248" s="35">
        <v>2.0</v>
      </c>
      <c r="D3248" s="35" t="s">
        <v>4635</v>
      </c>
      <c r="E3248" s="35">
        <v>46027.0</v>
      </c>
      <c r="F3248" s="35">
        <v>0.0</v>
      </c>
      <c r="G3248" s="35">
        <v>8.0</v>
      </c>
      <c r="H3248" s="35">
        <v>0.0</v>
      </c>
      <c r="I3248" s="35">
        <v>0.0</v>
      </c>
      <c r="J3248" s="35"/>
      <c r="K3248" s="35">
        <v>0.0</v>
      </c>
    </row>
    <row r="3249" ht="15.75" customHeight="1">
      <c r="A3249" s="35" t="s">
        <v>8312</v>
      </c>
      <c r="B3249" s="35"/>
      <c r="C3249" s="35">
        <v>2.0</v>
      </c>
      <c r="D3249" s="35" t="s">
        <v>4635</v>
      </c>
      <c r="E3249" s="35">
        <v>46027.0</v>
      </c>
      <c r="F3249" s="35">
        <v>0.0</v>
      </c>
      <c r="G3249" s="35">
        <v>7.0</v>
      </c>
      <c r="H3249" s="35">
        <v>0.0</v>
      </c>
      <c r="I3249" s="35">
        <v>0.0</v>
      </c>
      <c r="J3249" s="35"/>
      <c r="K3249" s="35">
        <v>0.0</v>
      </c>
    </row>
    <row r="3250" ht="15.75" customHeight="1">
      <c r="A3250" s="35" t="s">
        <v>8314</v>
      </c>
      <c r="B3250" s="35"/>
      <c r="C3250" s="35">
        <v>2.0</v>
      </c>
      <c r="D3250" s="35" t="s">
        <v>4635</v>
      </c>
      <c r="E3250" s="35">
        <v>46027.0</v>
      </c>
      <c r="F3250" s="35">
        <v>0.0</v>
      </c>
      <c r="G3250" s="35">
        <v>5.0</v>
      </c>
      <c r="H3250" s="35">
        <v>0.0</v>
      </c>
      <c r="I3250" s="35">
        <v>0.0</v>
      </c>
      <c r="J3250" s="35"/>
      <c r="K3250" s="35">
        <v>0.0</v>
      </c>
    </row>
    <row r="3251" ht="15.75" customHeight="1">
      <c r="A3251" s="35" t="s">
        <v>8315</v>
      </c>
      <c r="B3251" s="35"/>
      <c r="C3251" s="35">
        <v>2.0</v>
      </c>
      <c r="D3251" s="35" t="s">
        <v>4635</v>
      </c>
      <c r="E3251" s="35">
        <v>46027.0</v>
      </c>
      <c r="F3251" s="35">
        <v>0.0</v>
      </c>
      <c r="G3251" s="35">
        <v>2.0</v>
      </c>
      <c r="H3251" s="35">
        <v>0.0</v>
      </c>
      <c r="I3251" s="35">
        <v>0.0</v>
      </c>
      <c r="J3251" s="35"/>
      <c r="K3251" s="35">
        <v>0.0</v>
      </c>
    </row>
    <row r="3252" ht="15.75" customHeight="1">
      <c r="A3252" s="35" t="s">
        <v>8317</v>
      </c>
      <c r="B3252" s="35"/>
      <c r="C3252" s="35">
        <v>2.0</v>
      </c>
      <c r="D3252" s="35" t="s">
        <v>4635</v>
      </c>
      <c r="E3252" s="35">
        <v>46027.0</v>
      </c>
      <c r="F3252" s="35">
        <v>0.0</v>
      </c>
      <c r="G3252" s="35">
        <v>4.0</v>
      </c>
      <c r="H3252" s="35">
        <v>0.0</v>
      </c>
      <c r="I3252" s="35">
        <v>0.0</v>
      </c>
      <c r="J3252" s="35"/>
      <c r="K3252" s="35">
        <v>0.0</v>
      </c>
    </row>
    <row r="3253" ht="15.75" customHeight="1">
      <c r="A3253" s="35" t="s">
        <v>8318</v>
      </c>
      <c r="B3253" s="35"/>
      <c r="C3253" s="35">
        <v>2.0</v>
      </c>
      <c r="D3253" s="35" t="s">
        <v>4635</v>
      </c>
      <c r="E3253" s="35">
        <v>46027.0</v>
      </c>
      <c r="F3253" s="35">
        <v>0.0</v>
      </c>
      <c r="G3253" s="35">
        <v>4.0</v>
      </c>
      <c r="H3253" s="35">
        <v>0.0</v>
      </c>
      <c r="I3253" s="35">
        <v>0.0</v>
      </c>
      <c r="J3253" s="35"/>
      <c r="K3253" s="35">
        <v>0.0</v>
      </c>
    </row>
    <row r="3254" ht="15.75" customHeight="1">
      <c r="A3254" s="35" t="s">
        <v>8319</v>
      </c>
      <c r="B3254" s="35"/>
      <c r="C3254" s="35">
        <v>2.0</v>
      </c>
      <c r="D3254" s="35" t="s">
        <v>4635</v>
      </c>
      <c r="E3254" s="35">
        <v>46027.0</v>
      </c>
      <c r="F3254" s="35">
        <v>0.0</v>
      </c>
      <c r="G3254" s="35">
        <v>1.0</v>
      </c>
      <c r="H3254" s="35">
        <v>0.0</v>
      </c>
      <c r="I3254" s="35">
        <v>0.0</v>
      </c>
      <c r="J3254" s="35"/>
      <c r="K3254" s="35">
        <v>0.0</v>
      </c>
    </row>
    <row r="3255" ht="15.75" customHeight="1">
      <c r="A3255" s="35" t="s">
        <v>8321</v>
      </c>
      <c r="B3255" s="35"/>
      <c r="C3255" s="35">
        <v>2.0</v>
      </c>
      <c r="D3255" s="35" t="s">
        <v>4635</v>
      </c>
      <c r="E3255" s="35">
        <v>46027.0</v>
      </c>
      <c r="F3255" s="35">
        <v>0.0</v>
      </c>
      <c r="G3255" s="35">
        <v>0.0</v>
      </c>
      <c r="H3255" s="35">
        <v>20.0</v>
      </c>
      <c r="I3255" s="35">
        <v>0.0</v>
      </c>
      <c r="J3255" s="35"/>
      <c r="K3255" s="35">
        <v>0.0</v>
      </c>
    </row>
    <row r="3256" ht="15.75" customHeight="1">
      <c r="A3256" s="35" t="s">
        <v>8323</v>
      </c>
      <c r="B3256" s="35"/>
      <c r="C3256" s="35">
        <v>2.0</v>
      </c>
      <c r="D3256" s="35" t="s">
        <v>4635</v>
      </c>
      <c r="E3256" s="35">
        <v>46027.0</v>
      </c>
      <c r="F3256" s="35">
        <v>0.0</v>
      </c>
      <c r="G3256" s="35">
        <v>5.0</v>
      </c>
      <c r="H3256" s="35">
        <v>0.0</v>
      </c>
      <c r="I3256" s="35">
        <v>0.0</v>
      </c>
      <c r="J3256" s="35"/>
      <c r="K3256" s="35">
        <v>0.0</v>
      </c>
    </row>
    <row r="3257" ht="15.75" customHeight="1">
      <c r="A3257" s="35" t="s">
        <v>8324</v>
      </c>
      <c r="B3257" s="35"/>
      <c r="C3257" s="35">
        <v>2.0</v>
      </c>
      <c r="D3257" s="35" t="s">
        <v>4635</v>
      </c>
      <c r="E3257" s="35">
        <v>46027.0</v>
      </c>
      <c r="F3257" s="35">
        <v>0.0</v>
      </c>
      <c r="G3257" s="35">
        <v>4.0</v>
      </c>
      <c r="H3257" s="35">
        <v>0.0</v>
      </c>
      <c r="I3257" s="35">
        <v>0.0</v>
      </c>
      <c r="J3257" s="35"/>
      <c r="K3257" s="35">
        <v>0.0</v>
      </c>
    </row>
    <row r="3258" ht="15.75" customHeight="1">
      <c r="A3258" s="35" t="s">
        <v>8326</v>
      </c>
      <c r="B3258" s="35"/>
      <c r="C3258" s="35">
        <v>2.0</v>
      </c>
      <c r="D3258" s="35">
        <v>102.0</v>
      </c>
      <c r="E3258" s="35">
        <v>46027.0</v>
      </c>
      <c r="F3258" s="35">
        <v>0.0</v>
      </c>
      <c r="G3258" s="35">
        <v>189.0</v>
      </c>
      <c r="H3258" s="35">
        <v>0.0</v>
      </c>
      <c r="I3258" s="35">
        <v>0.0</v>
      </c>
      <c r="J3258" s="35"/>
      <c r="K3258" s="35">
        <v>0.0</v>
      </c>
    </row>
    <row r="3259" ht="15.75" customHeight="1">
      <c r="A3259" s="35" t="s">
        <v>8327</v>
      </c>
      <c r="B3259" s="35"/>
      <c r="C3259" s="35">
        <v>2.0</v>
      </c>
      <c r="D3259" s="35" t="s">
        <v>4635</v>
      </c>
      <c r="E3259" s="35">
        <v>46027.0</v>
      </c>
      <c r="F3259" s="35">
        <v>0.0</v>
      </c>
      <c r="G3259" s="35">
        <v>1.0</v>
      </c>
      <c r="H3259" s="35">
        <v>0.0</v>
      </c>
      <c r="I3259" s="35">
        <v>0.0</v>
      </c>
      <c r="J3259" s="35"/>
      <c r="K3259" s="35">
        <v>0.0</v>
      </c>
    </row>
    <row r="3260" ht="15.75" customHeight="1">
      <c r="A3260" s="35" t="s">
        <v>8329</v>
      </c>
      <c r="B3260" s="35"/>
      <c r="C3260" s="35">
        <v>2.0</v>
      </c>
      <c r="D3260" s="35" t="s">
        <v>4635</v>
      </c>
      <c r="E3260" s="35">
        <v>46027.0</v>
      </c>
      <c r="F3260" s="35">
        <v>0.0</v>
      </c>
      <c r="G3260" s="35">
        <v>5.0</v>
      </c>
      <c r="H3260" s="35">
        <v>0.0</v>
      </c>
      <c r="I3260" s="35">
        <v>0.0</v>
      </c>
      <c r="J3260" s="35"/>
      <c r="K3260" s="35">
        <v>0.0</v>
      </c>
    </row>
    <row r="3261" ht="15.75" customHeight="1">
      <c r="A3261" s="35" t="s">
        <v>8330</v>
      </c>
      <c r="B3261" s="35"/>
      <c r="C3261" s="35">
        <v>2.0</v>
      </c>
      <c r="D3261" s="35" t="s">
        <v>4635</v>
      </c>
      <c r="E3261" s="35">
        <v>46027.0</v>
      </c>
      <c r="F3261" s="35">
        <v>0.0</v>
      </c>
      <c r="G3261" s="35">
        <v>1.0</v>
      </c>
      <c r="H3261" s="35">
        <v>0.0</v>
      </c>
      <c r="I3261" s="35">
        <v>0.0</v>
      </c>
      <c r="J3261" s="35"/>
      <c r="K3261" s="35">
        <v>0.0</v>
      </c>
    </row>
    <row r="3262" ht="15.75" customHeight="1">
      <c r="A3262" s="35" t="s">
        <v>8332</v>
      </c>
      <c r="B3262" s="35"/>
      <c r="C3262" s="35">
        <v>2.0</v>
      </c>
      <c r="D3262" s="35" t="s">
        <v>4635</v>
      </c>
      <c r="E3262" s="35">
        <v>46027.0</v>
      </c>
      <c r="F3262" s="35">
        <v>0.0</v>
      </c>
      <c r="G3262" s="35">
        <v>4.0</v>
      </c>
      <c r="H3262" s="35">
        <v>0.0</v>
      </c>
      <c r="I3262" s="35">
        <v>0.0</v>
      </c>
      <c r="J3262" s="35"/>
      <c r="K3262" s="35">
        <v>0.0</v>
      </c>
    </row>
    <row r="3263" ht="15.75" customHeight="1">
      <c r="A3263" s="35" t="s">
        <v>8333</v>
      </c>
      <c r="B3263" s="35"/>
      <c r="C3263" s="35">
        <v>2.0</v>
      </c>
      <c r="D3263" s="35" t="s">
        <v>4635</v>
      </c>
      <c r="E3263" s="35">
        <v>46027.0</v>
      </c>
      <c r="F3263" s="35">
        <v>0.0</v>
      </c>
      <c r="G3263" s="35">
        <v>2.0</v>
      </c>
      <c r="H3263" s="35">
        <v>0.0</v>
      </c>
      <c r="I3263" s="35">
        <v>0.0</v>
      </c>
      <c r="J3263" s="35"/>
      <c r="K3263" s="35">
        <v>0.0</v>
      </c>
    </row>
    <row r="3264" ht="15.75" customHeight="1">
      <c r="A3264" s="35" t="s">
        <v>8334</v>
      </c>
      <c r="B3264" s="35"/>
      <c r="C3264" s="35">
        <v>2.0</v>
      </c>
      <c r="D3264" s="35" t="s">
        <v>4635</v>
      </c>
      <c r="E3264" s="35">
        <v>46027.0</v>
      </c>
      <c r="F3264" s="35">
        <v>0.0</v>
      </c>
      <c r="G3264" s="35">
        <v>4.0</v>
      </c>
      <c r="H3264" s="35">
        <v>0.0</v>
      </c>
      <c r="I3264" s="35">
        <v>0.0</v>
      </c>
      <c r="J3264" s="35"/>
      <c r="K3264" s="35">
        <v>0.0</v>
      </c>
    </row>
    <row r="3265" ht="15.75" customHeight="1">
      <c r="A3265" s="35" t="s">
        <v>8335</v>
      </c>
      <c r="B3265" s="35"/>
      <c r="C3265" s="35">
        <v>2.0</v>
      </c>
      <c r="D3265" s="35" t="s">
        <v>4635</v>
      </c>
      <c r="E3265" s="35">
        <v>46027.0</v>
      </c>
      <c r="F3265" s="35">
        <v>0.0</v>
      </c>
      <c r="G3265" s="35">
        <v>1.0</v>
      </c>
      <c r="H3265" s="35">
        <v>0.0</v>
      </c>
      <c r="I3265" s="35">
        <v>0.0</v>
      </c>
      <c r="J3265" s="35"/>
      <c r="K3265" s="35">
        <v>0.0</v>
      </c>
    </row>
    <row r="3266" ht="15.75" customHeight="1">
      <c r="A3266" s="35" t="s">
        <v>8337</v>
      </c>
      <c r="B3266" s="35"/>
      <c r="C3266" s="35">
        <v>2.0</v>
      </c>
      <c r="D3266" s="35">
        <v>62.0</v>
      </c>
      <c r="E3266" s="35">
        <v>46027.0</v>
      </c>
      <c r="F3266" s="35">
        <v>0.0</v>
      </c>
      <c r="G3266" s="35">
        <v>2.0</v>
      </c>
      <c r="H3266" s="35">
        <v>0.0</v>
      </c>
      <c r="I3266" s="35">
        <v>0.0</v>
      </c>
      <c r="J3266" s="35"/>
      <c r="K3266" s="35">
        <v>0.0</v>
      </c>
    </row>
    <row r="3267" ht="15.75" customHeight="1">
      <c r="A3267" s="35" t="s">
        <v>8338</v>
      </c>
      <c r="B3267" s="35"/>
      <c r="C3267" s="35">
        <v>2.0</v>
      </c>
      <c r="D3267" s="35" t="s">
        <v>4635</v>
      </c>
      <c r="E3267" s="35">
        <v>46027.0</v>
      </c>
      <c r="F3267" s="35">
        <v>0.0</v>
      </c>
      <c r="G3267" s="35">
        <v>2.0</v>
      </c>
      <c r="H3267" s="35">
        <v>0.0</v>
      </c>
      <c r="I3267" s="35">
        <v>0.0</v>
      </c>
      <c r="J3267" s="35"/>
      <c r="K3267" s="35">
        <v>0.0</v>
      </c>
    </row>
    <row r="3268" ht="15.75" customHeight="1">
      <c r="A3268" s="35" t="s">
        <v>8340</v>
      </c>
      <c r="B3268" s="35"/>
      <c r="C3268" s="35">
        <v>2.0</v>
      </c>
      <c r="D3268" s="35" t="s">
        <v>4635</v>
      </c>
      <c r="E3268" s="35">
        <v>46027.0</v>
      </c>
      <c r="F3268" s="35">
        <v>0.0</v>
      </c>
      <c r="G3268" s="35">
        <v>4.0</v>
      </c>
      <c r="H3268" s="35">
        <v>0.0</v>
      </c>
      <c r="I3268" s="35">
        <v>0.0</v>
      </c>
      <c r="J3268" s="35"/>
      <c r="K3268" s="35">
        <v>0.0</v>
      </c>
    </row>
    <row r="3269" ht="15.75" customHeight="1">
      <c r="A3269" s="35" t="s">
        <v>8341</v>
      </c>
      <c r="B3269" s="35"/>
      <c r="C3269" s="35">
        <v>2.0</v>
      </c>
      <c r="D3269" s="35" t="s">
        <v>4635</v>
      </c>
      <c r="E3269" s="35">
        <v>46027.0</v>
      </c>
      <c r="F3269" s="35">
        <v>0.0</v>
      </c>
      <c r="G3269" s="35">
        <v>4.0</v>
      </c>
      <c r="H3269" s="35">
        <v>0.0</v>
      </c>
      <c r="I3269" s="35">
        <v>0.0</v>
      </c>
      <c r="J3269" s="35"/>
      <c r="K3269" s="35">
        <v>0.0</v>
      </c>
    </row>
    <row r="3270" ht="15.75" customHeight="1">
      <c r="A3270" s="35" t="s">
        <v>8343</v>
      </c>
      <c r="B3270" s="35"/>
      <c r="C3270" s="35">
        <v>2.0</v>
      </c>
      <c r="D3270" s="35" t="s">
        <v>4692</v>
      </c>
      <c r="E3270" s="35">
        <v>46027.0</v>
      </c>
      <c r="F3270" s="35">
        <v>0.0</v>
      </c>
      <c r="G3270" s="35">
        <v>1.0</v>
      </c>
      <c r="H3270" s="35">
        <v>0.0</v>
      </c>
      <c r="I3270" s="35">
        <v>0.0</v>
      </c>
      <c r="J3270" s="35"/>
      <c r="K3270" s="35">
        <v>0.0</v>
      </c>
    </row>
    <row r="3271" ht="15.75" customHeight="1">
      <c r="A3271" s="35" t="s">
        <v>8344</v>
      </c>
      <c r="B3271" s="35"/>
      <c r="C3271" s="35">
        <v>2.0</v>
      </c>
      <c r="D3271" s="35">
        <v>932.0</v>
      </c>
      <c r="E3271" s="35">
        <v>46027.0</v>
      </c>
      <c r="F3271" s="35">
        <v>0.0</v>
      </c>
      <c r="G3271" s="35">
        <v>21.0</v>
      </c>
      <c r="H3271" s="35">
        <v>0.0</v>
      </c>
      <c r="I3271" s="35">
        <v>0.0</v>
      </c>
      <c r="J3271" s="35"/>
      <c r="K3271" s="35">
        <v>0.0</v>
      </c>
    </row>
    <row r="3272" ht="15.75" customHeight="1">
      <c r="A3272" s="35" t="s">
        <v>8346</v>
      </c>
      <c r="B3272" s="35"/>
      <c r="C3272" s="35">
        <v>2.0</v>
      </c>
      <c r="D3272" s="35">
        <v>15.0</v>
      </c>
      <c r="E3272" s="35">
        <v>46027.0</v>
      </c>
      <c r="F3272" s="35">
        <v>0.0</v>
      </c>
      <c r="G3272" s="35">
        <v>3.0</v>
      </c>
      <c r="H3272" s="35">
        <v>0.0</v>
      </c>
      <c r="I3272" s="35">
        <v>0.0</v>
      </c>
      <c r="J3272" s="35"/>
      <c r="K3272" s="35">
        <v>0.0</v>
      </c>
    </row>
    <row r="3273" ht="15.75" customHeight="1">
      <c r="A3273" s="35" t="s">
        <v>8347</v>
      </c>
      <c r="B3273" s="35"/>
      <c r="C3273" s="35">
        <v>2.0</v>
      </c>
      <c r="D3273" s="35" t="s">
        <v>4635</v>
      </c>
      <c r="E3273" s="35">
        <v>46027.0</v>
      </c>
      <c r="F3273" s="35">
        <v>0.0</v>
      </c>
      <c r="G3273" s="35">
        <v>8.0</v>
      </c>
      <c r="H3273" s="35">
        <v>0.0</v>
      </c>
      <c r="I3273" s="35">
        <v>0.0</v>
      </c>
      <c r="J3273" s="35"/>
      <c r="K3273" s="35">
        <v>0.0</v>
      </c>
    </row>
    <row r="3274" ht="15.75" customHeight="1">
      <c r="A3274" s="35" t="s">
        <v>8349</v>
      </c>
      <c r="B3274" s="35"/>
      <c r="C3274" s="35">
        <v>2.0</v>
      </c>
      <c r="D3274" s="35">
        <v>195.0</v>
      </c>
      <c r="E3274" s="35">
        <v>46027.0</v>
      </c>
      <c r="F3274" s="35">
        <v>0.0</v>
      </c>
      <c r="G3274" s="35">
        <v>7.0</v>
      </c>
      <c r="H3274" s="35">
        <v>0.0</v>
      </c>
      <c r="I3274" s="35">
        <v>0.0</v>
      </c>
      <c r="J3274" s="35"/>
      <c r="K3274" s="35">
        <v>0.0</v>
      </c>
    </row>
    <row r="3275" ht="15.75" customHeight="1">
      <c r="A3275" s="35" t="s">
        <v>8350</v>
      </c>
      <c r="B3275" s="35"/>
      <c r="C3275" s="35">
        <v>2.0</v>
      </c>
      <c r="D3275" s="35">
        <v>90.0</v>
      </c>
      <c r="E3275" s="35">
        <v>46027.0</v>
      </c>
      <c r="F3275" s="35">
        <v>0.0</v>
      </c>
      <c r="G3275" s="35">
        <v>8.0</v>
      </c>
      <c r="H3275" s="35">
        <v>0.0</v>
      </c>
      <c r="I3275" s="35">
        <v>0.0</v>
      </c>
      <c r="J3275" s="35"/>
      <c r="K3275" s="35">
        <v>0.0</v>
      </c>
    </row>
    <row r="3276" ht="15.75" customHeight="1">
      <c r="A3276" s="35" t="s">
        <v>8351</v>
      </c>
      <c r="B3276" s="35"/>
      <c r="C3276" s="35">
        <v>2.0</v>
      </c>
      <c r="D3276" s="35" t="s">
        <v>4635</v>
      </c>
      <c r="E3276" s="35">
        <v>46027.0</v>
      </c>
      <c r="F3276" s="35">
        <v>0.0</v>
      </c>
      <c r="G3276" s="35">
        <v>2.0</v>
      </c>
      <c r="H3276" s="35">
        <v>0.0</v>
      </c>
      <c r="I3276" s="35">
        <v>0.0</v>
      </c>
      <c r="J3276" s="35"/>
      <c r="K3276" s="35">
        <v>0.0</v>
      </c>
    </row>
    <row r="3277" ht="15.75" customHeight="1">
      <c r="A3277" s="35" t="s">
        <v>8353</v>
      </c>
      <c r="B3277" s="35"/>
      <c r="C3277" s="35">
        <v>2.0</v>
      </c>
      <c r="D3277" s="35" t="s">
        <v>4635</v>
      </c>
      <c r="E3277" s="35">
        <v>46027.0</v>
      </c>
      <c r="F3277" s="35">
        <v>0.0</v>
      </c>
      <c r="G3277" s="35">
        <v>3.0</v>
      </c>
      <c r="H3277" s="35">
        <v>0.0</v>
      </c>
      <c r="I3277" s="35">
        <v>0.0</v>
      </c>
      <c r="J3277" s="35"/>
      <c r="K3277" s="35">
        <v>0.0</v>
      </c>
    </row>
    <row r="3278" ht="15.75" customHeight="1">
      <c r="A3278" s="35" t="s">
        <v>8354</v>
      </c>
      <c r="B3278" s="35"/>
      <c r="C3278" s="35">
        <v>2.0</v>
      </c>
      <c r="D3278" s="35" t="s">
        <v>4635</v>
      </c>
      <c r="E3278" s="35">
        <v>46027.0</v>
      </c>
      <c r="F3278" s="35">
        <v>0.0</v>
      </c>
      <c r="G3278" s="35">
        <v>3.0</v>
      </c>
      <c r="H3278" s="35">
        <v>0.0</v>
      </c>
      <c r="I3278" s="35">
        <v>0.0</v>
      </c>
      <c r="J3278" s="35"/>
      <c r="K3278" s="35">
        <v>0.0</v>
      </c>
    </row>
    <row r="3279" ht="15.75" customHeight="1">
      <c r="A3279" s="35" t="s">
        <v>8356</v>
      </c>
      <c r="B3279" s="35"/>
      <c r="C3279" s="35">
        <v>2.0</v>
      </c>
      <c r="D3279" s="35" t="s">
        <v>4186</v>
      </c>
      <c r="E3279" s="35">
        <v>46027.0</v>
      </c>
      <c r="F3279" s="35">
        <v>0.0</v>
      </c>
      <c r="G3279" s="35">
        <v>1.0</v>
      </c>
      <c r="H3279" s="35">
        <v>0.0</v>
      </c>
      <c r="I3279" s="35">
        <v>0.0</v>
      </c>
      <c r="J3279" s="35"/>
      <c r="K3279" s="35">
        <v>0.0</v>
      </c>
    </row>
    <row r="3280" ht="15.75" customHeight="1">
      <c r="A3280" s="35" t="s">
        <v>8357</v>
      </c>
      <c r="B3280" s="35"/>
      <c r="C3280" s="35">
        <v>2.0</v>
      </c>
      <c r="D3280" s="35" t="s">
        <v>4635</v>
      </c>
      <c r="E3280" s="35">
        <v>46027.0</v>
      </c>
      <c r="F3280" s="35">
        <v>0.0</v>
      </c>
      <c r="G3280" s="35">
        <v>8.0</v>
      </c>
      <c r="H3280" s="35">
        <v>0.0</v>
      </c>
      <c r="I3280" s="35">
        <v>0.0</v>
      </c>
      <c r="J3280" s="35"/>
      <c r="K3280" s="35">
        <v>0.0</v>
      </c>
    </row>
    <row r="3281" ht="15.75" customHeight="1">
      <c r="A3281" s="35" t="s">
        <v>8359</v>
      </c>
      <c r="B3281" s="35"/>
      <c r="C3281" s="35">
        <v>2.0</v>
      </c>
      <c r="D3281" s="35" t="s">
        <v>4635</v>
      </c>
      <c r="E3281" s="35">
        <v>46027.0</v>
      </c>
      <c r="F3281" s="35">
        <v>0.0</v>
      </c>
      <c r="G3281" s="35">
        <v>19.0</v>
      </c>
      <c r="H3281" s="35">
        <v>0.0</v>
      </c>
      <c r="I3281" s="35">
        <v>0.0</v>
      </c>
      <c r="J3281" s="35"/>
      <c r="K3281" s="35">
        <v>0.0</v>
      </c>
    </row>
    <row r="3282" ht="15.75" customHeight="1">
      <c r="A3282" s="35" t="s">
        <v>8360</v>
      </c>
      <c r="B3282" s="35"/>
      <c r="C3282" s="35">
        <v>2.0</v>
      </c>
      <c r="D3282" s="35" t="s">
        <v>4635</v>
      </c>
      <c r="E3282" s="35">
        <v>46027.0</v>
      </c>
      <c r="F3282" s="35">
        <v>0.0</v>
      </c>
      <c r="G3282" s="35">
        <v>5.0</v>
      </c>
      <c r="H3282" s="35">
        <v>0.0</v>
      </c>
      <c r="I3282" s="35">
        <v>0.0</v>
      </c>
      <c r="J3282" s="35"/>
      <c r="K3282" s="35">
        <v>0.0</v>
      </c>
    </row>
    <row r="3283" ht="15.75" customHeight="1">
      <c r="A3283" s="35" t="s">
        <v>8362</v>
      </c>
      <c r="B3283" s="35"/>
      <c r="C3283" s="35">
        <v>2.0</v>
      </c>
      <c r="D3283" s="35" t="s">
        <v>4635</v>
      </c>
      <c r="E3283" s="35">
        <v>46027.0</v>
      </c>
      <c r="F3283" s="35">
        <v>0.0</v>
      </c>
      <c r="G3283" s="35">
        <v>1.0</v>
      </c>
      <c r="H3283" s="35">
        <v>0.0</v>
      </c>
      <c r="I3283" s="35">
        <v>0.0</v>
      </c>
      <c r="J3283" s="35"/>
      <c r="K3283" s="35">
        <v>0.0</v>
      </c>
    </row>
    <row r="3284" ht="15.75" customHeight="1">
      <c r="A3284" s="35" t="s">
        <v>8363</v>
      </c>
      <c r="B3284" s="35"/>
      <c r="C3284" s="35">
        <v>2.0</v>
      </c>
      <c r="D3284" s="35" t="s">
        <v>4635</v>
      </c>
      <c r="E3284" s="35">
        <v>46027.0</v>
      </c>
      <c r="F3284" s="35">
        <v>0.0</v>
      </c>
      <c r="G3284" s="35">
        <v>8.0</v>
      </c>
      <c r="H3284" s="35">
        <v>0.0</v>
      </c>
      <c r="I3284" s="35">
        <v>0.0</v>
      </c>
      <c r="J3284" s="35"/>
      <c r="K3284" s="35">
        <v>0.0</v>
      </c>
    </row>
    <row r="3285" ht="15.75" customHeight="1">
      <c r="A3285" s="35" t="s">
        <v>8364</v>
      </c>
      <c r="B3285" s="35"/>
      <c r="C3285" s="35">
        <v>2.0</v>
      </c>
      <c r="D3285" s="35" t="s">
        <v>4635</v>
      </c>
      <c r="E3285" s="35">
        <v>46027.0</v>
      </c>
      <c r="F3285" s="35">
        <v>0.0</v>
      </c>
      <c r="G3285" s="35">
        <v>4.0</v>
      </c>
      <c r="H3285" s="35">
        <v>0.0</v>
      </c>
      <c r="I3285" s="35">
        <v>0.0</v>
      </c>
      <c r="J3285" s="35"/>
      <c r="K3285" s="35">
        <v>0.0</v>
      </c>
    </row>
    <row r="3286" ht="15.75" customHeight="1">
      <c r="A3286" s="35" t="s">
        <v>8366</v>
      </c>
      <c r="B3286" s="35"/>
      <c r="C3286" s="35">
        <v>2.0</v>
      </c>
      <c r="D3286" s="35" t="s">
        <v>4635</v>
      </c>
      <c r="E3286" s="35">
        <v>46027.0</v>
      </c>
      <c r="F3286" s="35">
        <v>0.0</v>
      </c>
      <c r="G3286" s="35">
        <v>1.0</v>
      </c>
      <c r="H3286" s="35">
        <v>0.0</v>
      </c>
      <c r="I3286" s="35">
        <v>0.0</v>
      </c>
      <c r="J3286" s="35"/>
      <c r="K3286" s="35">
        <v>0.0</v>
      </c>
    </row>
    <row r="3287" ht="15.75" customHeight="1">
      <c r="A3287" s="35" t="s">
        <v>8367</v>
      </c>
      <c r="B3287" s="35"/>
      <c r="C3287" s="35">
        <v>2.0</v>
      </c>
      <c r="D3287" s="35">
        <v>319.0</v>
      </c>
      <c r="E3287" s="35">
        <v>46027.0</v>
      </c>
      <c r="F3287" s="35">
        <v>0.0</v>
      </c>
      <c r="G3287" s="35">
        <v>17.0</v>
      </c>
      <c r="H3287" s="35">
        <v>0.0</v>
      </c>
      <c r="I3287" s="35">
        <v>0.0</v>
      </c>
      <c r="J3287" s="35"/>
      <c r="K3287" s="35">
        <v>0.0</v>
      </c>
    </row>
    <row r="3288" ht="15.75" customHeight="1">
      <c r="A3288" s="35" t="s">
        <v>8369</v>
      </c>
      <c r="B3288" s="35"/>
      <c r="C3288" s="35">
        <v>2.0</v>
      </c>
      <c r="D3288" s="35" t="s">
        <v>4635</v>
      </c>
      <c r="E3288" s="35">
        <v>46027.0</v>
      </c>
      <c r="F3288" s="35">
        <v>0.0</v>
      </c>
      <c r="G3288" s="35">
        <v>8.0</v>
      </c>
      <c r="H3288" s="35">
        <v>0.0</v>
      </c>
      <c r="I3288" s="35">
        <v>0.0</v>
      </c>
      <c r="J3288" s="35"/>
      <c r="K3288" s="35">
        <v>0.0</v>
      </c>
    </row>
    <row r="3289" ht="15.75" customHeight="1">
      <c r="A3289" s="35" t="s">
        <v>8370</v>
      </c>
      <c r="B3289" s="35"/>
      <c r="C3289" s="35">
        <v>2.0</v>
      </c>
      <c r="D3289" s="35">
        <v>235.0</v>
      </c>
      <c r="E3289" s="35">
        <v>46027.0</v>
      </c>
      <c r="F3289" s="35">
        <v>0.0</v>
      </c>
      <c r="G3289" s="35">
        <v>2.0</v>
      </c>
      <c r="H3289" s="35">
        <v>0.0</v>
      </c>
      <c r="I3289" s="35">
        <v>0.0</v>
      </c>
      <c r="J3289" s="35"/>
      <c r="K3289" s="35">
        <v>0.0</v>
      </c>
    </row>
    <row r="3290" ht="15.75" customHeight="1">
      <c r="A3290" s="35" t="s">
        <v>8372</v>
      </c>
      <c r="B3290" s="35"/>
      <c r="C3290" s="35">
        <v>2.0</v>
      </c>
      <c r="D3290" s="35" t="s">
        <v>4635</v>
      </c>
      <c r="E3290" s="35">
        <v>46027.0</v>
      </c>
      <c r="F3290" s="35">
        <v>0.0</v>
      </c>
      <c r="G3290" s="35">
        <v>4.0</v>
      </c>
      <c r="H3290" s="35">
        <v>0.0</v>
      </c>
      <c r="I3290" s="35">
        <v>0.0</v>
      </c>
      <c r="J3290" s="35"/>
      <c r="K3290" s="35">
        <v>0.0</v>
      </c>
    </row>
    <row r="3291" ht="15.75" customHeight="1">
      <c r="A3291" s="35" t="s">
        <v>8373</v>
      </c>
      <c r="B3291" s="35"/>
      <c r="C3291" s="35">
        <v>2.0</v>
      </c>
      <c r="D3291" s="35">
        <v>217.0</v>
      </c>
      <c r="E3291" s="35">
        <v>46027.0</v>
      </c>
      <c r="F3291" s="35">
        <v>0.0</v>
      </c>
      <c r="G3291" s="35">
        <v>0.0</v>
      </c>
      <c r="H3291" s="35">
        <v>2.0</v>
      </c>
      <c r="I3291" s="35">
        <v>0.0</v>
      </c>
      <c r="J3291" s="35"/>
      <c r="K3291" s="35">
        <v>0.0</v>
      </c>
    </row>
    <row r="3292" ht="15.75" customHeight="1">
      <c r="A3292" s="35" t="s">
        <v>8374</v>
      </c>
      <c r="B3292" s="35"/>
      <c r="C3292" s="35">
        <v>2.0</v>
      </c>
      <c r="D3292" s="35" t="s">
        <v>4635</v>
      </c>
      <c r="E3292" s="35">
        <v>46027.0</v>
      </c>
      <c r="F3292" s="35">
        <v>0.0</v>
      </c>
      <c r="G3292" s="35">
        <v>3.0</v>
      </c>
      <c r="H3292" s="35">
        <v>0.0</v>
      </c>
      <c r="I3292" s="35">
        <v>0.0</v>
      </c>
      <c r="J3292" s="35"/>
      <c r="K3292" s="35">
        <v>0.0</v>
      </c>
    </row>
    <row r="3293" ht="15.75" customHeight="1">
      <c r="A3293" s="35" t="s">
        <v>8376</v>
      </c>
      <c r="B3293" s="35"/>
      <c r="C3293" s="35">
        <v>2.0</v>
      </c>
      <c r="D3293" s="35" t="s">
        <v>4635</v>
      </c>
      <c r="E3293" s="35">
        <v>46027.0</v>
      </c>
      <c r="F3293" s="35">
        <v>0.0</v>
      </c>
      <c r="G3293" s="35">
        <v>1.0</v>
      </c>
      <c r="H3293" s="35">
        <v>0.0</v>
      </c>
      <c r="I3293" s="35">
        <v>0.0</v>
      </c>
      <c r="J3293" s="35"/>
      <c r="K3293" s="35">
        <v>0.0</v>
      </c>
    </row>
    <row r="3294" ht="15.75" customHeight="1">
      <c r="A3294" s="35" t="s">
        <v>8377</v>
      </c>
      <c r="B3294" s="35"/>
      <c r="C3294" s="35">
        <v>2.0</v>
      </c>
      <c r="D3294" s="35" t="s">
        <v>4635</v>
      </c>
      <c r="E3294" s="35">
        <v>46027.0</v>
      </c>
      <c r="F3294" s="35">
        <v>0.0</v>
      </c>
      <c r="G3294" s="35">
        <v>1.0</v>
      </c>
      <c r="H3294" s="35">
        <v>0.0</v>
      </c>
      <c r="I3294" s="35">
        <v>0.0</v>
      </c>
      <c r="J3294" s="35"/>
      <c r="K3294" s="35">
        <v>0.0</v>
      </c>
    </row>
    <row r="3295" ht="15.75" customHeight="1">
      <c r="A3295" s="35" t="s">
        <v>8379</v>
      </c>
      <c r="B3295" s="35"/>
      <c r="C3295" s="35">
        <v>2.0</v>
      </c>
      <c r="D3295" s="35" t="s">
        <v>4635</v>
      </c>
      <c r="E3295" s="35">
        <v>46027.0</v>
      </c>
      <c r="F3295" s="35">
        <v>0.0</v>
      </c>
      <c r="G3295" s="35">
        <v>1.0</v>
      </c>
      <c r="H3295" s="35">
        <v>0.0</v>
      </c>
      <c r="I3295" s="35">
        <v>0.0</v>
      </c>
      <c r="J3295" s="35"/>
      <c r="K3295" s="35">
        <v>0.0</v>
      </c>
    </row>
    <row r="3296" ht="15.75" customHeight="1">
      <c r="A3296" s="35" t="s">
        <v>8380</v>
      </c>
      <c r="B3296" s="35"/>
      <c r="C3296" s="35">
        <v>2.0</v>
      </c>
      <c r="D3296" s="35" t="s">
        <v>4635</v>
      </c>
      <c r="E3296" s="35">
        <v>46027.0</v>
      </c>
      <c r="F3296" s="35">
        <v>0.0</v>
      </c>
      <c r="G3296" s="35">
        <v>4.0</v>
      </c>
      <c r="H3296" s="35">
        <v>0.0</v>
      </c>
      <c r="I3296" s="35">
        <v>0.0</v>
      </c>
      <c r="J3296" s="35"/>
      <c r="K3296" s="35">
        <v>0.0</v>
      </c>
    </row>
    <row r="3297" ht="15.75" customHeight="1">
      <c r="A3297" s="35" t="s">
        <v>8382</v>
      </c>
      <c r="B3297" s="35"/>
      <c r="C3297" s="35">
        <v>2.0</v>
      </c>
      <c r="D3297" s="35" t="s">
        <v>4635</v>
      </c>
      <c r="E3297" s="35">
        <v>46027.0</v>
      </c>
      <c r="F3297" s="35">
        <v>0.0</v>
      </c>
      <c r="G3297" s="35">
        <v>8.0</v>
      </c>
      <c r="H3297" s="35">
        <v>0.0</v>
      </c>
      <c r="I3297" s="35">
        <v>0.0</v>
      </c>
      <c r="J3297" s="35"/>
      <c r="K3297" s="35">
        <v>0.0</v>
      </c>
    </row>
    <row r="3298" ht="15.75" customHeight="1">
      <c r="A3298" s="35" t="s">
        <v>8383</v>
      </c>
      <c r="B3298" s="35"/>
      <c r="C3298" s="35">
        <v>2.0</v>
      </c>
      <c r="D3298" s="35">
        <v>477.0</v>
      </c>
      <c r="E3298" s="35">
        <v>46027.0</v>
      </c>
      <c r="F3298" s="35">
        <v>0.0</v>
      </c>
      <c r="G3298" s="35">
        <v>0.0</v>
      </c>
      <c r="H3298" s="35">
        <v>1.0</v>
      </c>
      <c r="I3298" s="35">
        <v>0.0</v>
      </c>
      <c r="J3298" s="35"/>
      <c r="K3298" s="35">
        <v>0.0</v>
      </c>
    </row>
    <row r="3299" ht="15.75" customHeight="1">
      <c r="A3299" s="35" t="s">
        <v>8385</v>
      </c>
      <c r="B3299" s="35"/>
      <c r="C3299" s="35">
        <v>2.0</v>
      </c>
      <c r="D3299" s="35">
        <v>66.0</v>
      </c>
      <c r="E3299" s="35">
        <v>46027.0</v>
      </c>
      <c r="F3299" s="35">
        <v>0.0</v>
      </c>
      <c r="G3299" s="35">
        <v>7.0</v>
      </c>
      <c r="H3299" s="35">
        <v>0.0</v>
      </c>
      <c r="I3299" s="35">
        <v>0.0</v>
      </c>
      <c r="J3299" s="35"/>
      <c r="K3299" s="35">
        <v>0.0</v>
      </c>
    </row>
    <row r="3300" ht="15.75" customHeight="1">
      <c r="A3300" s="35" t="s">
        <v>8386</v>
      </c>
      <c r="B3300" s="35"/>
      <c r="C3300" s="35">
        <v>2.0</v>
      </c>
      <c r="D3300" s="35" t="s">
        <v>4635</v>
      </c>
      <c r="E3300" s="35">
        <v>46027.0</v>
      </c>
      <c r="F3300" s="35">
        <v>0.0</v>
      </c>
      <c r="G3300" s="35">
        <v>4.0</v>
      </c>
      <c r="H3300" s="35">
        <v>0.0</v>
      </c>
      <c r="I3300" s="35">
        <v>0.0</v>
      </c>
      <c r="J3300" s="35"/>
      <c r="K3300" s="35">
        <v>0.0</v>
      </c>
    </row>
    <row r="3301" ht="15.75" customHeight="1">
      <c r="A3301" s="35" t="s">
        <v>8387</v>
      </c>
      <c r="B3301" s="35"/>
      <c r="C3301" s="35">
        <v>2.0</v>
      </c>
      <c r="D3301" s="35" t="s">
        <v>4377</v>
      </c>
      <c r="E3301" s="35">
        <v>46027.0</v>
      </c>
      <c r="F3301" s="35">
        <v>0.0</v>
      </c>
      <c r="G3301" s="35">
        <v>0.0</v>
      </c>
      <c r="H3301" s="35">
        <v>1.0</v>
      </c>
      <c r="I3301" s="35">
        <v>0.0</v>
      </c>
      <c r="J3301" s="35"/>
      <c r="K3301" s="35">
        <v>0.0</v>
      </c>
    </row>
    <row r="3302" ht="15.75" customHeight="1">
      <c r="A3302" s="35" t="s">
        <v>8389</v>
      </c>
      <c r="B3302" s="35"/>
      <c r="C3302" s="35">
        <v>2.0</v>
      </c>
      <c r="D3302" s="35" t="s">
        <v>4635</v>
      </c>
      <c r="E3302" s="35">
        <v>46027.0</v>
      </c>
      <c r="F3302" s="35">
        <v>0.0</v>
      </c>
      <c r="G3302" s="35">
        <v>8.0</v>
      </c>
      <c r="H3302" s="35">
        <v>0.0</v>
      </c>
      <c r="I3302" s="35">
        <v>0.0</v>
      </c>
      <c r="J3302" s="35"/>
      <c r="K3302" s="35">
        <v>0.0</v>
      </c>
    </row>
    <row r="3303" ht="15.75" customHeight="1">
      <c r="A3303" s="35" t="s">
        <v>8390</v>
      </c>
      <c r="B3303" s="35"/>
      <c r="C3303" s="35">
        <v>2.0</v>
      </c>
      <c r="D3303" s="35" t="s">
        <v>4635</v>
      </c>
      <c r="E3303" s="35">
        <v>46027.0</v>
      </c>
      <c r="F3303" s="35">
        <v>0.0</v>
      </c>
      <c r="G3303" s="35">
        <v>5.0</v>
      </c>
      <c r="H3303" s="35">
        <v>0.0</v>
      </c>
      <c r="I3303" s="35">
        <v>0.0</v>
      </c>
      <c r="J3303" s="35"/>
      <c r="K3303" s="35">
        <v>0.0</v>
      </c>
    </row>
    <row r="3304" ht="15.75" customHeight="1">
      <c r="A3304" s="35" t="s">
        <v>8392</v>
      </c>
      <c r="B3304" s="35"/>
      <c r="C3304" s="35">
        <v>2.0</v>
      </c>
      <c r="D3304" s="35" t="s">
        <v>4635</v>
      </c>
      <c r="E3304" s="35">
        <v>46027.0</v>
      </c>
      <c r="F3304" s="35">
        <v>0.0</v>
      </c>
      <c r="G3304" s="35">
        <v>4.0</v>
      </c>
      <c r="H3304" s="35">
        <v>0.0</v>
      </c>
      <c r="I3304" s="35">
        <v>0.0</v>
      </c>
      <c r="J3304" s="35"/>
      <c r="K3304" s="35">
        <v>0.0</v>
      </c>
    </row>
    <row r="3305" ht="15.75" customHeight="1">
      <c r="A3305" s="35" t="s">
        <v>8393</v>
      </c>
      <c r="B3305" s="35"/>
      <c r="C3305" s="35">
        <v>2.0</v>
      </c>
      <c r="D3305" s="35" t="s">
        <v>4635</v>
      </c>
      <c r="E3305" s="35">
        <v>46027.0</v>
      </c>
      <c r="F3305" s="35">
        <v>0.0</v>
      </c>
      <c r="G3305" s="35">
        <v>4.0</v>
      </c>
      <c r="H3305" s="35">
        <v>0.0</v>
      </c>
      <c r="I3305" s="35">
        <v>0.0</v>
      </c>
      <c r="J3305" s="35"/>
      <c r="K3305" s="35">
        <v>0.0</v>
      </c>
    </row>
    <row r="3306" ht="15.75" customHeight="1">
      <c r="A3306" s="35" t="s">
        <v>8395</v>
      </c>
      <c r="B3306" s="35"/>
      <c r="C3306" s="35">
        <v>2.0</v>
      </c>
      <c r="D3306" s="35" t="s">
        <v>2039</v>
      </c>
      <c r="E3306" s="35">
        <v>46027.0</v>
      </c>
      <c r="F3306" s="35">
        <v>0.0</v>
      </c>
      <c r="G3306" s="35">
        <v>10.0</v>
      </c>
      <c r="H3306" s="35">
        <v>0.0</v>
      </c>
      <c r="I3306" s="35">
        <v>0.0</v>
      </c>
      <c r="J3306" s="35"/>
      <c r="K3306" s="35">
        <v>0.0</v>
      </c>
    </row>
    <row r="3307" ht="15.75" customHeight="1">
      <c r="A3307" s="35" t="s">
        <v>8396</v>
      </c>
      <c r="B3307" s="35"/>
      <c r="C3307" s="35">
        <v>2.0</v>
      </c>
      <c r="D3307" s="35" t="s">
        <v>4635</v>
      </c>
      <c r="E3307" s="35">
        <v>46027.0</v>
      </c>
      <c r="F3307" s="35">
        <v>0.0</v>
      </c>
      <c r="G3307" s="35">
        <v>3.0</v>
      </c>
      <c r="H3307" s="35">
        <v>0.0</v>
      </c>
      <c r="I3307" s="35">
        <v>0.0</v>
      </c>
      <c r="J3307" s="35"/>
      <c r="K3307" s="35">
        <v>0.0</v>
      </c>
    </row>
    <row r="3308" ht="15.75" customHeight="1">
      <c r="A3308" s="35" t="s">
        <v>8398</v>
      </c>
      <c r="B3308" s="35"/>
      <c r="C3308" s="35">
        <v>2.0</v>
      </c>
      <c r="D3308" s="35" t="s">
        <v>4635</v>
      </c>
      <c r="E3308" s="35">
        <v>46027.0</v>
      </c>
      <c r="F3308" s="35">
        <v>0.0</v>
      </c>
      <c r="G3308" s="35">
        <v>6.0</v>
      </c>
      <c r="H3308" s="35">
        <v>0.0</v>
      </c>
      <c r="I3308" s="35">
        <v>0.0</v>
      </c>
      <c r="J3308" s="35"/>
      <c r="K3308" s="35">
        <v>0.0</v>
      </c>
    </row>
    <row r="3309" ht="15.75" customHeight="1">
      <c r="A3309" s="35" t="s">
        <v>8399</v>
      </c>
      <c r="B3309" s="35"/>
      <c r="C3309" s="35">
        <v>2.0</v>
      </c>
      <c r="D3309" s="35" t="s">
        <v>4635</v>
      </c>
      <c r="E3309" s="35">
        <v>46027.0</v>
      </c>
      <c r="F3309" s="35">
        <v>0.0</v>
      </c>
      <c r="G3309" s="35">
        <v>2.0</v>
      </c>
      <c r="H3309" s="35">
        <v>0.0</v>
      </c>
      <c r="I3309" s="35">
        <v>0.0</v>
      </c>
      <c r="J3309" s="35"/>
      <c r="K3309" s="35">
        <v>0.0</v>
      </c>
    </row>
    <row r="3310" ht="15.75" customHeight="1">
      <c r="A3310" s="35" t="s">
        <v>8401</v>
      </c>
      <c r="B3310" s="35"/>
      <c r="C3310" s="35">
        <v>2.0</v>
      </c>
      <c r="D3310" s="35" t="s">
        <v>4635</v>
      </c>
      <c r="E3310" s="35">
        <v>46027.0</v>
      </c>
      <c r="F3310" s="35">
        <v>0.0</v>
      </c>
      <c r="G3310" s="35">
        <v>2.0</v>
      </c>
      <c r="H3310" s="35">
        <v>0.0</v>
      </c>
      <c r="I3310" s="35">
        <v>0.0</v>
      </c>
      <c r="J3310" s="35"/>
      <c r="K3310" s="35">
        <v>0.0</v>
      </c>
    </row>
    <row r="3311" ht="15.75" customHeight="1">
      <c r="A3311" s="35" t="s">
        <v>8402</v>
      </c>
      <c r="B3311" s="35"/>
      <c r="C3311" s="35">
        <v>2.0</v>
      </c>
      <c r="D3311" s="35" t="s">
        <v>4635</v>
      </c>
      <c r="E3311" s="35">
        <v>46027.0</v>
      </c>
      <c r="F3311" s="35">
        <v>0.0</v>
      </c>
      <c r="G3311" s="35">
        <v>4.0</v>
      </c>
      <c r="H3311" s="35">
        <v>0.0</v>
      </c>
      <c r="I3311" s="35">
        <v>0.0</v>
      </c>
      <c r="J3311" s="35"/>
      <c r="K3311" s="35">
        <v>0.0</v>
      </c>
    </row>
    <row r="3312" ht="15.75" customHeight="1">
      <c r="A3312" s="35" t="s">
        <v>8404</v>
      </c>
      <c r="B3312" s="35"/>
      <c r="C3312" s="35">
        <v>2.0</v>
      </c>
      <c r="D3312" s="35" t="s">
        <v>4635</v>
      </c>
      <c r="E3312" s="35">
        <v>46027.0</v>
      </c>
      <c r="F3312" s="35">
        <v>0.0</v>
      </c>
      <c r="G3312" s="35">
        <v>4.0</v>
      </c>
      <c r="H3312" s="35">
        <v>0.0</v>
      </c>
      <c r="I3312" s="35">
        <v>0.0</v>
      </c>
      <c r="J3312" s="35"/>
      <c r="K3312" s="35">
        <v>0.0</v>
      </c>
    </row>
    <row r="3313" ht="15.75" customHeight="1">
      <c r="A3313" s="35" t="s">
        <v>8405</v>
      </c>
      <c r="B3313" s="35"/>
      <c r="C3313" s="35">
        <v>2.0</v>
      </c>
      <c r="D3313" s="35" t="s">
        <v>4635</v>
      </c>
      <c r="E3313" s="35">
        <v>46027.0</v>
      </c>
      <c r="F3313" s="35">
        <v>0.0</v>
      </c>
      <c r="G3313" s="35">
        <v>6.0</v>
      </c>
      <c r="H3313" s="35">
        <v>0.0</v>
      </c>
      <c r="I3313" s="35">
        <v>0.0</v>
      </c>
      <c r="J3313" s="35"/>
      <c r="K3313" s="35">
        <v>0.0</v>
      </c>
    </row>
    <row r="3314" ht="15.75" customHeight="1">
      <c r="A3314" s="35" t="s">
        <v>8406</v>
      </c>
      <c r="B3314" s="35"/>
      <c r="C3314" s="35">
        <v>2.0</v>
      </c>
      <c r="D3314" s="35" t="s">
        <v>4635</v>
      </c>
      <c r="E3314" s="35">
        <v>46027.0</v>
      </c>
      <c r="F3314" s="35">
        <v>0.0</v>
      </c>
      <c r="G3314" s="35">
        <v>4.0</v>
      </c>
      <c r="H3314" s="35">
        <v>0.0</v>
      </c>
      <c r="I3314" s="35">
        <v>0.0</v>
      </c>
      <c r="J3314" s="35"/>
      <c r="K3314" s="35">
        <v>0.0</v>
      </c>
    </row>
    <row r="3315" ht="15.75" customHeight="1">
      <c r="A3315" s="35" t="s">
        <v>8408</v>
      </c>
      <c r="B3315" s="35"/>
      <c r="C3315" s="35">
        <v>2.0</v>
      </c>
      <c r="D3315" s="35" t="s">
        <v>4635</v>
      </c>
      <c r="E3315" s="35">
        <v>46027.0</v>
      </c>
      <c r="F3315" s="35">
        <v>0.0</v>
      </c>
      <c r="G3315" s="35">
        <v>3.0</v>
      </c>
      <c r="H3315" s="35">
        <v>0.0</v>
      </c>
      <c r="I3315" s="35">
        <v>0.0</v>
      </c>
      <c r="J3315" s="35"/>
      <c r="K3315" s="35">
        <v>0.0</v>
      </c>
    </row>
    <row r="3316" ht="15.75" customHeight="1">
      <c r="A3316" s="35" t="s">
        <v>8409</v>
      </c>
      <c r="B3316" s="35"/>
      <c r="C3316" s="35">
        <v>2.0</v>
      </c>
      <c r="D3316" s="35" t="s">
        <v>4635</v>
      </c>
      <c r="E3316" s="35">
        <v>46027.0</v>
      </c>
      <c r="F3316" s="35">
        <v>0.0</v>
      </c>
      <c r="G3316" s="35">
        <v>3.0</v>
      </c>
      <c r="H3316" s="35">
        <v>0.0</v>
      </c>
      <c r="I3316" s="35">
        <v>0.0</v>
      </c>
      <c r="J3316" s="35"/>
      <c r="K3316" s="35">
        <v>0.0</v>
      </c>
    </row>
    <row r="3317" ht="15.75" customHeight="1">
      <c r="A3317" s="35" t="s">
        <v>8411</v>
      </c>
      <c r="B3317" s="35"/>
      <c r="C3317" s="35">
        <v>2.0</v>
      </c>
      <c r="D3317" s="35" t="s">
        <v>4635</v>
      </c>
      <c r="E3317" s="35">
        <v>46027.0</v>
      </c>
      <c r="F3317" s="35">
        <v>0.0</v>
      </c>
      <c r="G3317" s="35">
        <v>4.0</v>
      </c>
      <c r="H3317" s="35">
        <v>0.0</v>
      </c>
      <c r="I3317" s="35">
        <v>0.0</v>
      </c>
      <c r="J3317" s="35"/>
      <c r="K3317" s="35">
        <v>0.0</v>
      </c>
    </row>
    <row r="3318" ht="15.75" customHeight="1">
      <c r="A3318" s="35" t="s">
        <v>8412</v>
      </c>
      <c r="B3318" s="35"/>
      <c r="C3318" s="35">
        <v>2.0</v>
      </c>
      <c r="D3318" s="35" t="s">
        <v>4635</v>
      </c>
      <c r="E3318" s="35">
        <v>46027.0</v>
      </c>
      <c r="F3318" s="35">
        <v>0.0</v>
      </c>
      <c r="G3318" s="35">
        <v>8.0</v>
      </c>
      <c r="H3318" s="35">
        <v>0.0</v>
      </c>
      <c r="I3318" s="35">
        <v>0.0</v>
      </c>
      <c r="J3318" s="35"/>
      <c r="K3318" s="35">
        <v>0.0</v>
      </c>
    </row>
    <row r="3319" ht="15.75" customHeight="1">
      <c r="A3319" s="35" t="s">
        <v>8414</v>
      </c>
      <c r="B3319" s="35"/>
      <c r="C3319" s="35">
        <v>2.0</v>
      </c>
      <c r="D3319" s="35" t="s">
        <v>4635</v>
      </c>
      <c r="E3319" s="35">
        <v>46027.0</v>
      </c>
      <c r="F3319" s="35">
        <v>0.0</v>
      </c>
      <c r="G3319" s="35">
        <v>4.0</v>
      </c>
      <c r="H3319" s="35">
        <v>0.0</v>
      </c>
      <c r="I3319" s="35">
        <v>0.0</v>
      </c>
      <c r="J3319" s="35"/>
      <c r="K3319" s="35">
        <v>0.0</v>
      </c>
    </row>
    <row r="3320" ht="15.75" customHeight="1">
      <c r="A3320" s="35" t="s">
        <v>8415</v>
      </c>
      <c r="B3320" s="35"/>
      <c r="C3320" s="35">
        <v>2.0</v>
      </c>
      <c r="D3320" s="35" t="s">
        <v>4635</v>
      </c>
      <c r="E3320" s="35">
        <v>46027.0</v>
      </c>
      <c r="F3320" s="35">
        <v>0.0</v>
      </c>
      <c r="G3320" s="35">
        <v>6.0</v>
      </c>
      <c r="H3320" s="35">
        <v>0.0</v>
      </c>
      <c r="I3320" s="35">
        <v>0.0</v>
      </c>
      <c r="J3320" s="35"/>
      <c r="K3320" s="35">
        <v>0.0</v>
      </c>
    </row>
    <row r="3321" ht="15.75" customHeight="1">
      <c r="A3321" s="35" t="s">
        <v>8417</v>
      </c>
      <c r="B3321" s="35"/>
      <c r="C3321" s="35">
        <v>2.0</v>
      </c>
      <c r="D3321" s="35" t="s">
        <v>4635</v>
      </c>
      <c r="E3321" s="35">
        <v>46027.0</v>
      </c>
      <c r="F3321" s="35">
        <v>0.0</v>
      </c>
      <c r="G3321" s="35">
        <v>0.0</v>
      </c>
      <c r="H3321" s="35">
        <v>1.0</v>
      </c>
      <c r="I3321" s="35">
        <v>0.0</v>
      </c>
      <c r="J3321" s="35"/>
      <c r="K3321" s="35">
        <v>0.0</v>
      </c>
    </row>
    <row r="3322" ht="15.75" customHeight="1">
      <c r="A3322" s="35" t="s">
        <v>8418</v>
      </c>
      <c r="B3322" s="35"/>
      <c r="C3322" s="35">
        <v>2.0</v>
      </c>
      <c r="D3322" s="35">
        <v>771.0</v>
      </c>
      <c r="E3322" s="35">
        <v>46027.0</v>
      </c>
      <c r="F3322" s="35">
        <v>0.0</v>
      </c>
      <c r="G3322" s="35">
        <v>8.0</v>
      </c>
      <c r="H3322" s="35">
        <v>0.0</v>
      </c>
      <c r="I3322" s="35">
        <v>0.0</v>
      </c>
      <c r="J3322" s="35"/>
      <c r="K3322" s="35">
        <v>0.0</v>
      </c>
    </row>
    <row r="3323" ht="15.75" customHeight="1">
      <c r="A3323" s="35" t="s">
        <v>8420</v>
      </c>
      <c r="B3323" s="35"/>
      <c r="C3323" s="35">
        <v>2.0</v>
      </c>
      <c r="D3323" s="35">
        <v>73.0</v>
      </c>
      <c r="E3323" s="35">
        <v>46027.0</v>
      </c>
      <c r="F3323" s="35">
        <v>0.0</v>
      </c>
      <c r="G3323" s="35">
        <v>0.0</v>
      </c>
      <c r="H3323" s="35">
        <v>4.0</v>
      </c>
      <c r="I3323" s="35">
        <v>0.0</v>
      </c>
      <c r="J3323" s="35"/>
      <c r="K3323" s="35">
        <v>0.0</v>
      </c>
    </row>
    <row r="3324" ht="15.75" customHeight="1">
      <c r="A3324" s="35" t="s">
        <v>8421</v>
      </c>
      <c r="B3324" s="35"/>
      <c r="C3324" s="35">
        <v>2.0</v>
      </c>
      <c r="D3324" s="35">
        <v>121.0</v>
      </c>
      <c r="E3324" s="35">
        <v>46027.0</v>
      </c>
      <c r="F3324" s="35">
        <v>0.0</v>
      </c>
      <c r="G3324" s="35">
        <v>0.0</v>
      </c>
      <c r="H3324" s="35">
        <v>0.0</v>
      </c>
      <c r="I3324" s="35">
        <v>1.0</v>
      </c>
      <c r="J3324" s="35"/>
      <c r="K3324" s="35">
        <v>0.0</v>
      </c>
    </row>
    <row r="3325" ht="15.75" customHeight="1">
      <c r="A3325" s="35" t="s">
        <v>8422</v>
      </c>
      <c r="B3325" s="35"/>
      <c r="C3325" s="35">
        <v>2.0</v>
      </c>
      <c r="D3325" s="35">
        <v>246.0</v>
      </c>
      <c r="E3325" s="35">
        <v>46027.0</v>
      </c>
      <c r="F3325" s="35">
        <v>0.0</v>
      </c>
      <c r="G3325" s="35">
        <v>0.0</v>
      </c>
      <c r="H3325" s="35">
        <v>2.0</v>
      </c>
      <c r="I3325" s="35">
        <v>0.0</v>
      </c>
      <c r="J3325" s="35"/>
      <c r="K3325" s="35">
        <v>0.0</v>
      </c>
    </row>
    <row r="3326" ht="15.75" customHeight="1">
      <c r="A3326" s="35" t="s">
        <v>8424</v>
      </c>
      <c r="B3326" s="35"/>
      <c r="C3326" s="35">
        <v>2.0</v>
      </c>
      <c r="D3326" s="35" t="s">
        <v>2033</v>
      </c>
      <c r="E3326" s="35">
        <v>46027.0</v>
      </c>
      <c r="F3326" s="35">
        <v>0.0</v>
      </c>
      <c r="G3326" s="35">
        <v>2.0</v>
      </c>
      <c r="H3326" s="35">
        <v>0.0</v>
      </c>
      <c r="I3326" s="35">
        <v>0.0</v>
      </c>
      <c r="J3326" s="35"/>
      <c r="K3326" s="35">
        <v>0.0</v>
      </c>
    </row>
    <row r="3327" ht="15.75" customHeight="1">
      <c r="A3327" s="35" t="s">
        <v>8425</v>
      </c>
      <c r="B3327" s="35"/>
      <c r="C3327" s="35">
        <v>2.0</v>
      </c>
      <c r="D3327" s="35" t="s">
        <v>4635</v>
      </c>
      <c r="E3327" s="35">
        <v>46027.0</v>
      </c>
      <c r="F3327" s="35">
        <v>0.0</v>
      </c>
      <c r="G3327" s="35">
        <v>7.0</v>
      </c>
      <c r="H3327" s="35">
        <v>0.0</v>
      </c>
      <c r="I3327" s="35">
        <v>0.0</v>
      </c>
      <c r="J3327" s="35"/>
      <c r="K3327" s="35">
        <v>0.0</v>
      </c>
    </row>
    <row r="3328" ht="15.75" customHeight="1">
      <c r="A3328" s="35" t="s">
        <v>8427</v>
      </c>
      <c r="B3328" s="35"/>
      <c r="C3328" s="35">
        <v>2.0</v>
      </c>
      <c r="D3328" s="35" t="s">
        <v>4635</v>
      </c>
      <c r="E3328" s="35">
        <v>46027.0</v>
      </c>
      <c r="F3328" s="35">
        <v>0.0</v>
      </c>
      <c r="G3328" s="35">
        <v>0.0</v>
      </c>
      <c r="H3328" s="35">
        <v>0.0</v>
      </c>
      <c r="I3328" s="35">
        <v>3.0</v>
      </c>
      <c r="J3328" s="35"/>
      <c r="K3328" s="35">
        <v>0.0</v>
      </c>
    </row>
    <row r="3329" ht="15.75" customHeight="1">
      <c r="A3329" s="35" t="s">
        <v>8428</v>
      </c>
      <c r="B3329" s="35"/>
      <c r="C3329" s="35">
        <v>2.0</v>
      </c>
      <c r="D3329" s="35" t="s">
        <v>4635</v>
      </c>
      <c r="E3329" s="35">
        <v>46027.0</v>
      </c>
      <c r="F3329" s="35">
        <v>0.0</v>
      </c>
      <c r="G3329" s="35">
        <v>0.0</v>
      </c>
      <c r="H3329" s="35">
        <v>0.0</v>
      </c>
      <c r="I3329" s="35">
        <v>1.0</v>
      </c>
      <c r="J3329" s="35"/>
      <c r="K3329" s="35">
        <v>0.0</v>
      </c>
    </row>
    <row r="3330" ht="15.75" customHeight="1">
      <c r="A3330" s="35" t="s">
        <v>8430</v>
      </c>
      <c r="B3330" s="35"/>
      <c r="C3330" s="35">
        <v>2.0</v>
      </c>
      <c r="D3330" s="35">
        <v>51.0</v>
      </c>
      <c r="E3330" s="35">
        <v>46027.0</v>
      </c>
      <c r="F3330" s="35">
        <v>0.0</v>
      </c>
      <c r="G3330" s="35">
        <v>0.0</v>
      </c>
      <c r="H3330" s="35">
        <v>0.0</v>
      </c>
      <c r="I3330" s="35">
        <v>2.0</v>
      </c>
      <c r="J3330" s="35"/>
      <c r="K3330" s="35">
        <v>0.0</v>
      </c>
    </row>
    <row r="3331" ht="15.75" customHeight="1">
      <c r="A3331" s="35" t="s">
        <v>8431</v>
      </c>
      <c r="B3331" s="35"/>
      <c r="C3331" s="35">
        <v>2.0</v>
      </c>
      <c r="D3331" s="35">
        <v>130.0</v>
      </c>
      <c r="E3331" s="35">
        <v>46027.0</v>
      </c>
      <c r="F3331" s="35">
        <v>0.0</v>
      </c>
      <c r="G3331" s="35">
        <v>0.0</v>
      </c>
      <c r="H3331" s="35">
        <v>0.0</v>
      </c>
      <c r="I3331" s="35">
        <v>3.0</v>
      </c>
      <c r="J3331" s="35"/>
      <c r="K3331" s="35">
        <v>0.0</v>
      </c>
    </row>
    <row r="3332" ht="15.75" customHeight="1">
      <c r="A3332" s="35" t="s">
        <v>8433</v>
      </c>
      <c r="B3332" s="35"/>
      <c r="C3332" s="35">
        <v>2.0</v>
      </c>
      <c r="D3332" s="35" t="s">
        <v>4635</v>
      </c>
      <c r="E3332" s="35">
        <v>46027.0</v>
      </c>
      <c r="F3332" s="35">
        <v>0.0</v>
      </c>
      <c r="G3332" s="35">
        <v>1.0</v>
      </c>
      <c r="H3332" s="35">
        <v>0.0</v>
      </c>
      <c r="I3332" s="35">
        <v>0.0</v>
      </c>
      <c r="J3332" s="35"/>
      <c r="K3332" s="35">
        <v>0.0</v>
      </c>
    </row>
    <row r="3333" ht="15.75" customHeight="1">
      <c r="A3333" s="35" t="s">
        <v>8434</v>
      </c>
      <c r="B3333" s="35"/>
      <c r="C3333" s="35">
        <v>2.0</v>
      </c>
      <c r="D3333" s="35" t="s">
        <v>4635</v>
      </c>
      <c r="E3333" s="35">
        <v>46027.0</v>
      </c>
      <c r="F3333" s="35">
        <v>0.0</v>
      </c>
      <c r="G3333" s="35">
        <v>20.0</v>
      </c>
      <c r="H3333" s="35">
        <v>0.0</v>
      </c>
      <c r="I3333" s="35">
        <v>0.0</v>
      </c>
      <c r="J3333" s="35"/>
      <c r="K3333" s="35">
        <v>0.0</v>
      </c>
    </row>
    <row r="3334" ht="15.75" customHeight="1">
      <c r="A3334" s="35" t="s">
        <v>8436</v>
      </c>
      <c r="B3334" s="35"/>
      <c r="C3334" s="35">
        <v>2.0</v>
      </c>
      <c r="D3334" s="35" t="s">
        <v>4635</v>
      </c>
      <c r="E3334" s="35">
        <v>46027.0</v>
      </c>
      <c r="F3334" s="35">
        <v>0.0</v>
      </c>
      <c r="G3334" s="35">
        <v>0.0</v>
      </c>
      <c r="H3334" s="35">
        <v>1.0</v>
      </c>
      <c r="I3334" s="35">
        <v>0.0</v>
      </c>
      <c r="J3334" s="35"/>
      <c r="K3334" s="35">
        <v>0.0</v>
      </c>
    </row>
    <row r="3335" ht="15.75" customHeight="1">
      <c r="A3335" s="35" t="s">
        <v>8437</v>
      </c>
      <c r="B3335" s="35"/>
      <c r="C3335" s="35">
        <v>2.0</v>
      </c>
      <c r="D3335" s="35">
        <v>152.0</v>
      </c>
      <c r="E3335" s="35">
        <v>46027.0</v>
      </c>
      <c r="F3335" s="35">
        <v>0.0</v>
      </c>
      <c r="G3335" s="35">
        <v>41.0</v>
      </c>
      <c r="H3335" s="35">
        <v>0.0</v>
      </c>
      <c r="I3335" s="35">
        <v>0.0</v>
      </c>
      <c r="J3335" s="35"/>
      <c r="K3335" s="35">
        <v>0.0</v>
      </c>
    </row>
    <row r="3336" ht="15.75" customHeight="1">
      <c r="A3336" s="35" t="s">
        <v>8438</v>
      </c>
      <c r="B3336" s="35"/>
      <c r="C3336" s="35">
        <v>2.0</v>
      </c>
      <c r="D3336" s="35">
        <v>542.0</v>
      </c>
      <c r="E3336" s="35">
        <v>46027.0</v>
      </c>
      <c r="F3336" s="35">
        <v>0.0</v>
      </c>
      <c r="G3336" s="35">
        <v>4.0</v>
      </c>
      <c r="H3336" s="35">
        <v>0.0</v>
      </c>
      <c r="I3336" s="35">
        <v>0.0</v>
      </c>
      <c r="J3336" s="35"/>
      <c r="K3336" s="35">
        <v>0.0</v>
      </c>
    </row>
    <row r="3337" ht="15.75" customHeight="1">
      <c r="A3337" s="35" t="s">
        <v>8440</v>
      </c>
      <c r="B3337" s="35"/>
      <c r="C3337" s="35">
        <v>2.0</v>
      </c>
      <c r="D3337" s="35" t="s">
        <v>4635</v>
      </c>
      <c r="E3337" s="35">
        <v>46027.0</v>
      </c>
      <c r="F3337" s="35">
        <v>0.0</v>
      </c>
      <c r="G3337" s="35">
        <v>4.0</v>
      </c>
      <c r="H3337" s="35">
        <v>0.0</v>
      </c>
      <c r="I3337" s="35">
        <v>0.0</v>
      </c>
      <c r="J3337" s="35"/>
      <c r="K3337" s="35">
        <v>0.0</v>
      </c>
    </row>
    <row r="3338" ht="15.75" customHeight="1">
      <c r="A3338" s="35" t="s">
        <v>8441</v>
      </c>
      <c r="B3338" s="35"/>
      <c r="C3338" s="35">
        <v>2.0</v>
      </c>
      <c r="D3338" s="35" t="s">
        <v>4635</v>
      </c>
      <c r="E3338" s="35">
        <v>46027.0</v>
      </c>
      <c r="F3338" s="35">
        <v>0.0</v>
      </c>
      <c r="G3338" s="35">
        <v>8.0</v>
      </c>
      <c r="H3338" s="35">
        <v>0.0</v>
      </c>
      <c r="I3338" s="35">
        <v>0.0</v>
      </c>
      <c r="J3338" s="35"/>
      <c r="K3338" s="35">
        <v>0.0</v>
      </c>
    </row>
    <row r="3339" ht="15.75" customHeight="1">
      <c r="A3339" s="35" t="s">
        <v>8443</v>
      </c>
      <c r="B3339" s="35"/>
      <c r="C3339" s="35">
        <v>2.0</v>
      </c>
      <c r="D3339" s="35" t="s">
        <v>4635</v>
      </c>
      <c r="E3339" s="35">
        <v>46027.0</v>
      </c>
      <c r="F3339" s="35">
        <v>0.0</v>
      </c>
      <c r="G3339" s="35">
        <v>2.0</v>
      </c>
      <c r="H3339" s="35">
        <v>0.0</v>
      </c>
      <c r="I3339" s="35">
        <v>0.0</v>
      </c>
      <c r="J3339" s="35"/>
      <c r="K3339" s="35">
        <v>0.0</v>
      </c>
    </row>
    <row r="3340" ht="15.75" customHeight="1">
      <c r="A3340" s="35" t="s">
        <v>8444</v>
      </c>
      <c r="B3340" s="35"/>
      <c r="C3340" s="35">
        <v>2.0</v>
      </c>
      <c r="D3340" s="35" t="s">
        <v>4635</v>
      </c>
      <c r="E3340" s="35">
        <v>46027.0</v>
      </c>
      <c r="F3340" s="35">
        <v>0.0</v>
      </c>
      <c r="G3340" s="35">
        <v>8.0</v>
      </c>
      <c r="H3340" s="35">
        <v>0.0</v>
      </c>
      <c r="I3340" s="35">
        <v>0.0</v>
      </c>
      <c r="J3340" s="35"/>
      <c r="K3340" s="35">
        <v>0.0</v>
      </c>
    </row>
    <row r="3341" ht="15.75" customHeight="1">
      <c r="A3341" s="35" t="s">
        <v>8446</v>
      </c>
      <c r="B3341" s="35"/>
      <c r="C3341" s="35">
        <v>2.0</v>
      </c>
      <c r="D3341" s="35" t="s">
        <v>4635</v>
      </c>
      <c r="E3341" s="35">
        <v>46027.0</v>
      </c>
      <c r="F3341" s="35">
        <v>0.0</v>
      </c>
      <c r="G3341" s="35">
        <v>8.0</v>
      </c>
      <c r="H3341" s="35">
        <v>0.0</v>
      </c>
      <c r="I3341" s="35">
        <v>0.0</v>
      </c>
      <c r="J3341" s="35"/>
      <c r="K3341" s="35">
        <v>0.0</v>
      </c>
    </row>
    <row r="3342" ht="15.75" customHeight="1">
      <c r="A3342" s="35" t="s">
        <v>8447</v>
      </c>
      <c r="B3342" s="35"/>
      <c r="C3342" s="35">
        <v>2.0</v>
      </c>
      <c r="D3342" s="35" t="s">
        <v>4635</v>
      </c>
      <c r="E3342" s="35">
        <v>46027.0</v>
      </c>
      <c r="F3342" s="35">
        <v>0.0</v>
      </c>
      <c r="G3342" s="35">
        <v>4.0</v>
      </c>
      <c r="H3342" s="35">
        <v>0.0</v>
      </c>
      <c r="I3342" s="35">
        <v>0.0</v>
      </c>
      <c r="J3342" s="35"/>
      <c r="K3342" s="35">
        <v>0.0</v>
      </c>
    </row>
    <row r="3343" ht="15.75" customHeight="1">
      <c r="A3343" s="35" t="s">
        <v>8449</v>
      </c>
      <c r="B3343" s="35"/>
      <c r="C3343" s="35">
        <v>2.0</v>
      </c>
      <c r="D3343" s="35" t="s">
        <v>4635</v>
      </c>
      <c r="E3343" s="35">
        <v>46027.0</v>
      </c>
      <c r="F3343" s="35">
        <v>0.0</v>
      </c>
      <c r="G3343" s="35">
        <v>4.0</v>
      </c>
      <c r="H3343" s="35">
        <v>0.0</v>
      </c>
      <c r="I3343" s="35">
        <v>0.0</v>
      </c>
      <c r="J3343" s="35"/>
      <c r="K3343" s="35">
        <v>0.0</v>
      </c>
    </row>
    <row r="3344" ht="15.75" customHeight="1">
      <c r="A3344" s="35" t="s">
        <v>8450</v>
      </c>
      <c r="B3344" s="35"/>
      <c r="C3344" s="35">
        <v>2.0</v>
      </c>
      <c r="D3344" s="35" t="s">
        <v>4635</v>
      </c>
      <c r="E3344" s="35">
        <v>46027.0</v>
      </c>
      <c r="F3344" s="35">
        <v>0.0</v>
      </c>
      <c r="G3344" s="35">
        <v>2.0</v>
      </c>
      <c r="H3344" s="35">
        <v>0.0</v>
      </c>
      <c r="I3344" s="35">
        <v>0.0</v>
      </c>
      <c r="J3344" s="35"/>
      <c r="K3344" s="35">
        <v>0.0</v>
      </c>
    </row>
    <row r="3345" ht="15.75" customHeight="1">
      <c r="A3345" s="35" t="s">
        <v>8452</v>
      </c>
      <c r="B3345" s="35"/>
      <c r="C3345" s="35">
        <v>2.0</v>
      </c>
      <c r="D3345" s="35" t="s">
        <v>4635</v>
      </c>
      <c r="E3345" s="35">
        <v>46027.0</v>
      </c>
      <c r="F3345" s="35">
        <v>0.0</v>
      </c>
      <c r="G3345" s="35">
        <v>2.0</v>
      </c>
      <c r="H3345" s="35">
        <v>0.0</v>
      </c>
      <c r="I3345" s="35">
        <v>0.0</v>
      </c>
      <c r="J3345" s="35"/>
      <c r="K3345" s="35">
        <v>0.0</v>
      </c>
    </row>
    <row r="3346" ht="15.75" customHeight="1">
      <c r="A3346" s="35" t="s">
        <v>8453</v>
      </c>
      <c r="B3346" s="35"/>
      <c r="C3346" s="35">
        <v>2.0</v>
      </c>
      <c r="D3346" s="35" t="s">
        <v>4635</v>
      </c>
      <c r="E3346" s="35">
        <v>46027.0</v>
      </c>
      <c r="F3346" s="35">
        <v>0.0</v>
      </c>
      <c r="G3346" s="35">
        <v>8.0</v>
      </c>
      <c r="H3346" s="35">
        <v>0.0</v>
      </c>
      <c r="I3346" s="35">
        <v>0.0</v>
      </c>
      <c r="J3346" s="35"/>
      <c r="K3346" s="35">
        <v>0.0</v>
      </c>
    </row>
    <row r="3347" ht="15.75" customHeight="1">
      <c r="A3347" s="35" t="s">
        <v>8454</v>
      </c>
      <c r="B3347" s="35"/>
      <c r="C3347" s="35">
        <v>2.0</v>
      </c>
      <c r="D3347" s="35" t="s">
        <v>4635</v>
      </c>
      <c r="E3347" s="35">
        <v>46027.0</v>
      </c>
      <c r="F3347" s="35">
        <v>0.0</v>
      </c>
      <c r="G3347" s="35">
        <v>8.0</v>
      </c>
      <c r="H3347" s="35">
        <v>0.0</v>
      </c>
      <c r="I3347" s="35">
        <v>0.0</v>
      </c>
      <c r="J3347" s="35"/>
      <c r="K3347" s="35">
        <v>0.0</v>
      </c>
    </row>
    <row r="3348" ht="15.75" customHeight="1">
      <c r="A3348" s="35" t="s">
        <v>8456</v>
      </c>
      <c r="B3348" s="35"/>
      <c r="C3348" s="35">
        <v>2.0</v>
      </c>
      <c r="D3348" s="35" t="s">
        <v>4635</v>
      </c>
      <c r="E3348" s="35">
        <v>46027.0</v>
      </c>
      <c r="F3348" s="35">
        <v>0.0</v>
      </c>
      <c r="G3348" s="35">
        <v>200.0</v>
      </c>
      <c r="H3348" s="35">
        <v>0.0</v>
      </c>
      <c r="I3348" s="35">
        <v>0.0</v>
      </c>
      <c r="J3348" s="35"/>
      <c r="K3348" s="35">
        <v>0.0</v>
      </c>
    </row>
    <row r="3349" ht="15.75" customHeight="1">
      <c r="A3349" s="35" t="s">
        <v>8457</v>
      </c>
      <c r="B3349" s="35"/>
      <c r="C3349" s="35">
        <v>2.0</v>
      </c>
      <c r="D3349" s="35" t="s">
        <v>4635</v>
      </c>
      <c r="E3349" s="35">
        <v>46027.0</v>
      </c>
      <c r="F3349" s="35">
        <v>0.0</v>
      </c>
      <c r="G3349" s="35">
        <v>1.0</v>
      </c>
      <c r="H3349" s="35">
        <v>0.0</v>
      </c>
      <c r="I3349" s="35">
        <v>0.0</v>
      </c>
      <c r="J3349" s="35"/>
      <c r="K3349" s="35">
        <v>0.0</v>
      </c>
    </row>
    <row r="3350" ht="15.75" customHeight="1">
      <c r="A3350" s="35" t="s">
        <v>8459</v>
      </c>
      <c r="B3350" s="35"/>
      <c r="C3350" s="35">
        <v>2.0</v>
      </c>
      <c r="D3350" s="35" t="s">
        <v>4635</v>
      </c>
      <c r="E3350" s="35">
        <v>46027.0</v>
      </c>
      <c r="F3350" s="35">
        <v>0.0</v>
      </c>
      <c r="G3350" s="35">
        <v>1.0</v>
      </c>
      <c r="H3350" s="35">
        <v>0.0</v>
      </c>
      <c r="I3350" s="35">
        <v>0.0</v>
      </c>
      <c r="J3350" s="35"/>
      <c r="K3350" s="35">
        <v>0.0</v>
      </c>
    </row>
    <row r="3351" ht="15.75" customHeight="1">
      <c r="A3351" s="35" t="s">
        <v>8460</v>
      </c>
      <c r="B3351" s="35"/>
      <c r="C3351" s="35">
        <v>2.0</v>
      </c>
      <c r="D3351" s="35" t="s">
        <v>4635</v>
      </c>
      <c r="E3351" s="35">
        <v>46027.0</v>
      </c>
      <c r="F3351" s="35">
        <v>0.0</v>
      </c>
      <c r="G3351" s="35">
        <v>1.0</v>
      </c>
      <c r="H3351" s="35">
        <v>0.0</v>
      </c>
      <c r="I3351" s="35">
        <v>0.0</v>
      </c>
      <c r="J3351" s="35"/>
      <c r="K3351" s="35">
        <v>0.0</v>
      </c>
    </row>
    <row r="3352" ht="15.75" customHeight="1">
      <c r="A3352" s="35" t="s">
        <v>8462</v>
      </c>
      <c r="B3352" s="35"/>
      <c r="C3352" s="35">
        <v>2.0</v>
      </c>
      <c r="D3352" s="35" t="s">
        <v>4635</v>
      </c>
      <c r="E3352" s="35">
        <v>46027.0</v>
      </c>
      <c r="F3352" s="35">
        <v>0.0</v>
      </c>
      <c r="G3352" s="35">
        <v>14.0</v>
      </c>
      <c r="H3352" s="35">
        <v>0.0</v>
      </c>
      <c r="I3352" s="35">
        <v>0.0</v>
      </c>
      <c r="J3352" s="35"/>
      <c r="K3352" s="35">
        <v>0.0</v>
      </c>
    </row>
    <row r="3353" ht="15.75" customHeight="1">
      <c r="A3353" s="35" t="s">
        <v>8463</v>
      </c>
      <c r="B3353" s="35"/>
      <c r="C3353" s="35">
        <v>2.0</v>
      </c>
      <c r="D3353" s="35">
        <v>66.0</v>
      </c>
      <c r="E3353" s="35">
        <v>46027.0</v>
      </c>
      <c r="F3353" s="35">
        <v>0.0</v>
      </c>
      <c r="G3353" s="35">
        <v>5.0</v>
      </c>
      <c r="H3353" s="35">
        <v>0.0</v>
      </c>
      <c r="I3353" s="35">
        <v>0.0</v>
      </c>
      <c r="J3353" s="35"/>
      <c r="K3353" s="35">
        <v>0.0</v>
      </c>
    </row>
    <row r="3354" ht="15.75" customHeight="1">
      <c r="A3354" s="35" t="s">
        <v>8465</v>
      </c>
      <c r="B3354" s="35"/>
      <c r="C3354" s="35">
        <v>2.0</v>
      </c>
      <c r="D3354" s="35">
        <v>90.0</v>
      </c>
      <c r="E3354" s="35">
        <v>46027.0</v>
      </c>
      <c r="F3354" s="35">
        <v>0.0</v>
      </c>
      <c r="G3354" s="35">
        <v>8.0</v>
      </c>
      <c r="H3354" s="35">
        <v>0.0</v>
      </c>
      <c r="I3354" s="35">
        <v>0.0</v>
      </c>
      <c r="J3354" s="35"/>
      <c r="K3354" s="35">
        <v>0.0</v>
      </c>
    </row>
    <row r="3355" ht="15.75" customHeight="1">
      <c r="A3355" s="35" t="s">
        <v>8466</v>
      </c>
      <c r="B3355" s="35"/>
      <c r="C3355" s="35">
        <v>2.0</v>
      </c>
      <c r="D3355" s="35">
        <v>481.0</v>
      </c>
      <c r="E3355" s="35">
        <v>46027.0</v>
      </c>
      <c r="F3355" s="35">
        <v>0.0</v>
      </c>
      <c r="G3355" s="35">
        <v>10.0</v>
      </c>
      <c r="H3355" s="35">
        <v>0.0</v>
      </c>
      <c r="I3355" s="35">
        <v>0.0</v>
      </c>
      <c r="J3355" s="35"/>
      <c r="K3355" s="35">
        <v>0.0</v>
      </c>
    </row>
    <row r="3356" ht="15.75" customHeight="1">
      <c r="A3356" s="35" t="s">
        <v>8467</v>
      </c>
      <c r="B3356" s="35"/>
      <c r="C3356" s="35">
        <v>2.0</v>
      </c>
      <c r="D3356" s="35" t="s">
        <v>4635</v>
      </c>
      <c r="E3356" s="35">
        <v>46027.0</v>
      </c>
      <c r="F3356" s="35">
        <v>0.0</v>
      </c>
      <c r="G3356" s="35">
        <v>1.0</v>
      </c>
      <c r="H3356" s="35">
        <v>0.0</v>
      </c>
      <c r="I3356" s="35">
        <v>0.0</v>
      </c>
      <c r="J3356" s="35"/>
      <c r="K3356" s="35">
        <v>0.0</v>
      </c>
    </row>
    <row r="3357" ht="15.75" customHeight="1">
      <c r="A3357" s="35" t="s">
        <v>8469</v>
      </c>
      <c r="B3357" s="35"/>
      <c r="C3357" s="35">
        <v>2.0</v>
      </c>
      <c r="D3357" s="35" t="s">
        <v>4635</v>
      </c>
      <c r="E3357" s="35">
        <v>46027.0</v>
      </c>
      <c r="F3357" s="35">
        <v>0.0</v>
      </c>
      <c r="G3357" s="35">
        <v>6.0</v>
      </c>
      <c r="H3357" s="35">
        <v>0.0</v>
      </c>
      <c r="I3357" s="35">
        <v>0.0</v>
      </c>
      <c r="J3357" s="35"/>
      <c r="K3357" s="35">
        <v>0.0</v>
      </c>
    </row>
    <row r="3358" ht="15.75" customHeight="1">
      <c r="A3358" s="35" t="s">
        <v>8470</v>
      </c>
      <c r="B3358" s="35"/>
      <c r="C3358" s="35">
        <v>2.0</v>
      </c>
      <c r="D3358" s="35" t="s">
        <v>2021</v>
      </c>
      <c r="E3358" s="35">
        <v>46027.0</v>
      </c>
      <c r="F3358" s="35">
        <v>0.0</v>
      </c>
      <c r="G3358" s="35">
        <v>1.0</v>
      </c>
      <c r="H3358" s="35">
        <v>0.0</v>
      </c>
      <c r="I3358" s="35">
        <v>0.0</v>
      </c>
      <c r="J3358" s="35"/>
      <c r="K3358" s="35">
        <v>0.0</v>
      </c>
    </row>
    <row r="3359" ht="15.75" customHeight="1">
      <c r="A3359" s="35" t="s">
        <v>8472</v>
      </c>
      <c r="B3359" s="35"/>
      <c r="C3359" s="35">
        <v>2.0</v>
      </c>
      <c r="D3359" s="35" t="s">
        <v>1964</v>
      </c>
      <c r="E3359" s="35">
        <v>46027.0</v>
      </c>
      <c r="F3359" s="35">
        <v>0.0</v>
      </c>
      <c r="G3359" s="35">
        <v>1.0</v>
      </c>
      <c r="H3359" s="35">
        <v>0.0</v>
      </c>
      <c r="I3359" s="35">
        <v>0.0</v>
      </c>
      <c r="J3359" s="35"/>
      <c r="K3359" s="35">
        <v>0.0</v>
      </c>
    </row>
    <row r="3360" ht="15.75" customHeight="1">
      <c r="A3360" s="35" t="s">
        <v>8473</v>
      </c>
      <c r="B3360" s="35"/>
      <c r="C3360" s="35">
        <v>2.0</v>
      </c>
      <c r="D3360" s="35" t="s">
        <v>4635</v>
      </c>
      <c r="E3360" s="35">
        <v>46027.0</v>
      </c>
      <c r="F3360" s="35">
        <v>0.0</v>
      </c>
      <c r="G3360" s="35">
        <v>4.0</v>
      </c>
      <c r="H3360" s="35">
        <v>0.0</v>
      </c>
      <c r="I3360" s="35">
        <v>0.0</v>
      </c>
      <c r="J3360" s="35"/>
      <c r="K3360" s="35">
        <v>0.0</v>
      </c>
    </row>
    <row r="3361" ht="15.75" customHeight="1">
      <c r="A3361" s="35" t="s">
        <v>8475</v>
      </c>
      <c r="B3361" s="35"/>
      <c r="C3361" s="35">
        <v>2.0</v>
      </c>
      <c r="D3361" s="35" t="s">
        <v>4635</v>
      </c>
      <c r="E3361" s="35">
        <v>46027.0</v>
      </c>
      <c r="F3361" s="35">
        <v>0.0</v>
      </c>
      <c r="G3361" s="35">
        <v>3.0</v>
      </c>
      <c r="H3361" s="35">
        <v>0.0</v>
      </c>
      <c r="I3361" s="35">
        <v>0.0</v>
      </c>
      <c r="J3361" s="35"/>
      <c r="K3361" s="35">
        <v>0.0</v>
      </c>
    </row>
    <row r="3362" ht="15.75" customHeight="1">
      <c r="A3362" s="35" t="s">
        <v>8476</v>
      </c>
      <c r="B3362" s="35"/>
      <c r="C3362" s="35">
        <v>2.0</v>
      </c>
      <c r="D3362" s="35" t="s">
        <v>4635</v>
      </c>
      <c r="E3362" s="35">
        <v>46027.0</v>
      </c>
      <c r="F3362" s="35">
        <v>0.0</v>
      </c>
      <c r="G3362" s="35">
        <v>4.0</v>
      </c>
      <c r="H3362" s="35">
        <v>0.0</v>
      </c>
      <c r="I3362" s="35">
        <v>0.0</v>
      </c>
      <c r="J3362" s="35"/>
      <c r="K3362" s="35">
        <v>0.0</v>
      </c>
    </row>
    <row r="3363" ht="15.75" customHeight="1">
      <c r="A3363" s="35" t="s">
        <v>8478</v>
      </c>
      <c r="B3363" s="35"/>
      <c r="C3363" s="35">
        <v>2.0</v>
      </c>
      <c r="D3363" s="35">
        <v>90.0</v>
      </c>
      <c r="E3363" s="35">
        <v>46027.0</v>
      </c>
      <c r="F3363" s="35">
        <v>0.0</v>
      </c>
      <c r="G3363" s="35">
        <v>6.0</v>
      </c>
      <c r="H3363" s="35">
        <v>0.0</v>
      </c>
      <c r="I3363" s="35">
        <v>0.0</v>
      </c>
      <c r="J3363" s="35"/>
      <c r="K3363" s="35">
        <v>0.0</v>
      </c>
    </row>
    <row r="3364" ht="15.75" customHeight="1">
      <c r="A3364" s="35" t="s">
        <v>8479</v>
      </c>
      <c r="B3364" s="35"/>
      <c r="C3364" s="35">
        <v>2.0</v>
      </c>
      <c r="D3364" s="35" t="s">
        <v>4635</v>
      </c>
      <c r="E3364" s="35">
        <v>46027.0</v>
      </c>
      <c r="F3364" s="35">
        <v>0.0</v>
      </c>
      <c r="G3364" s="35">
        <v>4.0</v>
      </c>
      <c r="H3364" s="35">
        <v>0.0</v>
      </c>
      <c r="I3364" s="35">
        <v>0.0</v>
      </c>
      <c r="J3364" s="35"/>
      <c r="K3364" s="35">
        <v>0.0</v>
      </c>
    </row>
    <row r="3365" ht="15.75" customHeight="1">
      <c r="A3365" s="35" t="s">
        <v>8481</v>
      </c>
      <c r="B3365" s="35"/>
      <c r="C3365" s="35">
        <v>2.0</v>
      </c>
      <c r="D3365" s="35" t="s">
        <v>4635</v>
      </c>
      <c r="E3365" s="35">
        <v>46027.0</v>
      </c>
      <c r="F3365" s="35">
        <v>0.0</v>
      </c>
      <c r="G3365" s="35">
        <v>8.0</v>
      </c>
      <c r="H3365" s="35">
        <v>0.0</v>
      </c>
      <c r="I3365" s="35">
        <v>0.0</v>
      </c>
      <c r="J3365" s="35"/>
      <c r="K3365" s="35">
        <v>0.0</v>
      </c>
    </row>
    <row r="3366" ht="15.75" customHeight="1">
      <c r="A3366" s="35" t="s">
        <v>8482</v>
      </c>
      <c r="B3366" s="35"/>
      <c r="C3366" s="35">
        <v>2.0</v>
      </c>
      <c r="D3366" s="35" t="s">
        <v>4635</v>
      </c>
      <c r="E3366" s="35">
        <v>46027.0</v>
      </c>
      <c r="F3366" s="35">
        <v>0.0</v>
      </c>
      <c r="G3366" s="35">
        <v>3.0</v>
      </c>
      <c r="H3366" s="35">
        <v>0.0</v>
      </c>
      <c r="I3366" s="35">
        <v>0.0</v>
      </c>
      <c r="J3366" s="35"/>
      <c r="K3366" s="35">
        <v>0.0</v>
      </c>
    </row>
    <row r="3367" ht="15.75" customHeight="1">
      <c r="A3367" s="35" t="s">
        <v>8483</v>
      </c>
      <c r="B3367" s="35"/>
      <c r="C3367" s="35">
        <v>2.0</v>
      </c>
      <c r="D3367" s="35" t="s">
        <v>4635</v>
      </c>
      <c r="E3367" s="35">
        <v>46027.0</v>
      </c>
      <c r="F3367" s="35">
        <v>0.0</v>
      </c>
      <c r="G3367" s="35">
        <v>0.0</v>
      </c>
      <c r="H3367" s="35">
        <v>1.0</v>
      </c>
      <c r="I3367" s="35">
        <v>0.0</v>
      </c>
      <c r="J3367" s="35"/>
      <c r="K3367" s="35">
        <v>0.0</v>
      </c>
    </row>
    <row r="3368" ht="15.75" customHeight="1">
      <c r="A3368" s="35" t="s">
        <v>8485</v>
      </c>
      <c r="B3368" s="35"/>
      <c r="C3368" s="35">
        <v>2.0</v>
      </c>
      <c r="D3368" s="35" t="s">
        <v>4635</v>
      </c>
      <c r="E3368" s="35">
        <v>46027.0</v>
      </c>
      <c r="F3368" s="35">
        <v>0.0</v>
      </c>
      <c r="G3368" s="35">
        <v>25.0</v>
      </c>
      <c r="H3368" s="35">
        <v>0.0</v>
      </c>
      <c r="I3368" s="35">
        <v>0.0</v>
      </c>
      <c r="J3368" s="35"/>
      <c r="K3368" s="35">
        <v>0.0</v>
      </c>
    </row>
    <row r="3369" ht="15.75" customHeight="1">
      <c r="A3369" s="35" t="s">
        <v>8486</v>
      </c>
      <c r="B3369" s="35"/>
      <c r="C3369" s="35">
        <v>2.0</v>
      </c>
      <c r="D3369" s="35" t="s">
        <v>4635</v>
      </c>
      <c r="E3369" s="35">
        <v>46027.0</v>
      </c>
      <c r="F3369" s="35">
        <v>0.0</v>
      </c>
      <c r="G3369" s="35">
        <v>2.0</v>
      </c>
      <c r="H3369" s="35">
        <v>0.0</v>
      </c>
      <c r="I3369" s="35">
        <v>0.0</v>
      </c>
      <c r="J3369" s="35"/>
      <c r="K3369" s="35">
        <v>0.0</v>
      </c>
    </row>
    <row r="3370" ht="15.75" customHeight="1">
      <c r="A3370" s="35" t="s">
        <v>8488</v>
      </c>
      <c r="B3370" s="35"/>
      <c r="C3370" s="35">
        <v>2.0</v>
      </c>
      <c r="D3370" s="35" t="s">
        <v>4635</v>
      </c>
      <c r="E3370" s="35">
        <v>46027.0</v>
      </c>
      <c r="F3370" s="35">
        <v>0.0</v>
      </c>
      <c r="G3370" s="35">
        <v>3.0</v>
      </c>
      <c r="H3370" s="35">
        <v>0.0</v>
      </c>
      <c r="I3370" s="35">
        <v>0.0</v>
      </c>
      <c r="J3370" s="35"/>
      <c r="K3370" s="35">
        <v>0.0</v>
      </c>
    </row>
    <row r="3371" ht="15.75" customHeight="1">
      <c r="A3371" s="35" t="s">
        <v>8489</v>
      </c>
      <c r="B3371" s="35"/>
      <c r="C3371" s="35">
        <v>2.0</v>
      </c>
      <c r="D3371" s="35" t="s">
        <v>4635</v>
      </c>
      <c r="E3371" s="35">
        <v>46027.0</v>
      </c>
      <c r="F3371" s="35">
        <v>0.0</v>
      </c>
      <c r="G3371" s="35">
        <v>8.0</v>
      </c>
      <c r="H3371" s="35">
        <v>0.0</v>
      </c>
      <c r="I3371" s="35">
        <v>0.0</v>
      </c>
      <c r="J3371" s="35"/>
      <c r="K3371" s="35">
        <v>0.0</v>
      </c>
    </row>
    <row r="3372" ht="15.75" customHeight="1">
      <c r="A3372" s="35" t="s">
        <v>8491</v>
      </c>
      <c r="B3372" s="35"/>
      <c r="C3372" s="35">
        <v>2.0</v>
      </c>
      <c r="D3372" s="35" t="s">
        <v>4635</v>
      </c>
      <c r="E3372" s="35">
        <v>46027.0</v>
      </c>
      <c r="F3372" s="35">
        <v>0.0</v>
      </c>
      <c r="G3372" s="35">
        <v>1.0</v>
      </c>
      <c r="H3372" s="35">
        <v>0.0</v>
      </c>
      <c r="I3372" s="35">
        <v>0.0</v>
      </c>
      <c r="J3372" s="35"/>
      <c r="K3372" s="35">
        <v>0.0</v>
      </c>
    </row>
    <row r="3373" ht="15.75" customHeight="1">
      <c r="A3373" s="35" t="s">
        <v>8492</v>
      </c>
      <c r="B3373" s="35"/>
      <c r="C3373" s="35">
        <v>2.0</v>
      </c>
      <c r="D3373" s="35">
        <v>90.0</v>
      </c>
      <c r="E3373" s="35">
        <v>46027.0</v>
      </c>
      <c r="F3373" s="35">
        <v>0.0</v>
      </c>
      <c r="G3373" s="35">
        <v>8.0</v>
      </c>
      <c r="H3373" s="35">
        <v>0.0</v>
      </c>
      <c r="I3373" s="35">
        <v>0.0</v>
      </c>
      <c r="J3373" s="35"/>
      <c r="K3373" s="35">
        <v>0.0</v>
      </c>
    </row>
    <row r="3374" ht="15.75" customHeight="1">
      <c r="A3374" s="35" t="s">
        <v>8494</v>
      </c>
      <c r="B3374" s="35"/>
      <c r="C3374" s="35">
        <v>2.0</v>
      </c>
      <c r="D3374" s="35" t="s">
        <v>4635</v>
      </c>
      <c r="E3374" s="35">
        <v>46027.0</v>
      </c>
      <c r="F3374" s="35">
        <v>0.0</v>
      </c>
      <c r="G3374" s="35">
        <v>1.0</v>
      </c>
      <c r="H3374" s="35">
        <v>0.0</v>
      </c>
      <c r="I3374" s="35">
        <v>0.0</v>
      </c>
      <c r="J3374" s="35"/>
      <c r="K3374" s="35">
        <v>0.0</v>
      </c>
    </row>
    <row r="3375" ht="15.75" customHeight="1">
      <c r="A3375" s="35" t="s">
        <v>8495</v>
      </c>
      <c r="B3375" s="35"/>
      <c r="C3375" s="35">
        <v>2.0</v>
      </c>
      <c r="D3375" s="35" t="s">
        <v>4635</v>
      </c>
      <c r="E3375" s="35">
        <v>46027.0</v>
      </c>
      <c r="F3375" s="35">
        <v>0.0</v>
      </c>
      <c r="G3375" s="35">
        <v>4.0</v>
      </c>
      <c r="H3375" s="35">
        <v>0.0</v>
      </c>
      <c r="I3375" s="35">
        <v>0.0</v>
      </c>
      <c r="J3375" s="35"/>
      <c r="K3375" s="35">
        <v>0.0</v>
      </c>
    </row>
    <row r="3376" ht="15.75" customHeight="1">
      <c r="A3376" s="35" t="s">
        <v>8497</v>
      </c>
      <c r="B3376" s="35"/>
      <c r="C3376" s="35">
        <v>2.0</v>
      </c>
      <c r="D3376" s="35" t="s">
        <v>4635</v>
      </c>
      <c r="E3376" s="35">
        <v>46027.0</v>
      </c>
      <c r="F3376" s="35">
        <v>0.0</v>
      </c>
      <c r="G3376" s="35">
        <v>0.0</v>
      </c>
      <c r="H3376" s="35">
        <v>0.0</v>
      </c>
      <c r="I3376" s="35">
        <v>40.0</v>
      </c>
      <c r="J3376" s="35"/>
      <c r="K3376" s="35">
        <v>0.0</v>
      </c>
    </row>
    <row r="3377" ht="15.75" customHeight="1">
      <c r="A3377" s="35" t="s">
        <v>8498</v>
      </c>
      <c r="B3377" s="35"/>
      <c r="C3377" s="35">
        <v>2.0</v>
      </c>
      <c r="D3377" s="35" t="s">
        <v>4635</v>
      </c>
      <c r="E3377" s="35">
        <v>46027.0</v>
      </c>
      <c r="F3377" s="35">
        <v>0.0</v>
      </c>
      <c r="G3377" s="35">
        <v>4.0</v>
      </c>
      <c r="H3377" s="35">
        <v>0.0</v>
      </c>
      <c r="I3377" s="35">
        <v>0.0</v>
      </c>
      <c r="J3377" s="35"/>
      <c r="K3377" s="35">
        <v>0.0</v>
      </c>
    </row>
    <row r="3378" ht="15.75" customHeight="1">
      <c r="A3378" s="35" t="s">
        <v>8499</v>
      </c>
      <c r="B3378" s="35"/>
      <c r="C3378" s="35">
        <v>2.0</v>
      </c>
      <c r="D3378" s="35" t="s">
        <v>4635</v>
      </c>
      <c r="E3378" s="35">
        <v>46027.0</v>
      </c>
      <c r="F3378" s="35">
        <v>0.0</v>
      </c>
      <c r="G3378" s="35">
        <v>4.0</v>
      </c>
      <c r="H3378" s="35">
        <v>0.0</v>
      </c>
      <c r="I3378" s="35">
        <v>0.0</v>
      </c>
      <c r="J3378" s="35"/>
      <c r="K3378" s="35">
        <v>0.0</v>
      </c>
    </row>
    <row r="3379" ht="15.75" customHeight="1">
      <c r="A3379" s="35" t="s">
        <v>8501</v>
      </c>
      <c r="B3379" s="35"/>
      <c r="C3379" s="35">
        <v>2.0</v>
      </c>
      <c r="D3379" s="35">
        <v>841.0</v>
      </c>
      <c r="E3379" s="35">
        <v>46027.0</v>
      </c>
      <c r="F3379" s="35">
        <v>0.0</v>
      </c>
      <c r="G3379" s="35">
        <v>3.0</v>
      </c>
      <c r="H3379" s="35">
        <v>0.0</v>
      </c>
      <c r="I3379" s="35">
        <v>0.0</v>
      </c>
      <c r="J3379" s="35"/>
      <c r="K3379" s="35">
        <v>0.0</v>
      </c>
    </row>
    <row r="3380" ht="15.75" customHeight="1">
      <c r="A3380" s="35" t="s">
        <v>8502</v>
      </c>
      <c r="B3380" s="35"/>
      <c r="C3380" s="35">
        <v>2.0</v>
      </c>
      <c r="D3380" s="35" t="s">
        <v>4635</v>
      </c>
      <c r="E3380" s="35">
        <v>46027.0</v>
      </c>
      <c r="F3380" s="35">
        <v>0.0</v>
      </c>
      <c r="G3380" s="35">
        <v>1.0</v>
      </c>
      <c r="H3380" s="35">
        <v>0.0</v>
      </c>
      <c r="I3380" s="35">
        <v>0.0</v>
      </c>
      <c r="J3380" s="35"/>
      <c r="K3380" s="35">
        <v>0.0</v>
      </c>
    </row>
    <row r="3381" ht="15.75" customHeight="1">
      <c r="A3381" s="35" t="s">
        <v>8504</v>
      </c>
      <c r="B3381" s="35"/>
      <c r="C3381" s="35">
        <v>2.0</v>
      </c>
      <c r="D3381" s="35" t="s">
        <v>4635</v>
      </c>
      <c r="E3381" s="35">
        <v>46027.0</v>
      </c>
      <c r="F3381" s="35">
        <v>0.0</v>
      </c>
      <c r="G3381" s="35">
        <v>3.0</v>
      </c>
      <c r="H3381" s="35">
        <v>0.0</v>
      </c>
      <c r="I3381" s="35">
        <v>0.0</v>
      </c>
      <c r="J3381" s="35"/>
      <c r="K3381" s="35">
        <v>0.0</v>
      </c>
    </row>
    <row r="3382" ht="15.75" customHeight="1">
      <c r="A3382" s="35" t="s">
        <v>8505</v>
      </c>
      <c r="B3382" s="35"/>
      <c r="C3382" s="35">
        <v>2.0</v>
      </c>
      <c r="D3382" s="35" t="s">
        <v>4635</v>
      </c>
      <c r="E3382" s="35">
        <v>46027.0</v>
      </c>
      <c r="F3382" s="35">
        <v>0.0</v>
      </c>
      <c r="G3382" s="35">
        <v>0.0</v>
      </c>
      <c r="H3382" s="35">
        <v>2.0</v>
      </c>
      <c r="I3382" s="35">
        <v>0.0</v>
      </c>
      <c r="J3382" s="35"/>
      <c r="K3382" s="35">
        <v>0.0</v>
      </c>
    </row>
    <row r="3383" ht="15.75" customHeight="1">
      <c r="A3383" s="35" t="s">
        <v>8507</v>
      </c>
      <c r="B3383" s="35"/>
      <c r="C3383" s="35">
        <v>2.0</v>
      </c>
      <c r="D3383" s="35" t="s">
        <v>4635</v>
      </c>
      <c r="E3383" s="35">
        <v>46027.0</v>
      </c>
      <c r="F3383" s="35">
        <v>0.0</v>
      </c>
      <c r="G3383" s="35">
        <v>2.0</v>
      </c>
      <c r="H3383" s="35">
        <v>0.0</v>
      </c>
      <c r="I3383" s="35">
        <v>0.0</v>
      </c>
      <c r="J3383" s="35"/>
      <c r="K3383" s="35">
        <v>0.0</v>
      </c>
    </row>
    <row r="3384" ht="15.75" customHeight="1">
      <c r="A3384" s="35" t="s">
        <v>8508</v>
      </c>
      <c r="B3384" s="35"/>
      <c r="C3384" s="35">
        <v>2.0</v>
      </c>
      <c r="D3384" s="35" t="s">
        <v>4635</v>
      </c>
      <c r="E3384" s="35">
        <v>46027.0</v>
      </c>
      <c r="F3384" s="35">
        <v>0.0</v>
      </c>
      <c r="G3384" s="35">
        <v>4.0</v>
      </c>
      <c r="H3384" s="35">
        <v>0.0</v>
      </c>
      <c r="I3384" s="35">
        <v>0.0</v>
      </c>
      <c r="J3384" s="35"/>
      <c r="K3384" s="35">
        <v>0.0</v>
      </c>
    </row>
    <row r="3385" ht="15.75" customHeight="1">
      <c r="A3385" s="35" t="s">
        <v>8510</v>
      </c>
      <c r="B3385" s="35"/>
      <c r="C3385" s="35">
        <v>2.0</v>
      </c>
      <c r="D3385" s="35">
        <v>66.0</v>
      </c>
      <c r="E3385" s="35">
        <v>46027.0</v>
      </c>
      <c r="F3385" s="35">
        <v>0.0</v>
      </c>
      <c r="G3385" s="35">
        <v>6.0</v>
      </c>
      <c r="H3385" s="35">
        <v>0.0</v>
      </c>
      <c r="I3385" s="35">
        <v>0.0</v>
      </c>
      <c r="J3385" s="35"/>
      <c r="K3385" s="35">
        <v>0.0</v>
      </c>
    </row>
    <row r="3386" ht="15.75" customHeight="1">
      <c r="A3386" s="35" t="s">
        <v>8511</v>
      </c>
      <c r="B3386" s="35"/>
      <c r="C3386" s="35">
        <v>2.0</v>
      </c>
      <c r="D3386" s="35" t="s">
        <v>4635</v>
      </c>
      <c r="E3386" s="35">
        <v>46027.0</v>
      </c>
      <c r="F3386" s="35">
        <v>0.0</v>
      </c>
      <c r="G3386" s="35">
        <v>2.0</v>
      </c>
      <c r="H3386" s="35">
        <v>0.0</v>
      </c>
      <c r="I3386" s="35">
        <v>0.0</v>
      </c>
      <c r="J3386" s="35"/>
      <c r="K3386" s="35">
        <v>0.0</v>
      </c>
    </row>
    <row r="3387" ht="15.75" customHeight="1">
      <c r="A3387" s="35" t="s">
        <v>8513</v>
      </c>
      <c r="B3387" s="35"/>
      <c r="C3387" s="35">
        <v>2.0</v>
      </c>
      <c r="D3387" s="35" t="s">
        <v>4635</v>
      </c>
      <c r="E3387" s="35">
        <v>46027.0</v>
      </c>
      <c r="F3387" s="35">
        <v>0.0</v>
      </c>
      <c r="G3387" s="35">
        <v>6.0</v>
      </c>
      <c r="H3387" s="35">
        <v>0.0</v>
      </c>
      <c r="I3387" s="35">
        <v>0.0</v>
      </c>
      <c r="J3387" s="35"/>
      <c r="K3387" s="35">
        <v>0.0</v>
      </c>
    </row>
    <row r="3388" ht="15.75" customHeight="1">
      <c r="A3388" s="35" t="s">
        <v>8514</v>
      </c>
      <c r="B3388" s="35"/>
      <c r="C3388" s="35">
        <v>2.0</v>
      </c>
      <c r="D3388" s="35" t="s">
        <v>4635</v>
      </c>
      <c r="E3388" s="35">
        <v>46027.0</v>
      </c>
      <c r="F3388" s="35">
        <v>0.0</v>
      </c>
      <c r="G3388" s="35">
        <v>1.0</v>
      </c>
      <c r="H3388" s="35">
        <v>0.0</v>
      </c>
      <c r="I3388" s="35">
        <v>0.0</v>
      </c>
      <c r="J3388" s="35"/>
      <c r="K3388" s="35">
        <v>0.0</v>
      </c>
    </row>
    <row r="3389" ht="15.75" customHeight="1">
      <c r="A3389" s="35" t="s">
        <v>8515</v>
      </c>
      <c r="B3389" s="35"/>
      <c r="C3389" s="35">
        <v>2.0</v>
      </c>
      <c r="D3389" s="35" t="s">
        <v>4635</v>
      </c>
      <c r="E3389" s="35">
        <v>46027.0</v>
      </c>
      <c r="F3389" s="35">
        <v>0.0</v>
      </c>
      <c r="G3389" s="35">
        <v>4.0</v>
      </c>
      <c r="H3389" s="35">
        <v>0.0</v>
      </c>
      <c r="I3389" s="35">
        <v>0.0</v>
      </c>
      <c r="J3389" s="35"/>
      <c r="K3389" s="35">
        <v>0.0</v>
      </c>
    </row>
    <row r="3390" ht="15.75" customHeight="1">
      <c r="A3390" s="35" t="s">
        <v>8517</v>
      </c>
      <c r="B3390" s="35"/>
      <c r="C3390" s="35">
        <v>2.0</v>
      </c>
      <c r="D3390" s="35" t="s">
        <v>4635</v>
      </c>
      <c r="E3390" s="35">
        <v>46027.0</v>
      </c>
      <c r="F3390" s="35">
        <v>0.0</v>
      </c>
      <c r="G3390" s="35">
        <v>1.0</v>
      </c>
      <c r="H3390" s="35">
        <v>0.0</v>
      </c>
      <c r="I3390" s="35">
        <v>0.0</v>
      </c>
      <c r="J3390" s="35"/>
      <c r="K3390" s="35">
        <v>0.0</v>
      </c>
    </row>
    <row r="3391" ht="15.75" customHeight="1">
      <c r="A3391" s="35" t="s">
        <v>8518</v>
      </c>
      <c r="B3391" s="35"/>
      <c r="C3391" s="35">
        <v>2.0</v>
      </c>
      <c r="D3391" s="35" t="s">
        <v>4635</v>
      </c>
      <c r="E3391" s="35">
        <v>46027.0</v>
      </c>
      <c r="F3391" s="35">
        <v>0.0</v>
      </c>
      <c r="G3391" s="35">
        <v>8.0</v>
      </c>
      <c r="H3391" s="35">
        <v>0.0</v>
      </c>
      <c r="I3391" s="35">
        <v>0.0</v>
      </c>
      <c r="J3391" s="35"/>
      <c r="K3391" s="35">
        <v>0.0</v>
      </c>
    </row>
    <row r="3392" ht="15.75" customHeight="1">
      <c r="A3392" s="35" t="s">
        <v>8519</v>
      </c>
      <c r="B3392" s="35"/>
      <c r="C3392" s="35">
        <v>2.0</v>
      </c>
      <c r="D3392" s="35" t="s">
        <v>4635</v>
      </c>
      <c r="E3392" s="35">
        <v>46027.0</v>
      </c>
      <c r="F3392" s="35">
        <v>0.0</v>
      </c>
      <c r="G3392" s="35">
        <v>4.0</v>
      </c>
      <c r="H3392" s="35">
        <v>0.0</v>
      </c>
      <c r="I3392" s="35">
        <v>0.0</v>
      </c>
      <c r="J3392" s="35"/>
      <c r="K3392" s="35">
        <v>0.0</v>
      </c>
    </row>
    <row r="3393" ht="15.75" customHeight="1">
      <c r="A3393" s="35" t="s">
        <v>8521</v>
      </c>
      <c r="B3393" s="35"/>
      <c r="C3393" s="35">
        <v>2.0</v>
      </c>
      <c r="D3393" s="35" t="s">
        <v>4546</v>
      </c>
      <c r="E3393" s="35">
        <v>46027.0</v>
      </c>
      <c r="F3393" s="35">
        <v>0.0</v>
      </c>
      <c r="G3393" s="35">
        <v>3.0</v>
      </c>
      <c r="H3393" s="35">
        <v>0.0</v>
      </c>
      <c r="I3393" s="35">
        <v>0.0</v>
      </c>
      <c r="J3393" s="35"/>
      <c r="K3393" s="35">
        <v>0.0</v>
      </c>
    </row>
    <row r="3394" ht="15.75" customHeight="1">
      <c r="A3394" s="35" t="s">
        <v>8522</v>
      </c>
      <c r="B3394" s="35"/>
      <c r="C3394" s="35">
        <v>2.0</v>
      </c>
      <c r="D3394" s="35" t="s">
        <v>4635</v>
      </c>
      <c r="E3394" s="35">
        <v>46027.0</v>
      </c>
      <c r="F3394" s="35">
        <v>0.0</v>
      </c>
      <c r="G3394" s="35">
        <v>1.0</v>
      </c>
      <c r="H3394" s="35">
        <v>0.0</v>
      </c>
      <c r="I3394" s="35">
        <v>0.0</v>
      </c>
      <c r="J3394" s="35"/>
      <c r="K3394" s="35">
        <v>0.0</v>
      </c>
    </row>
    <row r="3395" ht="15.75" customHeight="1">
      <c r="A3395" s="35" t="s">
        <v>8523</v>
      </c>
      <c r="B3395" s="35"/>
      <c r="C3395" s="35">
        <v>2.0</v>
      </c>
      <c r="D3395" s="35" t="s">
        <v>4635</v>
      </c>
      <c r="E3395" s="35">
        <v>46027.0</v>
      </c>
      <c r="F3395" s="35">
        <v>0.0</v>
      </c>
      <c r="G3395" s="35">
        <v>2.0</v>
      </c>
      <c r="H3395" s="35">
        <v>0.0</v>
      </c>
      <c r="I3395" s="35">
        <v>0.0</v>
      </c>
      <c r="J3395" s="35"/>
      <c r="K3395" s="35">
        <v>0.0</v>
      </c>
    </row>
    <row r="3396" ht="15.75" customHeight="1">
      <c r="A3396" s="35" t="s">
        <v>8525</v>
      </c>
      <c r="B3396" s="35"/>
      <c r="C3396" s="35">
        <v>2.0</v>
      </c>
      <c r="D3396" s="35" t="s">
        <v>4635</v>
      </c>
      <c r="E3396" s="35">
        <v>46027.0</v>
      </c>
      <c r="F3396" s="35">
        <v>0.0</v>
      </c>
      <c r="G3396" s="35">
        <v>8.0</v>
      </c>
      <c r="H3396" s="35">
        <v>0.0</v>
      </c>
      <c r="I3396" s="35">
        <v>0.0</v>
      </c>
      <c r="J3396" s="35"/>
      <c r="K3396" s="35">
        <v>0.0</v>
      </c>
    </row>
    <row r="3397" ht="15.75" customHeight="1">
      <c r="A3397" s="35" t="s">
        <v>8527</v>
      </c>
      <c r="B3397" s="35"/>
      <c r="C3397" s="35">
        <v>2.0</v>
      </c>
      <c r="D3397" s="35">
        <v>578.0</v>
      </c>
      <c r="E3397" s="35">
        <v>46027.0</v>
      </c>
      <c r="F3397" s="35">
        <v>0.0</v>
      </c>
      <c r="G3397" s="35">
        <v>1.0</v>
      </c>
      <c r="H3397" s="35">
        <v>0.0</v>
      </c>
      <c r="I3397" s="35">
        <v>0.0</v>
      </c>
      <c r="J3397" s="35"/>
      <c r="K3397" s="35">
        <v>0.0</v>
      </c>
    </row>
    <row r="3398" ht="15.75" customHeight="1">
      <c r="A3398" s="35" t="s">
        <v>8528</v>
      </c>
      <c r="B3398" s="35"/>
      <c r="C3398" s="35">
        <v>2.0</v>
      </c>
      <c r="D3398" s="35" t="s">
        <v>4635</v>
      </c>
      <c r="E3398" s="35">
        <v>46027.0</v>
      </c>
      <c r="F3398" s="35">
        <v>0.0</v>
      </c>
      <c r="G3398" s="35">
        <v>1.0</v>
      </c>
      <c r="H3398" s="35">
        <v>0.0</v>
      </c>
      <c r="I3398" s="35">
        <v>0.0</v>
      </c>
      <c r="J3398" s="35"/>
      <c r="K3398" s="35">
        <v>0.0</v>
      </c>
    </row>
    <row r="3399" ht="15.75" customHeight="1">
      <c r="A3399" s="35" t="s">
        <v>8530</v>
      </c>
      <c r="B3399" s="35"/>
      <c r="C3399" s="35">
        <v>2.0</v>
      </c>
      <c r="D3399" s="35" t="s">
        <v>4635</v>
      </c>
      <c r="E3399" s="35">
        <v>46027.0</v>
      </c>
      <c r="F3399" s="35">
        <v>0.0</v>
      </c>
      <c r="G3399" s="35">
        <v>0.0</v>
      </c>
      <c r="H3399" s="35">
        <v>0.0</v>
      </c>
      <c r="I3399" s="35">
        <v>35.0</v>
      </c>
      <c r="J3399" s="35"/>
      <c r="K3399" s="35">
        <v>0.0</v>
      </c>
    </row>
    <row r="3400" ht="15.75" customHeight="1">
      <c r="A3400" s="35" t="s">
        <v>8531</v>
      </c>
      <c r="B3400" s="35"/>
      <c r="C3400" s="35">
        <v>2.0</v>
      </c>
      <c r="D3400" s="35" t="s">
        <v>4635</v>
      </c>
      <c r="E3400" s="35">
        <v>46027.0</v>
      </c>
      <c r="F3400" s="35">
        <v>0.0</v>
      </c>
      <c r="G3400" s="35">
        <v>1.0</v>
      </c>
      <c r="H3400" s="35">
        <v>0.0</v>
      </c>
      <c r="I3400" s="35">
        <v>0.0</v>
      </c>
      <c r="J3400" s="35"/>
      <c r="K3400" s="35">
        <v>0.0</v>
      </c>
    </row>
    <row r="3401" ht="15.75" customHeight="1">
      <c r="A3401" s="35" t="s">
        <v>8533</v>
      </c>
      <c r="B3401" s="35"/>
      <c r="C3401" s="35">
        <v>2.0</v>
      </c>
      <c r="D3401" s="35">
        <v>121.0</v>
      </c>
      <c r="E3401" s="35">
        <v>46027.0</v>
      </c>
      <c r="F3401" s="35">
        <v>0.0</v>
      </c>
      <c r="G3401" s="35">
        <v>0.0</v>
      </c>
      <c r="H3401" s="35">
        <v>1.0</v>
      </c>
      <c r="I3401" s="35">
        <v>0.0</v>
      </c>
      <c r="J3401" s="35"/>
      <c r="K3401" s="35">
        <v>0.0</v>
      </c>
    </row>
    <row r="3402" ht="15.75" customHeight="1">
      <c r="A3402" s="35" t="s">
        <v>8534</v>
      </c>
      <c r="B3402" s="35"/>
      <c r="C3402" s="35">
        <v>2.0</v>
      </c>
      <c r="D3402" s="35">
        <v>116.0</v>
      </c>
      <c r="E3402" s="35">
        <v>46027.0</v>
      </c>
      <c r="F3402" s="35">
        <v>0.0</v>
      </c>
      <c r="G3402" s="35">
        <v>1.0</v>
      </c>
      <c r="H3402" s="35">
        <v>0.0</v>
      </c>
      <c r="I3402" s="35">
        <v>0.0</v>
      </c>
      <c r="J3402" s="35"/>
      <c r="K3402" s="35">
        <v>0.0</v>
      </c>
    </row>
    <row r="3403" ht="15.75" customHeight="1">
      <c r="A3403" s="35" t="s">
        <v>8535</v>
      </c>
      <c r="B3403" s="35"/>
      <c r="C3403" s="35">
        <v>2.0</v>
      </c>
      <c r="D3403" s="35" t="s">
        <v>4635</v>
      </c>
      <c r="E3403" s="35">
        <v>46027.0</v>
      </c>
      <c r="F3403" s="35">
        <v>0.0</v>
      </c>
      <c r="G3403" s="35">
        <v>1.0</v>
      </c>
      <c r="H3403" s="35">
        <v>0.0</v>
      </c>
      <c r="I3403" s="35">
        <v>0.0</v>
      </c>
      <c r="J3403" s="35"/>
      <c r="K3403" s="35">
        <v>0.0</v>
      </c>
    </row>
    <row r="3404" ht="15.75" customHeight="1">
      <c r="A3404" s="35" t="s">
        <v>8537</v>
      </c>
      <c r="B3404" s="35"/>
      <c r="C3404" s="35">
        <v>2.0</v>
      </c>
      <c r="D3404" s="35" t="s">
        <v>4635</v>
      </c>
      <c r="E3404" s="35">
        <v>46027.0</v>
      </c>
      <c r="F3404" s="35">
        <v>0.0</v>
      </c>
      <c r="G3404" s="35">
        <v>8.0</v>
      </c>
      <c r="H3404" s="35">
        <v>0.0</v>
      </c>
      <c r="I3404" s="35">
        <v>0.0</v>
      </c>
      <c r="J3404" s="35"/>
      <c r="K3404" s="35">
        <v>0.0</v>
      </c>
    </row>
    <row r="3405" ht="15.75" customHeight="1">
      <c r="A3405" s="35" t="s">
        <v>8538</v>
      </c>
      <c r="B3405" s="35"/>
      <c r="C3405" s="35">
        <v>2.0</v>
      </c>
      <c r="D3405" s="35" t="s">
        <v>4635</v>
      </c>
      <c r="E3405" s="35">
        <v>46027.0</v>
      </c>
      <c r="F3405" s="35">
        <v>0.0</v>
      </c>
      <c r="G3405" s="35">
        <v>17.0</v>
      </c>
      <c r="H3405" s="35">
        <v>0.0</v>
      </c>
      <c r="I3405" s="35">
        <v>0.0</v>
      </c>
      <c r="J3405" s="35"/>
      <c r="K3405" s="35">
        <v>0.0</v>
      </c>
    </row>
    <row r="3406" ht="15.75" customHeight="1">
      <c r="A3406" s="35" t="s">
        <v>8540</v>
      </c>
      <c r="B3406" s="35"/>
      <c r="C3406" s="35">
        <v>2.0</v>
      </c>
      <c r="D3406" s="35" t="s">
        <v>4635</v>
      </c>
      <c r="E3406" s="35">
        <v>46027.0</v>
      </c>
      <c r="F3406" s="35">
        <v>0.0</v>
      </c>
      <c r="G3406" s="35">
        <v>4.0</v>
      </c>
      <c r="H3406" s="35">
        <v>0.0</v>
      </c>
      <c r="I3406" s="35">
        <v>0.0</v>
      </c>
      <c r="J3406" s="35"/>
      <c r="K3406" s="35">
        <v>0.0</v>
      </c>
    </row>
    <row r="3407" ht="15.75" customHeight="1">
      <c r="A3407" s="35" t="s">
        <v>8541</v>
      </c>
      <c r="B3407" s="35"/>
      <c r="C3407" s="35">
        <v>2.0</v>
      </c>
      <c r="D3407" s="35" t="s">
        <v>4635</v>
      </c>
      <c r="E3407" s="35">
        <v>46027.0</v>
      </c>
      <c r="F3407" s="35">
        <v>0.0</v>
      </c>
      <c r="G3407" s="35">
        <v>8.0</v>
      </c>
      <c r="H3407" s="35">
        <v>0.0</v>
      </c>
      <c r="I3407" s="35">
        <v>0.0</v>
      </c>
      <c r="J3407" s="35"/>
      <c r="K3407" s="35">
        <v>0.0</v>
      </c>
    </row>
    <row r="3408" ht="15.75" customHeight="1">
      <c r="A3408" s="35" t="s">
        <v>8543</v>
      </c>
      <c r="B3408" s="35"/>
      <c r="C3408" s="35">
        <v>2.0</v>
      </c>
      <c r="D3408" s="35" t="s">
        <v>4635</v>
      </c>
      <c r="E3408" s="35">
        <v>46027.0</v>
      </c>
      <c r="F3408" s="35">
        <v>0.0</v>
      </c>
      <c r="G3408" s="35">
        <v>2.0</v>
      </c>
      <c r="H3408" s="35">
        <v>0.0</v>
      </c>
      <c r="I3408" s="35">
        <v>0.0</v>
      </c>
      <c r="J3408" s="35"/>
      <c r="K3408" s="35">
        <v>0.0</v>
      </c>
    </row>
    <row r="3409" ht="15.75" customHeight="1">
      <c r="A3409" s="35" t="s">
        <v>8544</v>
      </c>
      <c r="B3409" s="35"/>
      <c r="C3409" s="35">
        <v>2.0</v>
      </c>
      <c r="D3409" s="35">
        <v>66.0</v>
      </c>
      <c r="E3409" s="35">
        <v>46027.0</v>
      </c>
      <c r="F3409" s="35">
        <v>0.0</v>
      </c>
      <c r="G3409" s="35">
        <v>5.0</v>
      </c>
      <c r="H3409" s="35">
        <v>0.0</v>
      </c>
      <c r="I3409" s="35">
        <v>0.0</v>
      </c>
      <c r="J3409" s="35"/>
      <c r="K3409" s="35">
        <v>0.0</v>
      </c>
    </row>
    <row r="3410" ht="15.75" customHeight="1">
      <c r="A3410" s="35" t="s">
        <v>8546</v>
      </c>
      <c r="B3410" s="35"/>
      <c r="C3410" s="35">
        <v>2.0</v>
      </c>
      <c r="D3410" s="35" t="s">
        <v>4635</v>
      </c>
      <c r="E3410" s="35">
        <v>46027.0</v>
      </c>
      <c r="F3410" s="35">
        <v>0.0</v>
      </c>
      <c r="G3410" s="35">
        <v>2.0</v>
      </c>
      <c r="H3410" s="35">
        <v>0.0</v>
      </c>
      <c r="I3410" s="35">
        <v>0.0</v>
      </c>
      <c r="J3410" s="35"/>
      <c r="K3410" s="35">
        <v>0.0</v>
      </c>
    </row>
    <row r="3411" ht="15.75" customHeight="1">
      <c r="A3411" s="35" t="s">
        <v>8547</v>
      </c>
      <c r="B3411" s="35"/>
      <c r="C3411" s="35">
        <v>2.0</v>
      </c>
      <c r="D3411" s="35" t="s">
        <v>4635</v>
      </c>
      <c r="E3411" s="35">
        <v>46027.0</v>
      </c>
      <c r="F3411" s="35">
        <v>0.0</v>
      </c>
      <c r="G3411" s="35">
        <v>8.0</v>
      </c>
      <c r="H3411" s="35">
        <v>0.0</v>
      </c>
      <c r="I3411" s="35">
        <v>0.0</v>
      </c>
      <c r="J3411" s="35"/>
      <c r="K3411" s="35">
        <v>0.0</v>
      </c>
    </row>
    <row r="3412" ht="15.75" customHeight="1">
      <c r="A3412" s="35" t="s">
        <v>8548</v>
      </c>
      <c r="B3412" s="35"/>
      <c r="C3412" s="35">
        <v>2.0</v>
      </c>
      <c r="D3412" s="35" t="s">
        <v>4635</v>
      </c>
      <c r="E3412" s="35">
        <v>46027.0</v>
      </c>
      <c r="F3412" s="35">
        <v>0.0</v>
      </c>
      <c r="G3412" s="35">
        <v>1.0</v>
      </c>
      <c r="H3412" s="35">
        <v>0.0</v>
      </c>
      <c r="I3412" s="35">
        <v>0.0</v>
      </c>
      <c r="J3412" s="35"/>
      <c r="K3412" s="35">
        <v>0.0</v>
      </c>
    </row>
    <row r="3413" ht="15.75" customHeight="1">
      <c r="A3413" s="35" t="s">
        <v>8550</v>
      </c>
      <c r="B3413" s="35"/>
      <c r="C3413" s="35">
        <v>2.0</v>
      </c>
      <c r="D3413" s="35" t="s">
        <v>4635</v>
      </c>
      <c r="E3413" s="35">
        <v>46027.0</v>
      </c>
      <c r="F3413" s="35">
        <v>0.0</v>
      </c>
      <c r="G3413" s="35">
        <v>1.0</v>
      </c>
      <c r="H3413" s="35">
        <v>0.0</v>
      </c>
      <c r="I3413" s="35">
        <v>0.0</v>
      </c>
      <c r="J3413" s="35"/>
      <c r="K3413" s="35">
        <v>0.0</v>
      </c>
    </row>
    <row r="3414" ht="15.75" customHeight="1">
      <c r="A3414" s="35" t="s">
        <v>8551</v>
      </c>
      <c r="B3414" s="35"/>
      <c r="C3414" s="35">
        <v>2.0</v>
      </c>
      <c r="D3414" s="35" t="s">
        <v>4635</v>
      </c>
      <c r="E3414" s="35">
        <v>46027.0</v>
      </c>
      <c r="F3414" s="35">
        <v>0.0</v>
      </c>
      <c r="G3414" s="35">
        <v>5.0</v>
      </c>
      <c r="H3414" s="35">
        <v>0.0</v>
      </c>
      <c r="I3414" s="35">
        <v>0.0</v>
      </c>
      <c r="J3414" s="35"/>
      <c r="K3414" s="35">
        <v>0.0</v>
      </c>
    </row>
    <row r="3415" ht="15.75" customHeight="1">
      <c r="A3415" s="35" t="s">
        <v>8553</v>
      </c>
      <c r="B3415" s="35"/>
      <c r="C3415" s="35">
        <v>2.0</v>
      </c>
      <c r="D3415" s="35">
        <v>636.0</v>
      </c>
      <c r="E3415" s="35">
        <v>46027.0</v>
      </c>
      <c r="F3415" s="35">
        <v>0.0</v>
      </c>
      <c r="G3415" s="35">
        <v>1.0</v>
      </c>
      <c r="H3415" s="35">
        <v>0.0</v>
      </c>
      <c r="I3415" s="35">
        <v>0.0</v>
      </c>
      <c r="J3415" s="35"/>
      <c r="K3415" s="35">
        <v>0.0</v>
      </c>
    </row>
    <row r="3416" ht="15.75" customHeight="1">
      <c r="A3416" s="35" t="s">
        <v>8554</v>
      </c>
      <c r="B3416" s="35"/>
      <c r="C3416" s="35">
        <v>2.0</v>
      </c>
      <c r="D3416" s="35" t="s">
        <v>4635</v>
      </c>
      <c r="E3416" s="35">
        <v>46027.0</v>
      </c>
      <c r="F3416" s="35">
        <v>0.0</v>
      </c>
      <c r="G3416" s="35">
        <v>8.0</v>
      </c>
      <c r="H3416" s="35">
        <v>0.0</v>
      </c>
      <c r="I3416" s="35">
        <v>0.0</v>
      </c>
      <c r="J3416" s="35"/>
      <c r="K3416" s="35">
        <v>0.0</v>
      </c>
    </row>
    <row r="3417" ht="15.75" customHeight="1">
      <c r="A3417" s="35" t="s">
        <v>8556</v>
      </c>
      <c r="B3417" s="35"/>
      <c r="C3417" s="35">
        <v>2.0</v>
      </c>
      <c r="D3417" s="35" t="s">
        <v>4635</v>
      </c>
      <c r="E3417" s="35">
        <v>46027.0</v>
      </c>
      <c r="F3417" s="35">
        <v>0.0</v>
      </c>
      <c r="G3417" s="35">
        <v>1.0</v>
      </c>
      <c r="H3417" s="35">
        <v>0.0</v>
      </c>
      <c r="I3417" s="35">
        <v>0.0</v>
      </c>
      <c r="J3417" s="35"/>
      <c r="K3417" s="35">
        <v>0.0</v>
      </c>
    </row>
    <row r="3418" ht="15.75" customHeight="1">
      <c r="A3418" s="35" t="s">
        <v>8557</v>
      </c>
      <c r="B3418" s="35"/>
      <c r="C3418" s="35">
        <v>2.0</v>
      </c>
      <c r="D3418" s="35" t="s">
        <v>4635</v>
      </c>
      <c r="E3418" s="35">
        <v>46027.0</v>
      </c>
      <c r="F3418" s="35">
        <v>0.0</v>
      </c>
      <c r="G3418" s="35">
        <v>3.0</v>
      </c>
      <c r="H3418" s="35">
        <v>0.0</v>
      </c>
      <c r="I3418" s="35">
        <v>0.0</v>
      </c>
      <c r="J3418" s="35"/>
      <c r="K3418" s="35">
        <v>0.0</v>
      </c>
    </row>
    <row r="3419" ht="15.75" customHeight="1">
      <c r="A3419" s="35" t="s">
        <v>8558</v>
      </c>
      <c r="B3419" s="35"/>
      <c r="C3419" s="35">
        <v>2.0</v>
      </c>
      <c r="D3419" s="35">
        <v>66.0</v>
      </c>
      <c r="E3419" s="35">
        <v>46027.0</v>
      </c>
      <c r="F3419" s="35">
        <v>0.0</v>
      </c>
      <c r="G3419" s="35">
        <v>6.0</v>
      </c>
      <c r="H3419" s="35">
        <v>0.0</v>
      </c>
      <c r="I3419" s="35">
        <v>0.0</v>
      </c>
      <c r="J3419" s="35"/>
      <c r="K3419" s="35">
        <v>0.0</v>
      </c>
    </row>
    <row r="3420" ht="15.75" customHeight="1">
      <c r="A3420" s="35" t="s">
        <v>8560</v>
      </c>
      <c r="B3420" s="35"/>
      <c r="C3420" s="35">
        <v>2.0</v>
      </c>
      <c r="D3420" s="35">
        <v>436.0</v>
      </c>
      <c r="E3420" s="35">
        <v>46027.0</v>
      </c>
      <c r="F3420" s="35">
        <v>0.0</v>
      </c>
      <c r="G3420" s="35">
        <v>0.0</v>
      </c>
      <c r="H3420" s="35">
        <v>0.0</v>
      </c>
      <c r="I3420" s="35">
        <v>2.0</v>
      </c>
      <c r="J3420" s="35"/>
      <c r="K3420" s="35">
        <v>0.0</v>
      </c>
    </row>
    <row r="3421" ht="15.75" customHeight="1">
      <c r="A3421" s="35" t="s">
        <v>8561</v>
      </c>
      <c r="B3421" s="35"/>
      <c r="C3421" s="35">
        <v>2.0</v>
      </c>
      <c r="D3421" s="35" t="s">
        <v>4635</v>
      </c>
      <c r="E3421" s="35">
        <v>46027.0</v>
      </c>
      <c r="F3421" s="35">
        <v>0.0</v>
      </c>
      <c r="G3421" s="35">
        <v>5.0</v>
      </c>
      <c r="H3421" s="35">
        <v>0.0</v>
      </c>
      <c r="I3421" s="35">
        <v>0.0</v>
      </c>
      <c r="J3421" s="35"/>
      <c r="K3421" s="35">
        <v>0.0</v>
      </c>
    </row>
    <row r="3422" ht="15.75" customHeight="1">
      <c r="A3422" s="35" t="s">
        <v>8562</v>
      </c>
      <c r="B3422" s="35"/>
      <c r="C3422" s="35">
        <v>2.0</v>
      </c>
      <c r="D3422" s="35" t="s">
        <v>4635</v>
      </c>
      <c r="E3422" s="35">
        <v>46027.0</v>
      </c>
      <c r="F3422" s="35">
        <v>0.0</v>
      </c>
      <c r="G3422" s="35">
        <v>8.0</v>
      </c>
      <c r="H3422" s="35">
        <v>0.0</v>
      </c>
      <c r="I3422" s="35">
        <v>0.0</v>
      </c>
      <c r="J3422" s="35"/>
      <c r="K3422" s="35">
        <v>0.0</v>
      </c>
    </row>
    <row r="3423" ht="15.75" customHeight="1">
      <c r="A3423" s="35" t="s">
        <v>8564</v>
      </c>
      <c r="B3423" s="35"/>
      <c r="C3423" s="35">
        <v>2.0</v>
      </c>
      <c r="D3423" s="35" t="s">
        <v>4635</v>
      </c>
      <c r="E3423" s="35">
        <v>46027.0</v>
      </c>
      <c r="F3423" s="35">
        <v>0.0</v>
      </c>
      <c r="G3423" s="35">
        <v>4.0</v>
      </c>
      <c r="H3423" s="35">
        <v>0.0</v>
      </c>
      <c r="I3423" s="35">
        <v>0.0</v>
      </c>
      <c r="J3423" s="35"/>
      <c r="K3423" s="35">
        <v>0.0</v>
      </c>
    </row>
    <row r="3424" ht="15.75" customHeight="1">
      <c r="A3424" s="35" t="s">
        <v>8565</v>
      </c>
      <c r="B3424" s="35"/>
      <c r="C3424" s="35">
        <v>2.0</v>
      </c>
      <c r="D3424" s="35" t="s">
        <v>4635</v>
      </c>
      <c r="E3424" s="35">
        <v>46027.0</v>
      </c>
      <c r="F3424" s="35">
        <v>0.0</v>
      </c>
      <c r="G3424" s="35">
        <v>2.0</v>
      </c>
      <c r="H3424" s="35">
        <v>0.0</v>
      </c>
      <c r="I3424" s="35">
        <v>0.0</v>
      </c>
      <c r="J3424" s="35"/>
      <c r="K3424" s="35">
        <v>0.0</v>
      </c>
    </row>
    <row r="3425" ht="15.75" customHeight="1">
      <c r="A3425" s="35" t="s">
        <v>8567</v>
      </c>
      <c r="B3425" s="35"/>
      <c r="C3425" s="35">
        <v>2.0</v>
      </c>
      <c r="D3425" s="35" t="s">
        <v>2049</v>
      </c>
      <c r="E3425" s="35">
        <v>46027.0</v>
      </c>
      <c r="F3425" s="35">
        <v>0.0</v>
      </c>
      <c r="G3425" s="35">
        <v>1.0</v>
      </c>
      <c r="H3425" s="35">
        <v>0.0</v>
      </c>
      <c r="I3425" s="35">
        <v>0.0</v>
      </c>
      <c r="J3425" s="35"/>
      <c r="K3425" s="35">
        <v>0.0</v>
      </c>
    </row>
    <row r="3426" ht="15.75" customHeight="1">
      <c r="A3426" s="35" t="s">
        <v>8568</v>
      </c>
      <c r="B3426" s="35"/>
      <c r="C3426" s="35">
        <v>2.0</v>
      </c>
      <c r="D3426" s="35">
        <v>253.0</v>
      </c>
      <c r="E3426" s="35">
        <v>46027.0</v>
      </c>
      <c r="F3426" s="35">
        <v>0.0</v>
      </c>
      <c r="G3426" s="35">
        <v>0.0</v>
      </c>
      <c r="H3426" s="35">
        <v>16.0</v>
      </c>
      <c r="I3426" s="35">
        <v>0.0</v>
      </c>
      <c r="J3426" s="35"/>
      <c r="K3426" s="35">
        <v>0.0</v>
      </c>
    </row>
    <row r="3427" ht="15.75" customHeight="1">
      <c r="A3427" s="35" t="s">
        <v>8570</v>
      </c>
      <c r="B3427" s="35"/>
      <c r="C3427" s="35">
        <v>2.0</v>
      </c>
      <c r="D3427" s="35">
        <v>518.0</v>
      </c>
      <c r="E3427" s="35">
        <v>46027.0</v>
      </c>
      <c r="F3427" s="35">
        <v>0.0</v>
      </c>
      <c r="G3427" s="35">
        <v>6.0</v>
      </c>
      <c r="H3427" s="35">
        <v>0.0</v>
      </c>
      <c r="I3427" s="35">
        <v>0.0</v>
      </c>
      <c r="J3427" s="35"/>
      <c r="K3427" s="35">
        <v>0.0</v>
      </c>
    </row>
    <row r="3428" ht="15.75" customHeight="1">
      <c r="A3428" s="35" t="s">
        <v>8571</v>
      </c>
      <c r="B3428" s="35"/>
      <c r="C3428" s="35">
        <v>2.0</v>
      </c>
      <c r="D3428" s="35" t="s">
        <v>4635</v>
      </c>
      <c r="E3428" s="35">
        <v>46027.0</v>
      </c>
      <c r="F3428" s="35">
        <v>0.0</v>
      </c>
      <c r="G3428" s="35">
        <v>1.0</v>
      </c>
      <c r="H3428" s="35">
        <v>0.0</v>
      </c>
      <c r="I3428" s="35">
        <v>0.0</v>
      </c>
      <c r="J3428" s="35"/>
      <c r="K3428" s="35">
        <v>0.0</v>
      </c>
    </row>
    <row r="3429" ht="15.75" customHeight="1">
      <c r="A3429" s="35" t="s">
        <v>8572</v>
      </c>
      <c r="B3429" s="35"/>
      <c r="C3429" s="35">
        <v>2.0</v>
      </c>
      <c r="D3429" s="35" t="s">
        <v>4635</v>
      </c>
      <c r="E3429" s="35">
        <v>46027.0</v>
      </c>
      <c r="F3429" s="35">
        <v>0.0</v>
      </c>
      <c r="G3429" s="35">
        <v>3.0</v>
      </c>
      <c r="H3429" s="35">
        <v>0.0</v>
      </c>
      <c r="I3429" s="35">
        <v>0.0</v>
      </c>
      <c r="J3429" s="35"/>
      <c r="K3429" s="35">
        <v>0.0</v>
      </c>
    </row>
    <row r="3430" ht="15.75" customHeight="1">
      <c r="A3430" s="35" t="s">
        <v>8574</v>
      </c>
      <c r="B3430" s="35"/>
      <c r="C3430" s="35">
        <v>2.0</v>
      </c>
      <c r="D3430" s="35">
        <v>41.0</v>
      </c>
      <c r="E3430" s="35">
        <v>46027.0</v>
      </c>
      <c r="F3430" s="35">
        <v>0.0</v>
      </c>
      <c r="G3430" s="35">
        <v>4.0</v>
      </c>
      <c r="H3430" s="35">
        <v>0.0</v>
      </c>
      <c r="I3430" s="35">
        <v>0.0</v>
      </c>
      <c r="J3430" s="35"/>
      <c r="K3430" s="35">
        <v>0.0</v>
      </c>
    </row>
    <row r="3431" ht="15.75" customHeight="1">
      <c r="A3431" s="35" t="s">
        <v>8575</v>
      </c>
      <c r="B3431" s="35"/>
      <c r="C3431" s="35">
        <v>2.0</v>
      </c>
      <c r="D3431" s="35">
        <v>72.0</v>
      </c>
      <c r="E3431" s="35">
        <v>46027.0</v>
      </c>
      <c r="F3431" s="35">
        <v>0.0</v>
      </c>
      <c r="G3431" s="35">
        <v>2.0</v>
      </c>
      <c r="H3431" s="35">
        <v>0.0</v>
      </c>
      <c r="I3431" s="35">
        <v>0.0</v>
      </c>
      <c r="J3431" s="35"/>
      <c r="K3431" s="35">
        <v>0.0</v>
      </c>
    </row>
    <row r="3432" ht="15.75" customHeight="1">
      <c r="A3432" s="35" t="s">
        <v>8577</v>
      </c>
      <c r="B3432" s="35"/>
      <c r="C3432" s="35">
        <v>2.0</v>
      </c>
      <c r="D3432" s="35" t="s">
        <v>4635</v>
      </c>
      <c r="E3432" s="35">
        <v>46027.0</v>
      </c>
      <c r="F3432" s="35">
        <v>0.0</v>
      </c>
      <c r="G3432" s="35">
        <v>1.0</v>
      </c>
      <c r="H3432" s="35">
        <v>0.0</v>
      </c>
      <c r="I3432" s="35">
        <v>0.0</v>
      </c>
      <c r="J3432" s="35"/>
      <c r="K3432" s="35">
        <v>0.0</v>
      </c>
    </row>
    <row r="3433" ht="15.75" customHeight="1">
      <c r="A3433" s="35" t="s">
        <v>8578</v>
      </c>
      <c r="B3433" s="35"/>
      <c r="C3433" s="35">
        <v>2.0</v>
      </c>
      <c r="D3433" s="35" t="s">
        <v>4635</v>
      </c>
      <c r="E3433" s="35">
        <v>46027.0</v>
      </c>
      <c r="F3433" s="35">
        <v>0.0</v>
      </c>
      <c r="G3433" s="35">
        <v>2.0</v>
      </c>
      <c r="H3433" s="35">
        <v>0.0</v>
      </c>
      <c r="I3433" s="35">
        <v>0.0</v>
      </c>
      <c r="J3433" s="35"/>
      <c r="K3433" s="35">
        <v>0.0</v>
      </c>
    </row>
    <row r="3434" ht="15.75" customHeight="1">
      <c r="A3434" s="35" t="s">
        <v>8580</v>
      </c>
      <c r="B3434" s="35"/>
      <c r="C3434" s="35">
        <v>2.0</v>
      </c>
      <c r="D3434" s="35" t="s">
        <v>4841</v>
      </c>
      <c r="E3434" s="35">
        <v>46027.0</v>
      </c>
      <c r="F3434" s="35">
        <v>0.0</v>
      </c>
      <c r="G3434" s="35">
        <v>2.0</v>
      </c>
      <c r="H3434" s="35">
        <v>0.0</v>
      </c>
      <c r="I3434" s="35">
        <v>0.0</v>
      </c>
      <c r="J3434" s="35"/>
      <c r="K3434" s="35">
        <v>0.0</v>
      </c>
    </row>
    <row r="3435" ht="15.75" customHeight="1">
      <c r="A3435" s="35" t="s">
        <v>8581</v>
      </c>
      <c r="B3435" s="35"/>
      <c r="C3435" s="35">
        <v>2.0</v>
      </c>
      <c r="D3435" s="35" t="s">
        <v>4635</v>
      </c>
      <c r="E3435" s="35">
        <v>46027.0</v>
      </c>
      <c r="F3435" s="35">
        <v>0.0</v>
      </c>
      <c r="G3435" s="35">
        <v>2.0</v>
      </c>
      <c r="H3435" s="35">
        <v>0.0</v>
      </c>
      <c r="I3435" s="35">
        <v>0.0</v>
      </c>
      <c r="J3435" s="35"/>
      <c r="K3435" s="35">
        <v>0.0</v>
      </c>
    </row>
    <row r="3436" ht="15.75" customHeight="1">
      <c r="A3436" s="35" t="s">
        <v>8583</v>
      </c>
      <c r="B3436" s="35"/>
      <c r="C3436" s="35">
        <v>2.0</v>
      </c>
      <c r="D3436" s="35" t="s">
        <v>4635</v>
      </c>
      <c r="E3436" s="35">
        <v>46027.0</v>
      </c>
      <c r="F3436" s="35">
        <v>0.0</v>
      </c>
      <c r="G3436" s="35">
        <v>2.0</v>
      </c>
      <c r="H3436" s="35">
        <v>0.0</v>
      </c>
      <c r="I3436" s="35">
        <v>0.0</v>
      </c>
      <c r="J3436" s="35"/>
      <c r="K3436" s="35">
        <v>0.0</v>
      </c>
    </row>
    <row r="3437" ht="15.75" customHeight="1">
      <c r="A3437" s="35" t="s">
        <v>8584</v>
      </c>
      <c r="B3437" s="35"/>
      <c r="C3437" s="35">
        <v>2.0</v>
      </c>
      <c r="D3437" s="35" t="s">
        <v>2004</v>
      </c>
      <c r="E3437" s="35">
        <v>46027.0</v>
      </c>
      <c r="F3437" s="35">
        <v>0.0</v>
      </c>
      <c r="G3437" s="35">
        <v>0.0</v>
      </c>
      <c r="H3437" s="35">
        <v>0.0</v>
      </c>
      <c r="I3437" s="35">
        <v>1.0</v>
      </c>
      <c r="J3437" s="35"/>
      <c r="K3437" s="35">
        <v>0.0</v>
      </c>
    </row>
    <row r="3438" ht="15.75" customHeight="1">
      <c r="A3438" s="35" t="s">
        <v>8586</v>
      </c>
      <c r="B3438" s="35"/>
      <c r="C3438" s="35">
        <v>2.0</v>
      </c>
      <c r="D3438" s="35" t="s">
        <v>4538</v>
      </c>
      <c r="E3438" s="35">
        <v>46027.0</v>
      </c>
      <c r="F3438" s="35">
        <v>0.0</v>
      </c>
      <c r="G3438" s="35">
        <v>1.0</v>
      </c>
      <c r="H3438" s="35">
        <v>0.0</v>
      </c>
      <c r="I3438" s="35">
        <v>0.0</v>
      </c>
      <c r="J3438" s="35"/>
      <c r="K3438" s="35">
        <v>0.0</v>
      </c>
    </row>
    <row r="3439" ht="15.75" customHeight="1">
      <c r="A3439" s="35" t="s">
        <v>8587</v>
      </c>
      <c r="B3439" s="35"/>
      <c r="C3439" s="35">
        <v>2.0</v>
      </c>
      <c r="D3439" s="35" t="s">
        <v>4635</v>
      </c>
      <c r="E3439" s="35">
        <v>46027.0</v>
      </c>
      <c r="F3439" s="35">
        <v>0.0</v>
      </c>
      <c r="G3439" s="35">
        <v>22.0</v>
      </c>
      <c r="H3439" s="35">
        <v>0.0</v>
      </c>
      <c r="I3439" s="35">
        <v>0.0</v>
      </c>
      <c r="J3439" s="35"/>
      <c r="K3439" s="35">
        <v>0.0</v>
      </c>
    </row>
    <row r="3440" ht="15.75" customHeight="1">
      <c r="A3440" s="35" t="s">
        <v>8588</v>
      </c>
      <c r="B3440" s="35"/>
      <c r="C3440" s="35">
        <v>2.0</v>
      </c>
      <c r="D3440" s="35" t="s">
        <v>4635</v>
      </c>
      <c r="E3440" s="35">
        <v>46027.0</v>
      </c>
      <c r="F3440" s="35">
        <v>0.0</v>
      </c>
      <c r="G3440" s="35">
        <v>8.0</v>
      </c>
      <c r="H3440" s="35">
        <v>0.0</v>
      </c>
      <c r="I3440" s="35">
        <v>0.0</v>
      </c>
      <c r="J3440" s="35"/>
      <c r="K3440" s="35">
        <v>0.0</v>
      </c>
    </row>
    <row r="3441" ht="15.75" customHeight="1">
      <c r="A3441" s="35" t="s">
        <v>8590</v>
      </c>
      <c r="B3441" s="35"/>
      <c r="C3441" s="35">
        <v>2.0</v>
      </c>
      <c r="D3441" s="35" t="s">
        <v>4635</v>
      </c>
      <c r="E3441" s="35">
        <v>46027.0</v>
      </c>
      <c r="F3441" s="35">
        <v>0.0</v>
      </c>
      <c r="G3441" s="35">
        <v>1.0</v>
      </c>
      <c r="H3441" s="35">
        <v>0.0</v>
      </c>
      <c r="I3441" s="35">
        <v>0.0</v>
      </c>
      <c r="J3441" s="35"/>
      <c r="K3441" s="35">
        <v>0.0</v>
      </c>
    </row>
    <row r="3442" ht="15.75" customHeight="1">
      <c r="A3442" s="35" t="s">
        <v>8591</v>
      </c>
      <c r="B3442" s="35"/>
      <c r="C3442" s="35">
        <v>2.0</v>
      </c>
      <c r="D3442" s="35" t="s">
        <v>4635</v>
      </c>
      <c r="E3442" s="35">
        <v>46027.0</v>
      </c>
      <c r="F3442" s="35">
        <v>0.0</v>
      </c>
      <c r="G3442" s="35">
        <v>4.0</v>
      </c>
      <c r="H3442" s="35">
        <v>0.0</v>
      </c>
      <c r="I3442" s="35">
        <v>0.0</v>
      </c>
      <c r="J3442" s="35"/>
      <c r="K3442" s="35">
        <v>0.0</v>
      </c>
    </row>
    <row r="3443" ht="15.75" customHeight="1">
      <c r="A3443" s="35" t="s">
        <v>8593</v>
      </c>
      <c r="B3443" s="35"/>
      <c r="C3443" s="35">
        <v>2.0</v>
      </c>
      <c r="D3443" s="35" t="s">
        <v>4635</v>
      </c>
      <c r="E3443" s="35">
        <v>46027.0</v>
      </c>
      <c r="F3443" s="35">
        <v>0.0</v>
      </c>
      <c r="G3443" s="35">
        <v>6.0</v>
      </c>
      <c r="H3443" s="35">
        <v>0.0</v>
      </c>
      <c r="I3443" s="35">
        <v>0.0</v>
      </c>
      <c r="J3443" s="35"/>
      <c r="K3443" s="35">
        <v>0.0</v>
      </c>
    </row>
    <row r="3444" ht="15.75" customHeight="1">
      <c r="A3444" s="35" t="s">
        <v>8594</v>
      </c>
      <c r="B3444" s="35"/>
      <c r="C3444" s="35">
        <v>2.0</v>
      </c>
      <c r="D3444" s="35" t="s">
        <v>4635</v>
      </c>
      <c r="E3444" s="35">
        <v>46027.0</v>
      </c>
      <c r="F3444" s="35">
        <v>0.0</v>
      </c>
      <c r="G3444" s="35">
        <v>4.0</v>
      </c>
      <c r="H3444" s="35">
        <v>0.0</v>
      </c>
      <c r="I3444" s="35">
        <v>0.0</v>
      </c>
      <c r="J3444" s="35"/>
      <c r="K3444" s="35">
        <v>0.0</v>
      </c>
    </row>
    <row r="3445" ht="15.75" customHeight="1">
      <c r="A3445" s="35" t="s">
        <v>8596</v>
      </c>
      <c r="B3445" s="35"/>
      <c r="C3445" s="35">
        <v>2.0</v>
      </c>
      <c r="D3445" s="35" t="s">
        <v>4635</v>
      </c>
      <c r="E3445" s="35">
        <v>46027.0</v>
      </c>
      <c r="F3445" s="35">
        <v>0.0</v>
      </c>
      <c r="G3445" s="35">
        <v>1.0</v>
      </c>
      <c r="H3445" s="35">
        <v>0.0</v>
      </c>
      <c r="I3445" s="35">
        <v>0.0</v>
      </c>
      <c r="J3445" s="35"/>
      <c r="K3445" s="35">
        <v>0.0</v>
      </c>
    </row>
    <row r="3446" ht="15.75" customHeight="1">
      <c r="A3446" s="35" t="s">
        <v>8597</v>
      </c>
      <c r="B3446" s="35"/>
      <c r="C3446" s="35">
        <v>2.0</v>
      </c>
      <c r="D3446" s="35" t="s">
        <v>4635</v>
      </c>
      <c r="E3446" s="35">
        <v>46027.0</v>
      </c>
      <c r="F3446" s="35">
        <v>0.0</v>
      </c>
      <c r="G3446" s="35">
        <v>1.0</v>
      </c>
      <c r="H3446" s="35">
        <v>0.0</v>
      </c>
      <c r="I3446" s="35">
        <v>0.0</v>
      </c>
      <c r="J3446" s="35"/>
      <c r="K3446" s="35">
        <v>0.0</v>
      </c>
    </row>
    <row r="3447" ht="15.75" customHeight="1">
      <c r="A3447" s="35" t="s">
        <v>8598</v>
      </c>
      <c r="B3447" s="35"/>
      <c r="C3447" s="35">
        <v>2.0</v>
      </c>
      <c r="D3447" s="35" t="s">
        <v>4635</v>
      </c>
      <c r="E3447" s="35">
        <v>46027.0</v>
      </c>
      <c r="F3447" s="35">
        <v>0.0</v>
      </c>
      <c r="G3447" s="35">
        <v>6.0</v>
      </c>
      <c r="H3447" s="35">
        <v>0.0</v>
      </c>
      <c r="I3447" s="35">
        <v>0.0</v>
      </c>
      <c r="J3447" s="35"/>
      <c r="K3447" s="35">
        <v>0.0</v>
      </c>
    </row>
    <row r="3448" ht="15.75" customHeight="1">
      <c r="A3448" s="35" t="s">
        <v>8600</v>
      </c>
      <c r="B3448" s="35"/>
      <c r="C3448" s="35">
        <v>2.0</v>
      </c>
      <c r="D3448" s="35">
        <v>580.0</v>
      </c>
      <c r="E3448" s="35">
        <v>46027.0</v>
      </c>
      <c r="F3448" s="35">
        <v>0.0</v>
      </c>
      <c r="G3448" s="35">
        <v>0.0</v>
      </c>
      <c r="H3448" s="35">
        <v>0.0</v>
      </c>
      <c r="I3448" s="35">
        <v>1.0</v>
      </c>
      <c r="J3448" s="35"/>
      <c r="K3448" s="35">
        <v>0.0</v>
      </c>
    </row>
    <row r="3449" ht="15.75" customHeight="1">
      <c r="A3449" s="35" t="s">
        <v>8601</v>
      </c>
      <c r="B3449" s="35"/>
      <c r="C3449" s="35">
        <v>2.0</v>
      </c>
      <c r="D3449" s="35" t="s">
        <v>4635</v>
      </c>
      <c r="E3449" s="35">
        <v>46027.0</v>
      </c>
      <c r="F3449" s="35">
        <v>0.0</v>
      </c>
      <c r="G3449" s="35">
        <v>4.0</v>
      </c>
      <c r="H3449" s="35">
        <v>0.0</v>
      </c>
      <c r="I3449" s="35">
        <v>0.0</v>
      </c>
      <c r="J3449" s="35"/>
      <c r="K3449" s="35">
        <v>0.0</v>
      </c>
    </row>
    <row r="3450" ht="15.75" customHeight="1">
      <c r="A3450" s="35" t="s">
        <v>8603</v>
      </c>
      <c r="B3450" s="35"/>
      <c r="C3450" s="35">
        <v>2.0</v>
      </c>
      <c r="D3450" s="35" t="s">
        <v>4635</v>
      </c>
      <c r="E3450" s="35">
        <v>46027.0</v>
      </c>
      <c r="F3450" s="35">
        <v>0.0</v>
      </c>
      <c r="G3450" s="35">
        <v>1.0</v>
      </c>
      <c r="H3450" s="35">
        <v>0.0</v>
      </c>
      <c r="I3450" s="35">
        <v>0.0</v>
      </c>
      <c r="J3450" s="35"/>
      <c r="K3450" s="35">
        <v>0.0</v>
      </c>
    </row>
    <row r="3451" ht="15.75" customHeight="1">
      <c r="A3451" s="35" t="s">
        <v>8604</v>
      </c>
      <c r="B3451" s="35"/>
      <c r="C3451" s="35">
        <v>2.0</v>
      </c>
      <c r="D3451" s="35" t="s">
        <v>4635</v>
      </c>
      <c r="E3451" s="35">
        <v>46027.0</v>
      </c>
      <c r="F3451" s="35">
        <v>0.0</v>
      </c>
      <c r="G3451" s="35">
        <v>1.0</v>
      </c>
      <c r="H3451" s="35">
        <v>0.0</v>
      </c>
      <c r="I3451" s="35">
        <v>0.0</v>
      </c>
      <c r="J3451" s="35"/>
      <c r="K3451" s="35">
        <v>0.0</v>
      </c>
    </row>
    <row r="3452" ht="15.75" customHeight="1">
      <c r="A3452" s="35" t="s">
        <v>8606</v>
      </c>
      <c r="B3452" s="35"/>
      <c r="C3452" s="35">
        <v>2.0</v>
      </c>
      <c r="D3452" s="35" t="s">
        <v>4635</v>
      </c>
      <c r="E3452" s="35">
        <v>46027.0</v>
      </c>
      <c r="F3452" s="35">
        <v>0.0</v>
      </c>
      <c r="G3452" s="35">
        <v>0.0</v>
      </c>
      <c r="H3452" s="35">
        <v>0.0</v>
      </c>
      <c r="I3452" s="35">
        <v>21.0</v>
      </c>
      <c r="J3452" s="35"/>
      <c r="K3452" s="35">
        <v>0.0</v>
      </c>
    </row>
    <row r="3453" ht="15.75" customHeight="1">
      <c r="A3453" s="35" t="s">
        <v>8607</v>
      </c>
      <c r="B3453" s="35"/>
      <c r="C3453" s="35">
        <v>2.0</v>
      </c>
      <c r="D3453" s="35" t="s">
        <v>4635</v>
      </c>
      <c r="E3453" s="35">
        <v>46027.0</v>
      </c>
      <c r="F3453" s="35">
        <v>0.0</v>
      </c>
      <c r="G3453" s="35">
        <v>8.0</v>
      </c>
      <c r="H3453" s="35">
        <v>0.0</v>
      </c>
      <c r="I3453" s="35">
        <v>0.0</v>
      </c>
      <c r="J3453" s="35"/>
      <c r="K3453" s="35">
        <v>0.0</v>
      </c>
    </row>
    <row r="3454" ht="15.75" customHeight="1">
      <c r="A3454" s="35" t="s">
        <v>8608</v>
      </c>
      <c r="B3454" s="35"/>
      <c r="C3454" s="35">
        <v>2.0</v>
      </c>
      <c r="D3454" s="35">
        <v>726.0</v>
      </c>
      <c r="E3454" s="35">
        <v>46027.0</v>
      </c>
      <c r="F3454" s="35">
        <v>0.0</v>
      </c>
      <c r="G3454" s="35">
        <v>10.0</v>
      </c>
      <c r="H3454" s="35">
        <v>0.0</v>
      </c>
      <c r="I3454" s="35">
        <v>0.0</v>
      </c>
      <c r="J3454" s="35"/>
      <c r="K3454" s="35">
        <v>0.0</v>
      </c>
    </row>
    <row r="3455" ht="15.75" customHeight="1">
      <c r="A3455" s="35" t="s">
        <v>8610</v>
      </c>
      <c r="B3455" s="35"/>
      <c r="C3455" s="35">
        <v>2.0</v>
      </c>
      <c r="D3455" s="35" t="s">
        <v>4635</v>
      </c>
      <c r="E3455" s="35">
        <v>46027.0</v>
      </c>
      <c r="F3455" s="35">
        <v>0.0</v>
      </c>
      <c r="G3455" s="35">
        <v>5.0</v>
      </c>
      <c r="H3455" s="35">
        <v>0.0</v>
      </c>
      <c r="I3455" s="35">
        <v>0.0</v>
      </c>
      <c r="J3455" s="35"/>
      <c r="K3455" s="35">
        <v>0.0</v>
      </c>
    </row>
    <row r="3456" ht="15.75" customHeight="1">
      <c r="A3456" s="35" t="s">
        <v>8611</v>
      </c>
      <c r="B3456" s="35"/>
      <c r="C3456" s="35">
        <v>2.0</v>
      </c>
      <c r="D3456" s="35" t="s">
        <v>4635</v>
      </c>
      <c r="E3456" s="35">
        <v>46027.0</v>
      </c>
      <c r="F3456" s="35">
        <v>0.0</v>
      </c>
      <c r="G3456" s="35">
        <v>8.0</v>
      </c>
      <c r="H3456" s="35">
        <v>0.0</v>
      </c>
      <c r="I3456" s="35">
        <v>0.0</v>
      </c>
      <c r="J3456" s="35"/>
      <c r="K3456" s="35">
        <v>0.0</v>
      </c>
    </row>
    <row r="3457" ht="15.75" customHeight="1">
      <c r="A3457" s="35" t="s">
        <v>8613</v>
      </c>
      <c r="B3457" s="35"/>
      <c r="C3457" s="35">
        <v>2.0</v>
      </c>
      <c r="D3457" s="35" t="s">
        <v>4635</v>
      </c>
      <c r="E3457" s="35">
        <v>46027.0</v>
      </c>
      <c r="F3457" s="35">
        <v>0.0</v>
      </c>
      <c r="G3457" s="35">
        <v>4.0</v>
      </c>
      <c r="H3457" s="35">
        <v>0.0</v>
      </c>
      <c r="I3457" s="35">
        <v>0.0</v>
      </c>
      <c r="J3457" s="35"/>
      <c r="K3457" s="35">
        <v>0.0</v>
      </c>
    </row>
    <row r="3458" ht="15.75" customHeight="1">
      <c r="A3458" s="35" t="s">
        <v>8614</v>
      </c>
      <c r="B3458" s="35"/>
      <c r="C3458" s="35">
        <v>2.0</v>
      </c>
      <c r="D3458" s="35" t="s">
        <v>4635</v>
      </c>
      <c r="E3458" s="35">
        <v>46027.0</v>
      </c>
      <c r="F3458" s="35">
        <v>0.0</v>
      </c>
      <c r="G3458" s="35">
        <v>4.0</v>
      </c>
      <c r="H3458" s="35">
        <v>0.0</v>
      </c>
      <c r="I3458" s="35">
        <v>0.0</v>
      </c>
      <c r="J3458" s="35"/>
      <c r="K3458" s="35">
        <v>0.0</v>
      </c>
    </row>
    <row r="3459" ht="15.75" customHeight="1">
      <c r="A3459" s="35" t="s">
        <v>8616</v>
      </c>
      <c r="B3459" s="35"/>
      <c r="C3459" s="35">
        <v>2.0</v>
      </c>
      <c r="D3459" s="35">
        <v>541.0</v>
      </c>
      <c r="E3459" s="35">
        <v>46027.0</v>
      </c>
      <c r="F3459" s="35">
        <v>0.0</v>
      </c>
      <c r="G3459" s="35">
        <v>31.0</v>
      </c>
      <c r="H3459" s="35">
        <v>0.0</v>
      </c>
      <c r="I3459" s="35">
        <v>0.0</v>
      </c>
      <c r="J3459" s="35"/>
      <c r="K3459" s="35">
        <v>0.0</v>
      </c>
    </row>
    <row r="3460" ht="15.75" customHeight="1">
      <c r="A3460" s="35" t="s">
        <v>8617</v>
      </c>
      <c r="B3460" s="35"/>
      <c r="C3460" s="35">
        <v>2.0</v>
      </c>
      <c r="D3460" s="35" t="s">
        <v>4635</v>
      </c>
      <c r="E3460" s="35">
        <v>46027.0</v>
      </c>
      <c r="F3460" s="35">
        <v>0.0</v>
      </c>
      <c r="G3460" s="35">
        <v>0.0</v>
      </c>
      <c r="H3460" s="35">
        <v>0.0</v>
      </c>
      <c r="I3460" s="35">
        <v>36.0</v>
      </c>
      <c r="J3460" s="35"/>
      <c r="K3460" s="35">
        <v>0.0</v>
      </c>
    </row>
    <row r="3461" ht="15.75" customHeight="1">
      <c r="A3461" s="35" t="s">
        <v>8618</v>
      </c>
      <c r="B3461" s="35"/>
      <c r="C3461" s="35">
        <v>2.0</v>
      </c>
      <c r="D3461" s="35">
        <v>922.0</v>
      </c>
      <c r="E3461" s="35">
        <v>46027.0</v>
      </c>
      <c r="F3461" s="35">
        <v>0.0</v>
      </c>
      <c r="G3461" s="35">
        <v>10.0</v>
      </c>
      <c r="H3461" s="35">
        <v>0.0</v>
      </c>
      <c r="I3461" s="35">
        <v>0.0</v>
      </c>
      <c r="J3461" s="35"/>
      <c r="K3461" s="35">
        <v>0.0</v>
      </c>
    </row>
    <row r="3462" ht="15.75" customHeight="1">
      <c r="A3462" s="35" t="s">
        <v>8620</v>
      </c>
      <c r="B3462" s="35"/>
      <c r="C3462" s="35">
        <v>2.0</v>
      </c>
      <c r="D3462" s="35">
        <v>66.0</v>
      </c>
      <c r="E3462" s="35">
        <v>46027.0</v>
      </c>
      <c r="F3462" s="35">
        <v>0.0</v>
      </c>
      <c r="G3462" s="35">
        <v>7.0</v>
      </c>
      <c r="H3462" s="35">
        <v>0.0</v>
      </c>
      <c r="I3462" s="35">
        <v>0.0</v>
      </c>
      <c r="J3462" s="35"/>
      <c r="K3462" s="35">
        <v>0.0</v>
      </c>
    </row>
    <row r="3463" ht="15.75" customHeight="1">
      <c r="A3463" s="35" t="s">
        <v>8621</v>
      </c>
      <c r="B3463" s="35"/>
      <c r="C3463" s="35">
        <v>2.0</v>
      </c>
      <c r="D3463" s="35">
        <v>204.0</v>
      </c>
      <c r="E3463" s="35">
        <v>46027.0</v>
      </c>
      <c r="F3463" s="35">
        <v>0.0</v>
      </c>
      <c r="G3463" s="35">
        <v>0.0</v>
      </c>
      <c r="H3463" s="35">
        <v>0.0</v>
      </c>
      <c r="I3463" s="35">
        <v>1.0</v>
      </c>
      <c r="J3463" s="35"/>
      <c r="K3463" s="35">
        <v>0.0</v>
      </c>
    </row>
    <row r="3464" ht="15.75" customHeight="1">
      <c r="A3464" s="35" t="s">
        <v>8623</v>
      </c>
      <c r="B3464" s="35"/>
      <c r="C3464" s="35">
        <v>2.0</v>
      </c>
      <c r="D3464" s="35" t="s">
        <v>4635</v>
      </c>
      <c r="E3464" s="35">
        <v>46027.0</v>
      </c>
      <c r="F3464" s="35">
        <v>0.0</v>
      </c>
      <c r="G3464" s="35">
        <v>0.0</v>
      </c>
      <c r="H3464" s="35">
        <v>0.0</v>
      </c>
      <c r="I3464" s="35">
        <v>16.0</v>
      </c>
      <c r="J3464" s="35"/>
      <c r="K3464" s="35">
        <v>0.0</v>
      </c>
    </row>
    <row r="3465" ht="15.75" customHeight="1">
      <c r="A3465" s="35" t="s">
        <v>8624</v>
      </c>
      <c r="B3465" s="35"/>
      <c r="C3465" s="35">
        <v>2.0</v>
      </c>
      <c r="D3465" s="35" t="s">
        <v>4635</v>
      </c>
      <c r="E3465" s="35">
        <v>46027.0</v>
      </c>
      <c r="F3465" s="35">
        <v>0.0</v>
      </c>
      <c r="G3465" s="35">
        <v>5.0</v>
      </c>
      <c r="H3465" s="35">
        <v>0.0</v>
      </c>
      <c r="I3465" s="35">
        <v>0.0</v>
      </c>
      <c r="J3465" s="35"/>
      <c r="K3465" s="35">
        <v>0.0</v>
      </c>
    </row>
    <row r="3466" ht="15.75" customHeight="1">
      <c r="A3466" s="35" t="s">
        <v>8626</v>
      </c>
      <c r="B3466" s="35"/>
      <c r="C3466" s="35">
        <v>2.0</v>
      </c>
      <c r="D3466" s="35" t="s">
        <v>4635</v>
      </c>
      <c r="E3466" s="35">
        <v>46027.0</v>
      </c>
      <c r="F3466" s="35">
        <v>0.0</v>
      </c>
      <c r="G3466" s="35">
        <v>4.0</v>
      </c>
      <c r="H3466" s="35">
        <v>0.0</v>
      </c>
      <c r="I3466" s="35">
        <v>0.0</v>
      </c>
      <c r="J3466" s="35"/>
      <c r="K3466" s="35">
        <v>0.0</v>
      </c>
    </row>
    <row r="3467" ht="15.75" customHeight="1">
      <c r="A3467" s="35" t="s">
        <v>8627</v>
      </c>
      <c r="B3467" s="35"/>
      <c r="C3467" s="35">
        <v>2.0</v>
      </c>
      <c r="D3467" s="35" t="s">
        <v>4635</v>
      </c>
      <c r="E3467" s="35">
        <v>46027.0</v>
      </c>
      <c r="F3467" s="35">
        <v>0.0</v>
      </c>
      <c r="G3467" s="35">
        <v>1.0</v>
      </c>
      <c r="H3467" s="35">
        <v>0.0</v>
      </c>
      <c r="I3467" s="35">
        <v>0.0</v>
      </c>
      <c r="J3467" s="35"/>
      <c r="K3467" s="35">
        <v>0.0</v>
      </c>
    </row>
    <row r="3468" ht="15.75" customHeight="1">
      <c r="A3468" s="35" t="s">
        <v>8628</v>
      </c>
      <c r="B3468" s="35"/>
      <c r="C3468" s="35">
        <v>2.0</v>
      </c>
      <c r="D3468" s="35" t="s">
        <v>4635</v>
      </c>
      <c r="E3468" s="35">
        <v>46027.0</v>
      </c>
      <c r="F3468" s="35">
        <v>0.0</v>
      </c>
      <c r="G3468" s="35">
        <v>4.0</v>
      </c>
      <c r="H3468" s="35">
        <v>0.0</v>
      </c>
      <c r="I3468" s="35">
        <v>0.0</v>
      </c>
      <c r="J3468" s="35"/>
      <c r="K3468" s="35">
        <v>0.0</v>
      </c>
    </row>
    <row r="3469" ht="15.75" customHeight="1">
      <c r="A3469" s="35" t="s">
        <v>8630</v>
      </c>
      <c r="B3469" s="35"/>
      <c r="C3469" s="35">
        <v>2.0</v>
      </c>
      <c r="D3469" s="35" t="s">
        <v>4635</v>
      </c>
      <c r="E3469" s="35">
        <v>46027.0</v>
      </c>
      <c r="F3469" s="35">
        <v>0.0</v>
      </c>
      <c r="G3469" s="35">
        <v>1.0</v>
      </c>
      <c r="H3469" s="35">
        <v>0.0</v>
      </c>
      <c r="I3469" s="35">
        <v>0.0</v>
      </c>
      <c r="J3469" s="35"/>
      <c r="K3469" s="35">
        <v>0.0</v>
      </c>
    </row>
    <row r="3470" ht="15.75" customHeight="1">
      <c r="A3470" s="35" t="s">
        <v>8632</v>
      </c>
      <c r="B3470" s="35"/>
      <c r="C3470" s="35">
        <v>2.0</v>
      </c>
      <c r="D3470" s="35" t="s">
        <v>4635</v>
      </c>
      <c r="E3470" s="35">
        <v>46027.0</v>
      </c>
      <c r="F3470" s="35">
        <v>0.0</v>
      </c>
      <c r="G3470" s="35">
        <v>2.0</v>
      </c>
      <c r="H3470" s="35">
        <v>0.0</v>
      </c>
      <c r="I3470" s="35">
        <v>0.0</v>
      </c>
      <c r="J3470" s="35"/>
      <c r="K3470" s="35">
        <v>0.0</v>
      </c>
    </row>
    <row r="3471" ht="15.75" customHeight="1">
      <c r="A3471" s="35" t="s">
        <v>8633</v>
      </c>
      <c r="B3471" s="35"/>
      <c r="C3471" s="35">
        <v>2.0</v>
      </c>
      <c r="D3471" s="35" t="s">
        <v>4635</v>
      </c>
      <c r="E3471" s="35">
        <v>46027.0</v>
      </c>
      <c r="F3471" s="35">
        <v>0.0</v>
      </c>
      <c r="G3471" s="35">
        <v>2.0</v>
      </c>
      <c r="H3471" s="35">
        <v>0.0</v>
      </c>
      <c r="I3471" s="35">
        <v>0.0</v>
      </c>
      <c r="J3471" s="35"/>
      <c r="K3471" s="35">
        <v>0.0</v>
      </c>
    </row>
    <row r="3472" ht="15.75" customHeight="1">
      <c r="A3472" s="35" t="s">
        <v>8635</v>
      </c>
      <c r="B3472" s="35"/>
      <c r="C3472" s="35">
        <v>2.0</v>
      </c>
      <c r="D3472" s="35" t="s">
        <v>2021</v>
      </c>
      <c r="E3472" s="35">
        <v>46027.0</v>
      </c>
      <c r="F3472" s="35">
        <v>0.0</v>
      </c>
      <c r="G3472" s="35">
        <v>1.0</v>
      </c>
      <c r="H3472" s="35">
        <v>0.0</v>
      </c>
      <c r="I3472" s="35">
        <v>0.0</v>
      </c>
      <c r="J3472" s="35"/>
      <c r="K3472" s="35">
        <v>0.0</v>
      </c>
    </row>
    <row r="3473" ht="15.75" customHeight="1">
      <c r="A3473" s="35" t="s">
        <v>8636</v>
      </c>
      <c r="B3473" s="35"/>
      <c r="C3473" s="35">
        <v>2.0</v>
      </c>
      <c r="D3473" s="35">
        <v>28.0</v>
      </c>
      <c r="E3473" s="35">
        <v>46027.0</v>
      </c>
      <c r="F3473" s="35">
        <v>0.0</v>
      </c>
      <c r="G3473" s="35">
        <v>1.0</v>
      </c>
      <c r="H3473" s="35">
        <v>0.0</v>
      </c>
      <c r="I3473" s="35">
        <v>0.0</v>
      </c>
      <c r="J3473" s="35"/>
      <c r="K3473" s="35">
        <v>0.0</v>
      </c>
    </row>
    <row r="3474" ht="15.75" customHeight="1">
      <c r="A3474" s="35" t="s">
        <v>8637</v>
      </c>
      <c r="B3474" s="35"/>
      <c r="C3474" s="35">
        <v>2.0</v>
      </c>
      <c r="D3474" s="35" t="s">
        <v>2005</v>
      </c>
      <c r="E3474" s="35">
        <v>46027.0</v>
      </c>
      <c r="F3474" s="35">
        <v>0.0</v>
      </c>
      <c r="G3474" s="35">
        <v>4.0</v>
      </c>
      <c r="H3474" s="35">
        <v>0.0</v>
      </c>
      <c r="I3474" s="35">
        <v>0.0</v>
      </c>
      <c r="J3474" s="35"/>
      <c r="K3474" s="35">
        <v>0.0</v>
      </c>
    </row>
    <row r="3475" ht="15.75" customHeight="1">
      <c r="A3475" s="35" t="s">
        <v>8639</v>
      </c>
      <c r="B3475" s="35"/>
      <c r="C3475" s="35">
        <v>2.0</v>
      </c>
      <c r="D3475" s="35" t="s">
        <v>2046</v>
      </c>
      <c r="E3475" s="35">
        <v>46027.0</v>
      </c>
      <c r="F3475" s="35">
        <v>0.0</v>
      </c>
      <c r="G3475" s="35">
        <v>6.0</v>
      </c>
      <c r="H3475" s="35">
        <v>0.0</v>
      </c>
      <c r="I3475" s="35">
        <v>0.0</v>
      </c>
      <c r="J3475" s="35"/>
      <c r="K3475" s="35">
        <v>0.0</v>
      </c>
    </row>
    <row r="3476" ht="15.75" customHeight="1">
      <c r="A3476" s="35" t="s">
        <v>8640</v>
      </c>
      <c r="B3476" s="35"/>
      <c r="C3476" s="35">
        <v>2.0</v>
      </c>
      <c r="D3476" s="35" t="s">
        <v>4197</v>
      </c>
      <c r="E3476" s="35">
        <v>46027.0</v>
      </c>
      <c r="F3476" s="35">
        <v>0.0</v>
      </c>
      <c r="G3476" s="35">
        <v>0.0</v>
      </c>
      <c r="H3476" s="35">
        <v>0.0</v>
      </c>
      <c r="I3476" s="35">
        <v>0.0</v>
      </c>
      <c r="J3476" s="35"/>
      <c r="K3476" s="35">
        <v>1.0</v>
      </c>
    </row>
    <row r="3477" ht="15.75" customHeight="1">
      <c r="A3477" s="35" t="s">
        <v>8642</v>
      </c>
      <c r="B3477" s="35"/>
      <c r="C3477" s="35">
        <v>2.0</v>
      </c>
      <c r="D3477" s="35" t="s">
        <v>4231</v>
      </c>
      <c r="E3477" s="35">
        <v>46027.0</v>
      </c>
      <c r="F3477" s="35">
        <v>0.0</v>
      </c>
      <c r="G3477" s="35">
        <v>1.0</v>
      </c>
      <c r="H3477" s="35">
        <v>0.0</v>
      </c>
      <c r="I3477" s="35">
        <v>0.0</v>
      </c>
      <c r="J3477" s="35"/>
      <c r="K3477" s="35">
        <v>0.0</v>
      </c>
    </row>
    <row r="3478" ht="15.75" customHeight="1">
      <c r="A3478" s="35" t="s">
        <v>8643</v>
      </c>
      <c r="B3478" s="35"/>
      <c r="C3478" s="35">
        <v>2.0</v>
      </c>
      <c r="D3478" s="35" t="s">
        <v>2046</v>
      </c>
      <c r="E3478" s="35">
        <v>46027.0</v>
      </c>
      <c r="F3478" s="35">
        <v>0.0</v>
      </c>
      <c r="G3478" s="35">
        <v>5.0</v>
      </c>
      <c r="H3478" s="35">
        <v>0.0</v>
      </c>
      <c r="I3478" s="35">
        <v>0.0</v>
      </c>
      <c r="J3478" s="35"/>
      <c r="K3478" s="35">
        <v>0.0</v>
      </c>
    </row>
    <row r="3479" ht="15.75" customHeight="1">
      <c r="A3479" s="35" t="s">
        <v>8645</v>
      </c>
      <c r="B3479" s="35"/>
      <c r="C3479" s="35">
        <v>2.0</v>
      </c>
      <c r="D3479" s="35" t="s">
        <v>4703</v>
      </c>
      <c r="E3479" s="35">
        <v>46027.0</v>
      </c>
      <c r="F3479" s="35">
        <v>0.0</v>
      </c>
      <c r="G3479" s="35">
        <v>7.0</v>
      </c>
      <c r="H3479" s="35">
        <v>0.0</v>
      </c>
      <c r="I3479" s="35">
        <v>0.0</v>
      </c>
      <c r="J3479" s="35"/>
      <c r="K3479" s="35">
        <v>0.0</v>
      </c>
    </row>
    <row r="3480" ht="15.75" customHeight="1">
      <c r="A3480" s="35" t="s">
        <v>8646</v>
      </c>
      <c r="B3480" s="35"/>
      <c r="C3480" s="35">
        <v>2.0</v>
      </c>
      <c r="D3480" s="35" t="s">
        <v>4372</v>
      </c>
      <c r="E3480" s="35">
        <v>46027.0</v>
      </c>
      <c r="F3480" s="35">
        <v>0.0</v>
      </c>
      <c r="G3480" s="35">
        <v>6.0</v>
      </c>
      <c r="H3480" s="35">
        <v>0.0</v>
      </c>
      <c r="I3480" s="35">
        <v>0.0</v>
      </c>
      <c r="J3480" s="35"/>
      <c r="K3480" s="35">
        <v>0.0</v>
      </c>
    </row>
    <row r="3481" ht="15.75" customHeight="1">
      <c r="A3481" s="35" t="s">
        <v>8648</v>
      </c>
      <c r="B3481" s="35"/>
      <c r="C3481" s="35">
        <v>2.0</v>
      </c>
      <c r="D3481" s="35" t="s">
        <v>4963</v>
      </c>
      <c r="E3481" s="35">
        <v>46027.0</v>
      </c>
      <c r="F3481" s="35">
        <v>0.0</v>
      </c>
      <c r="G3481" s="35">
        <v>6.0</v>
      </c>
      <c r="H3481" s="35">
        <v>0.0</v>
      </c>
      <c r="I3481" s="35">
        <v>0.0</v>
      </c>
      <c r="J3481" s="35"/>
      <c r="K3481" s="35">
        <v>0.0</v>
      </c>
    </row>
    <row r="3482" ht="15.75" customHeight="1">
      <c r="A3482" s="35" t="s">
        <v>8649</v>
      </c>
      <c r="B3482" s="35"/>
      <c r="C3482" s="35">
        <v>2.0</v>
      </c>
      <c r="D3482" s="35" t="s">
        <v>2010</v>
      </c>
      <c r="E3482" s="35">
        <v>46027.0</v>
      </c>
      <c r="F3482" s="35">
        <v>0.0</v>
      </c>
      <c r="G3482" s="35">
        <v>4.0</v>
      </c>
      <c r="H3482" s="35">
        <v>0.0</v>
      </c>
      <c r="I3482" s="35">
        <v>0.0</v>
      </c>
      <c r="J3482" s="35"/>
      <c r="K3482" s="35">
        <v>0.0</v>
      </c>
    </row>
    <row r="3483" ht="15.75" customHeight="1">
      <c r="A3483" s="35" t="s">
        <v>8651</v>
      </c>
      <c r="B3483" s="35"/>
      <c r="C3483" s="35">
        <v>2.0</v>
      </c>
      <c r="D3483" s="35" t="s">
        <v>4380</v>
      </c>
      <c r="E3483" s="35">
        <v>46027.0</v>
      </c>
      <c r="F3483" s="35">
        <v>0.0</v>
      </c>
      <c r="G3483" s="35">
        <v>1.0</v>
      </c>
      <c r="H3483" s="35">
        <v>0.0</v>
      </c>
      <c r="I3483" s="35">
        <v>0.0</v>
      </c>
      <c r="J3483" s="35"/>
      <c r="K3483" s="35">
        <v>0.0</v>
      </c>
    </row>
    <row r="3484" ht="15.75" customHeight="1">
      <c r="A3484" s="35" t="s">
        <v>8652</v>
      </c>
      <c r="B3484" s="35"/>
      <c r="C3484" s="35">
        <v>2.0</v>
      </c>
      <c r="D3484" s="35" t="s">
        <v>4635</v>
      </c>
      <c r="E3484" s="35">
        <v>46027.0</v>
      </c>
      <c r="F3484" s="35">
        <v>0.0</v>
      </c>
      <c r="G3484" s="35">
        <v>4.0</v>
      </c>
      <c r="H3484" s="35">
        <v>0.0</v>
      </c>
      <c r="I3484" s="35">
        <v>0.0</v>
      </c>
      <c r="J3484" s="35"/>
      <c r="K3484" s="35">
        <v>0.0</v>
      </c>
    </row>
    <row r="3485" ht="15.75" customHeight="1">
      <c r="A3485" s="35" t="s">
        <v>8654</v>
      </c>
      <c r="B3485" s="35"/>
      <c r="C3485" s="35">
        <v>2.0</v>
      </c>
      <c r="D3485" s="35" t="s">
        <v>2039</v>
      </c>
      <c r="E3485" s="35">
        <v>46027.0</v>
      </c>
      <c r="F3485" s="35">
        <v>0.0</v>
      </c>
      <c r="G3485" s="35">
        <v>0.0</v>
      </c>
      <c r="H3485" s="35">
        <v>0.0</v>
      </c>
      <c r="I3485" s="35">
        <v>1.0</v>
      </c>
      <c r="J3485" s="35"/>
      <c r="K3485" s="35">
        <v>0.0</v>
      </c>
    </row>
    <row r="3486" ht="15.75" customHeight="1">
      <c r="A3486" s="35" t="s">
        <v>8655</v>
      </c>
      <c r="B3486" s="35"/>
      <c r="C3486" s="35">
        <v>2.0</v>
      </c>
      <c r="D3486" s="35" t="s">
        <v>4635</v>
      </c>
      <c r="E3486" s="35">
        <v>46027.0</v>
      </c>
      <c r="F3486" s="35">
        <v>0.0</v>
      </c>
      <c r="G3486" s="35">
        <v>0.0</v>
      </c>
      <c r="H3486" s="35">
        <v>2.0</v>
      </c>
      <c r="I3486" s="35">
        <v>0.0</v>
      </c>
      <c r="J3486" s="35"/>
      <c r="K3486" s="35">
        <v>0.0</v>
      </c>
    </row>
    <row r="3487" ht="15.75" customHeight="1">
      <c r="A3487" s="35" t="s">
        <v>8656</v>
      </c>
      <c r="B3487" s="35"/>
      <c r="C3487" s="35">
        <v>2.0</v>
      </c>
      <c r="D3487" s="35">
        <v>93.0</v>
      </c>
      <c r="E3487" s="35">
        <v>46027.0</v>
      </c>
      <c r="F3487" s="35">
        <v>0.0</v>
      </c>
      <c r="G3487" s="35">
        <v>66.0</v>
      </c>
      <c r="H3487" s="35">
        <v>0.0</v>
      </c>
      <c r="I3487" s="35">
        <v>0.0</v>
      </c>
      <c r="J3487" s="35"/>
      <c r="K3487" s="35">
        <v>0.0</v>
      </c>
    </row>
    <row r="3488" ht="15.75" customHeight="1">
      <c r="A3488" s="35" t="s">
        <v>8658</v>
      </c>
      <c r="B3488" s="35"/>
      <c r="C3488" s="35">
        <v>2.0</v>
      </c>
      <c r="D3488" s="35" t="s">
        <v>4635</v>
      </c>
      <c r="E3488" s="35">
        <v>46027.0</v>
      </c>
      <c r="F3488" s="35">
        <v>0.0</v>
      </c>
      <c r="G3488" s="35">
        <v>1.0</v>
      </c>
      <c r="H3488" s="35">
        <v>0.0</v>
      </c>
      <c r="I3488" s="35">
        <v>0.0</v>
      </c>
      <c r="J3488" s="35"/>
      <c r="K3488" s="35">
        <v>0.0</v>
      </c>
    </row>
    <row r="3489" ht="15.75" customHeight="1">
      <c r="A3489" s="35" t="s">
        <v>8659</v>
      </c>
      <c r="B3489" s="35"/>
      <c r="C3489" s="35">
        <v>2.0</v>
      </c>
      <c r="D3489" s="35" t="s">
        <v>4635</v>
      </c>
      <c r="E3489" s="35">
        <v>46027.0</v>
      </c>
      <c r="F3489" s="35">
        <v>0.0</v>
      </c>
      <c r="G3489" s="35">
        <v>4.0</v>
      </c>
      <c r="H3489" s="35">
        <v>0.0</v>
      </c>
      <c r="I3489" s="35">
        <v>0.0</v>
      </c>
      <c r="J3489" s="35"/>
      <c r="K3489" s="35">
        <v>0.0</v>
      </c>
    </row>
    <row r="3490" ht="15.75" customHeight="1">
      <c r="A3490" s="35" t="s">
        <v>8661</v>
      </c>
      <c r="B3490" s="35"/>
      <c r="C3490" s="35">
        <v>2.0</v>
      </c>
      <c r="D3490" s="35">
        <v>99.0</v>
      </c>
      <c r="E3490" s="35">
        <v>46027.0</v>
      </c>
      <c r="F3490" s="35">
        <v>0.0</v>
      </c>
      <c r="G3490" s="35">
        <v>1.0</v>
      </c>
      <c r="H3490" s="35">
        <v>0.0</v>
      </c>
      <c r="I3490" s="35">
        <v>0.0</v>
      </c>
      <c r="J3490" s="35"/>
      <c r="K3490" s="35">
        <v>0.0</v>
      </c>
    </row>
    <row r="3491" ht="15.75" customHeight="1">
      <c r="A3491" s="35" t="s">
        <v>8662</v>
      </c>
      <c r="B3491" s="35"/>
      <c r="C3491" s="35">
        <v>2.0</v>
      </c>
      <c r="D3491" s="35" t="s">
        <v>4635</v>
      </c>
      <c r="E3491" s="35">
        <v>46027.0</v>
      </c>
      <c r="F3491" s="35">
        <v>0.0</v>
      </c>
      <c r="G3491" s="35">
        <v>1.0</v>
      </c>
      <c r="H3491" s="35">
        <v>0.0</v>
      </c>
      <c r="I3491" s="35">
        <v>0.0</v>
      </c>
      <c r="J3491" s="35"/>
      <c r="K3491" s="35">
        <v>0.0</v>
      </c>
    </row>
    <row r="3492" ht="15.75" customHeight="1">
      <c r="A3492" s="35" t="s">
        <v>8664</v>
      </c>
      <c r="B3492" s="35"/>
      <c r="C3492" s="35">
        <v>2.0</v>
      </c>
      <c r="D3492" s="35" t="s">
        <v>4635</v>
      </c>
      <c r="E3492" s="35">
        <v>46027.0</v>
      </c>
      <c r="F3492" s="35">
        <v>0.0</v>
      </c>
      <c r="G3492" s="35">
        <v>22.0</v>
      </c>
      <c r="H3492" s="35">
        <v>0.0</v>
      </c>
      <c r="I3492" s="35">
        <v>0.0</v>
      </c>
      <c r="J3492" s="35"/>
      <c r="K3492" s="35">
        <v>0.0</v>
      </c>
    </row>
    <row r="3493" ht="15.75" customHeight="1">
      <c r="A3493" s="35" t="s">
        <v>8665</v>
      </c>
      <c r="B3493" s="35"/>
      <c r="C3493" s="35">
        <v>2.0</v>
      </c>
      <c r="D3493" s="35">
        <v>324.0</v>
      </c>
      <c r="E3493" s="35">
        <v>46027.0</v>
      </c>
      <c r="F3493" s="35">
        <v>0.0</v>
      </c>
      <c r="G3493" s="35">
        <v>3.0</v>
      </c>
      <c r="H3493" s="35">
        <v>0.0</v>
      </c>
      <c r="I3493" s="35">
        <v>0.0</v>
      </c>
      <c r="J3493" s="35"/>
      <c r="K3493" s="35">
        <v>0.0</v>
      </c>
    </row>
    <row r="3494" ht="15.75" customHeight="1">
      <c r="A3494" s="35" t="s">
        <v>8667</v>
      </c>
      <c r="B3494" s="35"/>
      <c r="C3494" s="35">
        <v>2.0</v>
      </c>
      <c r="D3494" s="35" t="s">
        <v>4635</v>
      </c>
      <c r="E3494" s="35">
        <v>46027.0</v>
      </c>
      <c r="F3494" s="35">
        <v>0.0</v>
      </c>
      <c r="G3494" s="35">
        <v>3.0</v>
      </c>
      <c r="H3494" s="35">
        <v>0.0</v>
      </c>
      <c r="I3494" s="35">
        <v>0.0</v>
      </c>
      <c r="J3494" s="35"/>
      <c r="K3494" s="35">
        <v>0.0</v>
      </c>
    </row>
    <row r="3495" ht="15.75" customHeight="1">
      <c r="A3495" s="35" t="s">
        <v>8668</v>
      </c>
      <c r="B3495" s="35"/>
      <c r="C3495" s="35">
        <v>2.0</v>
      </c>
      <c r="D3495" s="35" t="s">
        <v>4635</v>
      </c>
      <c r="E3495" s="35">
        <v>46027.0</v>
      </c>
      <c r="F3495" s="35">
        <v>0.0</v>
      </c>
      <c r="G3495" s="35">
        <v>4.0</v>
      </c>
      <c r="H3495" s="35">
        <v>0.0</v>
      </c>
      <c r="I3495" s="35">
        <v>0.0</v>
      </c>
      <c r="J3495" s="35"/>
      <c r="K3495" s="35">
        <v>0.0</v>
      </c>
    </row>
    <row r="3496" ht="15.75" customHeight="1">
      <c r="A3496" s="35" t="s">
        <v>8670</v>
      </c>
      <c r="B3496" s="35"/>
      <c r="C3496" s="35">
        <v>2.0</v>
      </c>
      <c r="D3496" s="35" t="s">
        <v>4635</v>
      </c>
      <c r="E3496" s="35">
        <v>46027.0</v>
      </c>
      <c r="F3496" s="35">
        <v>0.0</v>
      </c>
      <c r="G3496" s="35">
        <v>8.0</v>
      </c>
      <c r="H3496" s="35">
        <v>0.0</v>
      </c>
      <c r="I3496" s="35">
        <v>0.0</v>
      </c>
      <c r="J3496" s="35"/>
      <c r="K3496" s="35">
        <v>0.0</v>
      </c>
    </row>
    <row r="3497" ht="15.75" customHeight="1">
      <c r="A3497" s="35" t="s">
        <v>8671</v>
      </c>
      <c r="B3497" s="35"/>
      <c r="C3497" s="35">
        <v>2.0</v>
      </c>
      <c r="D3497" s="35" t="s">
        <v>4635</v>
      </c>
      <c r="E3497" s="35">
        <v>46027.0</v>
      </c>
      <c r="F3497" s="35">
        <v>0.0</v>
      </c>
      <c r="G3497" s="35">
        <v>4.0</v>
      </c>
      <c r="H3497" s="35">
        <v>0.0</v>
      </c>
      <c r="I3497" s="35">
        <v>0.0</v>
      </c>
      <c r="J3497" s="35"/>
      <c r="K3497" s="35">
        <v>0.0</v>
      </c>
    </row>
    <row r="3498" ht="15.75" customHeight="1">
      <c r="A3498" s="35" t="s">
        <v>8672</v>
      </c>
      <c r="B3498" s="35"/>
      <c r="C3498" s="35">
        <v>2.0</v>
      </c>
      <c r="D3498" s="35" t="s">
        <v>4635</v>
      </c>
      <c r="E3498" s="35">
        <v>46027.0</v>
      </c>
      <c r="F3498" s="35">
        <v>0.0</v>
      </c>
      <c r="G3498" s="35">
        <v>1.0</v>
      </c>
      <c r="H3498" s="35">
        <v>0.0</v>
      </c>
      <c r="I3498" s="35">
        <v>0.0</v>
      </c>
      <c r="J3498" s="35"/>
      <c r="K3498" s="35">
        <v>0.0</v>
      </c>
    </row>
    <row r="3499" ht="15.75" customHeight="1">
      <c r="A3499" s="35" t="s">
        <v>8674</v>
      </c>
      <c r="B3499" s="35"/>
      <c r="C3499" s="35">
        <v>2.0</v>
      </c>
      <c r="D3499" s="35">
        <v>66.0</v>
      </c>
      <c r="E3499" s="35">
        <v>46027.0</v>
      </c>
      <c r="F3499" s="35">
        <v>0.0</v>
      </c>
      <c r="G3499" s="35">
        <v>5.0</v>
      </c>
      <c r="H3499" s="35">
        <v>0.0</v>
      </c>
      <c r="I3499" s="35">
        <v>0.0</v>
      </c>
      <c r="J3499" s="35"/>
      <c r="K3499" s="35">
        <v>0.0</v>
      </c>
    </row>
    <row r="3500" ht="15.75" customHeight="1">
      <c r="A3500" s="35" t="s">
        <v>8675</v>
      </c>
      <c r="B3500" s="35"/>
      <c r="C3500" s="35">
        <v>2.0</v>
      </c>
      <c r="D3500" s="35" t="s">
        <v>4635</v>
      </c>
      <c r="E3500" s="35">
        <v>46027.0</v>
      </c>
      <c r="F3500" s="35">
        <v>0.0</v>
      </c>
      <c r="G3500" s="35">
        <v>8.0</v>
      </c>
      <c r="H3500" s="35">
        <v>0.0</v>
      </c>
      <c r="I3500" s="35">
        <v>0.0</v>
      </c>
      <c r="J3500" s="35"/>
      <c r="K3500" s="35">
        <v>0.0</v>
      </c>
    </row>
    <row r="3501" ht="15.75" customHeight="1">
      <c r="A3501" s="35" t="s">
        <v>8676</v>
      </c>
      <c r="B3501" s="35"/>
      <c r="C3501" s="35">
        <v>2.0</v>
      </c>
      <c r="D3501" s="35" t="s">
        <v>4635</v>
      </c>
      <c r="E3501" s="35">
        <v>46027.0</v>
      </c>
      <c r="F3501" s="35">
        <v>0.0</v>
      </c>
      <c r="G3501" s="35">
        <v>4.0</v>
      </c>
      <c r="H3501" s="35">
        <v>0.0</v>
      </c>
      <c r="I3501" s="35">
        <v>0.0</v>
      </c>
      <c r="J3501" s="35"/>
      <c r="K3501" s="35">
        <v>0.0</v>
      </c>
    </row>
    <row r="3502" ht="15.75" customHeight="1">
      <c r="A3502" s="35" t="s">
        <v>8677</v>
      </c>
      <c r="B3502" s="35"/>
      <c r="C3502" s="35">
        <v>2.0</v>
      </c>
      <c r="D3502" s="35" t="s">
        <v>4635</v>
      </c>
      <c r="E3502" s="35">
        <v>46027.0</v>
      </c>
      <c r="F3502" s="35">
        <v>0.0</v>
      </c>
      <c r="G3502" s="35">
        <v>8.0</v>
      </c>
      <c r="H3502" s="35">
        <v>0.0</v>
      </c>
      <c r="I3502" s="35">
        <v>0.0</v>
      </c>
      <c r="J3502" s="35"/>
      <c r="K3502" s="35">
        <v>0.0</v>
      </c>
    </row>
    <row r="3503" ht="15.75" customHeight="1">
      <c r="A3503" s="35" t="s">
        <v>8679</v>
      </c>
      <c r="B3503" s="35"/>
      <c r="C3503" s="35">
        <v>2.0</v>
      </c>
      <c r="D3503" s="35" t="s">
        <v>4635</v>
      </c>
      <c r="E3503" s="35">
        <v>46027.0</v>
      </c>
      <c r="F3503" s="35">
        <v>0.0</v>
      </c>
      <c r="G3503" s="35">
        <v>4.0</v>
      </c>
      <c r="H3503" s="35">
        <v>0.0</v>
      </c>
      <c r="I3503" s="35">
        <v>0.0</v>
      </c>
      <c r="J3503" s="35"/>
      <c r="K3503" s="35">
        <v>0.0</v>
      </c>
    </row>
    <row r="3504" ht="15.75" customHeight="1">
      <c r="A3504" s="35" t="s">
        <v>8680</v>
      </c>
      <c r="B3504" s="35"/>
      <c r="C3504" s="35">
        <v>2.0</v>
      </c>
      <c r="D3504" s="35" t="s">
        <v>2049</v>
      </c>
      <c r="E3504" s="35">
        <v>46027.0</v>
      </c>
      <c r="F3504" s="35">
        <v>0.0</v>
      </c>
      <c r="G3504" s="35">
        <v>3.0</v>
      </c>
      <c r="H3504" s="35">
        <v>0.0</v>
      </c>
      <c r="I3504" s="35">
        <v>0.0</v>
      </c>
      <c r="J3504" s="35"/>
      <c r="K3504" s="35">
        <v>0.0</v>
      </c>
    </row>
    <row r="3505" ht="15.75" customHeight="1">
      <c r="A3505" s="35" t="s">
        <v>8682</v>
      </c>
      <c r="B3505" s="35"/>
      <c r="C3505" s="35">
        <v>2.0</v>
      </c>
      <c r="D3505" s="35">
        <v>681.0</v>
      </c>
      <c r="E3505" s="35">
        <v>46027.0</v>
      </c>
      <c r="F3505" s="35">
        <v>0.0</v>
      </c>
      <c r="G3505" s="35">
        <v>1.0</v>
      </c>
      <c r="H3505" s="35">
        <v>0.0</v>
      </c>
      <c r="I3505" s="35">
        <v>0.0</v>
      </c>
      <c r="J3505" s="35"/>
      <c r="K3505" s="35">
        <v>0.0</v>
      </c>
    </row>
    <row r="3506" ht="15.75" customHeight="1">
      <c r="A3506" s="35" t="s">
        <v>8683</v>
      </c>
      <c r="B3506" s="35"/>
      <c r="C3506" s="35">
        <v>2.0</v>
      </c>
      <c r="D3506" s="35" t="s">
        <v>4635</v>
      </c>
      <c r="E3506" s="35">
        <v>46027.0</v>
      </c>
      <c r="F3506" s="35">
        <v>0.0</v>
      </c>
      <c r="G3506" s="35">
        <v>1.0</v>
      </c>
      <c r="H3506" s="35">
        <v>0.0</v>
      </c>
      <c r="I3506" s="35">
        <v>0.0</v>
      </c>
      <c r="J3506" s="35"/>
      <c r="K3506" s="35">
        <v>0.0</v>
      </c>
    </row>
    <row r="3507" ht="15.75" customHeight="1">
      <c r="A3507" s="35" t="s">
        <v>8685</v>
      </c>
      <c r="B3507" s="35"/>
      <c r="C3507" s="35">
        <v>2.0</v>
      </c>
      <c r="D3507" s="35">
        <v>764.0</v>
      </c>
      <c r="E3507" s="35">
        <v>46027.0</v>
      </c>
      <c r="F3507" s="35">
        <v>0.0</v>
      </c>
      <c r="G3507" s="35">
        <v>4.0</v>
      </c>
      <c r="H3507" s="35">
        <v>0.0</v>
      </c>
      <c r="I3507" s="35">
        <v>0.0</v>
      </c>
      <c r="J3507" s="35"/>
      <c r="K3507" s="35">
        <v>0.0</v>
      </c>
    </row>
    <row r="3508" ht="15.75" customHeight="1">
      <c r="A3508" s="35" t="s">
        <v>8686</v>
      </c>
      <c r="B3508" s="35"/>
      <c r="C3508" s="35">
        <v>2.0</v>
      </c>
      <c r="D3508" s="35" t="s">
        <v>4635</v>
      </c>
      <c r="E3508" s="35">
        <v>46027.0</v>
      </c>
      <c r="F3508" s="35">
        <v>0.0</v>
      </c>
      <c r="G3508" s="35">
        <v>1.0</v>
      </c>
      <c r="H3508" s="35">
        <v>0.0</v>
      </c>
      <c r="I3508" s="35">
        <v>0.0</v>
      </c>
      <c r="J3508" s="35"/>
      <c r="K3508" s="35">
        <v>0.0</v>
      </c>
    </row>
    <row r="3509" ht="15.75" customHeight="1">
      <c r="A3509" s="35" t="s">
        <v>8687</v>
      </c>
      <c r="B3509" s="35"/>
      <c r="C3509" s="35">
        <v>2.0</v>
      </c>
      <c r="D3509" s="35">
        <v>705.0</v>
      </c>
      <c r="E3509" s="35">
        <v>46027.0</v>
      </c>
      <c r="F3509" s="35">
        <v>0.0</v>
      </c>
      <c r="G3509" s="35">
        <v>2.0</v>
      </c>
      <c r="H3509" s="35">
        <v>0.0</v>
      </c>
      <c r="I3509" s="35">
        <v>0.0</v>
      </c>
      <c r="J3509" s="35"/>
      <c r="K3509" s="35">
        <v>0.0</v>
      </c>
    </row>
    <row r="3510" ht="15.75" customHeight="1">
      <c r="A3510" s="35" t="s">
        <v>8689</v>
      </c>
      <c r="B3510" s="35"/>
      <c r="C3510" s="35">
        <v>2.0</v>
      </c>
      <c r="D3510" s="35">
        <v>289.0</v>
      </c>
      <c r="E3510" s="35">
        <v>46027.0</v>
      </c>
      <c r="F3510" s="35">
        <v>0.0</v>
      </c>
      <c r="G3510" s="35">
        <v>5.0</v>
      </c>
      <c r="H3510" s="35">
        <v>0.0</v>
      </c>
      <c r="I3510" s="35">
        <v>0.0</v>
      </c>
      <c r="J3510" s="35"/>
      <c r="K3510" s="35">
        <v>0.0</v>
      </c>
    </row>
    <row r="3511" ht="15.75" customHeight="1">
      <c r="A3511" s="35" t="s">
        <v>8690</v>
      </c>
      <c r="B3511" s="35"/>
      <c r="C3511" s="35">
        <v>2.0</v>
      </c>
      <c r="D3511" s="35">
        <v>111.0</v>
      </c>
      <c r="E3511" s="35">
        <v>46027.0</v>
      </c>
      <c r="F3511" s="35">
        <v>0.0</v>
      </c>
      <c r="G3511" s="35">
        <v>5.0</v>
      </c>
      <c r="H3511" s="35">
        <v>0.0</v>
      </c>
      <c r="I3511" s="35">
        <v>0.0</v>
      </c>
      <c r="J3511" s="35"/>
      <c r="K3511" s="35">
        <v>0.0</v>
      </c>
    </row>
    <row r="3512" ht="15.75" customHeight="1">
      <c r="A3512" s="35" t="s">
        <v>8691</v>
      </c>
      <c r="B3512" s="35"/>
      <c r="C3512" s="35">
        <v>2.0</v>
      </c>
      <c r="D3512" s="35" t="s">
        <v>4635</v>
      </c>
      <c r="E3512" s="35">
        <v>46027.0</v>
      </c>
      <c r="F3512" s="35">
        <v>0.0</v>
      </c>
      <c r="G3512" s="35">
        <v>0.0</v>
      </c>
      <c r="H3512" s="35">
        <v>0.0</v>
      </c>
      <c r="I3512" s="35">
        <v>1.0</v>
      </c>
      <c r="J3512" s="35"/>
      <c r="K3512" s="35">
        <v>0.0</v>
      </c>
    </row>
    <row r="3513" ht="15.75" customHeight="1">
      <c r="A3513" s="35" t="s">
        <v>8692</v>
      </c>
      <c r="B3513" s="35"/>
      <c r="C3513" s="35">
        <v>2.0</v>
      </c>
      <c r="D3513" s="35" t="s">
        <v>4635</v>
      </c>
      <c r="E3513" s="35">
        <v>46027.0</v>
      </c>
      <c r="F3513" s="35">
        <v>0.0</v>
      </c>
      <c r="G3513" s="35">
        <v>0.0</v>
      </c>
      <c r="H3513" s="35">
        <v>0.0</v>
      </c>
      <c r="I3513" s="35">
        <v>42.0</v>
      </c>
      <c r="J3513" s="35"/>
      <c r="K3513" s="35">
        <v>0.0</v>
      </c>
    </row>
    <row r="3514" ht="15.75" customHeight="1">
      <c r="A3514" s="35" t="s">
        <v>8694</v>
      </c>
      <c r="B3514" s="35"/>
      <c r="C3514" s="35">
        <v>2.0</v>
      </c>
      <c r="D3514" s="35" t="s">
        <v>4635</v>
      </c>
      <c r="E3514" s="35">
        <v>46027.0</v>
      </c>
      <c r="F3514" s="35">
        <v>0.0</v>
      </c>
      <c r="G3514" s="35">
        <v>1.0</v>
      </c>
      <c r="H3514" s="35">
        <v>0.0</v>
      </c>
      <c r="I3514" s="35">
        <v>0.0</v>
      </c>
      <c r="J3514" s="35"/>
      <c r="K3514" s="35">
        <v>0.0</v>
      </c>
    </row>
    <row r="3515" ht="15.75" customHeight="1">
      <c r="A3515" s="35" t="s">
        <v>8695</v>
      </c>
      <c r="B3515" s="35"/>
      <c r="C3515" s="35">
        <v>2.0</v>
      </c>
      <c r="D3515" s="35" t="s">
        <v>8696</v>
      </c>
      <c r="E3515" s="35">
        <v>46027.0</v>
      </c>
      <c r="F3515" s="35">
        <v>0.0</v>
      </c>
      <c r="G3515" s="35">
        <v>4.0</v>
      </c>
      <c r="H3515" s="35">
        <v>0.0</v>
      </c>
      <c r="I3515" s="35">
        <v>0.0</v>
      </c>
      <c r="J3515" s="35"/>
      <c r="K3515" s="35">
        <v>0.0</v>
      </c>
    </row>
    <row r="3516" ht="15.75" customHeight="1">
      <c r="A3516" s="35" t="s">
        <v>8698</v>
      </c>
      <c r="B3516" s="35"/>
      <c r="C3516" s="35">
        <v>2.0</v>
      </c>
      <c r="D3516" s="35" t="s">
        <v>4963</v>
      </c>
      <c r="E3516" s="35">
        <v>46027.0</v>
      </c>
      <c r="F3516" s="35">
        <v>0.0</v>
      </c>
      <c r="G3516" s="35">
        <v>2.0</v>
      </c>
      <c r="H3516" s="35">
        <v>0.0</v>
      </c>
      <c r="I3516" s="35">
        <v>0.0</v>
      </c>
      <c r="J3516" s="35"/>
      <c r="K3516" s="35">
        <v>0.0</v>
      </c>
    </row>
    <row r="3517" ht="15.75" customHeight="1">
      <c r="A3517" s="35" t="s">
        <v>8699</v>
      </c>
      <c r="B3517" s="35"/>
      <c r="C3517" s="35">
        <v>2.0</v>
      </c>
      <c r="D3517" s="35" t="s">
        <v>4635</v>
      </c>
      <c r="E3517" s="35">
        <v>46027.0</v>
      </c>
      <c r="F3517" s="35">
        <v>0.0</v>
      </c>
      <c r="G3517" s="35">
        <v>4.0</v>
      </c>
      <c r="H3517" s="35">
        <v>0.0</v>
      </c>
      <c r="I3517" s="35">
        <v>0.0</v>
      </c>
      <c r="J3517" s="35"/>
      <c r="K3517" s="35">
        <v>0.0</v>
      </c>
    </row>
    <row r="3518" ht="15.75" customHeight="1">
      <c r="A3518" s="35" t="s">
        <v>8701</v>
      </c>
      <c r="B3518" s="35"/>
      <c r="C3518" s="35">
        <v>2.0</v>
      </c>
      <c r="D3518" s="35" t="s">
        <v>4635</v>
      </c>
      <c r="E3518" s="35">
        <v>46027.0</v>
      </c>
      <c r="F3518" s="35">
        <v>0.0</v>
      </c>
      <c r="G3518" s="35">
        <v>4.0</v>
      </c>
      <c r="H3518" s="35">
        <v>0.0</v>
      </c>
      <c r="I3518" s="35">
        <v>0.0</v>
      </c>
      <c r="J3518" s="35"/>
      <c r="K3518" s="35">
        <v>0.0</v>
      </c>
    </row>
    <row r="3519" ht="15.75" customHeight="1">
      <c r="A3519" s="35" t="s">
        <v>8702</v>
      </c>
      <c r="B3519" s="35"/>
      <c r="C3519" s="35">
        <v>2.0</v>
      </c>
      <c r="D3519" s="35" t="s">
        <v>4635</v>
      </c>
      <c r="E3519" s="35">
        <v>46027.0</v>
      </c>
      <c r="F3519" s="35">
        <v>0.0</v>
      </c>
      <c r="G3519" s="35">
        <v>3.0</v>
      </c>
      <c r="H3519" s="35">
        <v>0.0</v>
      </c>
      <c r="I3519" s="35">
        <v>0.0</v>
      </c>
      <c r="J3519" s="35"/>
      <c r="K3519" s="35">
        <v>0.0</v>
      </c>
    </row>
    <row r="3520" ht="15.75" customHeight="1">
      <c r="A3520" s="35" t="s">
        <v>8703</v>
      </c>
      <c r="B3520" s="35"/>
      <c r="C3520" s="35">
        <v>2.0</v>
      </c>
      <c r="D3520" s="35" t="s">
        <v>4635</v>
      </c>
      <c r="E3520" s="35">
        <v>46027.0</v>
      </c>
      <c r="F3520" s="35">
        <v>0.0</v>
      </c>
      <c r="G3520" s="35">
        <v>3.0</v>
      </c>
      <c r="H3520" s="35">
        <v>0.0</v>
      </c>
      <c r="I3520" s="35">
        <v>0.0</v>
      </c>
      <c r="J3520" s="35"/>
      <c r="K3520" s="35">
        <v>0.0</v>
      </c>
    </row>
    <row r="3521" ht="15.75" customHeight="1">
      <c r="A3521" s="35" t="s">
        <v>8705</v>
      </c>
      <c r="B3521" s="35"/>
      <c r="C3521" s="35">
        <v>2.0</v>
      </c>
      <c r="D3521" s="35" t="s">
        <v>4635</v>
      </c>
      <c r="E3521" s="35">
        <v>46027.0</v>
      </c>
      <c r="F3521" s="35">
        <v>0.0</v>
      </c>
      <c r="G3521" s="35">
        <v>4.0</v>
      </c>
      <c r="H3521" s="35">
        <v>0.0</v>
      </c>
      <c r="I3521" s="35">
        <v>0.0</v>
      </c>
      <c r="J3521" s="35"/>
      <c r="K3521" s="35">
        <v>0.0</v>
      </c>
    </row>
    <row r="3522" ht="15.75" customHeight="1">
      <c r="A3522" s="35" t="s">
        <v>8706</v>
      </c>
      <c r="B3522" s="35"/>
      <c r="C3522" s="35">
        <v>2.0</v>
      </c>
      <c r="D3522" s="35" t="s">
        <v>4821</v>
      </c>
      <c r="E3522" s="35">
        <v>46027.0</v>
      </c>
      <c r="F3522" s="35">
        <v>0.0</v>
      </c>
      <c r="G3522" s="35">
        <v>2.0</v>
      </c>
      <c r="H3522" s="35">
        <v>0.0</v>
      </c>
      <c r="I3522" s="35">
        <v>0.0</v>
      </c>
      <c r="J3522" s="35"/>
      <c r="K3522" s="35">
        <v>0.0</v>
      </c>
    </row>
    <row r="3523" ht="15.75" customHeight="1">
      <c r="A3523" s="35" t="s">
        <v>8708</v>
      </c>
      <c r="B3523" s="35"/>
      <c r="C3523" s="35">
        <v>2.0</v>
      </c>
      <c r="D3523" s="35" t="s">
        <v>4635</v>
      </c>
      <c r="E3523" s="35">
        <v>46027.0</v>
      </c>
      <c r="F3523" s="35">
        <v>0.0</v>
      </c>
      <c r="G3523" s="35">
        <v>6.0</v>
      </c>
      <c r="H3523" s="35">
        <v>0.0</v>
      </c>
      <c r="I3523" s="35">
        <v>0.0</v>
      </c>
      <c r="J3523" s="35"/>
      <c r="K3523" s="35">
        <v>0.0</v>
      </c>
    </row>
    <row r="3524" ht="15.75" customHeight="1">
      <c r="A3524" s="35" t="s">
        <v>8709</v>
      </c>
      <c r="B3524" s="35"/>
      <c r="C3524" s="35">
        <v>2.0</v>
      </c>
      <c r="D3524" s="35" t="s">
        <v>4635</v>
      </c>
      <c r="E3524" s="35">
        <v>46027.0</v>
      </c>
      <c r="F3524" s="35">
        <v>0.0</v>
      </c>
      <c r="G3524" s="35">
        <v>3.0</v>
      </c>
      <c r="H3524" s="35">
        <v>0.0</v>
      </c>
      <c r="I3524" s="35">
        <v>0.0</v>
      </c>
      <c r="J3524" s="35"/>
      <c r="K3524" s="35">
        <v>0.0</v>
      </c>
    </row>
    <row r="3525" ht="15.75" customHeight="1">
      <c r="A3525" s="35" t="s">
        <v>8711</v>
      </c>
      <c r="B3525" s="35"/>
      <c r="C3525" s="35">
        <v>2.0</v>
      </c>
      <c r="D3525" s="35" t="s">
        <v>4635</v>
      </c>
      <c r="E3525" s="35">
        <v>46027.0</v>
      </c>
      <c r="F3525" s="35">
        <v>0.0</v>
      </c>
      <c r="G3525" s="35">
        <v>4.0</v>
      </c>
      <c r="H3525" s="35">
        <v>0.0</v>
      </c>
      <c r="I3525" s="35">
        <v>0.0</v>
      </c>
      <c r="J3525" s="35"/>
      <c r="K3525" s="35">
        <v>0.0</v>
      </c>
    </row>
    <row r="3526" ht="15.75" customHeight="1">
      <c r="A3526" s="35" t="s">
        <v>8712</v>
      </c>
      <c r="B3526" s="35"/>
      <c r="C3526" s="35">
        <v>2.0</v>
      </c>
      <c r="D3526" s="35" t="s">
        <v>4635</v>
      </c>
      <c r="E3526" s="35">
        <v>46027.0</v>
      </c>
      <c r="F3526" s="35">
        <v>0.0</v>
      </c>
      <c r="G3526" s="35">
        <v>2.0</v>
      </c>
      <c r="H3526" s="35">
        <v>0.0</v>
      </c>
      <c r="I3526" s="35">
        <v>0.0</v>
      </c>
      <c r="J3526" s="35"/>
      <c r="K3526" s="35">
        <v>0.0</v>
      </c>
    </row>
    <row r="3527" ht="15.75" customHeight="1">
      <c r="A3527" s="35" t="s">
        <v>8714</v>
      </c>
      <c r="B3527" s="35"/>
      <c r="C3527" s="35">
        <v>2.0</v>
      </c>
      <c r="D3527" s="35" t="s">
        <v>4635</v>
      </c>
      <c r="E3527" s="35">
        <v>46027.0</v>
      </c>
      <c r="F3527" s="35">
        <v>0.0</v>
      </c>
      <c r="G3527" s="35">
        <v>6.0</v>
      </c>
      <c r="H3527" s="35">
        <v>0.0</v>
      </c>
      <c r="I3527" s="35">
        <v>0.0</v>
      </c>
      <c r="J3527" s="35"/>
      <c r="K3527" s="35">
        <v>0.0</v>
      </c>
    </row>
    <row r="3528" ht="15.75" customHeight="1">
      <c r="A3528" s="35" t="s">
        <v>8715</v>
      </c>
      <c r="B3528" s="35"/>
      <c r="C3528" s="35">
        <v>2.0</v>
      </c>
      <c r="D3528" s="35" t="s">
        <v>4635</v>
      </c>
      <c r="E3528" s="35">
        <v>46027.0</v>
      </c>
      <c r="F3528" s="35">
        <v>0.0</v>
      </c>
      <c r="G3528" s="35">
        <v>1.0</v>
      </c>
      <c r="H3528" s="35">
        <v>0.0</v>
      </c>
      <c r="I3528" s="35">
        <v>0.0</v>
      </c>
      <c r="J3528" s="35"/>
      <c r="K3528" s="35">
        <v>0.0</v>
      </c>
    </row>
    <row r="3529" ht="15.75" customHeight="1">
      <c r="A3529" s="35" t="s">
        <v>8716</v>
      </c>
      <c r="B3529" s="35"/>
      <c r="C3529" s="35">
        <v>2.0</v>
      </c>
      <c r="D3529" s="35" t="s">
        <v>4635</v>
      </c>
      <c r="E3529" s="35">
        <v>46027.0</v>
      </c>
      <c r="F3529" s="35">
        <v>0.0</v>
      </c>
      <c r="G3529" s="35">
        <v>1.0</v>
      </c>
      <c r="H3529" s="35">
        <v>0.0</v>
      </c>
      <c r="I3529" s="35">
        <v>0.0</v>
      </c>
      <c r="J3529" s="35"/>
      <c r="K3529" s="35">
        <v>0.0</v>
      </c>
    </row>
    <row r="3530" ht="15.75" customHeight="1">
      <c r="A3530" s="35" t="s">
        <v>8718</v>
      </c>
      <c r="B3530" s="35"/>
      <c r="C3530" s="35">
        <v>2.0</v>
      </c>
      <c r="D3530" s="35">
        <v>189.0</v>
      </c>
      <c r="E3530" s="35">
        <v>46027.0</v>
      </c>
      <c r="F3530" s="35">
        <v>0.0</v>
      </c>
      <c r="G3530" s="35">
        <v>1.0</v>
      </c>
      <c r="H3530" s="35">
        <v>0.0</v>
      </c>
      <c r="I3530" s="35">
        <v>0.0</v>
      </c>
      <c r="J3530" s="35"/>
      <c r="K3530" s="35">
        <v>0.0</v>
      </c>
    </row>
    <row r="3531" ht="15.75" customHeight="1">
      <c r="A3531" s="35" t="s">
        <v>8719</v>
      </c>
      <c r="B3531" s="35"/>
      <c r="C3531" s="35">
        <v>2.0</v>
      </c>
      <c r="D3531" s="35" t="s">
        <v>4635</v>
      </c>
      <c r="E3531" s="35">
        <v>46027.0</v>
      </c>
      <c r="F3531" s="35">
        <v>0.0</v>
      </c>
      <c r="G3531" s="35">
        <v>1.0</v>
      </c>
      <c r="H3531" s="35">
        <v>0.0</v>
      </c>
      <c r="I3531" s="35">
        <v>0.0</v>
      </c>
      <c r="J3531" s="35"/>
      <c r="K3531" s="35">
        <v>0.0</v>
      </c>
    </row>
    <row r="3532" ht="15.75" customHeight="1">
      <c r="A3532" s="35" t="s">
        <v>8721</v>
      </c>
      <c r="B3532" s="35"/>
      <c r="C3532" s="35">
        <v>2.0</v>
      </c>
      <c r="D3532" s="35" t="s">
        <v>2032</v>
      </c>
      <c r="E3532" s="35">
        <v>46027.0</v>
      </c>
      <c r="F3532" s="35">
        <v>0.0</v>
      </c>
      <c r="G3532" s="35">
        <v>0.0</v>
      </c>
      <c r="H3532" s="35">
        <v>1.0</v>
      </c>
      <c r="I3532" s="35">
        <v>0.0</v>
      </c>
      <c r="J3532" s="35"/>
      <c r="K3532" s="35">
        <v>0.0</v>
      </c>
    </row>
    <row r="3533" ht="15.75" customHeight="1">
      <c r="A3533" s="35" t="s">
        <v>8722</v>
      </c>
      <c r="B3533" s="35"/>
      <c r="C3533" s="35">
        <v>2.0</v>
      </c>
      <c r="D3533" s="35" t="s">
        <v>4635</v>
      </c>
      <c r="E3533" s="35">
        <v>46027.0</v>
      </c>
      <c r="F3533" s="35">
        <v>0.0</v>
      </c>
      <c r="G3533" s="35">
        <v>6.0</v>
      </c>
      <c r="H3533" s="35">
        <v>0.0</v>
      </c>
      <c r="I3533" s="35">
        <v>0.0</v>
      </c>
      <c r="J3533" s="35"/>
      <c r="K3533" s="35">
        <v>0.0</v>
      </c>
    </row>
    <row r="3534" ht="15.75" customHeight="1">
      <c r="A3534" s="35" t="s">
        <v>8724</v>
      </c>
      <c r="B3534" s="35"/>
      <c r="C3534" s="35">
        <v>2.0</v>
      </c>
      <c r="D3534" s="35" t="s">
        <v>4635</v>
      </c>
      <c r="E3534" s="35">
        <v>46027.0</v>
      </c>
      <c r="F3534" s="35">
        <v>0.0</v>
      </c>
      <c r="G3534" s="35">
        <v>1.0</v>
      </c>
      <c r="H3534" s="35">
        <v>0.0</v>
      </c>
      <c r="I3534" s="35">
        <v>0.0</v>
      </c>
      <c r="J3534" s="35"/>
      <c r="K3534" s="35">
        <v>0.0</v>
      </c>
    </row>
    <row r="3535" ht="15.75" customHeight="1">
      <c r="A3535" s="35" t="s">
        <v>8725</v>
      </c>
      <c r="B3535" s="35"/>
      <c r="C3535" s="35">
        <v>2.0</v>
      </c>
      <c r="D3535" s="35" t="s">
        <v>4635</v>
      </c>
      <c r="E3535" s="35">
        <v>46027.0</v>
      </c>
      <c r="F3535" s="35">
        <v>0.0</v>
      </c>
      <c r="G3535" s="35">
        <v>4.0</v>
      </c>
      <c r="H3535" s="35">
        <v>0.0</v>
      </c>
      <c r="I3535" s="35">
        <v>0.0</v>
      </c>
      <c r="J3535" s="35"/>
      <c r="K3535" s="35">
        <v>0.0</v>
      </c>
    </row>
    <row r="3536" ht="15.75" customHeight="1">
      <c r="A3536" s="35" t="s">
        <v>8727</v>
      </c>
      <c r="B3536" s="35"/>
      <c r="C3536" s="35">
        <v>2.0</v>
      </c>
      <c r="D3536" s="35" t="s">
        <v>4635</v>
      </c>
      <c r="E3536" s="35">
        <v>46027.0</v>
      </c>
      <c r="F3536" s="35">
        <v>0.0</v>
      </c>
      <c r="G3536" s="35">
        <v>6.0</v>
      </c>
      <c r="H3536" s="35">
        <v>0.0</v>
      </c>
      <c r="I3536" s="35">
        <v>0.0</v>
      </c>
      <c r="J3536" s="35"/>
      <c r="K3536" s="35">
        <v>0.0</v>
      </c>
    </row>
    <row r="3537" ht="15.75" customHeight="1">
      <c r="A3537" s="35" t="s">
        <v>8728</v>
      </c>
      <c r="B3537" s="35"/>
      <c r="C3537" s="35">
        <v>2.0</v>
      </c>
      <c r="D3537" s="35" t="s">
        <v>4635</v>
      </c>
      <c r="E3537" s="35">
        <v>46027.0</v>
      </c>
      <c r="F3537" s="35">
        <v>0.0</v>
      </c>
      <c r="G3537" s="35">
        <v>4.0</v>
      </c>
      <c r="H3537" s="35">
        <v>0.0</v>
      </c>
      <c r="I3537" s="35">
        <v>0.0</v>
      </c>
      <c r="J3537" s="35"/>
      <c r="K3537" s="35">
        <v>0.0</v>
      </c>
    </row>
    <row r="3538" ht="15.75" customHeight="1">
      <c r="A3538" s="35" t="s">
        <v>8729</v>
      </c>
      <c r="B3538" s="35"/>
      <c r="C3538" s="35">
        <v>2.0</v>
      </c>
      <c r="D3538" s="35" t="s">
        <v>4635</v>
      </c>
      <c r="E3538" s="35">
        <v>46027.0</v>
      </c>
      <c r="F3538" s="35">
        <v>0.0</v>
      </c>
      <c r="G3538" s="35">
        <v>3.0</v>
      </c>
      <c r="H3538" s="35">
        <v>0.0</v>
      </c>
      <c r="I3538" s="35">
        <v>0.0</v>
      </c>
      <c r="J3538" s="35"/>
      <c r="K3538" s="35">
        <v>0.0</v>
      </c>
    </row>
    <row r="3539" ht="15.75" customHeight="1">
      <c r="A3539" s="35" t="s">
        <v>8730</v>
      </c>
      <c r="B3539" s="35"/>
      <c r="C3539" s="35">
        <v>2.0</v>
      </c>
      <c r="D3539" s="35" t="s">
        <v>4635</v>
      </c>
      <c r="E3539" s="35">
        <v>46027.0</v>
      </c>
      <c r="F3539" s="35">
        <v>0.0</v>
      </c>
      <c r="G3539" s="35">
        <v>2.0</v>
      </c>
      <c r="H3539" s="35">
        <v>0.0</v>
      </c>
      <c r="I3539" s="35">
        <v>0.0</v>
      </c>
      <c r="J3539" s="35"/>
      <c r="K3539" s="35">
        <v>0.0</v>
      </c>
    </row>
    <row r="3540" ht="15.75" customHeight="1">
      <c r="A3540" s="35" t="s">
        <v>8732</v>
      </c>
      <c r="B3540" s="35"/>
      <c r="C3540" s="35">
        <v>2.0</v>
      </c>
      <c r="D3540" s="35">
        <v>66.0</v>
      </c>
      <c r="E3540" s="35">
        <v>46027.0</v>
      </c>
      <c r="F3540" s="35">
        <v>0.0</v>
      </c>
      <c r="G3540" s="35">
        <v>6.0</v>
      </c>
      <c r="H3540" s="35">
        <v>0.0</v>
      </c>
      <c r="I3540" s="35">
        <v>0.0</v>
      </c>
      <c r="J3540" s="35"/>
      <c r="K3540" s="35">
        <v>0.0</v>
      </c>
    </row>
    <row r="3541" ht="15.75" customHeight="1">
      <c r="A3541" s="35" t="s">
        <v>8733</v>
      </c>
      <c r="B3541" s="35"/>
      <c r="C3541" s="35">
        <v>2.0</v>
      </c>
      <c r="D3541" s="35">
        <v>124.0</v>
      </c>
      <c r="E3541" s="35">
        <v>46027.0</v>
      </c>
      <c r="F3541" s="35">
        <v>0.0</v>
      </c>
      <c r="G3541" s="35">
        <v>0.0</v>
      </c>
      <c r="H3541" s="35">
        <v>1.0</v>
      </c>
      <c r="I3541" s="35">
        <v>0.0</v>
      </c>
      <c r="J3541" s="35"/>
      <c r="K3541" s="35">
        <v>0.0</v>
      </c>
    </row>
    <row r="3542" ht="15.75" customHeight="1">
      <c r="A3542" s="35" t="s">
        <v>8734</v>
      </c>
      <c r="B3542" s="35"/>
      <c r="C3542" s="35">
        <v>2.0</v>
      </c>
      <c r="D3542" s="35" t="s">
        <v>4635</v>
      </c>
      <c r="E3542" s="35">
        <v>46027.0</v>
      </c>
      <c r="F3542" s="35">
        <v>0.0</v>
      </c>
      <c r="G3542" s="35">
        <v>1.0</v>
      </c>
      <c r="H3542" s="35">
        <v>0.0</v>
      </c>
      <c r="I3542" s="35">
        <v>0.0</v>
      </c>
      <c r="J3542" s="35"/>
      <c r="K3542" s="35">
        <v>0.0</v>
      </c>
    </row>
    <row r="3543" ht="15.75" customHeight="1">
      <c r="A3543" s="35" t="s">
        <v>8736</v>
      </c>
      <c r="B3543" s="35"/>
      <c r="C3543" s="35">
        <v>2.0</v>
      </c>
      <c r="D3543" s="35">
        <v>205.0</v>
      </c>
      <c r="E3543" s="35">
        <v>46027.0</v>
      </c>
      <c r="F3543" s="35">
        <v>0.0</v>
      </c>
      <c r="G3543" s="35">
        <v>0.0</v>
      </c>
      <c r="H3543" s="35">
        <v>1.0</v>
      </c>
      <c r="I3543" s="35">
        <v>0.0</v>
      </c>
      <c r="J3543" s="35"/>
      <c r="K3543" s="35">
        <v>0.0</v>
      </c>
    </row>
    <row r="3544" ht="15.75" customHeight="1">
      <c r="A3544" s="35" t="s">
        <v>8737</v>
      </c>
      <c r="B3544" s="35"/>
      <c r="C3544" s="35">
        <v>2.0</v>
      </c>
      <c r="D3544" s="35" t="s">
        <v>4635</v>
      </c>
      <c r="E3544" s="35">
        <v>46027.0</v>
      </c>
      <c r="F3544" s="35">
        <v>0.0</v>
      </c>
      <c r="G3544" s="35">
        <v>3.0</v>
      </c>
      <c r="H3544" s="35">
        <v>0.0</v>
      </c>
      <c r="I3544" s="35">
        <v>0.0</v>
      </c>
      <c r="J3544" s="35"/>
      <c r="K3544" s="35">
        <v>0.0</v>
      </c>
    </row>
    <row r="3545" ht="15.75" customHeight="1">
      <c r="A3545" s="35" t="s">
        <v>8738</v>
      </c>
      <c r="B3545" s="35"/>
      <c r="C3545" s="35">
        <v>2.0</v>
      </c>
      <c r="D3545" s="35" t="s">
        <v>4635</v>
      </c>
      <c r="E3545" s="35">
        <v>46027.0</v>
      </c>
      <c r="F3545" s="35">
        <v>0.0</v>
      </c>
      <c r="G3545" s="35">
        <v>4.0</v>
      </c>
      <c r="H3545" s="35">
        <v>0.0</v>
      </c>
      <c r="I3545" s="35">
        <v>0.0</v>
      </c>
      <c r="J3545" s="35"/>
      <c r="K3545" s="35">
        <v>0.0</v>
      </c>
    </row>
    <row r="3546" ht="15.75" customHeight="1">
      <c r="A3546" s="35" t="s">
        <v>8739</v>
      </c>
      <c r="B3546" s="35"/>
      <c r="C3546" s="35">
        <v>2.0</v>
      </c>
      <c r="D3546" s="35" t="s">
        <v>4635</v>
      </c>
      <c r="E3546" s="35">
        <v>46027.0</v>
      </c>
      <c r="F3546" s="35">
        <v>0.0</v>
      </c>
      <c r="G3546" s="35">
        <v>2.0</v>
      </c>
      <c r="H3546" s="35">
        <v>0.0</v>
      </c>
      <c r="I3546" s="35">
        <v>0.0</v>
      </c>
      <c r="J3546" s="35"/>
      <c r="K3546" s="35">
        <v>0.0</v>
      </c>
    </row>
    <row r="3547" ht="15.75" customHeight="1">
      <c r="A3547" s="35" t="s">
        <v>8740</v>
      </c>
      <c r="B3547" s="35"/>
      <c r="C3547" s="35">
        <v>2.0</v>
      </c>
      <c r="D3547" s="35" t="s">
        <v>4635</v>
      </c>
      <c r="E3547" s="35">
        <v>46027.0</v>
      </c>
      <c r="F3547" s="35">
        <v>0.0</v>
      </c>
      <c r="G3547" s="35">
        <v>4.0</v>
      </c>
      <c r="H3547" s="35">
        <v>0.0</v>
      </c>
      <c r="I3547" s="35">
        <v>0.0</v>
      </c>
      <c r="J3547" s="35"/>
      <c r="K3547" s="35">
        <v>0.0</v>
      </c>
    </row>
    <row r="3548" ht="15.75" customHeight="1">
      <c r="A3548" s="35" t="s">
        <v>8742</v>
      </c>
      <c r="B3548" s="35"/>
      <c r="C3548" s="35">
        <v>2.0</v>
      </c>
      <c r="D3548" s="35" t="s">
        <v>4635</v>
      </c>
      <c r="E3548" s="35">
        <v>46027.0</v>
      </c>
      <c r="F3548" s="35">
        <v>0.0</v>
      </c>
      <c r="G3548" s="35">
        <v>3.0</v>
      </c>
      <c r="H3548" s="35">
        <v>0.0</v>
      </c>
      <c r="I3548" s="35">
        <v>0.0</v>
      </c>
      <c r="J3548" s="35"/>
      <c r="K3548" s="35">
        <v>0.0</v>
      </c>
    </row>
    <row r="3549" ht="15.75" customHeight="1">
      <c r="A3549" s="35" t="s">
        <v>8743</v>
      </c>
      <c r="B3549" s="35"/>
      <c r="C3549" s="35">
        <v>2.0</v>
      </c>
      <c r="D3549" s="35" t="s">
        <v>4635</v>
      </c>
      <c r="E3549" s="35">
        <v>46027.0</v>
      </c>
      <c r="F3549" s="35">
        <v>0.0</v>
      </c>
      <c r="G3549" s="35">
        <v>3.0</v>
      </c>
      <c r="H3549" s="35">
        <v>0.0</v>
      </c>
      <c r="I3549" s="35">
        <v>0.0</v>
      </c>
      <c r="J3549" s="35"/>
      <c r="K3549" s="35">
        <v>0.0</v>
      </c>
    </row>
    <row r="3550" ht="15.75" customHeight="1">
      <c r="A3550" s="35" t="s">
        <v>8745</v>
      </c>
      <c r="B3550" s="35"/>
      <c r="C3550" s="35">
        <v>2.0</v>
      </c>
      <c r="D3550" s="35" t="s">
        <v>4635</v>
      </c>
      <c r="E3550" s="35">
        <v>46027.0</v>
      </c>
      <c r="F3550" s="35">
        <v>0.0</v>
      </c>
      <c r="G3550" s="35">
        <v>2.0</v>
      </c>
      <c r="H3550" s="35">
        <v>0.0</v>
      </c>
      <c r="I3550" s="35">
        <v>0.0</v>
      </c>
      <c r="J3550" s="35"/>
      <c r="K3550" s="35">
        <v>0.0</v>
      </c>
    </row>
    <row r="3551" ht="15.75" customHeight="1">
      <c r="A3551" s="35" t="s">
        <v>8746</v>
      </c>
      <c r="B3551" s="35"/>
      <c r="C3551" s="35">
        <v>2.0</v>
      </c>
      <c r="D3551" s="35">
        <v>66.0</v>
      </c>
      <c r="E3551" s="35">
        <v>46027.0</v>
      </c>
      <c r="F3551" s="35">
        <v>0.0</v>
      </c>
      <c r="G3551" s="35">
        <v>5.0</v>
      </c>
      <c r="H3551" s="35">
        <v>0.0</v>
      </c>
      <c r="I3551" s="35">
        <v>0.0</v>
      </c>
      <c r="J3551" s="35"/>
      <c r="K3551" s="35">
        <v>0.0</v>
      </c>
    </row>
    <row r="3552" ht="15.75" customHeight="1">
      <c r="A3552" s="35" t="s">
        <v>8748</v>
      </c>
      <c r="B3552" s="35"/>
      <c r="C3552" s="35">
        <v>2.0</v>
      </c>
      <c r="D3552" s="35" t="s">
        <v>4635</v>
      </c>
      <c r="E3552" s="35">
        <v>46027.0</v>
      </c>
      <c r="F3552" s="35">
        <v>0.0</v>
      </c>
      <c r="G3552" s="35">
        <v>4.0</v>
      </c>
      <c r="H3552" s="35">
        <v>0.0</v>
      </c>
      <c r="I3552" s="35">
        <v>0.0</v>
      </c>
      <c r="J3552" s="35"/>
      <c r="K3552" s="35">
        <v>0.0</v>
      </c>
    </row>
    <row r="3553" ht="15.75" customHeight="1">
      <c r="A3553" s="35" t="s">
        <v>8749</v>
      </c>
      <c r="B3553" s="35"/>
      <c r="C3553" s="35">
        <v>2.0</v>
      </c>
      <c r="D3553" s="35" t="s">
        <v>4635</v>
      </c>
      <c r="E3553" s="35">
        <v>46027.0</v>
      </c>
      <c r="F3553" s="35">
        <v>0.0</v>
      </c>
      <c r="G3553" s="35">
        <v>1.0</v>
      </c>
      <c r="H3553" s="35">
        <v>0.0</v>
      </c>
      <c r="I3553" s="35">
        <v>0.0</v>
      </c>
      <c r="J3553" s="35"/>
      <c r="K3553" s="35">
        <v>0.0</v>
      </c>
    </row>
    <row r="3554" ht="15.75" customHeight="1">
      <c r="A3554" s="35" t="s">
        <v>8751</v>
      </c>
      <c r="B3554" s="35"/>
      <c r="C3554" s="35">
        <v>2.0</v>
      </c>
      <c r="D3554" s="35" t="s">
        <v>4635</v>
      </c>
      <c r="E3554" s="35">
        <v>46027.0</v>
      </c>
      <c r="F3554" s="35">
        <v>0.0</v>
      </c>
      <c r="G3554" s="35">
        <v>4.0</v>
      </c>
      <c r="H3554" s="35">
        <v>0.0</v>
      </c>
      <c r="I3554" s="35">
        <v>0.0</v>
      </c>
      <c r="J3554" s="35"/>
      <c r="K3554" s="35">
        <v>0.0</v>
      </c>
    </row>
    <row r="3555" ht="15.75" customHeight="1">
      <c r="A3555" s="35" t="s">
        <v>8752</v>
      </c>
      <c r="B3555" s="35"/>
      <c r="C3555" s="35">
        <v>2.0</v>
      </c>
      <c r="D3555" s="35" t="s">
        <v>4635</v>
      </c>
      <c r="E3555" s="35">
        <v>46027.0</v>
      </c>
      <c r="F3555" s="35">
        <v>0.0</v>
      </c>
      <c r="G3555" s="35">
        <v>0.0</v>
      </c>
      <c r="H3555" s="35">
        <v>0.0</v>
      </c>
      <c r="I3555" s="35">
        <v>1.0</v>
      </c>
      <c r="J3555" s="35"/>
      <c r="K3555" s="35">
        <v>0.0</v>
      </c>
    </row>
    <row r="3556" ht="15.75" customHeight="1">
      <c r="A3556" s="35" t="s">
        <v>8754</v>
      </c>
      <c r="B3556" s="35"/>
      <c r="C3556" s="35">
        <v>2.0</v>
      </c>
      <c r="D3556" s="35" t="s">
        <v>4635</v>
      </c>
      <c r="E3556" s="35">
        <v>46027.0</v>
      </c>
      <c r="F3556" s="35">
        <v>0.0</v>
      </c>
      <c r="G3556" s="35">
        <v>3.0</v>
      </c>
      <c r="H3556" s="35">
        <v>0.0</v>
      </c>
      <c r="I3556" s="35">
        <v>0.0</v>
      </c>
      <c r="J3556" s="35"/>
      <c r="K3556" s="35">
        <v>0.0</v>
      </c>
    </row>
    <row r="3557" ht="15.75" customHeight="1">
      <c r="A3557" s="35" t="s">
        <v>8755</v>
      </c>
      <c r="B3557" s="35"/>
      <c r="C3557" s="35">
        <v>2.0</v>
      </c>
      <c r="D3557" s="35" t="s">
        <v>4635</v>
      </c>
      <c r="E3557" s="35">
        <v>46027.0</v>
      </c>
      <c r="F3557" s="35">
        <v>0.0</v>
      </c>
      <c r="G3557" s="35">
        <v>3.0</v>
      </c>
      <c r="H3557" s="35">
        <v>0.0</v>
      </c>
      <c r="I3557" s="35">
        <v>0.0</v>
      </c>
      <c r="J3557" s="35"/>
      <c r="K3557" s="35">
        <v>0.0</v>
      </c>
    </row>
    <row r="3558" ht="15.75" customHeight="1">
      <c r="A3558" s="35" t="s">
        <v>8757</v>
      </c>
      <c r="B3558" s="35"/>
      <c r="C3558" s="35">
        <v>2.0</v>
      </c>
      <c r="D3558" s="35" t="s">
        <v>4635</v>
      </c>
      <c r="E3558" s="35">
        <v>46027.0</v>
      </c>
      <c r="F3558" s="35">
        <v>0.0</v>
      </c>
      <c r="G3558" s="35">
        <v>0.0</v>
      </c>
      <c r="H3558" s="35">
        <v>0.0</v>
      </c>
      <c r="I3558" s="35">
        <v>1.0</v>
      </c>
      <c r="J3558" s="35"/>
      <c r="K3558" s="35">
        <v>0.0</v>
      </c>
    </row>
    <row r="3559" ht="15.75" customHeight="1">
      <c r="A3559" s="35" t="s">
        <v>8758</v>
      </c>
      <c r="B3559" s="35"/>
      <c r="C3559" s="35">
        <v>2.0</v>
      </c>
      <c r="D3559" s="35" t="s">
        <v>4635</v>
      </c>
      <c r="E3559" s="35">
        <v>46027.0</v>
      </c>
      <c r="F3559" s="35">
        <v>0.0</v>
      </c>
      <c r="G3559" s="35">
        <v>0.0</v>
      </c>
      <c r="H3559" s="35">
        <v>0.0</v>
      </c>
      <c r="I3559" s="35">
        <v>2.0</v>
      </c>
      <c r="J3559" s="35"/>
      <c r="K3559" s="35">
        <v>0.0</v>
      </c>
    </row>
    <row r="3560" ht="15.75" customHeight="1">
      <c r="A3560" s="35" t="s">
        <v>8759</v>
      </c>
      <c r="B3560" s="35"/>
      <c r="C3560" s="35">
        <v>2.0</v>
      </c>
      <c r="D3560" s="35" t="s">
        <v>4635</v>
      </c>
      <c r="E3560" s="35">
        <v>46027.0</v>
      </c>
      <c r="F3560" s="35">
        <v>0.0</v>
      </c>
      <c r="G3560" s="35">
        <v>0.0</v>
      </c>
      <c r="H3560" s="35">
        <v>0.0</v>
      </c>
      <c r="I3560" s="35">
        <v>1.0</v>
      </c>
      <c r="J3560" s="35"/>
      <c r="K3560" s="35">
        <v>0.0</v>
      </c>
    </row>
    <row r="3561" ht="15.75" customHeight="1">
      <c r="A3561" s="35" t="s">
        <v>8761</v>
      </c>
      <c r="B3561" s="35"/>
      <c r="C3561" s="35">
        <v>2.0</v>
      </c>
      <c r="D3561" s="35" t="s">
        <v>4635</v>
      </c>
      <c r="E3561" s="35">
        <v>46027.0</v>
      </c>
      <c r="F3561" s="35">
        <v>0.0</v>
      </c>
      <c r="G3561" s="35">
        <v>5.0</v>
      </c>
      <c r="H3561" s="35">
        <v>0.0</v>
      </c>
      <c r="I3561" s="35">
        <v>0.0</v>
      </c>
      <c r="J3561" s="35"/>
      <c r="K3561" s="35">
        <v>0.0</v>
      </c>
    </row>
    <row r="3562" ht="15.75" customHeight="1">
      <c r="A3562" s="35" t="s">
        <v>8762</v>
      </c>
      <c r="B3562" s="35"/>
      <c r="C3562" s="35">
        <v>2.0</v>
      </c>
      <c r="D3562" s="35" t="s">
        <v>4635</v>
      </c>
      <c r="E3562" s="35">
        <v>46027.0</v>
      </c>
      <c r="F3562" s="35">
        <v>0.0</v>
      </c>
      <c r="G3562" s="35">
        <v>3.0</v>
      </c>
      <c r="H3562" s="35">
        <v>0.0</v>
      </c>
      <c r="I3562" s="35">
        <v>0.0</v>
      </c>
      <c r="J3562" s="35"/>
      <c r="K3562" s="35">
        <v>0.0</v>
      </c>
    </row>
    <row r="3563" ht="15.75" customHeight="1">
      <c r="A3563" s="35" t="s">
        <v>8764</v>
      </c>
      <c r="B3563" s="35"/>
      <c r="C3563" s="35">
        <v>2.0</v>
      </c>
      <c r="D3563" s="35" t="s">
        <v>4635</v>
      </c>
      <c r="E3563" s="35">
        <v>46027.0</v>
      </c>
      <c r="F3563" s="35">
        <v>0.0</v>
      </c>
      <c r="G3563" s="35">
        <v>4.0</v>
      </c>
      <c r="H3563" s="35">
        <v>0.0</v>
      </c>
      <c r="I3563" s="35">
        <v>0.0</v>
      </c>
      <c r="J3563" s="35"/>
      <c r="K3563" s="35">
        <v>0.0</v>
      </c>
    </row>
    <row r="3564" ht="15.75" customHeight="1">
      <c r="A3564" s="35" t="s">
        <v>8765</v>
      </c>
      <c r="B3564" s="35"/>
      <c r="C3564" s="35">
        <v>2.0</v>
      </c>
      <c r="D3564" s="35" t="s">
        <v>4635</v>
      </c>
      <c r="E3564" s="35">
        <v>46027.0</v>
      </c>
      <c r="F3564" s="35">
        <v>0.0</v>
      </c>
      <c r="G3564" s="35">
        <v>4.0</v>
      </c>
      <c r="H3564" s="35">
        <v>0.0</v>
      </c>
      <c r="I3564" s="35">
        <v>0.0</v>
      </c>
      <c r="J3564" s="35"/>
      <c r="K3564" s="35">
        <v>0.0</v>
      </c>
    </row>
    <row r="3565" ht="15.75" customHeight="1">
      <c r="A3565" s="35" t="s">
        <v>8767</v>
      </c>
      <c r="B3565" s="35"/>
      <c r="C3565" s="35">
        <v>2.0</v>
      </c>
      <c r="D3565" s="35" t="s">
        <v>4635</v>
      </c>
      <c r="E3565" s="35">
        <v>46027.0</v>
      </c>
      <c r="F3565" s="35">
        <v>0.0</v>
      </c>
      <c r="G3565" s="35">
        <v>4.0</v>
      </c>
      <c r="H3565" s="35">
        <v>0.0</v>
      </c>
      <c r="I3565" s="35">
        <v>0.0</v>
      </c>
      <c r="J3565" s="35"/>
      <c r="K3565" s="35">
        <v>0.0</v>
      </c>
    </row>
    <row r="3566" ht="15.75" customHeight="1">
      <c r="A3566" s="35" t="s">
        <v>8768</v>
      </c>
      <c r="B3566" s="35"/>
      <c r="C3566" s="35">
        <v>2.0</v>
      </c>
      <c r="D3566" s="35" t="s">
        <v>4635</v>
      </c>
      <c r="E3566" s="35">
        <v>46027.0</v>
      </c>
      <c r="F3566" s="35">
        <v>0.0</v>
      </c>
      <c r="G3566" s="35">
        <v>4.0</v>
      </c>
      <c r="H3566" s="35">
        <v>0.0</v>
      </c>
      <c r="I3566" s="35">
        <v>0.0</v>
      </c>
      <c r="J3566" s="35"/>
      <c r="K3566" s="35">
        <v>0.0</v>
      </c>
    </row>
    <row r="3567" ht="15.75" customHeight="1">
      <c r="A3567" s="35" t="s">
        <v>8769</v>
      </c>
      <c r="B3567" s="35"/>
      <c r="C3567" s="35">
        <v>2.0</v>
      </c>
      <c r="D3567" s="35" t="s">
        <v>4635</v>
      </c>
      <c r="E3567" s="35">
        <v>46027.0</v>
      </c>
      <c r="F3567" s="35">
        <v>0.0</v>
      </c>
      <c r="G3567" s="35">
        <v>0.0</v>
      </c>
      <c r="H3567" s="35">
        <v>0.0</v>
      </c>
      <c r="I3567" s="35">
        <v>1.0</v>
      </c>
      <c r="J3567" s="35"/>
      <c r="K3567" s="35">
        <v>0.0</v>
      </c>
    </row>
    <row r="3568" ht="15.75" customHeight="1">
      <c r="A3568" s="35" t="s">
        <v>8771</v>
      </c>
      <c r="B3568" s="35"/>
      <c r="C3568" s="35">
        <v>2.0</v>
      </c>
      <c r="D3568" s="35" t="s">
        <v>4635</v>
      </c>
      <c r="E3568" s="35">
        <v>46027.0</v>
      </c>
      <c r="F3568" s="35">
        <v>0.0</v>
      </c>
      <c r="G3568" s="35">
        <v>8.0</v>
      </c>
      <c r="H3568" s="35">
        <v>0.0</v>
      </c>
      <c r="I3568" s="35">
        <v>0.0</v>
      </c>
      <c r="J3568" s="35"/>
      <c r="K3568" s="35">
        <v>0.0</v>
      </c>
    </row>
    <row r="3569" ht="15.75" customHeight="1">
      <c r="A3569" s="35" t="s">
        <v>8772</v>
      </c>
      <c r="B3569" s="35"/>
      <c r="C3569" s="35">
        <v>2.0</v>
      </c>
      <c r="D3569" s="35" t="s">
        <v>4635</v>
      </c>
      <c r="E3569" s="35">
        <v>46027.0</v>
      </c>
      <c r="F3569" s="35">
        <v>0.0</v>
      </c>
      <c r="G3569" s="35">
        <v>10.0</v>
      </c>
      <c r="H3569" s="35">
        <v>0.0</v>
      </c>
      <c r="I3569" s="35">
        <v>0.0</v>
      </c>
      <c r="J3569" s="35"/>
      <c r="K3569" s="35">
        <v>0.0</v>
      </c>
    </row>
    <row r="3570" ht="15.75" customHeight="1">
      <c r="A3570" s="35" t="s">
        <v>8774</v>
      </c>
      <c r="B3570" s="35"/>
      <c r="C3570" s="35">
        <v>2.0</v>
      </c>
      <c r="D3570" s="35">
        <v>53.0</v>
      </c>
      <c r="E3570" s="35">
        <v>46027.0</v>
      </c>
      <c r="F3570" s="35">
        <v>0.0</v>
      </c>
      <c r="G3570" s="35">
        <v>4.0</v>
      </c>
      <c r="H3570" s="35">
        <v>0.0</v>
      </c>
      <c r="I3570" s="35">
        <v>0.0</v>
      </c>
      <c r="J3570" s="35"/>
      <c r="K3570" s="35">
        <v>0.0</v>
      </c>
    </row>
    <row r="3571" ht="15.75" customHeight="1">
      <c r="A3571" s="35" t="s">
        <v>8775</v>
      </c>
      <c r="B3571" s="35"/>
      <c r="C3571" s="35">
        <v>2.0</v>
      </c>
      <c r="D3571" s="35">
        <v>66.0</v>
      </c>
      <c r="E3571" s="35">
        <v>46027.0</v>
      </c>
      <c r="F3571" s="35">
        <v>0.0</v>
      </c>
      <c r="G3571" s="35">
        <v>6.0</v>
      </c>
      <c r="H3571" s="35">
        <v>0.0</v>
      </c>
      <c r="I3571" s="35">
        <v>0.0</v>
      </c>
      <c r="J3571" s="35"/>
      <c r="K3571" s="35">
        <v>0.0</v>
      </c>
    </row>
    <row r="3572" ht="15.75" customHeight="1">
      <c r="A3572" s="35" t="s">
        <v>8777</v>
      </c>
      <c r="B3572" s="35"/>
      <c r="C3572" s="35">
        <v>2.0</v>
      </c>
      <c r="D3572" s="35">
        <v>714.0</v>
      </c>
      <c r="E3572" s="35">
        <v>46027.0</v>
      </c>
      <c r="F3572" s="35">
        <v>0.0</v>
      </c>
      <c r="G3572" s="35">
        <v>2.0</v>
      </c>
      <c r="H3572" s="35">
        <v>0.0</v>
      </c>
      <c r="I3572" s="35">
        <v>0.0</v>
      </c>
      <c r="J3572" s="35"/>
      <c r="K3572" s="35">
        <v>0.0</v>
      </c>
    </row>
    <row r="3573" ht="15.75" customHeight="1">
      <c r="A3573" s="35" t="s">
        <v>8778</v>
      </c>
      <c r="B3573" s="35"/>
      <c r="C3573" s="35">
        <v>2.0</v>
      </c>
      <c r="D3573" s="35" t="s">
        <v>4635</v>
      </c>
      <c r="E3573" s="35">
        <v>46027.0</v>
      </c>
      <c r="F3573" s="35">
        <v>0.0</v>
      </c>
      <c r="G3573" s="35">
        <v>1.0</v>
      </c>
      <c r="H3573" s="35">
        <v>0.0</v>
      </c>
      <c r="I3573" s="35">
        <v>0.0</v>
      </c>
      <c r="J3573" s="35"/>
      <c r="K3573" s="35">
        <v>0.0</v>
      </c>
    </row>
    <row r="3574" ht="15.75" customHeight="1">
      <c r="A3574" s="35" t="s">
        <v>8780</v>
      </c>
      <c r="B3574" s="35"/>
      <c r="C3574" s="35">
        <v>2.0</v>
      </c>
      <c r="D3574" s="35" t="s">
        <v>4635</v>
      </c>
      <c r="E3574" s="35">
        <v>46027.0</v>
      </c>
      <c r="F3574" s="35">
        <v>0.0</v>
      </c>
      <c r="G3574" s="35">
        <v>17.0</v>
      </c>
      <c r="H3574" s="35">
        <v>0.0</v>
      </c>
      <c r="I3574" s="35">
        <v>0.0</v>
      </c>
      <c r="J3574" s="35"/>
      <c r="K3574" s="35">
        <v>0.0</v>
      </c>
    </row>
    <row r="3575" ht="15.75" customHeight="1">
      <c r="A3575" s="35" t="s">
        <v>8781</v>
      </c>
      <c r="B3575" s="35"/>
      <c r="C3575" s="35">
        <v>2.0</v>
      </c>
      <c r="D3575" s="35">
        <v>411.0</v>
      </c>
      <c r="E3575" s="35">
        <v>46027.0</v>
      </c>
      <c r="F3575" s="35">
        <v>0.0</v>
      </c>
      <c r="G3575" s="35">
        <v>1.0</v>
      </c>
      <c r="H3575" s="35">
        <v>0.0</v>
      </c>
      <c r="I3575" s="35">
        <v>0.0</v>
      </c>
      <c r="J3575" s="35"/>
      <c r="K3575" s="35">
        <v>0.0</v>
      </c>
    </row>
    <row r="3576" ht="15.75" customHeight="1">
      <c r="A3576" s="35" t="s">
        <v>8782</v>
      </c>
      <c r="B3576" s="35"/>
      <c r="C3576" s="35">
        <v>2.0</v>
      </c>
      <c r="D3576" s="35">
        <v>53.0</v>
      </c>
      <c r="E3576" s="35">
        <v>46027.0</v>
      </c>
      <c r="F3576" s="35">
        <v>0.0</v>
      </c>
      <c r="G3576" s="35">
        <v>2.0</v>
      </c>
      <c r="H3576" s="35">
        <v>0.0</v>
      </c>
      <c r="I3576" s="35">
        <v>0.0</v>
      </c>
      <c r="J3576" s="35"/>
      <c r="K3576" s="35">
        <v>0.0</v>
      </c>
    </row>
    <row r="3577" ht="15.75" customHeight="1">
      <c r="A3577" s="35" t="s">
        <v>8784</v>
      </c>
      <c r="B3577" s="35"/>
      <c r="C3577" s="35">
        <v>2.0</v>
      </c>
      <c r="D3577" s="35" t="s">
        <v>4635</v>
      </c>
      <c r="E3577" s="35">
        <v>46027.0</v>
      </c>
      <c r="F3577" s="35">
        <v>0.0</v>
      </c>
      <c r="G3577" s="35">
        <v>1.0</v>
      </c>
      <c r="H3577" s="35">
        <v>0.0</v>
      </c>
      <c r="I3577" s="35">
        <v>0.0</v>
      </c>
      <c r="J3577" s="35"/>
      <c r="K3577" s="35">
        <v>0.0</v>
      </c>
    </row>
    <row r="3578" ht="15.75" customHeight="1">
      <c r="A3578" s="35" t="s">
        <v>8785</v>
      </c>
      <c r="B3578" s="35"/>
      <c r="C3578" s="35">
        <v>2.0</v>
      </c>
      <c r="D3578" s="35" t="s">
        <v>4635</v>
      </c>
      <c r="E3578" s="35">
        <v>46027.0</v>
      </c>
      <c r="F3578" s="35">
        <v>0.0</v>
      </c>
      <c r="G3578" s="35">
        <v>5.0</v>
      </c>
      <c r="H3578" s="35">
        <v>0.0</v>
      </c>
      <c r="I3578" s="35">
        <v>0.0</v>
      </c>
      <c r="J3578" s="35"/>
      <c r="K3578" s="35">
        <v>0.0</v>
      </c>
    </row>
    <row r="3579" ht="15.75" customHeight="1">
      <c r="A3579" s="35" t="s">
        <v>8787</v>
      </c>
      <c r="B3579" s="35"/>
      <c r="C3579" s="35">
        <v>2.0</v>
      </c>
      <c r="D3579" s="35" t="s">
        <v>4635</v>
      </c>
      <c r="E3579" s="35">
        <v>46027.0</v>
      </c>
      <c r="F3579" s="35">
        <v>0.0</v>
      </c>
      <c r="G3579" s="35">
        <v>8.0</v>
      </c>
      <c r="H3579" s="35">
        <v>0.0</v>
      </c>
      <c r="I3579" s="35">
        <v>0.0</v>
      </c>
      <c r="J3579" s="35"/>
      <c r="K3579" s="35">
        <v>0.0</v>
      </c>
    </row>
    <row r="3580" ht="15.75" customHeight="1">
      <c r="A3580" s="35" t="s">
        <v>8788</v>
      </c>
      <c r="B3580" s="35"/>
      <c r="C3580" s="35">
        <v>2.0</v>
      </c>
      <c r="D3580" s="35" t="s">
        <v>4635</v>
      </c>
      <c r="E3580" s="35">
        <v>46027.0</v>
      </c>
      <c r="F3580" s="35">
        <v>0.0</v>
      </c>
      <c r="G3580" s="35">
        <v>4.0</v>
      </c>
      <c r="H3580" s="35">
        <v>0.0</v>
      </c>
      <c r="I3580" s="35">
        <v>0.0</v>
      </c>
      <c r="J3580" s="35"/>
      <c r="K3580" s="35">
        <v>0.0</v>
      </c>
    </row>
    <row r="3581" ht="15.75" customHeight="1">
      <c r="A3581" s="35" t="s">
        <v>8789</v>
      </c>
      <c r="B3581" s="35"/>
      <c r="C3581" s="35">
        <v>2.0</v>
      </c>
      <c r="D3581" s="35" t="s">
        <v>4635</v>
      </c>
      <c r="E3581" s="35">
        <v>46027.0</v>
      </c>
      <c r="F3581" s="35">
        <v>0.0</v>
      </c>
      <c r="G3581" s="35">
        <v>4.0</v>
      </c>
      <c r="H3581" s="35">
        <v>0.0</v>
      </c>
      <c r="I3581" s="35">
        <v>0.0</v>
      </c>
      <c r="J3581" s="35"/>
      <c r="K3581" s="35">
        <v>0.0</v>
      </c>
    </row>
    <row r="3582" ht="15.75" customHeight="1">
      <c r="A3582" s="35" t="s">
        <v>8791</v>
      </c>
      <c r="B3582" s="35"/>
      <c r="C3582" s="35">
        <v>2.0</v>
      </c>
      <c r="D3582" s="35" t="s">
        <v>4635</v>
      </c>
      <c r="E3582" s="35">
        <v>46027.0</v>
      </c>
      <c r="F3582" s="35">
        <v>0.0</v>
      </c>
      <c r="G3582" s="35">
        <v>4.0</v>
      </c>
      <c r="H3582" s="35">
        <v>0.0</v>
      </c>
      <c r="I3582" s="35">
        <v>0.0</v>
      </c>
      <c r="J3582" s="35"/>
      <c r="K3582" s="35">
        <v>0.0</v>
      </c>
    </row>
    <row r="3583" ht="15.75" customHeight="1">
      <c r="A3583" s="35" t="s">
        <v>8792</v>
      </c>
      <c r="B3583" s="35"/>
      <c r="C3583" s="35">
        <v>2.0</v>
      </c>
      <c r="D3583" s="35" t="s">
        <v>4635</v>
      </c>
      <c r="E3583" s="35">
        <v>46027.0</v>
      </c>
      <c r="F3583" s="35">
        <v>0.0</v>
      </c>
      <c r="G3583" s="35">
        <v>0.0</v>
      </c>
      <c r="H3583" s="35">
        <v>93.0</v>
      </c>
      <c r="I3583" s="35">
        <v>0.0</v>
      </c>
      <c r="J3583" s="35"/>
      <c r="K3583" s="35">
        <v>0.0</v>
      </c>
    </row>
    <row r="3584" ht="15.75" customHeight="1">
      <c r="A3584" s="35" t="s">
        <v>8794</v>
      </c>
      <c r="B3584" s="35"/>
      <c r="C3584" s="35">
        <v>2.0</v>
      </c>
      <c r="D3584" s="35" t="s">
        <v>4635</v>
      </c>
      <c r="E3584" s="35">
        <v>46027.0</v>
      </c>
      <c r="F3584" s="35">
        <v>0.0</v>
      </c>
      <c r="G3584" s="35">
        <v>4.0</v>
      </c>
      <c r="H3584" s="35">
        <v>0.0</v>
      </c>
      <c r="I3584" s="35">
        <v>0.0</v>
      </c>
      <c r="J3584" s="35"/>
      <c r="K3584" s="35">
        <v>0.0</v>
      </c>
    </row>
    <row r="3585" ht="15.75" customHeight="1">
      <c r="A3585" s="35" t="s">
        <v>8795</v>
      </c>
      <c r="B3585" s="35"/>
      <c r="C3585" s="35">
        <v>2.0</v>
      </c>
      <c r="D3585" s="35" t="s">
        <v>4635</v>
      </c>
      <c r="E3585" s="35">
        <v>46027.0</v>
      </c>
      <c r="F3585" s="35">
        <v>0.0</v>
      </c>
      <c r="G3585" s="35">
        <v>2.0</v>
      </c>
      <c r="H3585" s="35">
        <v>0.0</v>
      </c>
      <c r="I3585" s="35">
        <v>0.0</v>
      </c>
      <c r="J3585" s="35"/>
      <c r="K3585" s="35">
        <v>0.0</v>
      </c>
    </row>
    <row r="3586" ht="15.75" customHeight="1">
      <c r="A3586" s="35" t="s">
        <v>8797</v>
      </c>
      <c r="B3586" s="35"/>
      <c r="C3586" s="35">
        <v>2.0</v>
      </c>
      <c r="D3586" s="35" t="s">
        <v>4635</v>
      </c>
      <c r="E3586" s="35">
        <v>46027.0</v>
      </c>
      <c r="F3586" s="35">
        <v>0.0</v>
      </c>
      <c r="G3586" s="35">
        <v>0.0</v>
      </c>
      <c r="H3586" s="35">
        <v>1.0</v>
      </c>
      <c r="I3586" s="35">
        <v>0.0</v>
      </c>
      <c r="J3586" s="35"/>
      <c r="K3586" s="35">
        <v>0.0</v>
      </c>
    </row>
    <row r="3587" ht="15.75" customHeight="1">
      <c r="A3587" s="35" t="s">
        <v>8798</v>
      </c>
      <c r="B3587" s="35"/>
      <c r="C3587" s="35">
        <v>2.0</v>
      </c>
      <c r="D3587" s="35" t="s">
        <v>4635</v>
      </c>
      <c r="E3587" s="35">
        <v>46027.0</v>
      </c>
      <c r="F3587" s="35">
        <v>0.0</v>
      </c>
      <c r="G3587" s="35">
        <v>26.0</v>
      </c>
      <c r="H3587" s="35">
        <v>0.0</v>
      </c>
      <c r="I3587" s="35">
        <v>0.0</v>
      </c>
      <c r="J3587" s="35"/>
      <c r="K3587" s="35">
        <v>0.0</v>
      </c>
    </row>
    <row r="3588" ht="15.75" customHeight="1">
      <c r="A3588" s="35" t="s">
        <v>8800</v>
      </c>
      <c r="B3588" s="35"/>
      <c r="C3588" s="35">
        <v>2.0</v>
      </c>
      <c r="D3588" s="35" t="s">
        <v>4635</v>
      </c>
      <c r="E3588" s="35">
        <v>46027.0</v>
      </c>
      <c r="F3588" s="35">
        <v>0.0</v>
      </c>
      <c r="G3588" s="35">
        <v>9.0</v>
      </c>
      <c r="H3588" s="35">
        <v>0.0</v>
      </c>
      <c r="I3588" s="35">
        <v>0.0</v>
      </c>
      <c r="J3588" s="35"/>
      <c r="K3588" s="35">
        <v>0.0</v>
      </c>
    </row>
    <row r="3589" ht="15.75" customHeight="1">
      <c r="A3589" s="35" t="s">
        <v>8801</v>
      </c>
      <c r="B3589" s="35"/>
      <c r="C3589" s="35">
        <v>2.0</v>
      </c>
      <c r="D3589" s="35">
        <v>41.0</v>
      </c>
      <c r="E3589" s="35">
        <v>46027.0</v>
      </c>
      <c r="F3589" s="35">
        <v>0.0</v>
      </c>
      <c r="G3589" s="35">
        <v>4.0</v>
      </c>
      <c r="H3589" s="35">
        <v>0.0</v>
      </c>
      <c r="I3589" s="35">
        <v>0.0</v>
      </c>
      <c r="J3589" s="35"/>
      <c r="K3589" s="35">
        <v>0.0</v>
      </c>
    </row>
    <row r="3590" ht="15.75" customHeight="1">
      <c r="A3590" s="35" t="s">
        <v>8803</v>
      </c>
      <c r="B3590" s="35"/>
      <c r="C3590" s="35">
        <v>2.0</v>
      </c>
      <c r="D3590" s="35">
        <v>66.0</v>
      </c>
      <c r="E3590" s="35">
        <v>46027.0</v>
      </c>
      <c r="F3590" s="35">
        <v>0.0</v>
      </c>
      <c r="G3590" s="35">
        <v>7.0</v>
      </c>
      <c r="H3590" s="35">
        <v>0.0</v>
      </c>
      <c r="I3590" s="35">
        <v>0.0</v>
      </c>
      <c r="J3590" s="35"/>
      <c r="K3590" s="35">
        <v>0.0</v>
      </c>
    </row>
    <row r="3591" ht="15.75" customHeight="1">
      <c r="A3591" s="35" t="s">
        <v>8804</v>
      </c>
      <c r="B3591" s="35"/>
      <c r="C3591" s="35">
        <v>2.0</v>
      </c>
      <c r="D3591" s="35" t="s">
        <v>4635</v>
      </c>
      <c r="E3591" s="35">
        <v>46027.0</v>
      </c>
      <c r="F3591" s="35">
        <v>0.0</v>
      </c>
      <c r="G3591" s="35">
        <v>3.0</v>
      </c>
      <c r="H3591" s="35">
        <v>0.0</v>
      </c>
      <c r="I3591" s="35">
        <v>0.0</v>
      </c>
      <c r="J3591" s="35"/>
      <c r="K3591" s="35">
        <v>0.0</v>
      </c>
    </row>
    <row r="3592" ht="15.75" customHeight="1">
      <c r="A3592" s="35" t="s">
        <v>8805</v>
      </c>
      <c r="B3592" s="35"/>
      <c r="C3592" s="35">
        <v>2.0</v>
      </c>
      <c r="D3592" s="35" t="s">
        <v>4635</v>
      </c>
      <c r="E3592" s="35">
        <v>46027.0</v>
      </c>
      <c r="F3592" s="35">
        <v>0.0</v>
      </c>
      <c r="G3592" s="35">
        <v>2.0</v>
      </c>
      <c r="H3592" s="35">
        <v>0.0</v>
      </c>
      <c r="I3592" s="35">
        <v>0.0</v>
      </c>
      <c r="J3592" s="35"/>
      <c r="K3592" s="35">
        <v>0.0</v>
      </c>
    </row>
    <row r="3593" ht="15.75" customHeight="1">
      <c r="A3593" s="35" t="s">
        <v>8807</v>
      </c>
      <c r="B3593" s="35"/>
      <c r="C3593" s="35">
        <v>2.0</v>
      </c>
      <c r="D3593" s="35" t="s">
        <v>4635</v>
      </c>
      <c r="E3593" s="35">
        <v>46027.0</v>
      </c>
      <c r="F3593" s="35">
        <v>0.0</v>
      </c>
      <c r="G3593" s="35">
        <v>5.0</v>
      </c>
      <c r="H3593" s="35">
        <v>0.0</v>
      </c>
      <c r="I3593" s="35">
        <v>0.0</v>
      </c>
      <c r="J3593" s="35"/>
      <c r="K3593" s="35">
        <v>0.0</v>
      </c>
    </row>
    <row r="3594" ht="15.75" customHeight="1">
      <c r="A3594" s="35" t="s">
        <v>8808</v>
      </c>
      <c r="B3594" s="35"/>
      <c r="C3594" s="35">
        <v>2.0</v>
      </c>
      <c r="D3594" s="35">
        <v>66.0</v>
      </c>
      <c r="E3594" s="35">
        <v>46027.0</v>
      </c>
      <c r="F3594" s="35">
        <v>0.0</v>
      </c>
      <c r="G3594" s="35">
        <v>7.0</v>
      </c>
      <c r="H3594" s="35">
        <v>0.0</v>
      </c>
      <c r="I3594" s="35">
        <v>0.0</v>
      </c>
      <c r="J3594" s="35"/>
      <c r="K3594" s="35">
        <v>0.0</v>
      </c>
    </row>
    <row r="3595" ht="15.75" customHeight="1">
      <c r="A3595" s="35" t="s">
        <v>8810</v>
      </c>
      <c r="B3595" s="35"/>
      <c r="C3595" s="35">
        <v>2.0</v>
      </c>
      <c r="D3595" s="35" t="s">
        <v>4635</v>
      </c>
      <c r="E3595" s="35">
        <v>46027.0</v>
      </c>
      <c r="F3595" s="35">
        <v>0.0</v>
      </c>
      <c r="G3595" s="35">
        <v>4.0</v>
      </c>
      <c r="H3595" s="35">
        <v>0.0</v>
      </c>
      <c r="I3595" s="35">
        <v>0.0</v>
      </c>
      <c r="J3595" s="35"/>
      <c r="K3595" s="35">
        <v>0.0</v>
      </c>
    </row>
    <row r="3596" ht="15.75" customHeight="1">
      <c r="A3596" s="35" t="s">
        <v>8811</v>
      </c>
      <c r="B3596" s="35"/>
      <c r="C3596" s="35">
        <v>2.0</v>
      </c>
      <c r="D3596" s="35" t="s">
        <v>4635</v>
      </c>
      <c r="E3596" s="35">
        <v>46027.0</v>
      </c>
      <c r="F3596" s="35">
        <v>0.0</v>
      </c>
      <c r="G3596" s="35">
        <v>4.0</v>
      </c>
      <c r="H3596" s="35">
        <v>0.0</v>
      </c>
      <c r="I3596" s="35">
        <v>0.0</v>
      </c>
      <c r="J3596" s="35"/>
      <c r="K3596" s="35">
        <v>0.0</v>
      </c>
    </row>
    <row r="3597" ht="15.75" customHeight="1">
      <c r="A3597" s="35" t="s">
        <v>8813</v>
      </c>
      <c r="B3597" s="35"/>
      <c r="C3597" s="35">
        <v>2.0</v>
      </c>
      <c r="D3597" s="35">
        <v>67.0</v>
      </c>
      <c r="E3597" s="35">
        <v>46027.0</v>
      </c>
      <c r="F3597" s="35">
        <v>0.0</v>
      </c>
      <c r="G3597" s="35">
        <v>5.0</v>
      </c>
      <c r="H3597" s="35">
        <v>0.0</v>
      </c>
      <c r="I3597" s="35">
        <v>0.0</v>
      </c>
      <c r="J3597" s="35"/>
      <c r="K3597" s="35">
        <v>0.0</v>
      </c>
    </row>
    <row r="3598" ht="15.75" customHeight="1">
      <c r="A3598" s="35" t="s">
        <v>8814</v>
      </c>
      <c r="B3598" s="35"/>
      <c r="C3598" s="35">
        <v>2.0</v>
      </c>
      <c r="D3598" s="35">
        <v>82.0</v>
      </c>
      <c r="E3598" s="35">
        <v>46027.0</v>
      </c>
      <c r="F3598" s="35">
        <v>0.0</v>
      </c>
      <c r="G3598" s="35">
        <v>4.0</v>
      </c>
      <c r="H3598" s="35">
        <v>0.0</v>
      </c>
      <c r="I3598" s="35">
        <v>0.0</v>
      </c>
      <c r="J3598" s="35"/>
      <c r="K3598" s="35">
        <v>0.0</v>
      </c>
    </row>
    <row r="3599" ht="15.75" customHeight="1">
      <c r="A3599" s="35" t="s">
        <v>8816</v>
      </c>
      <c r="B3599" s="35"/>
      <c r="C3599" s="35">
        <v>2.0</v>
      </c>
      <c r="D3599" s="35" t="s">
        <v>4635</v>
      </c>
      <c r="E3599" s="35">
        <v>46027.0</v>
      </c>
      <c r="F3599" s="35">
        <v>0.0</v>
      </c>
      <c r="G3599" s="35">
        <v>2.0</v>
      </c>
      <c r="H3599" s="35">
        <v>0.0</v>
      </c>
      <c r="I3599" s="35">
        <v>0.0</v>
      </c>
      <c r="J3599" s="35"/>
      <c r="K3599" s="35">
        <v>0.0</v>
      </c>
    </row>
    <row r="3600" ht="15.75" customHeight="1">
      <c r="A3600" s="35" t="s">
        <v>8817</v>
      </c>
      <c r="B3600" s="35"/>
      <c r="C3600" s="35">
        <v>2.0</v>
      </c>
      <c r="D3600" s="35">
        <v>66.0</v>
      </c>
      <c r="E3600" s="35">
        <v>46027.0</v>
      </c>
      <c r="F3600" s="35">
        <v>0.0</v>
      </c>
      <c r="G3600" s="35">
        <v>5.0</v>
      </c>
      <c r="H3600" s="35">
        <v>0.0</v>
      </c>
      <c r="I3600" s="35">
        <v>0.0</v>
      </c>
      <c r="J3600" s="35"/>
      <c r="K3600" s="35">
        <v>0.0</v>
      </c>
    </row>
    <row r="3601" ht="15.75" customHeight="1">
      <c r="A3601" s="35" t="s">
        <v>8819</v>
      </c>
      <c r="B3601" s="35"/>
      <c r="C3601" s="35">
        <v>2.0</v>
      </c>
      <c r="D3601" s="35" t="s">
        <v>4635</v>
      </c>
      <c r="E3601" s="35">
        <v>46027.0</v>
      </c>
      <c r="F3601" s="35">
        <v>0.0</v>
      </c>
      <c r="G3601" s="35">
        <v>1.0</v>
      </c>
      <c r="H3601" s="35">
        <v>0.0</v>
      </c>
      <c r="I3601" s="35">
        <v>0.0</v>
      </c>
      <c r="J3601" s="35"/>
      <c r="K3601" s="35">
        <v>0.0</v>
      </c>
    </row>
    <row r="3602" ht="15.75" customHeight="1">
      <c r="A3602" s="35" t="s">
        <v>8820</v>
      </c>
      <c r="B3602" s="35"/>
      <c r="C3602" s="35">
        <v>2.0</v>
      </c>
      <c r="D3602" s="35" t="s">
        <v>4635</v>
      </c>
      <c r="E3602" s="35">
        <v>46027.0</v>
      </c>
      <c r="F3602" s="35">
        <v>0.0</v>
      </c>
      <c r="G3602" s="35">
        <v>6.0</v>
      </c>
      <c r="H3602" s="35">
        <v>0.0</v>
      </c>
      <c r="I3602" s="35">
        <v>0.0</v>
      </c>
      <c r="J3602" s="35"/>
      <c r="K3602" s="35">
        <v>0.0</v>
      </c>
    </row>
    <row r="3603" ht="15.75" customHeight="1">
      <c r="A3603" s="35" t="s">
        <v>8822</v>
      </c>
      <c r="B3603" s="35"/>
      <c r="C3603" s="35">
        <v>2.0</v>
      </c>
      <c r="D3603" s="35" t="s">
        <v>4635</v>
      </c>
      <c r="E3603" s="35">
        <v>46027.0</v>
      </c>
      <c r="F3603" s="35">
        <v>0.0</v>
      </c>
      <c r="G3603" s="35">
        <v>2.0</v>
      </c>
      <c r="H3603" s="35">
        <v>0.0</v>
      </c>
      <c r="I3603" s="35">
        <v>0.0</v>
      </c>
      <c r="J3603" s="35"/>
      <c r="K3603" s="35">
        <v>0.0</v>
      </c>
    </row>
    <row r="3604" ht="15.75" customHeight="1">
      <c r="A3604" s="35" t="s">
        <v>8823</v>
      </c>
      <c r="B3604" s="35"/>
      <c r="C3604" s="35">
        <v>2.0</v>
      </c>
      <c r="D3604" s="35" t="s">
        <v>4635</v>
      </c>
      <c r="E3604" s="35">
        <v>46027.0</v>
      </c>
      <c r="F3604" s="35">
        <v>0.0</v>
      </c>
      <c r="G3604" s="35">
        <v>3.0</v>
      </c>
      <c r="H3604" s="35">
        <v>0.0</v>
      </c>
      <c r="I3604" s="35">
        <v>0.0</v>
      </c>
      <c r="J3604" s="35"/>
      <c r="K3604" s="35">
        <v>0.0</v>
      </c>
    </row>
    <row r="3605" ht="15.75" customHeight="1">
      <c r="A3605" s="35" t="s">
        <v>8824</v>
      </c>
      <c r="B3605" s="35"/>
      <c r="C3605" s="35">
        <v>2.0</v>
      </c>
      <c r="D3605" s="35" t="s">
        <v>4635</v>
      </c>
      <c r="E3605" s="35">
        <v>46027.0</v>
      </c>
      <c r="F3605" s="35">
        <v>0.0</v>
      </c>
      <c r="G3605" s="35">
        <v>1.0</v>
      </c>
      <c r="H3605" s="35">
        <v>0.0</v>
      </c>
      <c r="I3605" s="35">
        <v>0.0</v>
      </c>
      <c r="J3605" s="35"/>
      <c r="K3605" s="35">
        <v>0.0</v>
      </c>
    </row>
    <row r="3606" ht="15.75" customHeight="1">
      <c r="A3606" s="35" t="s">
        <v>8826</v>
      </c>
      <c r="B3606" s="35"/>
      <c r="C3606" s="35">
        <v>2.0</v>
      </c>
      <c r="D3606" s="35" t="s">
        <v>4635</v>
      </c>
      <c r="E3606" s="35">
        <v>46027.0</v>
      </c>
      <c r="F3606" s="35">
        <v>0.0</v>
      </c>
      <c r="G3606" s="35">
        <v>4.0</v>
      </c>
      <c r="H3606" s="35">
        <v>0.0</v>
      </c>
      <c r="I3606" s="35">
        <v>0.0</v>
      </c>
      <c r="J3606" s="35"/>
      <c r="K3606" s="35">
        <v>0.0</v>
      </c>
    </row>
    <row r="3607" ht="15.75" customHeight="1">
      <c r="A3607" s="35" t="s">
        <v>8829</v>
      </c>
      <c r="B3607" s="35"/>
      <c r="C3607" s="35">
        <v>2.0</v>
      </c>
      <c r="D3607" s="35" t="s">
        <v>4380</v>
      </c>
      <c r="E3607" s="35">
        <v>46027.0</v>
      </c>
      <c r="F3607" s="35">
        <v>0.0</v>
      </c>
      <c r="G3607" s="35">
        <v>1.0</v>
      </c>
      <c r="H3607" s="35">
        <v>0.0</v>
      </c>
      <c r="I3607" s="35">
        <v>0.0</v>
      </c>
      <c r="J3607" s="35"/>
      <c r="K3607" s="35">
        <v>0.0</v>
      </c>
    </row>
    <row r="3608" ht="15.75" customHeight="1">
      <c r="A3608" s="35" t="s">
        <v>8830</v>
      </c>
      <c r="B3608" s="35"/>
      <c r="C3608" s="35">
        <v>2.0</v>
      </c>
      <c r="D3608" s="35" t="s">
        <v>4635</v>
      </c>
      <c r="E3608" s="35">
        <v>46027.0</v>
      </c>
      <c r="F3608" s="35">
        <v>0.0</v>
      </c>
      <c r="G3608" s="35">
        <v>0.0</v>
      </c>
      <c r="H3608" s="35">
        <v>1.0</v>
      </c>
      <c r="I3608" s="35">
        <v>0.0</v>
      </c>
      <c r="J3608" s="35"/>
      <c r="K3608" s="35">
        <v>0.0</v>
      </c>
    </row>
    <row r="3609" ht="15.75" customHeight="1">
      <c r="A3609" s="35" t="s">
        <v>8831</v>
      </c>
      <c r="B3609" s="35"/>
      <c r="C3609" s="35">
        <v>2.0</v>
      </c>
      <c r="D3609" s="35" t="s">
        <v>2032</v>
      </c>
      <c r="E3609" s="35">
        <v>46027.0</v>
      </c>
      <c r="F3609" s="35">
        <v>0.0</v>
      </c>
      <c r="G3609" s="35">
        <v>7.0</v>
      </c>
      <c r="H3609" s="35">
        <v>0.0</v>
      </c>
      <c r="I3609" s="35">
        <v>0.0</v>
      </c>
      <c r="J3609" s="35"/>
      <c r="K3609" s="35">
        <v>0.0</v>
      </c>
    </row>
    <row r="3610" ht="15.75" customHeight="1">
      <c r="A3610" s="35" t="s">
        <v>8833</v>
      </c>
      <c r="B3610" s="35"/>
      <c r="C3610" s="35">
        <v>2.0</v>
      </c>
      <c r="D3610" s="35">
        <v>458.0</v>
      </c>
      <c r="E3610" s="35">
        <v>46027.0</v>
      </c>
      <c r="F3610" s="35">
        <v>0.0</v>
      </c>
      <c r="G3610" s="35">
        <v>2.0</v>
      </c>
      <c r="H3610" s="35">
        <v>0.0</v>
      </c>
      <c r="I3610" s="35">
        <v>0.0</v>
      </c>
      <c r="J3610" s="35"/>
      <c r="K3610" s="35">
        <v>0.0</v>
      </c>
    </row>
    <row r="3611" ht="15.75" customHeight="1">
      <c r="A3611" s="35" t="s">
        <v>8834</v>
      </c>
      <c r="B3611" s="35"/>
      <c r="C3611" s="35">
        <v>2.0</v>
      </c>
      <c r="D3611" s="35" t="s">
        <v>4635</v>
      </c>
      <c r="E3611" s="35">
        <v>46027.0</v>
      </c>
      <c r="F3611" s="35">
        <v>0.0</v>
      </c>
      <c r="G3611" s="35">
        <v>3.0</v>
      </c>
      <c r="H3611" s="35">
        <v>0.0</v>
      </c>
      <c r="I3611" s="35">
        <v>0.0</v>
      </c>
      <c r="J3611" s="35"/>
      <c r="K3611" s="35">
        <v>0.0</v>
      </c>
    </row>
    <row r="3612" ht="15.75" customHeight="1">
      <c r="A3612" s="35" t="s">
        <v>8836</v>
      </c>
      <c r="B3612" s="35"/>
      <c r="C3612" s="35">
        <v>2.0</v>
      </c>
      <c r="D3612" s="35" t="s">
        <v>4635</v>
      </c>
      <c r="E3612" s="35">
        <v>46027.0</v>
      </c>
      <c r="F3612" s="35">
        <v>0.0</v>
      </c>
      <c r="G3612" s="35">
        <v>4.0</v>
      </c>
      <c r="H3612" s="35">
        <v>0.0</v>
      </c>
      <c r="I3612" s="35">
        <v>0.0</v>
      </c>
      <c r="J3612" s="35"/>
      <c r="K3612" s="35">
        <v>0.0</v>
      </c>
    </row>
    <row r="3613" ht="15.75" customHeight="1">
      <c r="A3613" s="35" t="s">
        <v>8837</v>
      </c>
      <c r="B3613" s="35"/>
      <c r="C3613" s="35">
        <v>2.0</v>
      </c>
      <c r="D3613" s="35" t="s">
        <v>4635</v>
      </c>
      <c r="E3613" s="35">
        <v>46027.0</v>
      </c>
      <c r="F3613" s="35">
        <v>0.0</v>
      </c>
      <c r="G3613" s="35">
        <v>4.0</v>
      </c>
      <c r="H3613" s="35">
        <v>0.0</v>
      </c>
      <c r="I3613" s="35">
        <v>0.0</v>
      </c>
      <c r="J3613" s="35"/>
      <c r="K3613" s="35">
        <v>0.0</v>
      </c>
    </row>
    <row r="3614" ht="15.75" customHeight="1">
      <c r="A3614" s="35" t="s">
        <v>8839</v>
      </c>
      <c r="B3614" s="35"/>
      <c r="C3614" s="35">
        <v>2.0</v>
      </c>
      <c r="D3614" s="35" t="s">
        <v>4635</v>
      </c>
      <c r="E3614" s="35">
        <v>46027.0</v>
      </c>
      <c r="F3614" s="35">
        <v>0.0</v>
      </c>
      <c r="G3614" s="35">
        <v>4.0</v>
      </c>
      <c r="H3614" s="35">
        <v>0.0</v>
      </c>
      <c r="I3614" s="35">
        <v>0.0</v>
      </c>
      <c r="J3614" s="35"/>
      <c r="K3614" s="35">
        <v>0.0</v>
      </c>
    </row>
    <row r="3615" ht="15.75" customHeight="1">
      <c r="A3615" s="35" t="s">
        <v>8840</v>
      </c>
      <c r="B3615" s="35"/>
      <c r="C3615" s="35">
        <v>2.0</v>
      </c>
      <c r="D3615" s="35" t="s">
        <v>4635</v>
      </c>
      <c r="E3615" s="35">
        <v>46027.0</v>
      </c>
      <c r="F3615" s="35">
        <v>0.0</v>
      </c>
      <c r="G3615" s="35">
        <v>4.0</v>
      </c>
      <c r="H3615" s="35">
        <v>0.0</v>
      </c>
      <c r="I3615" s="35">
        <v>0.0</v>
      </c>
      <c r="J3615" s="35"/>
      <c r="K3615" s="35">
        <v>0.0</v>
      </c>
    </row>
    <row r="3616" ht="15.75" customHeight="1">
      <c r="A3616" s="35" t="s">
        <v>8841</v>
      </c>
      <c r="B3616" s="35"/>
      <c r="C3616" s="35">
        <v>2.0</v>
      </c>
      <c r="D3616" s="35" t="s">
        <v>4635</v>
      </c>
      <c r="E3616" s="35">
        <v>46027.0</v>
      </c>
      <c r="F3616" s="35">
        <v>0.0</v>
      </c>
      <c r="G3616" s="35">
        <v>4.0</v>
      </c>
      <c r="H3616" s="35">
        <v>0.0</v>
      </c>
      <c r="I3616" s="35">
        <v>0.0</v>
      </c>
      <c r="J3616" s="35"/>
      <c r="K3616" s="35">
        <v>0.0</v>
      </c>
    </row>
    <row r="3617" ht="15.75" customHeight="1">
      <c r="A3617" s="35" t="s">
        <v>8843</v>
      </c>
      <c r="B3617" s="35"/>
      <c r="C3617" s="35">
        <v>2.0</v>
      </c>
      <c r="D3617" s="35" t="s">
        <v>4635</v>
      </c>
      <c r="E3617" s="35">
        <v>46027.0</v>
      </c>
      <c r="F3617" s="35">
        <v>0.0</v>
      </c>
      <c r="G3617" s="35">
        <v>4.0</v>
      </c>
      <c r="H3617" s="35">
        <v>0.0</v>
      </c>
      <c r="I3617" s="35">
        <v>0.0</v>
      </c>
      <c r="J3617" s="35"/>
      <c r="K3617" s="35">
        <v>0.0</v>
      </c>
    </row>
    <row r="3618" ht="15.75" customHeight="1">
      <c r="A3618" s="35" t="s">
        <v>8844</v>
      </c>
      <c r="B3618" s="35"/>
      <c r="C3618" s="35">
        <v>2.0</v>
      </c>
      <c r="D3618" s="35">
        <v>534.0</v>
      </c>
      <c r="E3618" s="35">
        <v>46027.0</v>
      </c>
      <c r="F3618" s="35">
        <v>0.0</v>
      </c>
      <c r="G3618" s="35">
        <v>1.0</v>
      </c>
      <c r="H3618" s="35">
        <v>0.0</v>
      </c>
      <c r="I3618" s="35">
        <v>0.0</v>
      </c>
      <c r="J3618" s="35"/>
      <c r="K3618" s="35">
        <v>0.0</v>
      </c>
    </row>
    <row r="3619" ht="15.75" customHeight="1">
      <c r="A3619" s="35" t="s">
        <v>8846</v>
      </c>
      <c r="B3619" s="35"/>
      <c r="C3619" s="35">
        <v>2.0</v>
      </c>
      <c r="D3619" s="35" t="s">
        <v>4635</v>
      </c>
      <c r="E3619" s="35">
        <v>46027.0</v>
      </c>
      <c r="F3619" s="35">
        <v>0.0</v>
      </c>
      <c r="G3619" s="35">
        <v>2.0</v>
      </c>
      <c r="H3619" s="35">
        <v>0.0</v>
      </c>
      <c r="I3619" s="35">
        <v>0.0</v>
      </c>
      <c r="J3619" s="35"/>
      <c r="K3619" s="35">
        <v>0.0</v>
      </c>
    </row>
    <row r="3620" ht="15.75" customHeight="1">
      <c r="A3620" s="35" t="s">
        <v>8847</v>
      </c>
      <c r="B3620" s="35"/>
      <c r="C3620" s="35">
        <v>2.0</v>
      </c>
      <c r="D3620" s="35">
        <v>122.0</v>
      </c>
      <c r="E3620" s="35">
        <v>46027.0</v>
      </c>
      <c r="F3620" s="35">
        <v>0.0</v>
      </c>
      <c r="G3620" s="35">
        <v>1.0</v>
      </c>
      <c r="H3620" s="35">
        <v>0.0</v>
      </c>
      <c r="I3620" s="35">
        <v>0.0</v>
      </c>
      <c r="J3620" s="35"/>
      <c r="K3620" s="35">
        <v>0.0</v>
      </c>
    </row>
    <row r="3621" ht="15.75" customHeight="1">
      <c r="A3621" s="35" t="s">
        <v>8849</v>
      </c>
      <c r="B3621" s="35"/>
      <c r="C3621" s="35">
        <v>2.0</v>
      </c>
      <c r="D3621" s="35" t="s">
        <v>4722</v>
      </c>
      <c r="E3621" s="35">
        <v>46027.0</v>
      </c>
      <c r="F3621" s="35">
        <v>0.0</v>
      </c>
      <c r="G3621" s="35">
        <v>18.0</v>
      </c>
      <c r="H3621" s="35">
        <v>0.0</v>
      </c>
      <c r="I3621" s="35">
        <v>0.0</v>
      </c>
      <c r="J3621" s="35"/>
      <c r="K3621" s="35">
        <v>0.0</v>
      </c>
    </row>
    <row r="3622" ht="15.75" customHeight="1">
      <c r="A3622" s="35" t="s">
        <v>8850</v>
      </c>
      <c r="B3622" s="35"/>
      <c r="C3622" s="35">
        <v>2.0</v>
      </c>
      <c r="D3622" s="35">
        <v>66.0</v>
      </c>
      <c r="E3622" s="35">
        <v>46027.0</v>
      </c>
      <c r="F3622" s="35">
        <v>0.0</v>
      </c>
      <c r="G3622" s="35">
        <v>4.0</v>
      </c>
      <c r="H3622" s="35">
        <v>0.0</v>
      </c>
      <c r="I3622" s="35">
        <v>0.0</v>
      </c>
      <c r="J3622" s="35"/>
      <c r="K3622" s="35">
        <v>0.0</v>
      </c>
    </row>
    <row r="3623" ht="15.75" customHeight="1">
      <c r="A3623" s="35" t="s">
        <v>8852</v>
      </c>
      <c r="B3623" s="35"/>
      <c r="C3623" s="35">
        <v>2.0</v>
      </c>
      <c r="D3623" s="35" t="s">
        <v>4635</v>
      </c>
      <c r="E3623" s="35">
        <v>46027.0</v>
      </c>
      <c r="F3623" s="35">
        <v>0.0</v>
      </c>
      <c r="G3623" s="35">
        <v>4.0</v>
      </c>
      <c r="H3623" s="35">
        <v>0.0</v>
      </c>
      <c r="I3623" s="35">
        <v>0.0</v>
      </c>
      <c r="J3623" s="35"/>
      <c r="K3623" s="35">
        <v>0.0</v>
      </c>
    </row>
    <row r="3624" ht="15.75" customHeight="1">
      <c r="A3624" s="35" t="s">
        <v>8853</v>
      </c>
      <c r="B3624" s="35"/>
      <c r="C3624" s="35">
        <v>2.0</v>
      </c>
      <c r="D3624" s="35">
        <v>66.0</v>
      </c>
      <c r="E3624" s="35">
        <v>46027.0</v>
      </c>
      <c r="F3624" s="35">
        <v>0.0</v>
      </c>
      <c r="G3624" s="35">
        <v>7.0</v>
      </c>
      <c r="H3624" s="35">
        <v>0.0</v>
      </c>
      <c r="I3624" s="35">
        <v>0.0</v>
      </c>
      <c r="J3624" s="35"/>
      <c r="K3624" s="35">
        <v>0.0</v>
      </c>
    </row>
    <row r="3625" ht="15.75" customHeight="1">
      <c r="A3625" s="35" t="s">
        <v>8854</v>
      </c>
      <c r="B3625" s="35"/>
      <c r="C3625" s="35">
        <v>2.0</v>
      </c>
      <c r="D3625" s="35" t="s">
        <v>2038</v>
      </c>
      <c r="E3625" s="35">
        <v>46027.0</v>
      </c>
      <c r="F3625" s="35">
        <v>0.0</v>
      </c>
      <c r="G3625" s="35">
        <v>2.0</v>
      </c>
      <c r="H3625" s="35">
        <v>0.0</v>
      </c>
      <c r="I3625" s="35">
        <v>0.0</v>
      </c>
      <c r="J3625" s="35"/>
      <c r="K3625" s="35">
        <v>0.0</v>
      </c>
    </row>
    <row r="3626" ht="15.75" customHeight="1">
      <c r="A3626" s="35" t="s">
        <v>8855</v>
      </c>
      <c r="B3626" s="35"/>
      <c r="C3626" s="35">
        <v>2.0</v>
      </c>
      <c r="D3626" s="35" t="s">
        <v>4635</v>
      </c>
      <c r="E3626" s="35">
        <v>46027.0</v>
      </c>
      <c r="F3626" s="35">
        <v>0.0</v>
      </c>
      <c r="G3626" s="35">
        <v>11.0</v>
      </c>
      <c r="H3626" s="35">
        <v>0.0</v>
      </c>
      <c r="I3626" s="35">
        <v>0.0</v>
      </c>
      <c r="J3626" s="35"/>
      <c r="K3626" s="35">
        <v>0.0</v>
      </c>
    </row>
    <row r="3627" ht="15.75" customHeight="1">
      <c r="A3627" s="35" t="s">
        <v>8857</v>
      </c>
      <c r="B3627" s="35"/>
      <c r="C3627" s="35">
        <v>2.0</v>
      </c>
      <c r="D3627" s="35" t="s">
        <v>4635</v>
      </c>
      <c r="E3627" s="35">
        <v>46027.0</v>
      </c>
      <c r="F3627" s="35">
        <v>0.0</v>
      </c>
      <c r="G3627" s="35">
        <v>3.0</v>
      </c>
      <c r="H3627" s="35">
        <v>0.0</v>
      </c>
      <c r="I3627" s="35">
        <v>0.0</v>
      </c>
      <c r="J3627" s="35"/>
      <c r="K3627" s="35">
        <v>0.0</v>
      </c>
    </row>
    <row r="3628" ht="15.75" customHeight="1">
      <c r="A3628" s="35" t="s">
        <v>8858</v>
      </c>
      <c r="B3628" s="35"/>
      <c r="C3628" s="35">
        <v>2.0</v>
      </c>
      <c r="D3628" s="35">
        <v>140.0</v>
      </c>
      <c r="E3628" s="35">
        <v>46027.0</v>
      </c>
      <c r="F3628" s="35">
        <v>0.0</v>
      </c>
      <c r="G3628" s="35">
        <v>2.0</v>
      </c>
      <c r="H3628" s="35">
        <v>0.0</v>
      </c>
      <c r="I3628" s="35">
        <v>0.0</v>
      </c>
      <c r="J3628" s="35"/>
      <c r="K3628" s="35">
        <v>0.0</v>
      </c>
    </row>
    <row r="3629" ht="15.75" customHeight="1">
      <c r="A3629" s="35" t="s">
        <v>8860</v>
      </c>
      <c r="B3629" s="35"/>
      <c r="C3629" s="35">
        <v>2.0</v>
      </c>
      <c r="D3629" s="35">
        <v>66.0</v>
      </c>
      <c r="E3629" s="35">
        <v>46027.0</v>
      </c>
      <c r="F3629" s="35">
        <v>0.0</v>
      </c>
      <c r="G3629" s="35">
        <v>6.0</v>
      </c>
      <c r="H3629" s="35">
        <v>0.0</v>
      </c>
      <c r="I3629" s="35">
        <v>0.0</v>
      </c>
      <c r="J3629" s="35"/>
      <c r="K3629" s="35">
        <v>0.0</v>
      </c>
    </row>
    <row r="3630" ht="15.75" customHeight="1">
      <c r="A3630" s="35" t="s">
        <v>8861</v>
      </c>
      <c r="B3630" s="35"/>
      <c r="C3630" s="35">
        <v>2.0</v>
      </c>
      <c r="D3630" s="35" t="s">
        <v>4635</v>
      </c>
      <c r="E3630" s="35">
        <v>46027.0</v>
      </c>
      <c r="F3630" s="35">
        <v>0.0</v>
      </c>
      <c r="G3630" s="35">
        <v>3.0</v>
      </c>
      <c r="H3630" s="35">
        <v>0.0</v>
      </c>
      <c r="I3630" s="35">
        <v>0.0</v>
      </c>
      <c r="J3630" s="35"/>
      <c r="K3630" s="35">
        <v>0.0</v>
      </c>
    </row>
    <row r="3631" ht="15.75" customHeight="1">
      <c r="A3631" s="35" t="s">
        <v>8863</v>
      </c>
      <c r="B3631" s="35"/>
      <c r="C3631" s="35">
        <v>2.0</v>
      </c>
      <c r="D3631" s="35" t="s">
        <v>4635</v>
      </c>
      <c r="E3631" s="35">
        <v>46027.0</v>
      </c>
      <c r="F3631" s="35">
        <v>0.0</v>
      </c>
      <c r="G3631" s="35">
        <v>1.0</v>
      </c>
      <c r="H3631" s="35">
        <v>0.0</v>
      </c>
      <c r="I3631" s="35">
        <v>0.0</v>
      </c>
      <c r="J3631" s="35"/>
      <c r="K3631" s="35">
        <v>0.0</v>
      </c>
    </row>
    <row r="3632" ht="15.75" customHeight="1">
      <c r="A3632" s="35" t="s">
        <v>8864</v>
      </c>
      <c r="B3632" s="35"/>
      <c r="C3632" s="35">
        <v>2.0</v>
      </c>
      <c r="D3632" s="35">
        <v>66.0</v>
      </c>
      <c r="E3632" s="35">
        <v>46027.0</v>
      </c>
      <c r="F3632" s="35">
        <v>0.0</v>
      </c>
      <c r="G3632" s="35">
        <v>6.0</v>
      </c>
      <c r="H3632" s="35">
        <v>0.0</v>
      </c>
      <c r="I3632" s="35">
        <v>0.0</v>
      </c>
      <c r="J3632" s="35"/>
      <c r="K3632" s="35">
        <v>0.0</v>
      </c>
    </row>
    <row r="3633" ht="15.75" customHeight="1">
      <c r="A3633" s="35" t="s">
        <v>8866</v>
      </c>
      <c r="B3633" s="35"/>
      <c r="C3633" s="35">
        <v>2.0</v>
      </c>
      <c r="D3633" s="35">
        <v>66.0</v>
      </c>
      <c r="E3633" s="35">
        <v>46027.0</v>
      </c>
      <c r="F3633" s="35">
        <v>0.0</v>
      </c>
      <c r="G3633" s="35">
        <v>4.0</v>
      </c>
      <c r="H3633" s="35">
        <v>0.0</v>
      </c>
      <c r="I3633" s="35">
        <v>0.0</v>
      </c>
      <c r="J3633" s="35"/>
      <c r="K3633" s="35">
        <v>0.0</v>
      </c>
    </row>
    <row r="3634" ht="15.75" customHeight="1">
      <c r="A3634" s="35" t="s">
        <v>8867</v>
      </c>
      <c r="B3634" s="35"/>
      <c r="C3634" s="35">
        <v>2.0</v>
      </c>
      <c r="D3634" s="35" t="s">
        <v>4635</v>
      </c>
      <c r="E3634" s="35">
        <v>46027.0</v>
      </c>
      <c r="F3634" s="35">
        <v>0.0</v>
      </c>
      <c r="G3634" s="35">
        <v>4.0</v>
      </c>
      <c r="H3634" s="35">
        <v>0.0</v>
      </c>
      <c r="I3634" s="35">
        <v>0.0</v>
      </c>
      <c r="J3634" s="35"/>
      <c r="K3634" s="35">
        <v>0.0</v>
      </c>
    </row>
    <row r="3635" ht="15.75" customHeight="1">
      <c r="A3635" s="35" t="s">
        <v>8868</v>
      </c>
      <c r="B3635" s="35"/>
      <c r="C3635" s="35">
        <v>2.0</v>
      </c>
      <c r="D3635" s="35" t="s">
        <v>4635</v>
      </c>
      <c r="E3635" s="35">
        <v>46027.0</v>
      </c>
      <c r="F3635" s="35">
        <v>0.0</v>
      </c>
      <c r="G3635" s="35">
        <v>4.0</v>
      </c>
      <c r="H3635" s="35">
        <v>0.0</v>
      </c>
      <c r="I3635" s="35">
        <v>0.0</v>
      </c>
      <c r="J3635" s="35"/>
      <c r="K3635" s="35">
        <v>0.0</v>
      </c>
    </row>
    <row r="3636" ht="15.75" customHeight="1">
      <c r="A3636" s="35" t="s">
        <v>8870</v>
      </c>
      <c r="B3636" s="35"/>
      <c r="C3636" s="35">
        <v>2.0</v>
      </c>
      <c r="D3636" s="35" t="s">
        <v>4635</v>
      </c>
      <c r="E3636" s="35">
        <v>46027.0</v>
      </c>
      <c r="F3636" s="35">
        <v>0.0</v>
      </c>
      <c r="G3636" s="35">
        <v>4.0</v>
      </c>
      <c r="H3636" s="35">
        <v>0.0</v>
      </c>
      <c r="I3636" s="35">
        <v>0.0</v>
      </c>
      <c r="J3636" s="35"/>
      <c r="K3636" s="35">
        <v>0.0</v>
      </c>
    </row>
    <row r="3637" ht="15.75" customHeight="1">
      <c r="A3637" s="35" t="s">
        <v>8871</v>
      </c>
      <c r="B3637" s="35"/>
      <c r="C3637" s="35">
        <v>2.0</v>
      </c>
      <c r="D3637" s="35" t="s">
        <v>4635</v>
      </c>
      <c r="E3637" s="35">
        <v>46027.0</v>
      </c>
      <c r="F3637" s="35">
        <v>0.0</v>
      </c>
      <c r="G3637" s="35">
        <v>3.0</v>
      </c>
      <c r="H3637" s="35">
        <v>0.0</v>
      </c>
      <c r="I3637" s="35">
        <v>0.0</v>
      </c>
      <c r="J3637" s="35"/>
      <c r="K3637" s="35">
        <v>0.0</v>
      </c>
    </row>
    <row r="3638" ht="15.75" customHeight="1">
      <c r="A3638" s="35" t="s">
        <v>8873</v>
      </c>
      <c r="B3638" s="35"/>
      <c r="C3638" s="35">
        <v>2.0</v>
      </c>
      <c r="D3638" s="35" t="s">
        <v>4635</v>
      </c>
      <c r="E3638" s="35">
        <v>46027.0</v>
      </c>
      <c r="F3638" s="35">
        <v>0.0</v>
      </c>
      <c r="G3638" s="35">
        <v>3.0</v>
      </c>
      <c r="H3638" s="35">
        <v>0.0</v>
      </c>
      <c r="I3638" s="35">
        <v>0.0</v>
      </c>
      <c r="J3638" s="35"/>
      <c r="K3638" s="35">
        <v>0.0</v>
      </c>
    </row>
    <row r="3639" ht="15.75" customHeight="1">
      <c r="A3639" s="35" t="s">
        <v>8874</v>
      </c>
      <c r="B3639" s="35"/>
      <c r="C3639" s="35">
        <v>2.0</v>
      </c>
      <c r="D3639" s="35">
        <v>289.0</v>
      </c>
      <c r="E3639" s="35">
        <v>46027.0</v>
      </c>
      <c r="F3639" s="35">
        <v>0.0</v>
      </c>
      <c r="G3639" s="35">
        <v>15.0</v>
      </c>
      <c r="H3639" s="35">
        <v>0.0</v>
      </c>
      <c r="I3639" s="35">
        <v>0.0</v>
      </c>
      <c r="J3639" s="35"/>
      <c r="K3639" s="35">
        <v>0.0</v>
      </c>
    </row>
    <row r="3640" ht="15.75" customHeight="1">
      <c r="A3640" s="35" t="s">
        <v>8876</v>
      </c>
      <c r="B3640" s="35"/>
      <c r="C3640" s="35">
        <v>2.0</v>
      </c>
      <c r="D3640" s="35">
        <v>56.0</v>
      </c>
      <c r="E3640" s="35">
        <v>46027.0</v>
      </c>
      <c r="F3640" s="35">
        <v>0.0</v>
      </c>
      <c r="G3640" s="35">
        <v>0.0</v>
      </c>
      <c r="H3640" s="35">
        <v>0.0</v>
      </c>
      <c r="I3640" s="35">
        <v>22.0</v>
      </c>
      <c r="J3640" s="35"/>
      <c r="K3640" s="35">
        <v>0.0</v>
      </c>
    </row>
    <row r="3641" ht="15.75" customHeight="1">
      <c r="A3641" s="35" t="s">
        <v>8877</v>
      </c>
      <c r="B3641" s="35"/>
      <c r="C3641" s="35">
        <v>2.0</v>
      </c>
      <c r="D3641" s="35">
        <v>66.0</v>
      </c>
      <c r="E3641" s="35">
        <v>46027.0</v>
      </c>
      <c r="F3641" s="35">
        <v>0.0</v>
      </c>
      <c r="G3641" s="35">
        <v>7.0</v>
      </c>
      <c r="H3641" s="35">
        <v>0.0</v>
      </c>
      <c r="I3641" s="35">
        <v>0.0</v>
      </c>
      <c r="J3641" s="35"/>
      <c r="K3641" s="35">
        <v>0.0</v>
      </c>
    </row>
    <row r="3642" ht="15.75" customHeight="1">
      <c r="A3642" s="35" t="s">
        <v>8878</v>
      </c>
      <c r="B3642" s="35"/>
      <c r="C3642" s="35">
        <v>2.0</v>
      </c>
      <c r="D3642" s="35" t="s">
        <v>4635</v>
      </c>
      <c r="E3642" s="35">
        <v>46027.0</v>
      </c>
      <c r="F3642" s="35">
        <v>0.0</v>
      </c>
      <c r="G3642" s="35">
        <v>1.0</v>
      </c>
      <c r="H3642" s="35">
        <v>0.0</v>
      </c>
      <c r="I3642" s="35">
        <v>0.0</v>
      </c>
      <c r="J3642" s="35"/>
      <c r="K3642" s="35">
        <v>0.0</v>
      </c>
    </row>
    <row r="3643" ht="15.75" customHeight="1">
      <c r="A3643" s="35" t="s">
        <v>8880</v>
      </c>
      <c r="B3643" s="35"/>
      <c r="C3643" s="35">
        <v>2.0</v>
      </c>
      <c r="D3643" s="35" t="s">
        <v>4635</v>
      </c>
      <c r="E3643" s="35">
        <v>46027.0</v>
      </c>
      <c r="F3643" s="35">
        <v>0.0</v>
      </c>
      <c r="G3643" s="35">
        <v>22.0</v>
      </c>
      <c r="H3643" s="35">
        <v>0.0</v>
      </c>
      <c r="I3643" s="35">
        <v>0.0</v>
      </c>
      <c r="J3643" s="35"/>
      <c r="K3643" s="35">
        <v>0.0</v>
      </c>
    </row>
    <row r="3644" ht="15.75" customHeight="1">
      <c r="A3644" s="35" t="s">
        <v>8881</v>
      </c>
      <c r="B3644" s="35"/>
      <c r="C3644" s="35">
        <v>2.0</v>
      </c>
      <c r="D3644" s="35">
        <v>571.0</v>
      </c>
      <c r="E3644" s="35">
        <v>46027.0</v>
      </c>
      <c r="F3644" s="35">
        <v>0.0</v>
      </c>
      <c r="G3644" s="35">
        <v>2.0</v>
      </c>
      <c r="H3644" s="35">
        <v>0.0</v>
      </c>
      <c r="I3644" s="35">
        <v>0.0</v>
      </c>
      <c r="J3644" s="35"/>
      <c r="K3644" s="35">
        <v>0.0</v>
      </c>
    </row>
    <row r="3645" ht="15.75" customHeight="1">
      <c r="A3645" s="35" t="s">
        <v>8883</v>
      </c>
      <c r="B3645" s="35"/>
      <c r="C3645" s="35">
        <v>2.0</v>
      </c>
      <c r="D3645" s="35">
        <v>42.0</v>
      </c>
      <c r="E3645" s="35">
        <v>46027.0</v>
      </c>
      <c r="F3645" s="35">
        <v>0.0</v>
      </c>
      <c r="G3645" s="35">
        <v>1.0</v>
      </c>
      <c r="H3645" s="35">
        <v>0.0</v>
      </c>
      <c r="I3645" s="35">
        <v>0.0</v>
      </c>
      <c r="J3645" s="35"/>
      <c r="K3645" s="35">
        <v>0.0</v>
      </c>
    </row>
    <row r="3646" ht="15.75" customHeight="1">
      <c r="A3646" s="35" t="s">
        <v>8884</v>
      </c>
      <c r="B3646" s="35"/>
      <c r="C3646" s="35">
        <v>2.0</v>
      </c>
      <c r="D3646" s="35" t="s">
        <v>4635</v>
      </c>
      <c r="E3646" s="35">
        <v>46027.0</v>
      </c>
      <c r="F3646" s="35">
        <v>0.0</v>
      </c>
      <c r="G3646" s="35">
        <v>1.0</v>
      </c>
      <c r="H3646" s="35">
        <v>0.0</v>
      </c>
      <c r="I3646" s="35">
        <v>0.0</v>
      </c>
      <c r="J3646" s="35"/>
      <c r="K3646" s="35">
        <v>0.0</v>
      </c>
    </row>
    <row r="3647" ht="15.75" customHeight="1">
      <c r="A3647" s="35" t="s">
        <v>8885</v>
      </c>
      <c r="B3647" s="35"/>
      <c r="C3647" s="35">
        <v>2.0</v>
      </c>
      <c r="D3647" s="35" t="s">
        <v>4635</v>
      </c>
      <c r="E3647" s="35">
        <v>46027.0</v>
      </c>
      <c r="F3647" s="35">
        <v>0.0</v>
      </c>
      <c r="G3647" s="35">
        <v>8.0</v>
      </c>
      <c r="H3647" s="35">
        <v>0.0</v>
      </c>
      <c r="I3647" s="35">
        <v>0.0</v>
      </c>
      <c r="J3647" s="35"/>
      <c r="K3647" s="35">
        <v>0.0</v>
      </c>
    </row>
    <row r="3648" ht="15.75" customHeight="1">
      <c r="A3648" s="35" t="s">
        <v>8887</v>
      </c>
      <c r="B3648" s="35"/>
      <c r="C3648" s="35">
        <v>2.0</v>
      </c>
      <c r="D3648" s="35" t="s">
        <v>4635</v>
      </c>
      <c r="E3648" s="35">
        <v>46027.0</v>
      </c>
      <c r="F3648" s="35">
        <v>0.0</v>
      </c>
      <c r="G3648" s="35">
        <v>4.0</v>
      </c>
      <c r="H3648" s="35">
        <v>0.0</v>
      </c>
      <c r="I3648" s="35">
        <v>0.0</v>
      </c>
      <c r="J3648" s="35"/>
      <c r="K3648" s="35">
        <v>0.0</v>
      </c>
    </row>
    <row r="3649" ht="15.75" customHeight="1">
      <c r="A3649" s="35" t="s">
        <v>8888</v>
      </c>
      <c r="B3649" s="35"/>
      <c r="C3649" s="35">
        <v>2.0</v>
      </c>
      <c r="D3649" s="35">
        <v>363.0</v>
      </c>
      <c r="E3649" s="35">
        <v>46027.0</v>
      </c>
      <c r="F3649" s="35">
        <v>0.0</v>
      </c>
      <c r="G3649" s="35">
        <v>1.0</v>
      </c>
      <c r="H3649" s="35">
        <v>0.0</v>
      </c>
      <c r="I3649" s="35">
        <v>0.0</v>
      </c>
      <c r="J3649" s="35"/>
      <c r="K3649" s="35">
        <v>0.0</v>
      </c>
    </row>
    <row r="3650" ht="15.75" customHeight="1">
      <c r="A3650" s="35" t="s">
        <v>8889</v>
      </c>
      <c r="B3650" s="35"/>
      <c r="C3650" s="35">
        <v>2.0</v>
      </c>
      <c r="D3650" s="35" t="s">
        <v>4343</v>
      </c>
      <c r="E3650" s="35">
        <v>46027.0</v>
      </c>
      <c r="F3650" s="35">
        <v>0.0</v>
      </c>
      <c r="G3650" s="35">
        <v>1.0</v>
      </c>
      <c r="H3650" s="35">
        <v>0.0</v>
      </c>
      <c r="I3650" s="35">
        <v>0.0</v>
      </c>
      <c r="J3650" s="35"/>
      <c r="K3650" s="35">
        <v>0.0</v>
      </c>
    </row>
    <row r="3651" ht="15.75" customHeight="1">
      <c r="A3651" s="35" t="s">
        <v>8891</v>
      </c>
      <c r="B3651" s="35"/>
      <c r="C3651" s="35">
        <v>2.0</v>
      </c>
      <c r="D3651" s="35" t="s">
        <v>4635</v>
      </c>
      <c r="E3651" s="35">
        <v>46027.0</v>
      </c>
      <c r="F3651" s="35">
        <v>0.0</v>
      </c>
      <c r="G3651" s="35">
        <v>4.0</v>
      </c>
      <c r="H3651" s="35">
        <v>0.0</v>
      </c>
      <c r="I3651" s="35">
        <v>0.0</v>
      </c>
      <c r="J3651" s="35"/>
      <c r="K3651" s="35">
        <v>0.0</v>
      </c>
    </row>
    <row r="3652" ht="15.75" customHeight="1">
      <c r="A3652" s="35" t="s">
        <v>8892</v>
      </c>
      <c r="B3652" s="35"/>
      <c r="C3652" s="35">
        <v>2.0</v>
      </c>
      <c r="D3652" s="35" t="s">
        <v>4635</v>
      </c>
      <c r="E3652" s="35">
        <v>46027.0</v>
      </c>
      <c r="F3652" s="35">
        <v>0.0</v>
      </c>
      <c r="G3652" s="35">
        <v>8.0</v>
      </c>
      <c r="H3652" s="35">
        <v>0.0</v>
      </c>
      <c r="I3652" s="35">
        <v>0.0</v>
      </c>
      <c r="J3652" s="35"/>
      <c r="K3652" s="35">
        <v>0.0</v>
      </c>
    </row>
    <row r="3653" ht="15.75" customHeight="1">
      <c r="A3653" s="35" t="s">
        <v>8893</v>
      </c>
      <c r="B3653" s="35"/>
      <c r="C3653" s="35">
        <v>2.0</v>
      </c>
      <c r="D3653" s="35">
        <v>66.0</v>
      </c>
      <c r="E3653" s="35">
        <v>46027.0</v>
      </c>
      <c r="F3653" s="35">
        <v>0.0</v>
      </c>
      <c r="G3653" s="35">
        <v>4.0</v>
      </c>
      <c r="H3653" s="35">
        <v>0.0</v>
      </c>
      <c r="I3653" s="35">
        <v>0.0</v>
      </c>
      <c r="J3653" s="35"/>
      <c r="K3653" s="35">
        <v>0.0</v>
      </c>
    </row>
    <row r="3654" ht="15.75" customHeight="1">
      <c r="A3654" s="35" t="s">
        <v>8895</v>
      </c>
      <c r="B3654" s="35"/>
      <c r="C3654" s="35">
        <v>2.0</v>
      </c>
      <c r="D3654" s="35" t="s">
        <v>4635</v>
      </c>
      <c r="E3654" s="35">
        <v>46027.0</v>
      </c>
      <c r="F3654" s="35">
        <v>0.0</v>
      </c>
      <c r="G3654" s="35">
        <v>8.0</v>
      </c>
      <c r="H3654" s="35">
        <v>0.0</v>
      </c>
      <c r="I3654" s="35">
        <v>0.0</v>
      </c>
      <c r="J3654" s="35"/>
      <c r="K3654" s="35">
        <v>0.0</v>
      </c>
    </row>
    <row r="3655" ht="15.75" customHeight="1">
      <c r="A3655" s="35" t="s">
        <v>8896</v>
      </c>
      <c r="B3655" s="35"/>
      <c r="C3655" s="35">
        <v>2.0</v>
      </c>
      <c r="D3655" s="35" t="s">
        <v>4635</v>
      </c>
      <c r="E3655" s="35">
        <v>46027.0</v>
      </c>
      <c r="F3655" s="35">
        <v>0.0</v>
      </c>
      <c r="G3655" s="35">
        <v>4.0</v>
      </c>
      <c r="H3655" s="35">
        <v>0.0</v>
      </c>
      <c r="I3655" s="35">
        <v>0.0</v>
      </c>
      <c r="J3655" s="35"/>
      <c r="K3655" s="35">
        <v>0.0</v>
      </c>
    </row>
    <row r="3656" ht="15.75" customHeight="1">
      <c r="A3656" s="35" t="s">
        <v>8898</v>
      </c>
      <c r="B3656" s="35"/>
      <c r="C3656" s="35">
        <v>2.0</v>
      </c>
      <c r="D3656" s="35" t="s">
        <v>4635</v>
      </c>
      <c r="E3656" s="35">
        <v>46027.0</v>
      </c>
      <c r="F3656" s="35">
        <v>0.0</v>
      </c>
      <c r="G3656" s="35">
        <v>1.0</v>
      </c>
      <c r="H3656" s="35">
        <v>0.0</v>
      </c>
      <c r="I3656" s="35">
        <v>0.0</v>
      </c>
      <c r="J3656" s="35"/>
      <c r="K3656" s="35">
        <v>0.0</v>
      </c>
    </row>
    <row r="3657" ht="15.75" customHeight="1">
      <c r="A3657" s="35" t="s">
        <v>8899</v>
      </c>
      <c r="B3657" s="35"/>
      <c r="C3657" s="35">
        <v>2.0</v>
      </c>
      <c r="D3657" s="35" t="s">
        <v>4635</v>
      </c>
      <c r="E3657" s="35">
        <v>46027.0</v>
      </c>
      <c r="F3657" s="35">
        <v>0.0</v>
      </c>
      <c r="G3657" s="35">
        <v>1.0</v>
      </c>
      <c r="H3657" s="35">
        <v>0.0</v>
      </c>
      <c r="I3657" s="35">
        <v>0.0</v>
      </c>
      <c r="J3657" s="35"/>
      <c r="K3657" s="35">
        <v>0.0</v>
      </c>
    </row>
    <row r="3658" ht="15.75" customHeight="1">
      <c r="A3658" s="35" t="s">
        <v>8901</v>
      </c>
      <c r="B3658" s="35"/>
      <c r="C3658" s="35">
        <v>2.0</v>
      </c>
      <c r="D3658" s="35" t="s">
        <v>4197</v>
      </c>
      <c r="E3658" s="35">
        <v>46027.0</v>
      </c>
      <c r="F3658" s="35">
        <v>0.0</v>
      </c>
      <c r="G3658" s="35">
        <v>0.0</v>
      </c>
      <c r="H3658" s="35">
        <v>11.0</v>
      </c>
      <c r="I3658" s="35">
        <v>0.0</v>
      </c>
      <c r="J3658" s="35"/>
      <c r="K3658" s="35">
        <v>0.0</v>
      </c>
    </row>
    <row r="3659" ht="15.75" customHeight="1">
      <c r="A3659" s="35" t="s">
        <v>8902</v>
      </c>
      <c r="B3659" s="35"/>
      <c r="C3659" s="35">
        <v>2.0</v>
      </c>
      <c r="D3659" s="35" t="s">
        <v>4635</v>
      </c>
      <c r="E3659" s="35">
        <v>46027.0</v>
      </c>
      <c r="F3659" s="35">
        <v>0.0</v>
      </c>
      <c r="G3659" s="35">
        <v>3.0</v>
      </c>
      <c r="H3659" s="35">
        <v>0.0</v>
      </c>
      <c r="I3659" s="35">
        <v>0.0</v>
      </c>
      <c r="J3659" s="35"/>
      <c r="K3659" s="35">
        <v>0.0</v>
      </c>
    </row>
    <row r="3660" ht="15.75" customHeight="1">
      <c r="A3660" s="35" t="s">
        <v>8903</v>
      </c>
      <c r="B3660" s="35"/>
      <c r="C3660" s="35">
        <v>2.0</v>
      </c>
      <c r="D3660" s="35">
        <v>682.0</v>
      </c>
      <c r="E3660" s="35">
        <v>46027.0</v>
      </c>
      <c r="F3660" s="35">
        <v>0.0</v>
      </c>
      <c r="G3660" s="35">
        <v>0.0</v>
      </c>
      <c r="H3660" s="35">
        <v>2.0</v>
      </c>
      <c r="I3660" s="35">
        <v>0.0</v>
      </c>
      <c r="J3660" s="35"/>
      <c r="K3660" s="35">
        <v>0.0</v>
      </c>
    </row>
    <row r="3661" ht="15.75" customHeight="1">
      <c r="A3661" s="35" t="s">
        <v>8905</v>
      </c>
      <c r="B3661" s="35"/>
      <c r="C3661" s="35">
        <v>2.0</v>
      </c>
      <c r="D3661" s="35" t="s">
        <v>4635</v>
      </c>
      <c r="E3661" s="35">
        <v>46027.0</v>
      </c>
      <c r="F3661" s="35">
        <v>0.0</v>
      </c>
      <c r="G3661" s="35">
        <v>17.0</v>
      </c>
      <c r="H3661" s="35">
        <v>0.0</v>
      </c>
      <c r="I3661" s="35">
        <v>0.0</v>
      </c>
      <c r="J3661" s="35"/>
      <c r="K3661" s="35">
        <v>0.0</v>
      </c>
    </row>
    <row r="3662" ht="15.75" customHeight="1">
      <c r="A3662" s="35" t="s">
        <v>8906</v>
      </c>
      <c r="B3662" s="35"/>
      <c r="C3662" s="35">
        <v>2.0</v>
      </c>
      <c r="D3662" s="35" t="s">
        <v>4635</v>
      </c>
      <c r="E3662" s="35">
        <v>46027.0</v>
      </c>
      <c r="F3662" s="35">
        <v>0.0</v>
      </c>
      <c r="G3662" s="35">
        <v>4.0</v>
      </c>
      <c r="H3662" s="35">
        <v>0.0</v>
      </c>
      <c r="I3662" s="35">
        <v>0.0</v>
      </c>
      <c r="J3662" s="35"/>
      <c r="K3662" s="35">
        <v>0.0</v>
      </c>
    </row>
    <row r="3663" ht="15.75" customHeight="1">
      <c r="A3663" s="35" t="s">
        <v>8908</v>
      </c>
      <c r="B3663" s="35"/>
      <c r="C3663" s="35">
        <v>2.0</v>
      </c>
      <c r="D3663" s="35" t="s">
        <v>4635</v>
      </c>
      <c r="E3663" s="35">
        <v>46027.0</v>
      </c>
      <c r="F3663" s="35">
        <v>0.0</v>
      </c>
      <c r="G3663" s="35">
        <v>1.0</v>
      </c>
      <c r="H3663" s="35">
        <v>0.0</v>
      </c>
      <c r="I3663" s="35">
        <v>0.0</v>
      </c>
      <c r="J3663" s="35"/>
      <c r="K3663" s="35">
        <v>0.0</v>
      </c>
    </row>
    <row r="3664" ht="15.75" customHeight="1">
      <c r="A3664" s="35" t="s">
        <v>8909</v>
      </c>
      <c r="B3664" s="35"/>
      <c r="C3664" s="35">
        <v>2.0</v>
      </c>
      <c r="D3664" s="35">
        <v>123.0</v>
      </c>
      <c r="E3664" s="35">
        <v>46027.0</v>
      </c>
      <c r="F3664" s="35">
        <v>0.0</v>
      </c>
      <c r="G3664" s="35">
        <v>13.0</v>
      </c>
      <c r="H3664" s="35">
        <v>0.0</v>
      </c>
      <c r="I3664" s="35">
        <v>0.0</v>
      </c>
      <c r="J3664" s="35"/>
      <c r="K3664" s="35">
        <v>0.0</v>
      </c>
    </row>
    <row r="3665" ht="15.75" customHeight="1">
      <c r="A3665" s="35" t="s">
        <v>8911</v>
      </c>
      <c r="B3665" s="35"/>
      <c r="C3665" s="35">
        <v>2.0</v>
      </c>
      <c r="D3665" s="35">
        <v>61.0</v>
      </c>
      <c r="E3665" s="35">
        <v>46027.0</v>
      </c>
      <c r="F3665" s="35">
        <v>0.0</v>
      </c>
      <c r="G3665" s="35">
        <v>0.0</v>
      </c>
      <c r="H3665" s="35">
        <v>3.0</v>
      </c>
      <c r="I3665" s="35">
        <v>0.0</v>
      </c>
      <c r="J3665" s="35"/>
      <c r="K3665" s="35">
        <v>0.0</v>
      </c>
    </row>
    <row r="3666" ht="15.75" customHeight="1">
      <c r="A3666" s="35" t="s">
        <v>8912</v>
      </c>
      <c r="B3666" s="35"/>
      <c r="C3666" s="35">
        <v>2.0</v>
      </c>
      <c r="D3666" s="35" t="s">
        <v>4635</v>
      </c>
      <c r="E3666" s="35">
        <v>46027.0</v>
      </c>
      <c r="F3666" s="35">
        <v>0.0</v>
      </c>
      <c r="G3666" s="35">
        <v>0.0</v>
      </c>
      <c r="H3666" s="35">
        <v>1.0</v>
      </c>
      <c r="I3666" s="35">
        <v>0.0</v>
      </c>
      <c r="J3666" s="35"/>
      <c r="K3666" s="35">
        <v>0.0</v>
      </c>
    </row>
    <row r="3667" ht="15.75" customHeight="1">
      <c r="A3667" s="35" t="s">
        <v>8914</v>
      </c>
      <c r="B3667" s="35"/>
      <c r="C3667" s="35">
        <v>2.0</v>
      </c>
      <c r="D3667" s="35" t="s">
        <v>4635</v>
      </c>
      <c r="E3667" s="35">
        <v>46027.0</v>
      </c>
      <c r="F3667" s="35">
        <v>0.0</v>
      </c>
      <c r="G3667" s="35">
        <v>3.0</v>
      </c>
      <c r="H3667" s="35">
        <v>0.0</v>
      </c>
      <c r="I3667" s="35">
        <v>0.0</v>
      </c>
      <c r="J3667" s="35"/>
      <c r="K3667" s="35">
        <v>0.0</v>
      </c>
    </row>
    <row r="3668" ht="15.75" customHeight="1">
      <c r="A3668" s="35" t="s">
        <v>8915</v>
      </c>
      <c r="B3668" s="35"/>
      <c r="C3668" s="35">
        <v>2.0</v>
      </c>
      <c r="D3668" s="35" t="s">
        <v>4635</v>
      </c>
      <c r="E3668" s="35">
        <v>46027.0</v>
      </c>
      <c r="F3668" s="35">
        <v>0.0</v>
      </c>
      <c r="G3668" s="35">
        <v>3.0</v>
      </c>
      <c r="H3668" s="35">
        <v>0.0</v>
      </c>
      <c r="I3668" s="35">
        <v>0.0</v>
      </c>
      <c r="J3668" s="35"/>
      <c r="K3668" s="35">
        <v>0.0</v>
      </c>
    </row>
    <row r="3669" ht="15.75" customHeight="1">
      <c r="A3669" s="35" t="s">
        <v>8916</v>
      </c>
      <c r="B3669" s="35"/>
      <c r="C3669" s="35">
        <v>2.0</v>
      </c>
      <c r="D3669" s="35" t="s">
        <v>4635</v>
      </c>
      <c r="E3669" s="35">
        <v>46027.0</v>
      </c>
      <c r="F3669" s="35">
        <v>0.0</v>
      </c>
      <c r="G3669" s="35">
        <v>0.0</v>
      </c>
      <c r="H3669" s="35">
        <v>0.0</v>
      </c>
      <c r="I3669" s="35">
        <v>29.0</v>
      </c>
      <c r="J3669" s="35"/>
      <c r="K3669" s="35">
        <v>0.0</v>
      </c>
    </row>
    <row r="3670" ht="15.75" customHeight="1">
      <c r="A3670" s="35" t="s">
        <v>8918</v>
      </c>
      <c r="B3670" s="35"/>
      <c r="C3670" s="35">
        <v>2.0</v>
      </c>
      <c r="D3670" s="35">
        <v>106.0</v>
      </c>
      <c r="E3670" s="35">
        <v>46027.0</v>
      </c>
      <c r="F3670" s="35">
        <v>0.0</v>
      </c>
      <c r="G3670" s="35">
        <v>1.0</v>
      </c>
      <c r="H3670" s="35">
        <v>0.0</v>
      </c>
      <c r="I3670" s="35">
        <v>0.0</v>
      </c>
      <c r="J3670" s="35"/>
      <c r="K3670" s="35">
        <v>0.0</v>
      </c>
    </row>
    <row r="3671" ht="15.75" customHeight="1">
      <c r="A3671" s="35" t="s">
        <v>8919</v>
      </c>
      <c r="B3671" s="35"/>
      <c r="C3671" s="35">
        <v>2.0</v>
      </c>
      <c r="D3671" s="35">
        <v>597.0</v>
      </c>
      <c r="E3671" s="35">
        <v>46027.0</v>
      </c>
      <c r="F3671" s="35">
        <v>0.0</v>
      </c>
      <c r="G3671" s="35">
        <v>0.0</v>
      </c>
      <c r="H3671" s="35">
        <v>1.0</v>
      </c>
      <c r="I3671" s="35">
        <v>0.0</v>
      </c>
      <c r="J3671" s="35"/>
      <c r="K3671" s="35">
        <v>0.0</v>
      </c>
    </row>
    <row r="3672" ht="15.75" customHeight="1">
      <c r="A3672" s="35" t="s">
        <v>8921</v>
      </c>
      <c r="B3672" s="35"/>
      <c r="C3672" s="35">
        <v>2.0</v>
      </c>
      <c r="D3672" s="35" t="s">
        <v>4635</v>
      </c>
      <c r="E3672" s="35">
        <v>46027.0</v>
      </c>
      <c r="F3672" s="35">
        <v>0.0</v>
      </c>
      <c r="G3672" s="35">
        <v>4.0</v>
      </c>
      <c r="H3672" s="35">
        <v>0.0</v>
      </c>
      <c r="I3672" s="35">
        <v>0.0</v>
      </c>
      <c r="J3672" s="35"/>
      <c r="K3672" s="35">
        <v>0.0</v>
      </c>
    </row>
    <row r="3673" ht="15.75" customHeight="1">
      <c r="A3673" s="35" t="s">
        <v>8922</v>
      </c>
      <c r="B3673" s="35"/>
      <c r="C3673" s="35">
        <v>2.0</v>
      </c>
      <c r="D3673" s="35" t="s">
        <v>4635</v>
      </c>
      <c r="E3673" s="35">
        <v>46027.0</v>
      </c>
      <c r="F3673" s="35">
        <v>0.0</v>
      </c>
      <c r="G3673" s="35">
        <v>4.0</v>
      </c>
      <c r="H3673" s="35">
        <v>0.0</v>
      </c>
      <c r="I3673" s="35">
        <v>0.0</v>
      </c>
      <c r="J3673" s="35"/>
      <c r="K3673" s="35">
        <v>0.0</v>
      </c>
    </row>
    <row r="3674" ht="15.75" customHeight="1">
      <c r="A3674" s="35" t="s">
        <v>8924</v>
      </c>
      <c r="B3674" s="35"/>
      <c r="C3674" s="35">
        <v>2.0</v>
      </c>
      <c r="D3674" s="35" t="s">
        <v>4635</v>
      </c>
      <c r="E3674" s="35">
        <v>46027.0</v>
      </c>
      <c r="F3674" s="35">
        <v>0.0</v>
      </c>
      <c r="G3674" s="35">
        <v>0.0</v>
      </c>
      <c r="H3674" s="35">
        <v>0.0</v>
      </c>
      <c r="I3674" s="35">
        <v>11.0</v>
      </c>
      <c r="J3674" s="35"/>
      <c r="K3674" s="35">
        <v>0.0</v>
      </c>
    </row>
    <row r="3675" ht="15.75" customHeight="1">
      <c r="A3675" s="35" t="s">
        <v>8925</v>
      </c>
      <c r="B3675" s="35"/>
      <c r="C3675" s="35">
        <v>2.0</v>
      </c>
      <c r="D3675" s="35" t="s">
        <v>4635</v>
      </c>
      <c r="E3675" s="35">
        <v>46027.0</v>
      </c>
      <c r="F3675" s="35">
        <v>0.0</v>
      </c>
      <c r="G3675" s="35">
        <v>4.0</v>
      </c>
      <c r="H3675" s="35">
        <v>0.0</v>
      </c>
      <c r="I3675" s="35">
        <v>0.0</v>
      </c>
      <c r="J3675" s="35"/>
      <c r="K3675" s="35">
        <v>0.0</v>
      </c>
    </row>
    <row r="3676" ht="15.75" customHeight="1">
      <c r="A3676" s="35" t="s">
        <v>8927</v>
      </c>
      <c r="B3676" s="35"/>
      <c r="C3676" s="35">
        <v>2.0</v>
      </c>
      <c r="D3676" s="35" t="s">
        <v>4635</v>
      </c>
      <c r="E3676" s="35">
        <v>46027.0</v>
      </c>
      <c r="F3676" s="35">
        <v>0.0</v>
      </c>
      <c r="G3676" s="35">
        <v>2.0</v>
      </c>
      <c r="H3676" s="35">
        <v>0.0</v>
      </c>
      <c r="I3676" s="35">
        <v>0.0</v>
      </c>
      <c r="J3676" s="35"/>
      <c r="K3676" s="35">
        <v>0.0</v>
      </c>
    </row>
    <row r="3677" ht="15.75" customHeight="1">
      <c r="A3677" s="35" t="s">
        <v>8928</v>
      </c>
      <c r="B3677" s="35"/>
      <c r="C3677" s="35">
        <v>2.0</v>
      </c>
      <c r="D3677" s="35" t="s">
        <v>2032</v>
      </c>
      <c r="E3677" s="35">
        <v>46027.0</v>
      </c>
      <c r="F3677" s="35">
        <v>0.0</v>
      </c>
      <c r="G3677" s="35">
        <v>0.0</v>
      </c>
      <c r="H3677" s="35">
        <v>4.0</v>
      </c>
      <c r="I3677" s="35">
        <v>0.0</v>
      </c>
      <c r="J3677" s="35"/>
      <c r="K3677" s="35">
        <v>0.0</v>
      </c>
    </row>
    <row r="3678" ht="15.75" customHeight="1">
      <c r="A3678" s="35" t="s">
        <v>8930</v>
      </c>
      <c r="B3678" s="35"/>
      <c r="C3678" s="35">
        <v>2.0</v>
      </c>
      <c r="D3678" s="35" t="s">
        <v>4635</v>
      </c>
      <c r="E3678" s="35">
        <v>46027.0</v>
      </c>
      <c r="F3678" s="35">
        <v>0.0</v>
      </c>
      <c r="G3678" s="35">
        <v>6.0</v>
      </c>
      <c r="H3678" s="35">
        <v>0.0</v>
      </c>
      <c r="I3678" s="35">
        <v>0.0</v>
      </c>
      <c r="J3678" s="35"/>
      <c r="K3678" s="35">
        <v>0.0</v>
      </c>
    </row>
    <row r="3679" ht="15.75" customHeight="1">
      <c r="A3679" s="35" t="s">
        <v>8931</v>
      </c>
      <c r="B3679" s="35"/>
      <c r="C3679" s="35">
        <v>2.0</v>
      </c>
      <c r="D3679" s="35">
        <v>66.0</v>
      </c>
      <c r="E3679" s="35">
        <v>46027.0</v>
      </c>
      <c r="F3679" s="35">
        <v>0.0</v>
      </c>
      <c r="G3679" s="35">
        <v>4.0</v>
      </c>
      <c r="H3679" s="35">
        <v>0.0</v>
      </c>
      <c r="I3679" s="35">
        <v>0.0</v>
      </c>
      <c r="J3679" s="35"/>
      <c r="K3679" s="35">
        <v>0.0</v>
      </c>
    </row>
    <row r="3680" ht="15.75" customHeight="1">
      <c r="A3680" s="35" t="s">
        <v>8932</v>
      </c>
      <c r="B3680" s="35"/>
      <c r="C3680" s="35">
        <v>2.0</v>
      </c>
      <c r="D3680" s="35" t="s">
        <v>4635</v>
      </c>
      <c r="E3680" s="35">
        <v>46027.0</v>
      </c>
      <c r="F3680" s="35">
        <v>0.0</v>
      </c>
      <c r="G3680" s="35">
        <v>0.0</v>
      </c>
      <c r="H3680" s="35">
        <v>0.0</v>
      </c>
      <c r="I3680" s="35">
        <v>1.0</v>
      </c>
      <c r="J3680" s="35"/>
      <c r="K3680" s="35">
        <v>0.0</v>
      </c>
    </row>
    <row r="3681" ht="15.75" customHeight="1">
      <c r="A3681" s="35" t="s">
        <v>8934</v>
      </c>
      <c r="B3681" s="35"/>
      <c r="C3681" s="35">
        <v>2.0</v>
      </c>
      <c r="D3681" s="35">
        <v>66.0</v>
      </c>
      <c r="E3681" s="35">
        <v>46027.0</v>
      </c>
      <c r="F3681" s="35">
        <v>0.0</v>
      </c>
      <c r="G3681" s="35">
        <v>7.0</v>
      </c>
      <c r="H3681" s="35">
        <v>0.0</v>
      </c>
      <c r="I3681" s="35">
        <v>0.0</v>
      </c>
      <c r="J3681" s="35"/>
      <c r="K3681" s="35">
        <v>0.0</v>
      </c>
    </row>
    <row r="3682" ht="15.75" customHeight="1">
      <c r="A3682" s="35" t="s">
        <v>8935</v>
      </c>
      <c r="B3682" s="35"/>
      <c r="C3682" s="35">
        <v>2.0</v>
      </c>
      <c r="D3682" s="35" t="s">
        <v>4635</v>
      </c>
      <c r="E3682" s="35">
        <v>46027.0</v>
      </c>
      <c r="F3682" s="35">
        <v>0.0</v>
      </c>
      <c r="G3682" s="35">
        <v>4.0</v>
      </c>
      <c r="H3682" s="35">
        <v>0.0</v>
      </c>
      <c r="I3682" s="35">
        <v>0.0</v>
      </c>
      <c r="J3682" s="35"/>
      <c r="K3682" s="35">
        <v>0.0</v>
      </c>
    </row>
    <row r="3683" ht="15.75" customHeight="1">
      <c r="A3683" s="35" t="s">
        <v>8937</v>
      </c>
      <c r="B3683" s="35"/>
      <c r="C3683" s="35">
        <v>2.0</v>
      </c>
      <c r="D3683" s="35" t="s">
        <v>4635</v>
      </c>
      <c r="E3683" s="35">
        <v>46027.0</v>
      </c>
      <c r="F3683" s="35">
        <v>0.0</v>
      </c>
      <c r="G3683" s="35">
        <v>6.0</v>
      </c>
      <c r="H3683" s="35">
        <v>0.0</v>
      </c>
      <c r="I3683" s="35">
        <v>0.0</v>
      </c>
      <c r="J3683" s="35"/>
      <c r="K3683" s="35">
        <v>0.0</v>
      </c>
    </row>
    <row r="3684" ht="15.75" customHeight="1">
      <c r="A3684" s="35" t="s">
        <v>8938</v>
      </c>
      <c r="B3684" s="35"/>
      <c r="C3684" s="35">
        <v>2.0</v>
      </c>
      <c r="D3684" s="35">
        <v>317.0</v>
      </c>
      <c r="E3684" s="35">
        <v>46027.0</v>
      </c>
      <c r="F3684" s="35">
        <v>0.0</v>
      </c>
      <c r="G3684" s="35">
        <v>3.0</v>
      </c>
      <c r="H3684" s="35">
        <v>0.0</v>
      </c>
      <c r="I3684" s="35">
        <v>0.0</v>
      </c>
      <c r="J3684" s="35"/>
      <c r="K3684" s="35">
        <v>0.0</v>
      </c>
    </row>
    <row r="3685" ht="15.75" customHeight="1">
      <c r="A3685" s="35" t="s">
        <v>8940</v>
      </c>
      <c r="B3685" s="35"/>
      <c r="C3685" s="35">
        <v>2.0</v>
      </c>
      <c r="D3685" s="35" t="s">
        <v>4635</v>
      </c>
      <c r="E3685" s="35">
        <v>46027.0</v>
      </c>
      <c r="F3685" s="35">
        <v>0.0</v>
      </c>
      <c r="G3685" s="35">
        <v>4.0</v>
      </c>
      <c r="H3685" s="35">
        <v>0.0</v>
      </c>
      <c r="I3685" s="35">
        <v>0.0</v>
      </c>
      <c r="J3685" s="35"/>
      <c r="K3685" s="35">
        <v>0.0</v>
      </c>
    </row>
    <row r="3686" ht="15.75" customHeight="1">
      <c r="A3686" s="35" t="s">
        <v>8941</v>
      </c>
      <c r="B3686" s="35"/>
      <c r="C3686" s="35">
        <v>2.0</v>
      </c>
      <c r="D3686" s="35" t="s">
        <v>4635</v>
      </c>
      <c r="E3686" s="35">
        <v>46027.0</v>
      </c>
      <c r="F3686" s="35">
        <v>0.0</v>
      </c>
      <c r="G3686" s="35">
        <v>2.0</v>
      </c>
      <c r="H3686" s="35">
        <v>0.0</v>
      </c>
      <c r="I3686" s="35">
        <v>0.0</v>
      </c>
      <c r="J3686" s="35"/>
      <c r="K3686" s="35">
        <v>0.0</v>
      </c>
    </row>
    <row r="3687" ht="15.75" customHeight="1">
      <c r="A3687" s="35" t="s">
        <v>8943</v>
      </c>
      <c r="B3687" s="35"/>
      <c r="C3687" s="35">
        <v>2.0</v>
      </c>
      <c r="D3687" s="35" t="s">
        <v>4635</v>
      </c>
      <c r="E3687" s="35">
        <v>46027.0</v>
      </c>
      <c r="F3687" s="35">
        <v>0.0</v>
      </c>
      <c r="G3687" s="35">
        <v>8.0</v>
      </c>
      <c r="H3687" s="35">
        <v>0.0</v>
      </c>
      <c r="I3687" s="35">
        <v>0.0</v>
      </c>
      <c r="J3687" s="35"/>
      <c r="K3687" s="35">
        <v>0.0</v>
      </c>
    </row>
    <row r="3688" ht="15.75" customHeight="1">
      <c r="A3688" s="35" t="s">
        <v>8944</v>
      </c>
      <c r="B3688" s="35"/>
      <c r="C3688" s="35">
        <v>2.0</v>
      </c>
      <c r="D3688" s="35">
        <v>66.0</v>
      </c>
      <c r="E3688" s="35">
        <v>46027.0</v>
      </c>
      <c r="F3688" s="35">
        <v>0.0</v>
      </c>
      <c r="G3688" s="35">
        <v>5.0</v>
      </c>
      <c r="H3688" s="35">
        <v>0.0</v>
      </c>
      <c r="I3688" s="35">
        <v>0.0</v>
      </c>
      <c r="J3688" s="35"/>
      <c r="K3688" s="35">
        <v>0.0</v>
      </c>
    </row>
    <row r="3689" ht="15.75" customHeight="1">
      <c r="A3689" s="35" t="s">
        <v>8945</v>
      </c>
      <c r="B3689" s="35"/>
      <c r="C3689" s="35">
        <v>2.0</v>
      </c>
      <c r="D3689" s="35">
        <v>938.0</v>
      </c>
      <c r="E3689" s="35">
        <v>46027.0</v>
      </c>
      <c r="F3689" s="35">
        <v>0.0</v>
      </c>
      <c r="G3689" s="35">
        <v>1.0</v>
      </c>
      <c r="H3689" s="35">
        <v>0.0</v>
      </c>
      <c r="I3689" s="35">
        <v>0.0</v>
      </c>
      <c r="J3689" s="35"/>
      <c r="K3689" s="35">
        <v>0.0</v>
      </c>
    </row>
    <row r="3690" ht="15.75" customHeight="1">
      <c r="A3690" s="35" t="s">
        <v>8947</v>
      </c>
      <c r="B3690" s="35"/>
      <c r="C3690" s="35">
        <v>2.0</v>
      </c>
      <c r="D3690" s="35" t="s">
        <v>4635</v>
      </c>
      <c r="E3690" s="35">
        <v>46027.0</v>
      </c>
      <c r="F3690" s="35">
        <v>0.0</v>
      </c>
      <c r="G3690" s="35">
        <v>0.0</v>
      </c>
      <c r="H3690" s="35">
        <v>0.0</v>
      </c>
      <c r="I3690" s="35">
        <v>0.0</v>
      </c>
      <c r="J3690" s="35"/>
      <c r="K3690" s="35">
        <v>74.0</v>
      </c>
    </row>
    <row r="3691" ht="15.75" customHeight="1">
      <c r="A3691" s="35" t="s">
        <v>8948</v>
      </c>
      <c r="B3691" s="35"/>
      <c r="C3691" s="35">
        <v>2.0</v>
      </c>
      <c r="D3691" s="35" t="s">
        <v>4635</v>
      </c>
      <c r="E3691" s="35">
        <v>46027.0</v>
      </c>
      <c r="F3691" s="35">
        <v>0.0</v>
      </c>
      <c r="G3691" s="35">
        <v>5.0</v>
      </c>
      <c r="H3691" s="35">
        <v>0.0</v>
      </c>
      <c r="I3691" s="35">
        <v>0.0</v>
      </c>
      <c r="J3691" s="35"/>
      <c r="K3691" s="35">
        <v>0.0</v>
      </c>
    </row>
    <row r="3692" ht="15.75" customHeight="1">
      <c r="A3692" s="35" t="s">
        <v>8950</v>
      </c>
      <c r="B3692" s="35"/>
      <c r="C3692" s="35">
        <v>2.0</v>
      </c>
      <c r="D3692" s="35" t="s">
        <v>4635</v>
      </c>
      <c r="E3692" s="35">
        <v>46027.0</v>
      </c>
      <c r="F3692" s="35">
        <v>0.0</v>
      </c>
      <c r="G3692" s="35">
        <v>0.0</v>
      </c>
      <c r="H3692" s="35">
        <v>0.0</v>
      </c>
      <c r="I3692" s="35">
        <v>4.0</v>
      </c>
      <c r="J3692" s="35"/>
      <c r="K3692" s="35">
        <v>0.0</v>
      </c>
    </row>
    <row r="3693" ht="15.75" customHeight="1">
      <c r="A3693" s="35" t="s">
        <v>8951</v>
      </c>
      <c r="B3693" s="35"/>
      <c r="C3693" s="35">
        <v>2.0</v>
      </c>
      <c r="D3693" s="35" t="s">
        <v>4635</v>
      </c>
      <c r="E3693" s="35">
        <v>46027.0</v>
      </c>
      <c r="F3693" s="35">
        <v>0.0</v>
      </c>
      <c r="G3693" s="35">
        <v>4.0</v>
      </c>
      <c r="H3693" s="35">
        <v>0.0</v>
      </c>
      <c r="I3693" s="35">
        <v>0.0</v>
      </c>
      <c r="J3693" s="35"/>
      <c r="K3693" s="35">
        <v>0.0</v>
      </c>
    </row>
    <row r="3694" ht="15.75" customHeight="1">
      <c r="A3694" s="35" t="s">
        <v>8953</v>
      </c>
      <c r="B3694" s="35"/>
      <c r="C3694" s="35">
        <v>2.0</v>
      </c>
      <c r="D3694" s="35" t="s">
        <v>4635</v>
      </c>
      <c r="E3694" s="35">
        <v>46027.0</v>
      </c>
      <c r="F3694" s="35">
        <v>0.0</v>
      </c>
      <c r="G3694" s="35">
        <v>2.0</v>
      </c>
      <c r="H3694" s="35">
        <v>0.0</v>
      </c>
      <c r="I3694" s="35">
        <v>0.0</v>
      </c>
      <c r="J3694" s="35"/>
      <c r="K3694" s="35">
        <v>0.0</v>
      </c>
    </row>
    <row r="3695" ht="15.75" customHeight="1">
      <c r="A3695" s="35" t="s">
        <v>8954</v>
      </c>
      <c r="B3695" s="35"/>
      <c r="C3695" s="35">
        <v>2.0</v>
      </c>
      <c r="D3695" s="35" t="s">
        <v>4635</v>
      </c>
      <c r="E3695" s="35">
        <v>46027.0</v>
      </c>
      <c r="F3695" s="35">
        <v>0.0</v>
      </c>
      <c r="G3695" s="35">
        <v>1.0</v>
      </c>
      <c r="H3695" s="35">
        <v>0.0</v>
      </c>
      <c r="I3695" s="35">
        <v>0.0</v>
      </c>
      <c r="J3695" s="35"/>
      <c r="K3695" s="35">
        <v>0.0</v>
      </c>
    </row>
    <row r="3696" ht="15.75" customHeight="1">
      <c r="A3696" s="35" t="s">
        <v>8956</v>
      </c>
      <c r="B3696" s="35"/>
      <c r="C3696" s="35">
        <v>2.0</v>
      </c>
      <c r="D3696" s="35" t="s">
        <v>4635</v>
      </c>
      <c r="E3696" s="35">
        <v>46027.0</v>
      </c>
      <c r="F3696" s="35">
        <v>0.0</v>
      </c>
      <c r="G3696" s="35">
        <v>1.0</v>
      </c>
      <c r="H3696" s="35">
        <v>0.0</v>
      </c>
      <c r="I3696" s="35">
        <v>0.0</v>
      </c>
      <c r="J3696" s="35"/>
      <c r="K3696" s="35">
        <v>0.0</v>
      </c>
    </row>
    <row r="3697" ht="15.75" customHeight="1">
      <c r="A3697" s="35" t="s">
        <v>8957</v>
      </c>
      <c r="B3697" s="35"/>
      <c r="C3697" s="35">
        <v>2.0</v>
      </c>
      <c r="D3697" s="35">
        <v>66.0</v>
      </c>
      <c r="E3697" s="35">
        <v>46027.0</v>
      </c>
      <c r="F3697" s="35">
        <v>0.0</v>
      </c>
      <c r="G3697" s="35">
        <v>7.0</v>
      </c>
      <c r="H3697" s="35">
        <v>0.0</v>
      </c>
      <c r="I3697" s="35">
        <v>0.0</v>
      </c>
      <c r="J3697" s="35"/>
      <c r="K3697" s="35">
        <v>0.0</v>
      </c>
    </row>
    <row r="3698" ht="15.75" customHeight="1">
      <c r="A3698" s="35" t="s">
        <v>8958</v>
      </c>
      <c r="B3698" s="35"/>
      <c r="C3698" s="35">
        <v>2.0</v>
      </c>
      <c r="D3698" s="35" t="s">
        <v>4635</v>
      </c>
      <c r="E3698" s="35">
        <v>46027.0</v>
      </c>
      <c r="F3698" s="35">
        <v>0.0</v>
      </c>
      <c r="G3698" s="35">
        <v>4.0</v>
      </c>
      <c r="H3698" s="35">
        <v>0.0</v>
      </c>
      <c r="I3698" s="35">
        <v>0.0</v>
      </c>
      <c r="J3698" s="35"/>
      <c r="K3698" s="35">
        <v>0.0</v>
      </c>
    </row>
    <row r="3699" ht="15.75" customHeight="1">
      <c r="A3699" s="35" t="s">
        <v>8960</v>
      </c>
      <c r="B3699" s="35"/>
      <c r="C3699" s="35">
        <v>2.0</v>
      </c>
      <c r="D3699" s="35" t="s">
        <v>4635</v>
      </c>
      <c r="E3699" s="35">
        <v>46027.0</v>
      </c>
      <c r="F3699" s="35">
        <v>0.0</v>
      </c>
      <c r="G3699" s="35">
        <v>0.0</v>
      </c>
      <c r="H3699" s="35">
        <v>0.0</v>
      </c>
      <c r="I3699" s="35">
        <v>1.0</v>
      </c>
      <c r="J3699" s="35"/>
      <c r="K3699" s="35">
        <v>0.0</v>
      </c>
    </row>
    <row r="3700" ht="15.75" customHeight="1">
      <c r="A3700" s="35" t="s">
        <v>8961</v>
      </c>
      <c r="B3700" s="35"/>
      <c r="C3700" s="35">
        <v>2.0</v>
      </c>
      <c r="D3700" s="35" t="s">
        <v>4635</v>
      </c>
      <c r="E3700" s="35">
        <v>46027.0</v>
      </c>
      <c r="F3700" s="35">
        <v>0.0</v>
      </c>
      <c r="G3700" s="35">
        <v>8.0</v>
      </c>
      <c r="H3700" s="35">
        <v>0.0</v>
      </c>
      <c r="I3700" s="35">
        <v>0.0</v>
      </c>
      <c r="J3700" s="35"/>
      <c r="K3700" s="35">
        <v>0.0</v>
      </c>
    </row>
    <row r="3701" ht="15.75" customHeight="1">
      <c r="A3701" s="35" t="s">
        <v>8963</v>
      </c>
      <c r="B3701" s="35"/>
      <c r="C3701" s="35">
        <v>2.0</v>
      </c>
      <c r="D3701" s="35" t="s">
        <v>4186</v>
      </c>
      <c r="E3701" s="35">
        <v>46027.0</v>
      </c>
      <c r="F3701" s="35">
        <v>0.0</v>
      </c>
      <c r="G3701" s="35">
        <v>2.0</v>
      </c>
      <c r="H3701" s="35">
        <v>0.0</v>
      </c>
      <c r="I3701" s="35">
        <v>0.0</v>
      </c>
      <c r="J3701" s="35"/>
      <c r="K3701" s="35">
        <v>0.0</v>
      </c>
    </row>
    <row r="3702" ht="15.75" customHeight="1">
      <c r="A3702" s="35" t="s">
        <v>8964</v>
      </c>
      <c r="B3702" s="35"/>
      <c r="C3702" s="35">
        <v>2.0</v>
      </c>
      <c r="D3702" s="35">
        <v>337.0</v>
      </c>
      <c r="E3702" s="35">
        <v>46027.0</v>
      </c>
      <c r="F3702" s="35">
        <v>0.0</v>
      </c>
      <c r="G3702" s="35">
        <v>0.0</v>
      </c>
      <c r="H3702" s="35">
        <v>16.0</v>
      </c>
      <c r="I3702" s="35">
        <v>0.0</v>
      </c>
      <c r="J3702" s="35"/>
      <c r="K3702" s="35">
        <v>0.0</v>
      </c>
    </row>
    <row r="3703" ht="15.75" customHeight="1">
      <c r="A3703" s="35" t="s">
        <v>8966</v>
      </c>
      <c r="B3703" s="35"/>
      <c r="C3703" s="35">
        <v>2.0</v>
      </c>
      <c r="D3703" s="35" t="s">
        <v>4635</v>
      </c>
      <c r="E3703" s="35">
        <v>46027.0</v>
      </c>
      <c r="F3703" s="35">
        <v>0.0</v>
      </c>
      <c r="G3703" s="35">
        <v>1.0</v>
      </c>
      <c r="H3703" s="35">
        <v>0.0</v>
      </c>
      <c r="I3703" s="35">
        <v>0.0</v>
      </c>
      <c r="J3703" s="35"/>
      <c r="K3703" s="35">
        <v>0.0</v>
      </c>
    </row>
    <row r="3704" ht="15.75" customHeight="1">
      <c r="A3704" s="35" t="s">
        <v>8967</v>
      </c>
      <c r="B3704" s="35"/>
      <c r="C3704" s="35">
        <v>2.0</v>
      </c>
      <c r="D3704" s="35">
        <v>69.0</v>
      </c>
      <c r="E3704" s="35">
        <v>46027.0</v>
      </c>
      <c r="F3704" s="35">
        <v>0.0</v>
      </c>
      <c r="G3704" s="35">
        <v>0.0</v>
      </c>
      <c r="H3704" s="35">
        <v>1.0</v>
      </c>
      <c r="I3704" s="35">
        <v>0.0</v>
      </c>
      <c r="J3704" s="35"/>
      <c r="K3704" s="35">
        <v>0.0</v>
      </c>
    </row>
    <row r="3705" ht="15.75" customHeight="1">
      <c r="A3705" s="35" t="s">
        <v>8969</v>
      </c>
      <c r="B3705" s="35"/>
      <c r="C3705" s="35">
        <v>2.0</v>
      </c>
      <c r="D3705" s="35" t="s">
        <v>4635</v>
      </c>
      <c r="E3705" s="35">
        <v>46027.0</v>
      </c>
      <c r="F3705" s="35">
        <v>0.0</v>
      </c>
      <c r="G3705" s="35">
        <v>4.0</v>
      </c>
      <c r="H3705" s="35">
        <v>0.0</v>
      </c>
      <c r="I3705" s="35">
        <v>0.0</v>
      </c>
      <c r="J3705" s="35"/>
      <c r="K3705" s="35">
        <v>0.0</v>
      </c>
    </row>
    <row r="3706" ht="15.75" customHeight="1">
      <c r="A3706" s="35" t="s">
        <v>8970</v>
      </c>
      <c r="B3706" s="35"/>
      <c r="C3706" s="35">
        <v>2.0</v>
      </c>
      <c r="D3706" s="35" t="s">
        <v>4635</v>
      </c>
      <c r="E3706" s="35">
        <v>46027.0</v>
      </c>
      <c r="F3706" s="35">
        <v>0.0</v>
      </c>
      <c r="G3706" s="35">
        <v>4.0</v>
      </c>
      <c r="H3706" s="35">
        <v>0.0</v>
      </c>
      <c r="I3706" s="35">
        <v>0.0</v>
      </c>
      <c r="J3706" s="35"/>
      <c r="K3706" s="35">
        <v>0.0</v>
      </c>
    </row>
    <row r="3707" ht="15.75" customHeight="1">
      <c r="A3707" s="35" t="s">
        <v>8971</v>
      </c>
      <c r="B3707" s="35"/>
      <c r="C3707" s="35">
        <v>2.0</v>
      </c>
      <c r="D3707" s="35">
        <v>58.0</v>
      </c>
      <c r="E3707" s="35">
        <v>46027.0</v>
      </c>
      <c r="F3707" s="35">
        <v>0.0</v>
      </c>
      <c r="G3707" s="35">
        <v>13.0</v>
      </c>
      <c r="H3707" s="35">
        <v>0.0</v>
      </c>
      <c r="I3707" s="35">
        <v>0.0</v>
      </c>
      <c r="J3707" s="35"/>
      <c r="K3707" s="35">
        <v>0.0</v>
      </c>
    </row>
    <row r="3708" ht="15.75" customHeight="1">
      <c r="A3708" s="35" t="s">
        <v>8973</v>
      </c>
      <c r="B3708" s="35"/>
      <c r="C3708" s="35">
        <v>2.0</v>
      </c>
      <c r="D3708" s="35" t="s">
        <v>4635</v>
      </c>
      <c r="E3708" s="35">
        <v>46027.0</v>
      </c>
      <c r="F3708" s="35">
        <v>0.0</v>
      </c>
      <c r="G3708" s="35">
        <v>1.0</v>
      </c>
      <c r="H3708" s="35">
        <v>0.0</v>
      </c>
      <c r="I3708" s="35">
        <v>0.0</v>
      </c>
      <c r="J3708" s="35"/>
      <c r="K3708" s="35">
        <v>0.0</v>
      </c>
    </row>
    <row r="3709" ht="15.75" customHeight="1">
      <c r="A3709" s="35" t="s">
        <v>8974</v>
      </c>
      <c r="B3709" s="35"/>
      <c r="C3709" s="35">
        <v>2.0</v>
      </c>
      <c r="D3709" s="35" t="s">
        <v>4635</v>
      </c>
      <c r="E3709" s="35">
        <v>46027.0</v>
      </c>
      <c r="F3709" s="35">
        <v>0.0</v>
      </c>
      <c r="G3709" s="35">
        <v>3.0</v>
      </c>
      <c r="H3709" s="35">
        <v>0.0</v>
      </c>
      <c r="I3709" s="35">
        <v>0.0</v>
      </c>
      <c r="J3709" s="35"/>
      <c r="K3709" s="35">
        <v>0.0</v>
      </c>
    </row>
    <row r="3710" ht="15.75" customHeight="1">
      <c r="A3710" s="35" t="s">
        <v>8976</v>
      </c>
      <c r="B3710" s="35"/>
      <c r="C3710" s="35">
        <v>2.0</v>
      </c>
      <c r="D3710" s="35" t="s">
        <v>4635</v>
      </c>
      <c r="E3710" s="35">
        <v>46027.0</v>
      </c>
      <c r="F3710" s="35">
        <v>0.0</v>
      </c>
      <c r="G3710" s="35">
        <v>4.0</v>
      </c>
      <c r="H3710" s="35">
        <v>0.0</v>
      </c>
      <c r="I3710" s="35">
        <v>0.0</v>
      </c>
      <c r="J3710" s="35"/>
      <c r="K3710" s="35">
        <v>0.0</v>
      </c>
    </row>
    <row r="3711" ht="15.75" customHeight="1">
      <c r="A3711" s="35" t="s">
        <v>8977</v>
      </c>
      <c r="B3711" s="35"/>
      <c r="C3711" s="35">
        <v>2.0</v>
      </c>
      <c r="D3711" s="35">
        <v>319.0</v>
      </c>
      <c r="E3711" s="35">
        <v>46027.0</v>
      </c>
      <c r="F3711" s="35">
        <v>0.0</v>
      </c>
      <c r="G3711" s="35">
        <v>25.0</v>
      </c>
      <c r="H3711" s="35">
        <v>0.0</v>
      </c>
      <c r="I3711" s="35">
        <v>0.0</v>
      </c>
      <c r="J3711" s="35"/>
      <c r="K3711" s="35">
        <v>0.0</v>
      </c>
    </row>
    <row r="3712" ht="15.75" customHeight="1">
      <c r="A3712" s="35" t="s">
        <v>8979</v>
      </c>
      <c r="B3712" s="35"/>
      <c r="C3712" s="35">
        <v>2.0</v>
      </c>
      <c r="D3712" s="35" t="s">
        <v>4635</v>
      </c>
      <c r="E3712" s="35">
        <v>46027.0</v>
      </c>
      <c r="F3712" s="35">
        <v>0.0</v>
      </c>
      <c r="G3712" s="35">
        <v>4.0</v>
      </c>
      <c r="H3712" s="35">
        <v>0.0</v>
      </c>
      <c r="I3712" s="35">
        <v>0.0</v>
      </c>
      <c r="J3712" s="35"/>
      <c r="K3712" s="35">
        <v>0.0</v>
      </c>
    </row>
    <row r="3713" ht="15.75" customHeight="1">
      <c r="A3713" s="35" t="s">
        <v>8980</v>
      </c>
      <c r="B3713" s="35"/>
      <c r="C3713" s="35">
        <v>2.0</v>
      </c>
      <c r="D3713" s="35">
        <v>178.0</v>
      </c>
      <c r="E3713" s="35">
        <v>46027.0</v>
      </c>
      <c r="F3713" s="35">
        <v>0.0</v>
      </c>
      <c r="G3713" s="35">
        <v>0.0</v>
      </c>
      <c r="H3713" s="35">
        <v>0.0</v>
      </c>
      <c r="I3713" s="35">
        <v>1.0</v>
      </c>
      <c r="J3713" s="35"/>
      <c r="K3713" s="35">
        <v>0.0</v>
      </c>
    </row>
    <row r="3714" ht="15.75" customHeight="1">
      <c r="A3714" s="35" t="s">
        <v>8982</v>
      </c>
      <c r="B3714" s="35"/>
      <c r="C3714" s="35">
        <v>2.0</v>
      </c>
      <c r="D3714" s="35" t="s">
        <v>4635</v>
      </c>
      <c r="E3714" s="35">
        <v>46027.0</v>
      </c>
      <c r="F3714" s="35">
        <v>0.0</v>
      </c>
      <c r="G3714" s="35">
        <v>2.0</v>
      </c>
      <c r="H3714" s="35">
        <v>0.0</v>
      </c>
      <c r="I3714" s="35">
        <v>0.0</v>
      </c>
      <c r="J3714" s="35"/>
      <c r="K3714" s="35">
        <v>0.0</v>
      </c>
    </row>
    <row r="3715" ht="15.75" customHeight="1">
      <c r="A3715" s="35" t="s">
        <v>8983</v>
      </c>
      <c r="B3715" s="35"/>
      <c r="C3715" s="35">
        <v>2.0</v>
      </c>
      <c r="D3715" s="35" t="s">
        <v>4635</v>
      </c>
      <c r="E3715" s="35">
        <v>46027.0</v>
      </c>
      <c r="F3715" s="35">
        <v>0.0</v>
      </c>
      <c r="G3715" s="35">
        <v>4.0</v>
      </c>
      <c r="H3715" s="35">
        <v>0.0</v>
      </c>
      <c r="I3715" s="35">
        <v>0.0</v>
      </c>
      <c r="J3715" s="35"/>
      <c r="K3715" s="35">
        <v>0.0</v>
      </c>
    </row>
    <row r="3716" ht="15.75" customHeight="1">
      <c r="A3716" s="35" t="s">
        <v>8985</v>
      </c>
      <c r="B3716" s="35"/>
      <c r="C3716" s="35">
        <v>2.0</v>
      </c>
      <c r="D3716" s="35" t="s">
        <v>4635</v>
      </c>
      <c r="E3716" s="35">
        <v>46027.0</v>
      </c>
      <c r="F3716" s="35">
        <v>0.0</v>
      </c>
      <c r="G3716" s="35">
        <v>4.0</v>
      </c>
      <c r="H3716" s="35">
        <v>0.0</v>
      </c>
      <c r="I3716" s="35">
        <v>0.0</v>
      </c>
      <c r="J3716" s="35"/>
      <c r="K3716" s="35">
        <v>0.0</v>
      </c>
    </row>
    <row r="3717" ht="15.75" customHeight="1">
      <c r="A3717" s="35" t="s">
        <v>8986</v>
      </c>
      <c r="B3717" s="35"/>
      <c r="C3717" s="35">
        <v>2.0</v>
      </c>
      <c r="D3717" s="35">
        <v>40.0</v>
      </c>
      <c r="E3717" s="35">
        <v>46027.0</v>
      </c>
      <c r="F3717" s="35">
        <v>0.0</v>
      </c>
      <c r="G3717" s="35">
        <v>1.0</v>
      </c>
      <c r="H3717" s="35">
        <v>0.0</v>
      </c>
      <c r="I3717" s="35">
        <v>0.0</v>
      </c>
      <c r="J3717" s="35"/>
      <c r="K3717" s="35">
        <v>0.0</v>
      </c>
    </row>
    <row r="3718" ht="15.75" customHeight="1">
      <c r="A3718" s="35" t="s">
        <v>8987</v>
      </c>
      <c r="B3718" s="35"/>
      <c r="C3718" s="35">
        <v>2.0</v>
      </c>
      <c r="D3718" s="35" t="s">
        <v>4635</v>
      </c>
      <c r="E3718" s="35">
        <v>46027.0</v>
      </c>
      <c r="F3718" s="35">
        <v>0.0</v>
      </c>
      <c r="G3718" s="35">
        <v>23.0</v>
      </c>
      <c r="H3718" s="35">
        <v>0.0</v>
      </c>
      <c r="I3718" s="35">
        <v>0.0</v>
      </c>
      <c r="J3718" s="35"/>
      <c r="K3718" s="35">
        <v>0.0</v>
      </c>
    </row>
    <row r="3719" ht="15.75" customHeight="1">
      <c r="A3719" s="35" t="s">
        <v>8988</v>
      </c>
      <c r="B3719" s="35"/>
      <c r="C3719" s="35">
        <v>2.0</v>
      </c>
      <c r="D3719" s="35">
        <v>53.0</v>
      </c>
      <c r="E3719" s="35">
        <v>46027.0</v>
      </c>
      <c r="F3719" s="35">
        <v>0.0</v>
      </c>
      <c r="G3719" s="35">
        <v>4.0</v>
      </c>
      <c r="H3719" s="35">
        <v>0.0</v>
      </c>
      <c r="I3719" s="35">
        <v>0.0</v>
      </c>
      <c r="J3719" s="35"/>
      <c r="K3719" s="35">
        <v>0.0</v>
      </c>
    </row>
    <row r="3720" ht="15.75" customHeight="1">
      <c r="A3720" s="35" t="s">
        <v>8990</v>
      </c>
      <c r="B3720" s="35"/>
      <c r="C3720" s="35">
        <v>2.0</v>
      </c>
      <c r="D3720" s="35" t="s">
        <v>4635</v>
      </c>
      <c r="E3720" s="35">
        <v>46027.0</v>
      </c>
      <c r="F3720" s="35">
        <v>0.0</v>
      </c>
      <c r="G3720" s="35">
        <v>4.0</v>
      </c>
      <c r="H3720" s="35">
        <v>0.0</v>
      </c>
      <c r="I3720" s="35">
        <v>0.0</v>
      </c>
      <c r="J3720" s="35"/>
      <c r="K3720" s="35">
        <v>0.0</v>
      </c>
    </row>
    <row r="3721" ht="15.75" customHeight="1">
      <c r="A3721" s="35" t="s">
        <v>8991</v>
      </c>
      <c r="B3721" s="35"/>
      <c r="C3721" s="35">
        <v>2.0</v>
      </c>
      <c r="D3721" s="35" t="s">
        <v>4635</v>
      </c>
      <c r="E3721" s="35">
        <v>46027.0</v>
      </c>
      <c r="F3721" s="35">
        <v>0.0</v>
      </c>
      <c r="G3721" s="35">
        <v>3.0</v>
      </c>
      <c r="H3721" s="35">
        <v>0.0</v>
      </c>
      <c r="I3721" s="35">
        <v>0.0</v>
      </c>
      <c r="J3721" s="35"/>
      <c r="K3721" s="35">
        <v>0.0</v>
      </c>
    </row>
    <row r="3722" ht="15.75" customHeight="1">
      <c r="A3722" s="35" t="s">
        <v>8993</v>
      </c>
      <c r="B3722" s="35"/>
      <c r="C3722" s="35">
        <v>2.0</v>
      </c>
      <c r="D3722" s="35" t="s">
        <v>4635</v>
      </c>
      <c r="E3722" s="35">
        <v>46027.0</v>
      </c>
      <c r="F3722" s="35">
        <v>0.0</v>
      </c>
      <c r="G3722" s="35">
        <v>4.0</v>
      </c>
      <c r="H3722" s="35">
        <v>0.0</v>
      </c>
      <c r="I3722" s="35">
        <v>0.0</v>
      </c>
      <c r="J3722" s="35"/>
      <c r="K3722" s="35">
        <v>0.0</v>
      </c>
    </row>
    <row r="3723" ht="15.75" customHeight="1">
      <c r="A3723" s="35" t="s">
        <v>8994</v>
      </c>
      <c r="B3723" s="35"/>
      <c r="C3723" s="35">
        <v>2.0</v>
      </c>
      <c r="D3723" s="35">
        <v>173.0</v>
      </c>
      <c r="E3723" s="35">
        <v>46027.0</v>
      </c>
      <c r="F3723" s="35">
        <v>0.0</v>
      </c>
      <c r="G3723" s="35">
        <v>11.0</v>
      </c>
      <c r="H3723" s="35">
        <v>0.0</v>
      </c>
      <c r="I3723" s="35">
        <v>0.0</v>
      </c>
      <c r="J3723" s="35"/>
      <c r="K3723" s="35">
        <v>0.0</v>
      </c>
    </row>
    <row r="3724" ht="15.75" customHeight="1">
      <c r="A3724" s="35" t="s">
        <v>8996</v>
      </c>
      <c r="B3724" s="35"/>
      <c r="C3724" s="35">
        <v>2.0</v>
      </c>
      <c r="D3724" s="35">
        <v>65.0</v>
      </c>
      <c r="E3724" s="35">
        <v>46027.0</v>
      </c>
      <c r="F3724" s="35">
        <v>0.0</v>
      </c>
      <c r="G3724" s="35">
        <v>13.0</v>
      </c>
      <c r="H3724" s="35">
        <v>0.0</v>
      </c>
      <c r="I3724" s="35">
        <v>0.0</v>
      </c>
      <c r="J3724" s="35"/>
      <c r="K3724" s="35">
        <v>0.0</v>
      </c>
    </row>
    <row r="3725" ht="15.75" customHeight="1">
      <c r="A3725" s="35" t="s">
        <v>8997</v>
      </c>
      <c r="B3725" s="35"/>
      <c r="C3725" s="35">
        <v>2.0</v>
      </c>
      <c r="D3725" s="35" t="s">
        <v>4635</v>
      </c>
      <c r="E3725" s="35">
        <v>46027.0</v>
      </c>
      <c r="F3725" s="35">
        <v>0.0</v>
      </c>
      <c r="G3725" s="35">
        <v>1.0</v>
      </c>
      <c r="H3725" s="35">
        <v>0.0</v>
      </c>
      <c r="I3725" s="35">
        <v>0.0</v>
      </c>
      <c r="J3725" s="35"/>
      <c r="K3725" s="35">
        <v>0.0</v>
      </c>
    </row>
    <row r="3726" ht="15.75" customHeight="1">
      <c r="A3726" s="35" t="s">
        <v>8998</v>
      </c>
      <c r="B3726" s="35"/>
      <c r="C3726" s="35">
        <v>2.0</v>
      </c>
      <c r="D3726" s="35" t="s">
        <v>4635</v>
      </c>
      <c r="E3726" s="35">
        <v>46027.0</v>
      </c>
      <c r="F3726" s="35">
        <v>0.0</v>
      </c>
      <c r="G3726" s="35">
        <v>2.0</v>
      </c>
      <c r="H3726" s="35">
        <v>0.0</v>
      </c>
      <c r="I3726" s="35">
        <v>0.0</v>
      </c>
      <c r="J3726" s="35"/>
      <c r="K3726" s="35">
        <v>0.0</v>
      </c>
    </row>
    <row r="3727" ht="15.75" customHeight="1">
      <c r="A3727" s="35" t="s">
        <v>9000</v>
      </c>
      <c r="B3727" s="35"/>
      <c r="C3727" s="35">
        <v>2.0</v>
      </c>
      <c r="D3727" s="35">
        <v>32.0</v>
      </c>
      <c r="E3727" s="35">
        <v>46027.0</v>
      </c>
      <c r="F3727" s="35">
        <v>0.0</v>
      </c>
      <c r="G3727" s="35">
        <v>9.0</v>
      </c>
      <c r="H3727" s="35">
        <v>0.0</v>
      </c>
      <c r="I3727" s="35">
        <v>0.0</v>
      </c>
      <c r="J3727" s="35"/>
      <c r="K3727" s="35">
        <v>0.0</v>
      </c>
    </row>
    <row r="3728" ht="15.75" customHeight="1">
      <c r="A3728" s="35" t="s">
        <v>9001</v>
      </c>
      <c r="B3728" s="35"/>
      <c r="C3728" s="35">
        <v>2.0</v>
      </c>
      <c r="D3728" s="35" t="s">
        <v>4635</v>
      </c>
      <c r="E3728" s="35">
        <v>46027.0</v>
      </c>
      <c r="F3728" s="35">
        <v>0.0</v>
      </c>
      <c r="G3728" s="35">
        <v>2.0</v>
      </c>
      <c r="H3728" s="35">
        <v>0.0</v>
      </c>
      <c r="I3728" s="35">
        <v>0.0</v>
      </c>
      <c r="J3728" s="35"/>
      <c r="K3728" s="35">
        <v>0.0</v>
      </c>
    </row>
    <row r="3729" ht="15.75" customHeight="1">
      <c r="A3729" s="35" t="s">
        <v>9003</v>
      </c>
      <c r="B3729" s="35"/>
      <c r="C3729" s="35">
        <v>2.0</v>
      </c>
      <c r="D3729" s="35" t="s">
        <v>4635</v>
      </c>
      <c r="E3729" s="35">
        <v>46027.0</v>
      </c>
      <c r="F3729" s="35">
        <v>0.0</v>
      </c>
      <c r="G3729" s="35">
        <v>4.0</v>
      </c>
      <c r="H3729" s="35">
        <v>0.0</v>
      </c>
      <c r="I3729" s="35">
        <v>0.0</v>
      </c>
      <c r="J3729" s="35"/>
      <c r="K3729" s="35">
        <v>0.0</v>
      </c>
    </row>
    <row r="3730" ht="15.75" customHeight="1">
      <c r="A3730" s="35" t="s">
        <v>9004</v>
      </c>
      <c r="B3730" s="35"/>
      <c r="C3730" s="35">
        <v>2.0</v>
      </c>
      <c r="D3730" s="35" t="s">
        <v>4635</v>
      </c>
      <c r="E3730" s="35">
        <v>46027.0</v>
      </c>
      <c r="F3730" s="35">
        <v>0.0</v>
      </c>
      <c r="G3730" s="35">
        <v>3.0</v>
      </c>
      <c r="H3730" s="35">
        <v>0.0</v>
      </c>
      <c r="I3730" s="35">
        <v>0.0</v>
      </c>
      <c r="J3730" s="35"/>
      <c r="K3730" s="35">
        <v>0.0</v>
      </c>
    </row>
    <row r="3731" ht="15.75" customHeight="1">
      <c r="A3731" s="35" t="s">
        <v>9006</v>
      </c>
      <c r="B3731" s="35"/>
      <c r="C3731" s="35">
        <v>2.0</v>
      </c>
      <c r="D3731" s="35" t="s">
        <v>4635</v>
      </c>
      <c r="E3731" s="35">
        <v>46027.0</v>
      </c>
      <c r="F3731" s="35">
        <v>0.0</v>
      </c>
      <c r="G3731" s="35">
        <v>18.0</v>
      </c>
      <c r="H3731" s="35">
        <v>0.0</v>
      </c>
      <c r="I3731" s="35">
        <v>0.0</v>
      </c>
      <c r="J3731" s="35"/>
      <c r="K3731" s="35">
        <v>0.0</v>
      </c>
    </row>
    <row r="3732" ht="15.75" customHeight="1">
      <c r="A3732" s="35" t="s">
        <v>9007</v>
      </c>
      <c r="B3732" s="35"/>
      <c r="C3732" s="35">
        <v>2.0</v>
      </c>
      <c r="D3732" s="35" t="s">
        <v>4635</v>
      </c>
      <c r="E3732" s="35">
        <v>46027.0</v>
      </c>
      <c r="F3732" s="35">
        <v>0.0</v>
      </c>
      <c r="G3732" s="35">
        <v>6.0</v>
      </c>
      <c r="H3732" s="35">
        <v>0.0</v>
      </c>
      <c r="I3732" s="35">
        <v>0.0</v>
      </c>
      <c r="J3732" s="35"/>
      <c r="K3732" s="35">
        <v>0.0</v>
      </c>
    </row>
    <row r="3733" ht="15.75" customHeight="1">
      <c r="A3733" s="35" t="s">
        <v>9009</v>
      </c>
      <c r="B3733" s="35"/>
      <c r="C3733" s="35">
        <v>2.0</v>
      </c>
      <c r="D3733" s="35" t="s">
        <v>4635</v>
      </c>
      <c r="E3733" s="35">
        <v>46027.0</v>
      </c>
      <c r="F3733" s="35">
        <v>0.0</v>
      </c>
      <c r="G3733" s="35">
        <v>4.0</v>
      </c>
      <c r="H3733" s="35">
        <v>0.0</v>
      </c>
      <c r="I3733" s="35">
        <v>0.0</v>
      </c>
      <c r="J3733" s="35"/>
      <c r="K3733" s="35">
        <v>0.0</v>
      </c>
    </row>
    <row r="3734" ht="15.75" customHeight="1">
      <c r="A3734" s="35" t="s">
        <v>9010</v>
      </c>
      <c r="B3734" s="35"/>
      <c r="C3734" s="35">
        <v>2.0</v>
      </c>
      <c r="D3734" s="35">
        <v>364.0</v>
      </c>
      <c r="E3734" s="35">
        <v>46027.0</v>
      </c>
      <c r="F3734" s="35">
        <v>0.0</v>
      </c>
      <c r="G3734" s="35">
        <v>1.0</v>
      </c>
      <c r="H3734" s="35">
        <v>0.0</v>
      </c>
      <c r="I3734" s="35">
        <v>0.0</v>
      </c>
      <c r="J3734" s="35"/>
      <c r="K3734" s="35">
        <v>0.0</v>
      </c>
    </row>
    <row r="3735" ht="15.75" customHeight="1">
      <c r="A3735" s="35" t="s">
        <v>9011</v>
      </c>
      <c r="B3735" s="35"/>
      <c r="C3735" s="35">
        <v>2.0</v>
      </c>
      <c r="D3735" s="35">
        <v>51.0</v>
      </c>
      <c r="E3735" s="35">
        <v>46027.0</v>
      </c>
      <c r="F3735" s="35">
        <v>0.0</v>
      </c>
      <c r="G3735" s="35">
        <v>0.0</v>
      </c>
      <c r="H3735" s="35">
        <v>0.0</v>
      </c>
      <c r="I3735" s="35">
        <v>1.0</v>
      </c>
      <c r="J3735" s="35"/>
      <c r="K3735" s="35">
        <v>0.0</v>
      </c>
    </row>
    <row r="3736" ht="15.75" customHeight="1">
      <c r="A3736" s="35" t="s">
        <v>9013</v>
      </c>
      <c r="B3736" s="35"/>
      <c r="C3736" s="35">
        <v>2.0</v>
      </c>
      <c r="D3736" s="35">
        <v>432.0</v>
      </c>
      <c r="E3736" s="35">
        <v>46027.0</v>
      </c>
      <c r="F3736" s="35">
        <v>0.0</v>
      </c>
      <c r="G3736" s="35">
        <v>2.0</v>
      </c>
      <c r="H3736" s="35">
        <v>0.0</v>
      </c>
      <c r="I3736" s="35">
        <v>0.0</v>
      </c>
      <c r="J3736" s="35"/>
      <c r="K3736" s="35">
        <v>0.0</v>
      </c>
    </row>
    <row r="3737" ht="15.75" customHeight="1">
      <c r="A3737" s="35" t="s">
        <v>9014</v>
      </c>
      <c r="B3737" s="35"/>
      <c r="C3737" s="35">
        <v>2.0</v>
      </c>
      <c r="D3737" s="35" t="s">
        <v>4635</v>
      </c>
      <c r="E3737" s="35">
        <v>46027.0</v>
      </c>
      <c r="F3737" s="35">
        <v>0.0</v>
      </c>
      <c r="G3737" s="35">
        <v>1.0</v>
      </c>
      <c r="H3737" s="35">
        <v>0.0</v>
      </c>
      <c r="I3737" s="35">
        <v>0.0</v>
      </c>
      <c r="J3737" s="35"/>
      <c r="K3737" s="35">
        <v>0.0</v>
      </c>
    </row>
    <row r="3738" ht="15.75" customHeight="1">
      <c r="A3738" s="35" t="s">
        <v>9016</v>
      </c>
      <c r="B3738" s="35"/>
      <c r="C3738" s="35">
        <v>2.0</v>
      </c>
      <c r="D3738" s="35" t="s">
        <v>4635</v>
      </c>
      <c r="E3738" s="35">
        <v>46027.0</v>
      </c>
      <c r="F3738" s="35">
        <v>0.0</v>
      </c>
      <c r="G3738" s="35">
        <v>21.0</v>
      </c>
      <c r="H3738" s="35">
        <v>0.0</v>
      </c>
      <c r="I3738" s="35">
        <v>0.0</v>
      </c>
      <c r="J3738" s="35"/>
      <c r="K3738" s="35">
        <v>0.0</v>
      </c>
    </row>
    <row r="3739" ht="15.75" customHeight="1">
      <c r="A3739" s="35" t="s">
        <v>9017</v>
      </c>
      <c r="B3739" s="35"/>
      <c r="C3739" s="35">
        <v>2.0</v>
      </c>
      <c r="D3739" s="35">
        <v>262.0</v>
      </c>
      <c r="E3739" s="35">
        <v>46027.0</v>
      </c>
      <c r="F3739" s="35">
        <v>0.0</v>
      </c>
      <c r="G3739" s="35">
        <v>1.0</v>
      </c>
      <c r="H3739" s="35">
        <v>0.0</v>
      </c>
      <c r="I3739" s="35">
        <v>0.0</v>
      </c>
      <c r="J3739" s="35"/>
      <c r="K3739" s="35">
        <v>0.0</v>
      </c>
    </row>
    <row r="3740" ht="15.75" customHeight="1">
      <c r="A3740" s="35" t="s">
        <v>9019</v>
      </c>
      <c r="B3740" s="35"/>
      <c r="C3740" s="35">
        <v>2.0</v>
      </c>
      <c r="D3740" s="35">
        <v>107.0</v>
      </c>
      <c r="E3740" s="35">
        <v>46027.0</v>
      </c>
      <c r="F3740" s="35">
        <v>0.0</v>
      </c>
      <c r="G3740" s="35">
        <v>4.0</v>
      </c>
      <c r="H3740" s="35">
        <v>0.0</v>
      </c>
      <c r="I3740" s="35">
        <v>0.0</v>
      </c>
      <c r="J3740" s="35"/>
      <c r="K3740" s="35">
        <v>0.0</v>
      </c>
    </row>
    <row r="3741" ht="15.75" customHeight="1">
      <c r="A3741" s="35" t="s">
        <v>9020</v>
      </c>
      <c r="B3741" s="35"/>
      <c r="C3741" s="35">
        <v>2.0</v>
      </c>
      <c r="D3741" s="35">
        <v>53.0</v>
      </c>
      <c r="E3741" s="35">
        <v>46027.0</v>
      </c>
      <c r="F3741" s="35">
        <v>0.0</v>
      </c>
      <c r="G3741" s="35">
        <v>59.0</v>
      </c>
      <c r="H3741" s="35">
        <v>0.0</v>
      </c>
      <c r="I3741" s="35">
        <v>0.0</v>
      </c>
      <c r="J3741" s="35"/>
      <c r="K3741" s="35">
        <v>0.0</v>
      </c>
    </row>
    <row r="3742" ht="15.75" customHeight="1">
      <c r="A3742" s="35" t="s">
        <v>9022</v>
      </c>
      <c r="B3742" s="35"/>
      <c r="C3742" s="35">
        <v>2.0</v>
      </c>
      <c r="D3742" s="35">
        <v>799.0</v>
      </c>
      <c r="E3742" s="35">
        <v>46027.0</v>
      </c>
      <c r="F3742" s="35">
        <v>0.0</v>
      </c>
      <c r="G3742" s="35">
        <v>1.0</v>
      </c>
      <c r="H3742" s="35">
        <v>0.0</v>
      </c>
      <c r="I3742" s="35">
        <v>0.0</v>
      </c>
      <c r="J3742" s="35"/>
      <c r="K3742" s="35">
        <v>0.0</v>
      </c>
    </row>
    <row r="3743" ht="15.75" customHeight="1">
      <c r="A3743" s="35" t="s">
        <v>9023</v>
      </c>
      <c r="B3743" s="35"/>
      <c r="C3743" s="35">
        <v>2.0</v>
      </c>
      <c r="D3743" s="35" t="s">
        <v>4635</v>
      </c>
      <c r="E3743" s="35">
        <v>46027.0</v>
      </c>
      <c r="F3743" s="35">
        <v>0.0</v>
      </c>
      <c r="G3743" s="35">
        <v>3.0</v>
      </c>
      <c r="H3743" s="35">
        <v>0.0</v>
      </c>
      <c r="I3743" s="35">
        <v>0.0</v>
      </c>
      <c r="J3743" s="35"/>
      <c r="K3743" s="35">
        <v>0.0</v>
      </c>
    </row>
    <row r="3744" ht="15.75" customHeight="1">
      <c r="A3744" s="35" t="s">
        <v>9025</v>
      </c>
      <c r="B3744" s="35"/>
      <c r="C3744" s="35">
        <v>2.0</v>
      </c>
      <c r="D3744" s="35" t="s">
        <v>4635</v>
      </c>
      <c r="E3744" s="35">
        <v>46027.0</v>
      </c>
      <c r="F3744" s="35">
        <v>0.0</v>
      </c>
      <c r="G3744" s="35">
        <v>2.0</v>
      </c>
      <c r="H3744" s="35">
        <v>0.0</v>
      </c>
      <c r="I3744" s="35">
        <v>0.0</v>
      </c>
      <c r="J3744" s="35"/>
      <c r="K3744" s="35">
        <v>0.0</v>
      </c>
    </row>
    <row r="3745" ht="15.75" customHeight="1">
      <c r="A3745" s="35" t="s">
        <v>9026</v>
      </c>
      <c r="B3745" s="35"/>
      <c r="C3745" s="35">
        <v>2.0</v>
      </c>
      <c r="D3745" s="35" t="s">
        <v>4635</v>
      </c>
      <c r="E3745" s="35">
        <v>46027.0</v>
      </c>
      <c r="F3745" s="35">
        <v>0.0</v>
      </c>
      <c r="G3745" s="35">
        <v>3.0</v>
      </c>
      <c r="H3745" s="35">
        <v>0.0</v>
      </c>
      <c r="I3745" s="35">
        <v>0.0</v>
      </c>
      <c r="J3745" s="35"/>
      <c r="K3745" s="35">
        <v>0.0</v>
      </c>
    </row>
    <row r="3746" ht="15.75" customHeight="1">
      <c r="A3746" s="35" t="s">
        <v>9028</v>
      </c>
      <c r="B3746" s="35"/>
      <c r="C3746" s="35">
        <v>2.0</v>
      </c>
      <c r="D3746" s="35" t="s">
        <v>4635</v>
      </c>
      <c r="E3746" s="35">
        <v>46027.0</v>
      </c>
      <c r="F3746" s="35">
        <v>0.0</v>
      </c>
      <c r="G3746" s="35">
        <v>3.0</v>
      </c>
      <c r="H3746" s="35">
        <v>0.0</v>
      </c>
      <c r="I3746" s="35">
        <v>0.0</v>
      </c>
      <c r="J3746" s="35"/>
      <c r="K3746" s="35">
        <v>0.0</v>
      </c>
    </row>
    <row r="3747" ht="15.75" customHeight="1">
      <c r="A3747" s="35" t="s">
        <v>9029</v>
      </c>
      <c r="B3747" s="35"/>
      <c r="C3747" s="35">
        <v>2.0</v>
      </c>
      <c r="D3747" s="35" t="s">
        <v>4635</v>
      </c>
      <c r="E3747" s="35">
        <v>46027.0</v>
      </c>
      <c r="F3747" s="35">
        <v>0.0</v>
      </c>
      <c r="G3747" s="35">
        <v>6.0</v>
      </c>
      <c r="H3747" s="35">
        <v>0.0</v>
      </c>
      <c r="I3747" s="35">
        <v>0.0</v>
      </c>
      <c r="J3747" s="35"/>
      <c r="K3747" s="35">
        <v>0.0</v>
      </c>
    </row>
    <row r="3748" ht="15.75" customHeight="1">
      <c r="A3748" s="35" t="s">
        <v>9030</v>
      </c>
      <c r="B3748" s="35"/>
      <c r="C3748" s="35">
        <v>2.0</v>
      </c>
      <c r="D3748" s="35" t="s">
        <v>4635</v>
      </c>
      <c r="E3748" s="35">
        <v>46027.0</v>
      </c>
      <c r="F3748" s="35">
        <v>0.0</v>
      </c>
      <c r="G3748" s="35">
        <v>5.0</v>
      </c>
      <c r="H3748" s="35">
        <v>0.0</v>
      </c>
      <c r="I3748" s="35">
        <v>0.0</v>
      </c>
      <c r="J3748" s="35"/>
      <c r="K3748" s="35">
        <v>0.0</v>
      </c>
    </row>
    <row r="3749" ht="15.75" customHeight="1">
      <c r="A3749" s="35" t="s">
        <v>9032</v>
      </c>
      <c r="B3749" s="35"/>
      <c r="C3749" s="35">
        <v>2.0</v>
      </c>
      <c r="D3749" s="35" t="s">
        <v>4635</v>
      </c>
      <c r="E3749" s="35">
        <v>46027.0</v>
      </c>
      <c r="F3749" s="35">
        <v>0.0</v>
      </c>
      <c r="G3749" s="35">
        <v>20.0</v>
      </c>
      <c r="H3749" s="35">
        <v>0.0</v>
      </c>
      <c r="I3749" s="35">
        <v>0.0</v>
      </c>
      <c r="J3749" s="35"/>
      <c r="K3749" s="35">
        <v>0.0</v>
      </c>
    </row>
    <row r="3750" ht="15.75" customHeight="1">
      <c r="A3750" s="35" t="s">
        <v>9033</v>
      </c>
      <c r="B3750" s="35"/>
      <c r="C3750" s="35">
        <v>2.0</v>
      </c>
      <c r="D3750" s="35" t="s">
        <v>4635</v>
      </c>
      <c r="E3750" s="35">
        <v>46027.0</v>
      </c>
      <c r="F3750" s="35">
        <v>0.0</v>
      </c>
      <c r="G3750" s="35">
        <v>6.0</v>
      </c>
      <c r="H3750" s="35">
        <v>0.0</v>
      </c>
      <c r="I3750" s="35">
        <v>0.0</v>
      </c>
      <c r="J3750" s="35"/>
      <c r="K3750" s="35">
        <v>0.0</v>
      </c>
    </row>
    <row r="3751" ht="15.75" customHeight="1">
      <c r="A3751" s="35" t="s">
        <v>9035</v>
      </c>
      <c r="B3751" s="35"/>
      <c r="C3751" s="35">
        <v>2.0</v>
      </c>
      <c r="D3751" s="35" t="s">
        <v>4635</v>
      </c>
      <c r="E3751" s="35">
        <v>46027.0</v>
      </c>
      <c r="F3751" s="35">
        <v>0.0</v>
      </c>
      <c r="G3751" s="35">
        <v>7.0</v>
      </c>
      <c r="H3751" s="35">
        <v>0.0</v>
      </c>
      <c r="I3751" s="35">
        <v>0.0</v>
      </c>
      <c r="J3751" s="35"/>
      <c r="K3751" s="35">
        <v>0.0</v>
      </c>
    </row>
    <row r="3752" ht="15.75" customHeight="1">
      <c r="A3752" s="35" t="s">
        <v>9036</v>
      </c>
      <c r="B3752" s="35"/>
      <c r="C3752" s="35">
        <v>2.0</v>
      </c>
      <c r="D3752" s="35" t="s">
        <v>2032</v>
      </c>
      <c r="E3752" s="35">
        <v>46027.0</v>
      </c>
      <c r="F3752" s="35">
        <v>0.0</v>
      </c>
      <c r="G3752" s="35">
        <v>0.0</v>
      </c>
      <c r="H3752" s="35">
        <v>0.0</v>
      </c>
      <c r="I3752" s="35">
        <v>1.0</v>
      </c>
      <c r="J3752" s="35"/>
      <c r="K3752" s="35">
        <v>0.0</v>
      </c>
    </row>
    <row r="3753" ht="15.75" customHeight="1">
      <c r="A3753" s="35" t="s">
        <v>9038</v>
      </c>
      <c r="B3753" s="35"/>
      <c r="C3753" s="35">
        <v>2.0</v>
      </c>
      <c r="D3753" s="35" t="s">
        <v>4635</v>
      </c>
      <c r="E3753" s="35">
        <v>46027.0</v>
      </c>
      <c r="F3753" s="35">
        <v>0.0</v>
      </c>
      <c r="G3753" s="35">
        <v>23.0</v>
      </c>
      <c r="H3753" s="35">
        <v>0.0</v>
      </c>
      <c r="I3753" s="35">
        <v>0.0</v>
      </c>
      <c r="J3753" s="35"/>
      <c r="K3753" s="35">
        <v>0.0</v>
      </c>
    </row>
    <row r="3754" ht="15.75" customHeight="1">
      <c r="A3754" s="35" t="s">
        <v>9039</v>
      </c>
      <c r="B3754" s="35"/>
      <c r="C3754" s="35">
        <v>2.0</v>
      </c>
      <c r="D3754" s="35" t="s">
        <v>4635</v>
      </c>
      <c r="E3754" s="35">
        <v>46027.0</v>
      </c>
      <c r="F3754" s="35">
        <v>0.0</v>
      </c>
      <c r="G3754" s="35">
        <v>1.0</v>
      </c>
      <c r="H3754" s="35">
        <v>0.0</v>
      </c>
      <c r="I3754" s="35">
        <v>0.0</v>
      </c>
      <c r="J3754" s="35"/>
      <c r="K3754" s="35">
        <v>0.0</v>
      </c>
    </row>
    <row r="3755" ht="15.75" customHeight="1">
      <c r="A3755" s="35" t="s">
        <v>9041</v>
      </c>
      <c r="B3755" s="35"/>
      <c r="C3755" s="35">
        <v>2.0</v>
      </c>
      <c r="D3755" s="35" t="s">
        <v>4635</v>
      </c>
      <c r="E3755" s="35">
        <v>46027.0</v>
      </c>
      <c r="F3755" s="35">
        <v>0.0</v>
      </c>
      <c r="G3755" s="35">
        <v>1.0</v>
      </c>
      <c r="H3755" s="35">
        <v>0.0</v>
      </c>
      <c r="I3755" s="35">
        <v>0.0</v>
      </c>
      <c r="J3755" s="35"/>
      <c r="K3755" s="35">
        <v>0.0</v>
      </c>
    </row>
    <row r="3756" ht="15.75" customHeight="1">
      <c r="A3756" s="35" t="s">
        <v>9042</v>
      </c>
      <c r="B3756" s="35"/>
      <c r="C3756" s="35">
        <v>2.0</v>
      </c>
      <c r="D3756" s="35" t="s">
        <v>4635</v>
      </c>
      <c r="E3756" s="35">
        <v>46027.0</v>
      </c>
      <c r="F3756" s="35">
        <v>0.0</v>
      </c>
      <c r="G3756" s="35">
        <v>1.0</v>
      </c>
      <c r="H3756" s="35">
        <v>0.0</v>
      </c>
      <c r="I3756" s="35">
        <v>0.0</v>
      </c>
      <c r="J3756" s="35"/>
      <c r="K3756" s="35">
        <v>0.0</v>
      </c>
    </row>
    <row r="3757" ht="15.75" customHeight="1">
      <c r="A3757" s="35" t="s">
        <v>9043</v>
      </c>
      <c r="B3757" s="35"/>
      <c r="C3757" s="35">
        <v>2.0</v>
      </c>
      <c r="D3757" s="35" t="s">
        <v>4635</v>
      </c>
      <c r="E3757" s="35">
        <v>46027.0</v>
      </c>
      <c r="F3757" s="35">
        <v>0.0</v>
      </c>
      <c r="G3757" s="35">
        <v>4.0</v>
      </c>
      <c r="H3757" s="35">
        <v>0.0</v>
      </c>
      <c r="I3757" s="35">
        <v>0.0</v>
      </c>
      <c r="J3757" s="35"/>
      <c r="K3757" s="35">
        <v>0.0</v>
      </c>
    </row>
    <row r="3758" ht="15.75" customHeight="1">
      <c r="A3758" s="35" t="s">
        <v>9045</v>
      </c>
      <c r="B3758" s="35"/>
      <c r="C3758" s="35">
        <v>2.0</v>
      </c>
      <c r="D3758" s="35" t="s">
        <v>2046</v>
      </c>
      <c r="E3758" s="35">
        <v>46027.0</v>
      </c>
      <c r="F3758" s="35">
        <v>0.0</v>
      </c>
      <c r="G3758" s="35">
        <v>1.0</v>
      </c>
      <c r="H3758" s="35">
        <v>0.0</v>
      </c>
      <c r="I3758" s="35">
        <v>0.0</v>
      </c>
      <c r="J3758" s="35"/>
      <c r="K3758" s="35">
        <v>0.0</v>
      </c>
    </row>
    <row r="3759" ht="15.75" customHeight="1">
      <c r="A3759" s="35" t="s">
        <v>9046</v>
      </c>
      <c r="B3759" s="35"/>
      <c r="C3759" s="35">
        <v>2.0</v>
      </c>
      <c r="D3759" s="35" t="s">
        <v>4635</v>
      </c>
      <c r="E3759" s="35">
        <v>46027.0</v>
      </c>
      <c r="F3759" s="35">
        <v>0.0</v>
      </c>
      <c r="G3759" s="35">
        <v>4.0</v>
      </c>
      <c r="H3759" s="35">
        <v>0.0</v>
      </c>
      <c r="I3759" s="35">
        <v>0.0</v>
      </c>
      <c r="J3759" s="35"/>
      <c r="K3759" s="35">
        <v>0.0</v>
      </c>
    </row>
    <row r="3760" ht="15.75" customHeight="1">
      <c r="A3760" s="35" t="s">
        <v>9048</v>
      </c>
      <c r="B3760" s="35"/>
      <c r="C3760" s="35">
        <v>2.0</v>
      </c>
      <c r="D3760" s="35" t="s">
        <v>2039</v>
      </c>
      <c r="E3760" s="35">
        <v>46027.0</v>
      </c>
      <c r="F3760" s="35">
        <v>0.0</v>
      </c>
      <c r="G3760" s="35">
        <v>15.0</v>
      </c>
      <c r="H3760" s="35">
        <v>0.0</v>
      </c>
      <c r="I3760" s="35">
        <v>0.0</v>
      </c>
      <c r="J3760" s="35"/>
      <c r="K3760" s="35">
        <v>0.0</v>
      </c>
    </row>
    <row r="3761" ht="15.75" customHeight="1">
      <c r="A3761" s="35" t="s">
        <v>9049</v>
      </c>
      <c r="B3761" s="35"/>
      <c r="C3761" s="35">
        <v>2.0</v>
      </c>
      <c r="D3761" s="35" t="s">
        <v>4635</v>
      </c>
      <c r="E3761" s="35">
        <v>46027.0</v>
      </c>
      <c r="F3761" s="35">
        <v>0.0</v>
      </c>
      <c r="G3761" s="35">
        <v>4.0</v>
      </c>
      <c r="H3761" s="35">
        <v>0.0</v>
      </c>
      <c r="I3761" s="35">
        <v>0.0</v>
      </c>
      <c r="J3761" s="35"/>
      <c r="K3761" s="35">
        <v>0.0</v>
      </c>
    </row>
    <row r="3762" ht="15.75" customHeight="1">
      <c r="A3762" s="35" t="s">
        <v>9051</v>
      </c>
      <c r="B3762" s="35"/>
      <c r="C3762" s="35">
        <v>2.0</v>
      </c>
      <c r="D3762" s="35">
        <v>66.0</v>
      </c>
      <c r="E3762" s="35">
        <v>46027.0</v>
      </c>
      <c r="F3762" s="35">
        <v>0.0</v>
      </c>
      <c r="G3762" s="35">
        <v>6.0</v>
      </c>
      <c r="H3762" s="35">
        <v>0.0</v>
      </c>
      <c r="I3762" s="35">
        <v>0.0</v>
      </c>
      <c r="J3762" s="35"/>
      <c r="K3762" s="35">
        <v>0.0</v>
      </c>
    </row>
    <row r="3763" ht="15.75" customHeight="1">
      <c r="A3763" s="35" t="s">
        <v>9052</v>
      </c>
      <c r="B3763" s="35"/>
      <c r="C3763" s="35">
        <v>2.0</v>
      </c>
      <c r="D3763" s="35" t="s">
        <v>4635</v>
      </c>
      <c r="E3763" s="35">
        <v>46027.0</v>
      </c>
      <c r="F3763" s="35">
        <v>0.0</v>
      </c>
      <c r="G3763" s="35">
        <v>0.0</v>
      </c>
      <c r="H3763" s="35">
        <v>1.0</v>
      </c>
      <c r="I3763" s="35">
        <v>0.0</v>
      </c>
      <c r="J3763" s="35"/>
      <c r="K3763" s="35">
        <v>0.0</v>
      </c>
    </row>
    <row r="3764" ht="15.75" customHeight="1">
      <c r="A3764" s="35" t="s">
        <v>9054</v>
      </c>
      <c r="B3764" s="35"/>
      <c r="C3764" s="35">
        <v>2.0</v>
      </c>
      <c r="D3764" s="35" t="s">
        <v>2043</v>
      </c>
      <c r="E3764" s="35">
        <v>46027.0</v>
      </c>
      <c r="F3764" s="35">
        <v>0.0</v>
      </c>
      <c r="G3764" s="35">
        <v>2.0</v>
      </c>
      <c r="H3764" s="35">
        <v>0.0</v>
      </c>
      <c r="I3764" s="35">
        <v>0.0</v>
      </c>
      <c r="J3764" s="35"/>
      <c r="K3764" s="35">
        <v>0.0</v>
      </c>
    </row>
    <row r="3765" ht="15.75" customHeight="1">
      <c r="A3765" s="35" t="s">
        <v>9055</v>
      </c>
      <c r="B3765" s="35"/>
      <c r="C3765" s="35">
        <v>2.0</v>
      </c>
      <c r="D3765" s="35">
        <v>95.0</v>
      </c>
      <c r="E3765" s="35">
        <v>46027.0</v>
      </c>
      <c r="F3765" s="35">
        <v>0.0</v>
      </c>
      <c r="G3765" s="35">
        <v>11.0</v>
      </c>
      <c r="H3765" s="35">
        <v>0.0</v>
      </c>
      <c r="I3765" s="35">
        <v>0.0</v>
      </c>
      <c r="J3765" s="35"/>
      <c r="K3765" s="35">
        <v>0.0</v>
      </c>
    </row>
    <row r="3766" ht="15.75" customHeight="1">
      <c r="A3766" s="35" t="s">
        <v>9056</v>
      </c>
      <c r="B3766" s="35"/>
      <c r="C3766" s="35">
        <v>2.0</v>
      </c>
      <c r="D3766" s="35" t="s">
        <v>4635</v>
      </c>
      <c r="E3766" s="35">
        <v>46027.0</v>
      </c>
      <c r="F3766" s="35">
        <v>0.0</v>
      </c>
      <c r="G3766" s="35">
        <v>1.0</v>
      </c>
      <c r="H3766" s="35">
        <v>0.0</v>
      </c>
      <c r="I3766" s="35">
        <v>0.0</v>
      </c>
      <c r="J3766" s="35"/>
      <c r="K3766" s="35">
        <v>0.0</v>
      </c>
    </row>
    <row r="3767" ht="15.75" customHeight="1">
      <c r="A3767" s="35" t="s">
        <v>9058</v>
      </c>
      <c r="B3767" s="35"/>
      <c r="C3767" s="35">
        <v>2.0</v>
      </c>
      <c r="D3767" s="35">
        <v>748.0</v>
      </c>
      <c r="E3767" s="35">
        <v>46027.0</v>
      </c>
      <c r="F3767" s="35">
        <v>0.0</v>
      </c>
      <c r="G3767" s="35">
        <v>1.0</v>
      </c>
      <c r="H3767" s="35">
        <v>0.0</v>
      </c>
      <c r="I3767" s="35">
        <v>0.0</v>
      </c>
      <c r="J3767" s="35"/>
      <c r="K3767" s="35">
        <v>0.0</v>
      </c>
    </row>
    <row r="3768" ht="15.75" customHeight="1">
      <c r="A3768" s="35" t="s">
        <v>9059</v>
      </c>
      <c r="B3768" s="35"/>
      <c r="C3768" s="35">
        <v>2.0</v>
      </c>
      <c r="D3768" s="35" t="s">
        <v>4635</v>
      </c>
      <c r="E3768" s="35">
        <v>46027.0</v>
      </c>
      <c r="F3768" s="35">
        <v>0.0</v>
      </c>
      <c r="G3768" s="35">
        <v>17.0</v>
      </c>
      <c r="H3768" s="35">
        <v>0.0</v>
      </c>
      <c r="I3768" s="35">
        <v>0.0</v>
      </c>
      <c r="J3768" s="35"/>
      <c r="K3768" s="35">
        <v>0.0</v>
      </c>
    </row>
    <row r="3769" ht="15.75" customHeight="1">
      <c r="A3769" s="35" t="s">
        <v>9061</v>
      </c>
      <c r="B3769" s="35"/>
      <c r="C3769" s="35">
        <v>2.0</v>
      </c>
      <c r="D3769" s="35" t="s">
        <v>4635</v>
      </c>
      <c r="E3769" s="35">
        <v>46027.0</v>
      </c>
      <c r="F3769" s="35">
        <v>0.0</v>
      </c>
      <c r="G3769" s="35">
        <v>3.0</v>
      </c>
      <c r="H3769" s="35">
        <v>0.0</v>
      </c>
      <c r="I3769" s="35">
        <v>0.0</v>
      </c>
      <c r="J3769" s="35"/>
      <c r="K3769" s="35">
        <v>0.0</v>
      </c>
    </row>
    <row r="3770" ht="15.75" customHeight="1">
      <c r="A3770" s="35" t="s">
        <v>9062</v>
      </c>
      <c r="B3770" s="35"/>
      <c r="C3770" s="35">
        <v>2.0</v>
      </c>
      <c r="D3770" s="35">
        <v>56.0</v>
      </c>
      <c r="E3770" s="35">
        <v>46027.0</v>
      </c>
      <c r="F3770" s="35">
        <v>0.0</v>
      </c>
      <c r="G3770" s="35">
        <v>0.0</v>
      </c>
      <c r="H3770" s="35">
        <v>0.0</v>
      </c>
      <c r="I3770" s="35">
        <v>18.0</v>
      </c>
      <c r="J3770" s="35"/>
      <c r="K3770" s="35">
        <v>0.0</v>
      </c>
    </row>
    <row r="3771" ht="15.75" customHeight="1">
      <c r="A3771" s="35" t="s">
        <v>9064</v>
      </c>
      <c r="B3771" s="35"/>
      <c r="C3771" s="35">
        <v>2.0</v>
      </c>
      <c r="D3771" s="35" t="s">
        <v>4635</v>
      </c>
      <c r="E3771" s="35">
        <v>46027.0</v>
      </c>
      <c r="F3771" s="35">
        <v>0.0</v>
      </c>
      <c r="G3771" s="35">
        <v>0.0</v>
      </c>
      <c r="H3771" s="35">
        <v>0.0</v>
      </c>
      <c r="I3771" s="35">
        <v>36.0</v>
      </c>
      <c r="J3771" s="35"/>
      <c r="K3771" s="35">
        <v>0.0</v>
      </c>
    </row>
    <row r="3772" ht="15.75" customHeight="1">
      <c r="A3772" s="35" t="s">
        <v>9065</v>
      </c>
      <c r="B3772" s="35"/>
      <c r="C3772" s="35">
        <v>2.0</v>
      </c>
      <c r="D3772" s="35" t="s">
        <v>4635</v>
      </c>
      <c r="E3772" s="35">
        <v>46027.0</v>
      </c>
      <c r="F3772" s="35">
        <v>0.0</v>
      </c>
      <c r="G3772" s="35">
        <v>1.0</v>
      </c>
      <c r="H3772" s="35">
        <v>0.0</v>
      </c>
      <c r="I3772" s="35">
        <v>0.0</v>
      </c>
      <c r="J3772" s="35"/>
      <c r="K3772" s="35">
        <v>0.0</v>
      </c>
    </row>
    <row r="3773" ht="15.75" customHeight="1">
      <c r="A3773" s="35" t="s">
        <v>9067</v>
      </c>
      <c r="B3773" s="35"/>
      <c r="C3773" s="35">
        <v>2.0</v>
      </c>
      <c r="D3773" s="35" t="s">
        <v>4635</v>
      </c>
      <c r="E3773" s="35">
        <v>46027.0</v>
      </c>
      <c r="F3773" s="35">
        <v>0.0</v>
      </c>
      <c r="G3773" s="35">
        <v>1.0</v>
      </c>
      <c r="H3773" s="35">
        <v>0.0</v>
      </c>
      <c r="I3773" s="35">
        <v>0.0</v>
      </c>
      <c r="J3773" s="35"/>
      <c r="K3773" s="35">
        <v>0.0</v>
      </c>
    </row>
    <row r="3774" ht="15.75" customHeight="1">
      <c r="A3774" s="35" t="s">
        <v>9068</v>
      </c>
      <c r="B3774" s="35"/>
      <c r="C3774" s="35">
        <v>2.0</v>
      </c>
      <c r="D3774" s="35" t="s">
        <v>4635</v>
      </c>
      <c r="E3774" s="35">
        <v>46027.0</v>
      </c>
      <c r="F3774" s="35">
        <v>0.0</v>
      </c>
      <c r="G3774" s="35">
        <v>0.0</v>
      </c>
      <c r="H3774" s="35">
        <v>0.0</v>
      </c>
      <c r="I3774" s="35">
        <v>25.0</v>
      </c>
      <c r="J3774" s="35"/>
      <c r="K3774" s="35">
        <v>0.0</v>
      </c>
    </row>
    <row r="3775" ht="15.75" customHeight="1">
      <c r="A3775" s="35" t="s">
        <v>9070</v>
      </c>
      <c r="B3775" s="35"/>
      <c r="C3775" s="35">
        <v>2.0</v>
      </c>
      <c r="D3775" s="35" t="s">
        <v>4635</v>
      </c>
      <c r="E3775" s="35">
        <v>46027.0</v>
      </c>
      <c r="F3775" s="35">
        <v>0.0</v>
      </c>
      <c r="G3775" s="35">
        <v>4.0</v>
      </c>
      <c r="H3775" s="35">
        <v>0.0</v>
      </c>
      <c r="I3775" s="35">
        <v>0.0</v>
      </c>
      <c r="J3775" s="35"/>
      <c r="K3775" s="35">
        <v>0.0</v>
      </c>
    </row>
    <row r="3776" ht="15.75" customHeight="1">
      <c r="A3776" s="35" t="s">
        <v>9071</v>
      </c>
      <c r="B3776" s="35"/>
      <c r="C3776" s="35">
        <v>2.0</v>
      </c>
      <c r="D3776" s="35">
        <v>101.0</v>
      </c>
      <c r="E3776" s="35">
        <v>46027.0</v>
      </c>
      <c r="F3776" s="35">
        <v>0.0</v>
      </c>
      <c r="G3776" s="35">
        <v>29.0</v>
      </c>
      <c r="H3776" s="35">
        <v>0.0</v>
      </c>
      <c r="I3776" s="35">
        <v>0.0</v>
      </c>
      <c r="J3776" s="35"/>
      <c r="K3776" s="35">
        <v>0.0</v>
      </c>
    </row>
    <row r="3777" ht="15.75" customHeight="1">
      <c r="A3777" s="35" t="s">
        <v>9072</v>
      </c>
      <c r="B3777" s="35"/>
      <c r="C3777" s="35">
        <v>2.0</v>
      </c>
      <c r="D3777" s="35" t="s">
        <v>4635</v>
      </c>
      <c r="E3777" s="35">
        <v>46027.0</v>
      </c>
      <c r="F3777" s="35">
        <v>0.0</v>
      </c>
      <c r="G3777" s="35">
        <v>10.0</v>
      </c>
      <c r="H3777" s="35">
        <v>0.0</v>
      </c>
      <c r="I3777" s="35">
        <v>0.0</v>
      </c>
      <c r="J3777" s="35"/>
      <c r="K3777" s="35">
        <v>0.0</v>
      </c>
    </row>
    <row r="3778" ht="15.75" customHeight="1">
      <c r="A3778" s="35" t="s">
        <v>9074</v>
      </c>
      <c r="B3778" s="35"/>
      <c r="C3778" s="35">
        <v>2.0</v>
      </c>
      <c r="D3778" s="35" t="s">
        <v>4635</v>
      </c>
      <c r="E3778" s="35">
        <v>46027.0</v>
      </c>
      <c r="F3778" s="35">
        <v>0.0</v>
      </c>
      <c r="G3778" s="35">
        <v>2.0</v>
      </c>
      <c r="H3778" s="35">
        <v>0.0</v>
      </c>
      <c r="I3778" s="35">
        <v>0.0</v>
      </c>
      <c r="J3778" s="35"/>
      <c r="K3778" s="35">
        <v>0.0</v>
      </c>
    </row>
    <row r="3779" ht="15.75" customHeight="1">
      <c r="A3779" s="35" t="s">
        <v>9075</v>
      </c>
      <c r="B3779" s="35"/>
      <c r="C3779" s="35">
        <v>2.0</v>
      </c>
      <c r="D3779" s="35" t="s">
        <v>4635</v>
      </c>
      <c r="E3779" s="35">
        <v>46027.0</v>
      </c>
      <c r="F3779" s="35">
        <v>0.0</v>
      </c>
      <c r="G3779" s="35">
        <v>4.0</v>
      </c>
      <c r="H3779" s="35">
        <v>0.0</v>
      </c>
      <c r="I3779" s="35">
        <v>0.0</v>
      </c>
      <c r="J3779" s="35"/>
      <c r="K3779" s="35">
        <v>0.0</v>
      </c>
    </row>
    <row r="3780" ht="15.75" customHeight="1">
      <c r="A3780" s="35" t="s">
        <v>9077</v>
      </c>
      <c r="B3780" s="35"/>
      <c r="C3780" s="35">
        <v>2.0</v>
      </c>
      <c r="D3780" s="35" t="s">
        <v>4635</v>
      </c>
      <c r="E3780" s="35">
        <v>46027.0</v>
      </c>
      <c r="F3780" s="35">
        <v>0.0</v>
      </c>
      <c r="G3780" s="35">
        <v>0.0</v>
      </c>
      <c r="H3780" s="35">
        <v>0.0</v>
      </c>
      <c r="I3780" s="35">
        <v>34.0</v>
      </c>
      <c r="J3780" s="35"/>
      <c r="K3780" s="35">
        <v>0.0</v>
      </c>
    </row>
    <row r="3781" ht="15.75" customHeight="1">
      <c r="A3781" s="35" t="s">
        <v>9078</v>
      </c>
      <c r="B3781" s="35"/>
      <c r="C3781" s="35">
        <v>2.0</v>
      </c>
      <c r="D3781" s="35">
        <v>475.0</v>
      </c>
      <c r="E3781" s="35">
        <v>46027.0</v>
      </c>
      <c r="F3781" s="35">
        <v>0.0</v>
      </c>
      <c r="G3781" s="35">
        <v>10.0</v>
      </c>
      <c r="H3781" s="35">
        <v>0.0</v>
      </c>
      <c r="I3781" s="35">
        <v>0.0</v>
      </c>
      <c r="J3781" s="35"/>
      <c r="K3781" s="35">
        <v>0.0</v>
      </c>
    </row>
    <row r="3782" ht="15.75" customHeight="1">
      <c r="A3782" s="35" t="s">
        <v>9080</v>
      </c>
      <c r="B3782" s="35"/>
      <c r="C3782" s="35">
        <v>2.0</v>
      </c>
      <c r="D3782" s="35" t="s">
        <v>4635</v>
      </c>
      <c r="E3782" s="35">
        <v>46027.0</v>
      </c>
      <c r="F3782" s="35">
        <v>0.0</v>
      </c>
      <c r="G3782" s="35">
        <v>15.0</v>
      </c>
      <c r="H3782" s="35">
        <v>0.0</v>
      </c>
      <c r="I3782" s="35">
        <v>0.0</v>
      </c>
      <c r="J3782" s="35"/>
      <c r="K3782" s="35">
        <v>0.0</v>
      </c>
    </row>
    <row r="3783" ht="15.75" customHeight="1">
      <c r="A3783" s="35" t="s">
        <v>9081</v>
      </c>
      <c r="B3783" s="35"/>
      <c r="C3783" s="35">
        <v>2.0</v>
      </c>
      <c r="D3783" s="35" t="s">
        <v>4635</v>
      </c>
      <c r="E3783" s="35">
        <v>46027.0</v>
      </c>
      <c r="F3783" s="35">
        <v>0.0</v>
      </c>
      <c r="G3783" s="35">
        <v>6.0</v>
      </c>
      <c r="H3783" s="35">
        <v>0.0</v>
      </c>
      <c r="I3783" s="35">
        <v>0.0</v>
      </c>
      <c r="J3783" s="35"/>
      <c r="K3783" s="35">
        <v>0.0</v>
      </c>
    </row>
    <row r="3784" ht="15.75" customHeight="1">
      <c r="A3784" s="35" t="s">
        <v>9083</v>
      </c>
      <c r="B3784" s="35"/>
      <c r="C3784" s="35">
        <v>2.0</v>
      </c>
      <c r="D3784" s="35" t="s">
        <v>4635</v>
      </c>
      <c r="E3784" s="35">
        <v>46027.0</v>
      </c>
      <c r="F3784" s="35">
        <v>0.0</v>
      </c>
      <c r="G3784" s="35">
        <v>11.0</v>
      </c>
      <c r="H3784" s="35">
        <v>0.0</v>
      </c>
      <c r="I3784" s="35">
        <v>0.0</v>
      </c>
      <c r="J3784" s="35"/>
      <c r="K3784" s="35">
        <v>0.0</v>
      </c>
    </row>
    <row r="3785" ht="15.75" customHeight="1">
      <c r="A3785" s="35" t="s">
        <v>9084</v>
      </c>
      <c r="B3785" s="35"/>
      <c r="C3785" s="35">
        <v>2.0</v>
      </c>
      <c r="D3785" s="35">
        <v>66.0</v>
      </c>
      <c r="E3785" s="35">
        <v>46027.0</v>
      </c>
      <c r="F3785" s="35">
        <v>0.0</v>
      </c>
      <c r="G3785" s="35">
        <v>5.0</v>
      </c>
      <c r="H3785" s="35">
        <v>0.0</v>
      </c>
      <c r="I3785" s="35">
        <v>0.0</v>
      </c>
      <c r="J3785" s="35"/>
      <c r="K3785" s="35">
        <v>0.0</v>
      </c>
    </row>
    <row r="3786" ht="15.75" customHeight="1">
      <c r="A3786" s="35" t="s">
        <v>9085</v>
      </c>
      <c r="B3786" s="35"/>
      <c r="C3786" s="35">
        <v>2.0</v>
      </c>
      <c r="D3786" s="35" t="s">
        <v>4635</v>
      </c>
      <c r="E3786" s="35">
        <v>46027.0</v>
      </c>
      <c r="F3786" s="35">
        <v>0.0</v>
      </c>
      <c r="G3786" s="35">
        <v>8.0</v>
      </c>
      <c r="H3786" s="35">
        <v>0.0</v>
      </c>
      <c r="I3786" s="35">
        <v>0.0</v>
      </c>
      <c r="J3786" s="35"/>
      <c r="K3786" s="35">
        <v>0.0</v>
      </c>
    </row>
    <row r="3787" ht="15.75" customHeight="1">
      <c r="A3787" s="35" t="s">
        <v>9087</v>
      </c>
      <c r="B3787" s="35"/>
      <c r="C3787" s="35">
        <v>2.0</v>
      </c>
      <c r="D3787" s="35">
        <v>66.0</v>
      </c>
      <c r="E3787" s="35">
        <v>46027.0</v>
      </c>
      <c r="F3787" s="35">
        <v>0.0</v>
      </c>
      <c r="G3787" s="35">
        <v>5.0</v>
      </c>
      <c r="H3787" s="35">
        <v>0.0</v>
      </c>
      <c r="I3787" s="35">
        <v>0.0</v>
      </c>
      <c r="J3787" s="35"/>
      <c r="K3787" s="35">
        <v>0.0</v>
      </c>
    </row>
    <row r="3788" ht="15.75" customHeight="1">
      <c r="A3788" s="35" t="s">
        <v>9088</v>
      </c>
      <c r="B3788" s="35"/>
      <c r="C3788" s="35">
        <v>2.0</v>
      </c>
      <c r="D3788" s="35">
        <v>171.0</v>
      </c>
      <c r="E3788" s="35">
        <v>46027.0</v>
      </c>
      <c r="F3788" s="35">
        <v>0.0</v>
      </c>
      <c r="G3788" s="35">
        <v>4.0</v>
      </c>
      <c r="H3788" s="35">
        <v>0.0</v>
      </c>
      <c r="I3788" s="35">
        <v>0.0</v>
      </c>
      <c r="J3788" s="35"/>
      <c r="K3788" s="35">
        <v>0.0</v>
      </c>
    </row>
    <row r="3789" ht="15.75" customHeight="1">
      <c r="A3789" s="35" t="s">
        <v>9090</v>
      </c>
      <c r="B3789" s="35"/>
      <c r="C3789" s="35">
        <v>2.0</v>
      </c>
      <c r="D3789" s="35" t="s">
        <v>4635</v>
      </c>
      <c r="E3789" s="35">
        <v>46027.0</v>
      </c>
      <c r="F3789" s="35">
        <v>0.0</v>
      </c>
      <c r="G3789" s="35">
        <v>1.0</v>
      </c>
      <c r="H3789" s="35">
        <v>0.0</v>
      </c>
      <c r="I3789" s="35">
        <v>0.0</v>
      </c>
      <c r="J3789" s="35"/>
      <c r="K3789" s="35">
        <v>0.0</v>
      </c>
    </row>
    <row r="3790" ht="15.75" customHeight="1">
      <c r="A3790" s="35" t="s">
        <v>9091</v>
      </c>
      <c r="B3790" s="35"/>
      <c r="C3790" s="35">
        <v>2.0</v>
      </c>
      <c r="D3790" s="35">
        <v>453.0</v>
      </c>
      <c r="E3790" s="35">
        <v>46027.0</v>
      </c>
      <c r="F3790" s="35">
        <v>0.0</v>
      </c>
      <c r="G3790" s="35">
        <v>2.0</v>
      </c>
      <c r="H3790" s="35">
        <v>0.0</v>
      </c>
      <c r="I3790" s="35">
        <v>0.0</v>
      </c>
      <c r="J3790" s="35"/>
      <c r="K3790" s="35">
        <v>0.0</v>
      </c>
    </row>
    <row r="3791" ht="15.75" customHeight="1">
      <c r="A3791" s="35" t="s">
        <v>9093</v>
      </c>
      <c r="B3791" s="35"/>
      <c r="C3791" s="35">
        <v>2.0</v>
      </c>
      <c r="D3791" s="35">
        <v>34.0</v>
      </c>
      <c r="E3791" s="35">
        <v>46027.0</v>
      </c>
      <c r="F3791" s="35">
        <v>0.0</v>
      </c>
      <c r="G3791" s="35">
        <v>0.0</v>
      </c>
      <c r="H3791" s="35">
        <v>0.0</v>
      </c>
      <c r="I3791" s="35">
        <v>29.0</v>
      </c>
      <c r="J3791" s="35"/>
      <c r="K3791" s="35">
        <v>0.0</v>
      </c>
    </row>
    <row r="3792" ht="15.75" customHeight="1">
      <c r="A3792" s="35" t="s">
        <v>9094</v>
      </c>
      <c r="B3792" s="35"/>
      <c r="C3792" s="35">
        <v>2.0</v>
      </c>
      <c r="D3792" s="35" t="s">
        <v>4635</v>
      </c>
      <c r="E3792" s="35">
        <v>46027.0</v>
      </c>
      <c r="F3792" s="35">
        <v>0.0</v>
      </c>
      <c r="G3792" s="35">
        <v>24.0</v>
      </c>
      <c r="H3792" s="35">
        <v>0.0</v>
      </c>
      <c r="I3792" s="35">
        <v>0.0</v>
      </c>
      <c r="J3792" s="35"/>
      <c r="K3792" s="35">
        <v>0.0</v>
      </c>
    </row>
    <row r="3793" ht="15.75" customHeight="1">
      <c r="A3793" s="35" t="s">
        <v>9096</v>
      </c>
      <c r="B3793" s="35"/>
      <c r="C3793" s="35">
        <v>2.0</v>
      </c>
      <c r="D3793" s="35" t="s">
        <v>4635</v>
      </c>
      <c r="E3793" s="35">
        <v>46027.0</v>
      </c>
      <c r="F3793" s="35">
        <v>0.0</v>
      </c>
      <c r="G3793" s="35">
        <v>0.0</v>
      </c>
      <c r="H3793" s="35">
        <v>1.0</v>
      </c>
      <c r="I3793" s="35">
        <v>0.0</v>
      </c>
      <c r="J3793" s="35"/>
      <c r="K3793" s="35">
        <v>0.0</v>
      </c>
    </row>
    <row r="3794" ht="15.75" customHeight="1">
      <c r="A3794" s="35" t="s">
        <v>9097</v>
      </c>
      <c r="B3794" s="35"/>
      <c r="C3794" s="35">
        <v>2.0</v>
      </c>
      <c r="D3794" s="35" t="s">
        <v>4635</v>
      </c>
      <c r="E3794" s="35">
        <v>46027.0</v>
      </c>
      <c r="F3794" s="35">
        <v>0.0</v>
      </c>
      <c r="G3794" s="35">
        <v>4.0</v>
      </c>
      <c r="H3794" s="35">
        <v>0.0</v>
      </c>
      <c r="I3794" s="35">
        <v>0.0</v>
      </c>
      <c r="J3794" s="35"/>
      <c r="K3794" s="35">
        <v>0.0</v>
      </c>
    </row>
    <row r="3795" ht="15.75" customHeight="1">
      <c r="A3795" s="35" t="s">
        <v>9098</v>
      </c>
      <c r="B3795" s="35"/>
      <c r="C3795" s="35">
        <v>2.0</v>
      </c>
      <c r="D3795" s="35" t="s">
        <v>4635</v>
      </c>
      <c r="E3795" s="35">
        <v>46027.0</v>
      </c>
      <c r="F3795" s="35">
        <v>0.0</v>
      </c>
      <c r="G3795" s="35">
        <v>2.0</v>
      </c>
      <c r="H3795" s="35">
        <v>0.0</v>
      </c>
      <c r="I3795" s="35">
        <v>0.0</v>
      </c>
      <c r="J3795" s="35"/>
      <c r="K3795" s="35">
        <v>0.0</v>
      </c>
    </row>
    <row r="3796" ht="15.75" customHeight="1">
      <c r="A3796" s="35" t="s">
        <v>9100</v>
      </c>
      <c r="B3796" s="35"/>
      <c r="C3796" s="35">
        <v>2.0</v>
      </c>
      <c r="D3796" s="35">
        <v>66.0</v>
      </c>
      <c r="E3796" s="35">
        <v>46027.0</v>
      </c>
      <c r="F3796" s="35">
        <v>0.0</v>
      </c>
      <c r="G3796" s="35">
        <v>4.0</v>
      </c>
      <c r="H3796" s="35">
        <v>0.0</v>
      </c>
      <c r="I3796" s="35">
        <v>0.0</v>
      </c>
      <c r="J3796" s="35"/>
      <c r="K3796" s="35">
        <v>0.0</v>
      </c>
    </row>
    <row r="3797" ht="15.75" customHeight="1">
      <c r="A3797" s="35" t="s">
        <v>9101</v>
      </c>
      <c r="B3797" s="35"/>
      <c r="C3797" s="35">
        <v>2.0</v>
      </c>
      <c r="D3797" s="35" t="s">
        <v>4635</v>
      </c>
      <c r="E3797" s="35">
        <v>46027.0</v>
      </c>
      <c r="F3797" s="35">
        <v>0.0</v>
      </c>
      <c r="G3797" s="35">
        <v>1.0</v>
      </c>
      <c r="H3797" s="35">
        <v>0.0</v>
      </c>
      <c r="I3797" s="35">
        <v>0.0</v>
      </c>
      <c r="J3797" s="35"/>
      <c r="K3797" s="35">
        <v>0.0</v>
      </c>
    </row>
    <row r="3798" ht="15.75" customHeight="1">
      <c r="A3798" s="35" t="s">
        <v>9103</v>
      </c>
      <c r="B3798" s="35"/>
      <c r="C3798" s="35">
        <v>2.0</v>
      </c>
      <c r="D3798" s="35" t="s">
        <v>4635</v>
      </c>
      <c r="E3798" s="35">
        <v>46027.0</v>
      </c>
      <c r="F3798" s="35">
        <v>0.0</v>
      </c>
      <c r="G3798" s="35">
        <v>1.0</v>
      </c>
      <c r="H3798" s="35">
        <v>0.0</v>
      </c>
      <c r="I3798" s="35">
        <v>0.0</v>
      </c>
      <c r="J3798" s="35"/>
      <c r="K3798" s="35">
        <v>0.0</v>
      </c>
    </row>
    <row r="3799" ht="15.75" customHeight="1">
      <c r="A3799" s="35" t="s">
        <v>9104</v>
      </c>
      <c r="B3799" s="35"/>
      <c r="C3799" s="35">
        <v>2.0</v>
      </c>
      <c r="D3799" s="35" t="s">
        <v>4635</v>
      </c>
      <c r="E3799" s="35">
        <v>46027.0</v>
      </c>
      <c r="F3799" s="35">
        <v>0.0</v>
      </c>
      <c r="G3799" s="35">
        <v>1.0</v>
      </c>
      <c r="H3799" s="35">
        <v>0.0</v>
      </c>
      <c r="I3799" s="35">
        <v>0.0</v>
      </c>
      <c r="J3799" s="35"/>
      <c r="K3799" s="35">
        <v>0.0</v>
      </c>
    </row>
    <row r="3800" ht="15.75" customHeight="1">
      <c r="A3800" s="35" t="s">
        <v>9105</v>
      </c>
      <c r="B3800" s="35"/>
      <c r="C3800" s="35">
        <v>2.0</v>
      </c>
      <c r="D3800" s="35" t="s">
        <v>4635</v>
      </c>
      <c r="E3800" s="35">
        <v>46027.0</v>
      </c>
      <c r="F3800" s="35">
        <v>0.0</v>
      </c>
      <c r="G3800" s="35">
        <v>1.0</v>
      </c>
      <c r="H3800" s="35">
        <v>0.0</v>
      </c>
      <c r="I3800" s="35">
        <v>0.0</v>
      </c>
      <c r="J3800" s="35"/>
      <c r="K3800" s="35">
        <v>0.0</v>
      </c>
    </row>
    <row r="3801" ht="15.75" customHeight="1">
      <c r="A3801" s="35" t="s">
        <v>9107</v>
      </c>
      <c r="B3801" s="35"/>
      <c r="C3801" s="35">
        <v>2.0</v>
      </c>
      <c r="D3801" s="35" t="s">
        <v>6043</v>
      </c>
      <c r="E3801" s="35">
        <v>46027.0</v>
      </c>
      <c r="F3801" s="35">
        <v>0.0</v>
      </c>
      <c r="G3801" s="35">
        <v>8.0</v>
      </c>
      <c r="H3801" s="35">
        <v>0.0</v>
      </c>
      <c r="I3801" s="35">
        <v>0.0</v>
      </c>
      <c r="J3801" s="35"/>
      <c r="K3801" s="35">
        <v>0.0</v>
      </c>
    </row>
    <row r="3802" ht="15.75" customHeight="1">
      <c r="A3802" s="35" t="s">
        <v>9108</v>
      </c>
      <c r="B3802" s="35"/>
      <c r="C3802" s="35">
        <v>2.0</v>
      </c>
      <c r="D3802" s="35" t="s">
        <v>4635</v>
      </c>
      <c r="E3802" s="35">
        <v>46027.0</v>
      </c>
      <c r="F3802" s="35">
        <v>0.0</v>
      </c>
      <c r="G3802" s="35">
        <v>1.0</v>
      </c>
      <c r="H3802" s="35">
        <v>0.0</v>
      </c>
      <c r="I3802" s="35">
        <v>0.0</v>
      </c>
      <c r="J3802" s="35"/>
      <c r="K3802" s="35">
        <v>0.0</v>
      </c>
    </row>
    <row r="3803" ht="15.75" customHeight="1">
      <c r="A3803" s="35" t="s">
        <v>9110</v>
      </c>
      <c r="B3803" s="35"/>
      <c r="C3803" s="35">
        <v>2.0</v>
      </c>
      <c r="D3803" s="35" t="s">
        <v>4635</v>
      </c>
      <c r="E3803" s="35">
        <v>46027.0</v>
      </c>
      <c r="F3803" s="35">
        <v>0.0</v>
      </c>
      <c r="G3803" s="35">
        <v>4.0</v>
      </c>
      <c r="H3803" s="35">
        <v>0.0</v>
      </c>
      <c r="I3803" s="35">
        <v>0.0</v>
      </c>
      <c r="J3803" s="35"/>
      <c r="K3803" s="35">
        <v>0.0</v>
      </c>
    </row>
    <row r="3804" ht="15.75" customHeight="1">
      <c r="A3804" s="35" t="s">
        <v>9111</v>
      </c>
      <c r="B3804" s="35"/>
      <c r="C3804" s="35">
        <v>2.0</v>
      </c>
      <c r="D3804" s="35" t="s">
        <v>4635</v>
      </c>
      <c r="E3804" s="35">
        <v>46027.0</v>
      </c>
      <c r="F3804" s="35">
        <v>0.0</v>
      </c>
      <c r="G3804" s="35">
        <v>5.0</v>
      </c>
      <c r="H3804" s="35">
        <v>0.0</v>
      </c>
      <c r="I3804" s="35">
        <v>0.0</v>
      </c>
      <c r="J3804" s="35"/>
      <c r="K3804" s="35">
        <v>0.0</v>
      </c>
    </row>
    <row r="3805" ht="15.75" customHeight="1">
      <c r="A3805" s="35" t="s">
        <v>9113</v>
      </c>
      <c r="B3805" s="35"/>
      <c r="C3805" s="35">
        <v>2.0</v>
      </c>
      <c r="D3805" s="35" t="s">
        <v>4635</v>
      </c>
      <c r="E3805" s="35">
        <v>46027.0</v>
      </c>
      <c r="F3805" s="35">
        <v>0.0</v>
      </c>
      <c r="G3805" s="35">
        <v>6.0</v>
      </c>
      <c r="H3805" s="35">
        <v>0.0</v>
      </c>
      <c r="I3805" s="35">
        <v>0.0</v>
      </c>
      <c r="J3805" s="35"/>
      <c r="K3805" s="35">
        <v>0.0</v>
      </c>
    </row>
    <row r="3806" ht="15.75" customHeight="1">
      <c r="A3806" s="35" t="s">
        <v>9114</v>
      </c>
      <c r="B3806" s="35"/>
      <c r="C3806" s="35">
        <v>2.0</v>
      </c>
      <c r="D3806" s="35" t="s">
        <v>4635</v>
      </c>
      <c r="E3806" s="35">
        <v>46027.0</v>
      </c>
      <c r="F3806" s="35">
        <v>0.0</v>
      </c>
      <c r="G3806" s="35">
        <v>6.0</v>
      </c>
      <c r="H3806" s="35">
        <v>0.0</v>
      </c>
      <c r="I3806" s="35">
        <v>0.0</v>
      </c>
      <c r="J3806" s="35"/>
      <c r="K3806" s="35">
        <v>0.0</v>
      </c>
    </row>
    <row r="3807" ht="15.75" customHeight="1">
      <c r="A3807" s="35" t="s">
        <v>9116</v>
      </c>
      <c r="B3807" s="35"/>
      <c r="C3807" s="35">
        <v>2.0</v>
      </c>
      <c r="D3807" s="35" t="s">
        <v>4635</v>
      </c>
      <c r="E3807" s="35">
        <v>46027.0</v>
      </c>
      <c r="F3807" s="35">
        <v>0.0</v>
      </c>
      <c r="G3807" s="35">
        <v>1.0</v>
      </c>
      <c r="H3807" s="35">
        <v>0.0</v>
      </c>
      <c r="I3807" s="35">
        <v>0.0</v>
      </c>
      <c r="J3807" s="35"/>
      <c r="K3807" s="35">
        <v>0.0</v>
      </c>
    </row>
    <row r="3808" ht="15.75" customHeight="1">
      <c r="A3808" s="35" t="s">
        <v>9117</v>
      </c>
      <c r="B3808" s="35"/>
      <c r="C3808" s="35">
        <v>2.0</v>
      </c>
      <c r="D3808" s="35" t="s">
        <v>4635</v>
      </c>
      <c r="E3808" s="35">
        <v>46027.0</v>
      </c>
      <c r="F3808" s="35">
        <v>0.0</v>
      </c>
      <c r="G3808" s="35">
        <v>3.0</v>
      </c>
      <c r="H3808" s="35">
        <v>0.0</v>
      </c>
      <c r="I3808" s="35">
        <v>0.0</v>
      </c>
      <c r="J3808" s="35"/>
      <c r="K3808" s="35">
        <v>0.0</v>
      </c>
    </row>
    <row r="3809" ht="15.75" customHeight="1">
      <c r="A3809" s="35" t="s">
        <v>9118</v>
      </c>
      <c r="B3809" s="35"/>
      <c r="C3809" s="35">
        <v>2.0</v>
      </c>
      <c r="D3809" s="35" t="s">
        <v>4635</v>
      </c>
      <c r="E3809" s="35">
        <v>46027.0</v>
      </c>
      <c r="F3809" s="35">
        <v>0.0</v>
      </c>
      <c r="G3809" s="35">
        <v>4.0</v>
      </c>
      <c r="H3809" s="35">
        <v>0.0</v>
      </c>
      <c r="I3809" s="35">
        <v>0.0</v>
      </c>
      <c r="J3809" s="35"/>
      <c r="K3809" s="35">
        <v>0.0</v>
      </c>
    </row>
    <row r="3810" ht="15.75" customHeight="1">
      <c r="A3810" s="35" t="s">
        <v>9120</v>
      </c>
      <c r="B3810" s="35"/>
      <c r="C3810" s="35">
        <v>2.0</v>
      </c>
      <c r="D3810" s="35" t="s">
        <v>4635</v>
      </c>
      <c r="E3810" s="35">
        <v>46027.0</v>
      </c>
      <c r="F3810" s="35">
        <v>0.0</v>
      </c>
      <c r="G3810" s="35">
        <v>5.0</v>
      </c>
      <c r="H3810" s="35">
        <v>0.0</v>
      </c>
      <c r="I3810" s="35">
        <v>0.0</v>
      </c>
      <c r="J3810" s="35"/>
      <c r="K3810" s="35">
        <v>0.0</v>
      </c>
    </row>
    <row r="3811" ht="15.75" customHeight="1">
      <c r="A3811" s="35" t="s">
        <v>9121</v>
      </c>
      <c r="B3811" s="35"/>
      <c r="C3811" s="35">
        <v>2.0</v>
      </c>
      <c r="D3811" s="35">
        <v>152.0</v>
      </c>
      <c r="E3811" s="35">
        <v>46027.0</v>
      </c>
      <c r="F3811" s="35">
        <v>0.0</v>
      </c>
      <c r="G3811" s="35">
        <v>46.0</v>
      </c>
      <c r="H3811" s="35">
        <v>0.0</v>
      </c>
      <c r="I3811" s="35">
        <v>0.0</v>
      </c>
      <c r="J3811" s="35"/>
      <c r="K3811" s="35">
        <v>0.0</v>
      </c>
    </row>
    <row r="3812" ht="15.75" customHeight="1">
      <c r="A3812" s="35" t="s">
        <v>9123</v>
      </c>
      <c r="B3812" s="35"/>
      <c r="C3812" s="35">
        <v>2.0</v>
      </c>
      <c r="D3812" s="35" t="s">
        <v>4635</v>
      </c>
      <c r="E3812" s="35">
        <v>46027.0</v>
      </c>
      <c r="F3812" s="35">
        <v>0.0</v>
      </c>
      <c r="G3812" s="35">
        <v>2.0</v>
      </c>
      <c r="H3812" s="35">
        <v>0.0</v>
      </c>
      <c r="I3812" s="35">
        <v>0.0</v>
      </c>
      <c r="J3812" s="35"/>
      <c r="K3812" s="35">
        <v>0.0</v>
      </c>
    </row>
    <row r="3813" ht="15.75" customHeight="1">
      <c r="A3813" s="35" t="s">
        <v>9124</v>
      </c>
      <c r="B3813" s="35"/>
      <c r="C3813" s="35">
        <v>2.0</v>
      </c>
      <c r="D3813" s="35" t="s">
        <v>4635</v>
      </c>
      <c r="E3813" s="35">
        <v>46027.0</v>
      </c>
      <c r="F3813" s="35">
        <v>0.0</v>
      </c>
      <c r="G3813" s="35">
        <v>1.0</v>
      </c>
      <c r="H3813" s="35">
        <v>0.0</v>
      </c>
      <c r="I3813" s="35">
        <v>0.0</v>
      </c>
      <c r="J3813" s="35"/>
      <c r="K3813" s="35">
        <v>0.0</v>
      </c>
    </row>
    <row r="3814" ht="15.75" customHeight="1">
      <c r="A3814" s="35" t="s">
        <v>9126</v>
      </c>
      <c r="B3814" s="35"/>
      <c r="C3814" s="35">
        <v>2.0</v>
      </c>
      <c r="D3814" s="35" t="s">
        <v>4635</v>
      </c>
      <c r="E3814" s="35">
        <v>46027.0</v>
      </c>
      <c r="F3814" s="35">
        <v>0.0</v>
      </c>
      <c r="G3814" s="35">
        <v>2.0</v>
      </c>
      <c r="H3814" s="35">
        <v>0.0</v>
      </c>
      <c r="I3814" s="35">
        <v>0.0</v>
      </c>
      <c r="J3814" s="35"/>
      <c r="K3814" s="35">
        <v>0.0</v>
      </c>
    </row>
    <row r="3815" ht="15.75" customHeight="1">
      <c r="A3815" s="35" t="s">
        <v>9127</v>
      </c>
      <c r="B3815" s="35"/>
      <c r="C3815" s="35">
        <v>2.0</v>
      </c>
      <c r="D3815" s="35" t="s">
        <v>4635</v>
      </c>
      <c r="E3815" s="35">
        <v>46027.0</v>
      </c>
      <c r="F3815" s="35">
        <v>0.0</v>
      </c>
      <c r="G3815" s="35">
        <v>2.0</v>
      </c>
      <c r="H3815" s="35">
        <v>0.0</v>
      </c>
      <c r="I3815" s="35">
        <v>0.0</v>
      </c>
      <c r="J3815" s="35"/>
      <c r="K3815" s="35">
        <v>0.0</v>
      </c>
    </row>
    <row r="3816" ht="15.75" customHeight="1">
      <c r="A3816" s="35" t="s">
        <v>9129</v>
      </c>
      <c r="B3816" s="35"/>
      <c r="C3816" s="35">
        <v>2.0</v>
      </c>
      <c r="D3816" s="35">
        <v>591.0</v>
      </c>
      <c r="E3816" s="35">
        <v>46027.0</v>
      </c>
      <c r="F3816" s="35">
        <v>0.0</v>
      </c>
      <c r="G3816" s="35">
        <v>3.0</v>
      </c>
      <c r="H3816" s="35">
        <v>0.0</v>
      </c>
      <c r="I3816" s="35">
        <v>0.0</v>
      </c>
      <c r="J3816" s="35"/>
      <c r="K3816" s="35">
        <v>0.0</v>
      </c>
    </row>
    <row r="3817" ht="15.75" customHeight="1">
      <c r="A3817" s="35" t="s">
        <v>9130</v>
      </c>
      <c r="B3817" s="35"/>
      <c r="C3817" s="35">
        <v>2.0</v>
      </c>
      <c r="D3817" s="35">
        <v>695.0</v>
      </c>
      <c r="E3817" s="35">
        <v>46027.0</v>
      </c>
      <c r="F3817" s="35">
        <v>0.0</v>
      </c>
      <c r="G3817" s="35">
        <v>7.0</v>
      </c>
      <c r="H3817" s="35">
        <v>0.0</v>
      </c>
      <c r="I3817" s="35">
        <v>0.0</v>
      </c>
      <c r="J3817" s="35"/>
      <c r="K3817" s="35">
        <v>0.0</v>
      </c>
    </row>
    <row r="3818" ht="15.75" customHeight="1">
      <c r="A3818" s="35" t="s">
        <v>9131</v>
      </c>
      <c r="B3818" s="35"/>
      <c r="C3818" s="35">
        <v>2.0</v>
      </c>
      <c r="D3818" s="35" t="s">
        <v>4635</v>
      </c>
      <c r="E3818" s="35">
        <v>46027.0</v>
      </c>
      <c r="F3818" s="35">
        <v>0.0</v>
      </c>
      <c r="G3818" s="35">
        <v>4.0</v>
      </c>
      <c r="H3818" s="35">
        <v>0.0</v>
      </c>
      <c r="I3818" s="35">
        <v>0.0</v>
      </c>
      <c r="J3818" s="35"/>
      <c r="K3818" s="35">
        <v>0.0</v>
      </c>
    </row>
    <row r="3819" ht="15.75" customHeight="1">
      <c r="A3819" s="35" t="s">
        <v>9133</v>
      </c>
      <c r="B3819" s="35"/>
      <c r="C3819" s="35">
        <v>2.0</v>
      </c>
      <c r="D3819" s="35" t="s">
        <v>4635</v>
      </c>
      <c r="E3819" s="35">
        <v>46027.0</v>
      </c>
      <c r="F3819" s="35">
        <v>0.0</v>
      </c>
      <c r="G3819" s="35">
        <v>1.0</v>
      </c>
      <c r="H3819" s="35">
        <v>0.0</v>
      </c>
      <c r="I3819" s="35">
        <v>0.0</v>
      </c>
      <c r="J3819" s="35"/>
      <c r="K3819" s="35">
        <v>0.0</v>
      </c>
    </row>
    <row r="3820" ht="15.75" customHeight="1">
      <c r="A3820" s="35" t="s">
        <v>9134</v>
      </c>
      <c r="B3820" s="35"/>
      <c r="C3820" s="35">
        <v>2.0</v>
      </c>
      <c r="D3820" s="35" t="s">
        <v>4635</v>
      </c>
      <c r="E3820" s="35">
        <v>46027.0</v>
      </c>
      <c r="F3820" s="35">
        <v>0.0</v>
      </c>
      <c r="G3820" s="35">
        <v>5.0</v>
      </c>
      <c r="H3820" s="35">
        <v>0.0</v>
      </c>
      <c r="I3820" s="35">
        <v>0.0</v>
      </c>
      <c r="J3820" s="35"/>
      <c r="K3820" s="35">
        <v>0.0</v>
      </c>
    </row>
    <row r="3821" ht="15.75" customHeight="1">
      <c r="A3821" s="35" t="s">
        <v>9136</v>
      </c>
      <c r="B3821" s="35"/>
      <c r="C3821" s="35">
        <v>2.0</v>
      </c>
      <c r="D3821" s="35" t="s">
        <v>4635</v>
      </c>
      <c r="E3821" s="35">
        <v>46027.0</v>
      </c>
      <c r="F3821" s="35">
        <v>0.0</v>
      </c>
      <c r="G3821" s="35">
        <v>1.0</v>
      </c>
      <c r="H3821" s="35">
        <v>0.0</v>
      </c>
      <c r="I3821" s="35">
        <v>0.0</v>
      </c>
      <c r="J3821" s="35"/>
      <c r="K3821" s="35">
        <v>0.0</v>
      </c>
    </row>
    <row r="3822" ht="15.75" customHeight="1">
      <c r="A3822" s="35" t="s">
        <v>9137</v>
      </c>
      <c r="B3822" s="35"/>
      <c r="C3822" s="35">
        <v>2.0</v>
      </c>
      <c r="D3822" s="35" t="s">
        <v>4635</v>
      </c>
      <c r="E3822" s="35">
        <v>46027.0</v>
      </c>
      <c r="F3822" s="35">
        <v>0.0</v>
      </c>
      <c r="G3822" s="35">
        <v>1.0</v>
      </c>
      <c r="H3822" s="35">
        <v>0.0</v>
      </c>
      <c r="I3822" s="35">
        <v>0.0</v>
      </c>
      <c r="J3822" s="35"/>
      <c r="K3822" s="35">
        <v>0.0</v>
      </c>
    </row>
    <row r="3823" ht="15.75" customHeight="1">
      <c r="A3823" s="35" t="s">
        <v>9138</v>
      </c>
      <c r="B3823" s="35"/>
      <c r="C3823" s="35">
        <v>2.0</v>
      </c>
      <c r="D3823" s="35" t="s">
        <v>4635</v>
      </c>
      <c r="E3823" s="35">
        <v>46027.0</v>
      </c>
      <c r="F3823" s="35">
        <v>0.0</v>
      </c>
      <c r="G3823" s="35">
        <v>0.0</v>
      </c>
      <c r="H3823" s="35">
        <v>0.0</v>
      </c>
      <c r="I3823" s="35">
        <v>1.0</v>
      </c>
      <c r="J3823" s="35"/>
      <c r="K3823" s="35">
        <v>0.0</v>
      </c>
    </row>
    <row r="3824" ht="15.75" customHeight="1">
      <c r="A3824" s="35" t="s">
        <v>9139</v>
      </c>
      <c r="B3824" s="35"/>
      <c r="C3824" s="35">
        <v>2.0</v>
      </c>
      <c r="D3824" s="35">
        <v>902.0</v>
      </c>
      <c r="E3824" s="35">
        <v>46027.0</v>
      </c>
      <c r="F3824" s="35">
        <v>0.0</v>
      </c>
      <c r="G3824" s="35">
        <v>7.0</v>
      </c>
      <c r="H3824" s="35">
        <v>0.0</v>
      </c>
      <c r="I3824" s="35">
        <v>0.0</v>
      </c>
      <c r="J3824" s="35"/>
      <c r="K3824" s="35">
        <v>0.0</v>
      </c>
    </row>
    <row r="3825" ht="15.75" customHeight="1">
      <c r="A3825" s="35" t="s">
        <v>9141</v>
      </c>
      <c r="B3825" s="35"/>
      <c r="C3825" s="35">
        <v>2.0</v>
      </c>
      <c r="D3825" s="35">
        <v>986.0</v>
      </c>
      <c r="E3825" s="35">
        <v>46027.0</v>
      </c>
      <c r="F3825" s="35">
        <v>0.0</v>
      </c>
      <c r="G3825" s="35">
        <v>8.0</v>
      </c>
      <c r="H3825" s="35">
        <v>0.0</v>
      </c>
      <c r="I3825" s="35">
        <v>0.0</v>
      </c>
      <c r="J3825" s="35"/>
      <c r="K3825" s="35">
        <v>0.0</v>
      </c>
    </row>
    <row r="3826" ht="15.75" customHeight="1">
      <c r="A3826" s="35" t="s">
        <v>9143</v>
      </c>
      <c r="B3826" s="35"/>
      <c r="C3826" s="35">
        <v>2.0</v>
      </c>
      <c r="D3826" s="35">
        <v>527.0</v>
      </c>
      <c r="E3826" s="35">
        <v>46027.0</v>
      </c>
      <c r="F3826" s="35">
        <v>0.0</v>
      </c>
      <c r="G3826" s="35">
        <v>4.0</v>
      </c>
      <c r="H3826" s="35">
        <v>0.0</v>
      </c>
      <c r="I3826" s="35">
        <v>0.0</v>
      </c>
      <c r="J3826" s="35"/>
      <c r="K3826" s="35">
        <v>0.0</v>
      </c>
    </row>
    <row r="3827" ht="15.75" customHeight="1">
      <c r="A3827" s="35" t="s">
        <v>9144</v>
      </c>
      <c r="B3827" s="35"/>
      <c r="C3827" s="35">
        <v>2.0</v>
      </c>
      <c r="D3827" s="35">
        <v>526.0</v>
      </c>
      <c r="E3827" s="35">
        <v>46027.0</v>
      </c>
      <c r="F3827" s="35">
        <v>0.0</v>
      </c>
      <c r="G3827" s="35">
        <v>10.0</v>
      </c>
      <c r="H3827" s="35">
        <v>0.0</v>
      </c>
      <c r="I3827" s="35">
        <v>0.0</v>
      </c>
      <c r="J3827" s="35"/>
      <c r="K3827" s="35">
        <v>0.0</v>
      </c>
    </row>
    <row r="3828" ht="15.75" customHeight="1">
      <c r="A3828" s="35" t="s">
        <v>9145</v>
      </c>
      <c r="B3828" s="35"/>
      <c r="C3828" s="35">
        <v>2.0</v>
      </c>
      <c r="D3828" s="35">
        <v>622.0</v>
      </c>
      <c r="E3828" s="35">
        <v>46027.0</v>
      </c>
      <c r="F3828" s="35">
        <v>0.0</v>
      </c>
      <c r="G3828" s="35">
        <v>4.0</v>
      </c>
      <c r="H3828" s="35">
        <v>0.0</v>
      </c>
      <c r="I3828" s="35">
        <v>0.0</v>
      </c>
      <c r="J3828" s="35"/>
      <c r="K3828" s="35">
        <v>0.0</v>
      </c>
    </row>
    <row r="3829" ht="15.75" customHeight="1">
      <c r="A3829" s="35" t="s">
        <v>9147</v>
      </c>
      <c r="B3829" s="35"/>
      <c r="C3829" s="35">
        <v>2.0</v>
      </c>
      <c r="D3829" s="35" t="s">
        <v>2065</v>
      </c>
      <c r="E3829" s="35">
        <v>46027.0</v>
      </c>
      <c r="F3829" s="35">
        <v>0.0</v>
      </c>
      <c r="G3829" s="35">
        <v>9.0</v>
      </c>
      <c r="H3829" s="35">
        <v>0.0</v>
      </c>
      <c r="I3829" s="35">
        <v>0.0</v>
      </c>
      <c r="J3829" s="35"/>
      <c r="K3829" s="35">
        <v>0.0</v>
      </c>
    </row>
    <row r="3830" ht="15.75" customHeight="1">
      <c r="A3830" s="35" t="s">
        <v>9148</v>
      </c>
      <c r="B3830" s="35"/>
      <c r="C3830" s="35">
        <v>2.0</v>
      </c>
      <c r="D3830" s="35" t="s">
        <v>4635</v>
      </c>
      <c r="E3830" s="35">
        <v>46027.0</v>
      </c>
      <c r="F3830" s="35">
        <v>0.0</v>
      </c>
      <c r="G3830" s="35">
        <v>8.0</v>
      </c>
      <c r="H3830" s="35">
        <v>0.0</v>
      </c>
      <c r="I3830" s="35">
        <v>0.0</v>
      </c>
      <c r="J3830" s="35"/>
      <c r="K3830" s="35">
        <v>0.0</v>
      </c>
    </row>
    <row r="3831" ht="15.75" customHeight="1">
      <c r="A3831" s="35" t="s">
        <v>9149</v>
      </c>
      <c r="B3831" s="35"/>
      <c r="C3831" s="35">
        <v>2.0</v>
      </c>
      <c r="D3831" s="35" t="s">
        <v>4635</v>
      </c>
      <c r="E3831" s="35">
        <v>46027.0</v>
      </c>
      <c r="F3831" s="35">
        <v>0.0</v>
      </c>
      <c r="G3831" s="35">
        <v>8.0</v>
      </c>
      <c r="H3831" s="35">
        <v>0.0</v>
      </c>
      <c r="I3831" s="35">
        <v>0.0</v>
      </c>
      <c r="J3831" s="35"/>
      <c r="K3831" s="35">
        <v>0.0</v>
      </c>
    </row>
    <row r="3832" ht="15.75" customHeight="1">
      <c r="A3832" s="35" t="s">
        <v>9151</v>
      </c>
      <c r="B3832" s="35"/>
      <c r="C3832" s="35">
        <v>2.0</v>
      </c>
      <c r="D3832" s="35" t="s">
        <v>4635</v>
      </c>
      <c r="E3832" s="35">
        <v>46027.0</v>
      </c>
      <c r="F3832" s="35">
        <v>0.0</v>
      </c>
      <c r="G3832" s="35">
        <v>1.0</v>
      </c>
      <c r="H3832" s="35">
        <v>0.0</v>
      </c>
      <c r="I3832" s="35">
        <v>0.0</v>
      </c>
      <c r="J3832" s="35"/>
      <c r="K3832" s="35">
        <v>0.0</v>
      </c>
    </row>
    <row r="3833" ht="15.75" customHeight="1">
      <c r="A3833" s="35" t="s">
        <v>9152</v>
      </c>
      <c r="B3833" s="35"/>
      <c r="C3833" s="35">
        <v>2.0</v>
      </c>
      <c r="D3833" s="35">
        <v>231.0</v>
      </c>
      <c r="E3833" s="35">
        <v>46027.0</v>
      </c>
      <c r="F3833" s="35">
        <v>0.0</v>
      </c>
      <c r="G3833" s="35">
        <v>1.0</v>
      </c>
      <c r="H3833" s="35">
        <v>0.0</v>
      </c>
      <c r="I3833" s="35">
        <v>0.0</v>
      </c>
      <c r="J3833" s="35"/>
      <c r="K3833" s="35">
        <v>0.0</v>
      </c>
    </row>
    <row r="3834" ht="15.75" customHeight="1">
      <c r="A3834" s="35" t="s">
        <v>9154</v>
      </c>
      <c r="B3834" s="35"/>
      <c r="C3834" s="35">
        <v>2.0</v>
      </c>
      <c r="D3834" s="35">
        <v>73.0</v>
      </c>
      <c r="E3834" s="35">
        <v>46027.0</v>
      </c>
      <c r="F3834" s="35">
        <v>0.0</v>
      </c>
      <c r="G3834" s="35">
        <v>0.0</v>
      </c>
      <c r="H3834" s="35">
        <v>1.0</v>
      </c>
      <c r="I3834" s="35">
        <v>0.0</v>
      </c>
      <c r="J3834" s="35"/>
      <c r="K3834" s="35">
        <v>0.0</v>
      </c>
    </row>
    <row r="3835" ht="15.75" customHeight="1">
      <c r="A3835" s="35" t="s">
        <v>9155</v>
      </c>
      <c r="B3835" s="35"/>
      <c r="C3835" s="35">
        <v>2.0</v>
      </c>
      <c r="D3835" s="35" t="s">
        <v>4635</v>
      </c>
      <c r="E3835" s="35">
        <v>46027.0</v>
      </c>
      <c r="F3835" s="35">
        <v>0.0</v>
      </c>
      <c r="G3835" s="35">
        <v>1.0</v>
      </c>
      <c r="H3835" s="35">
        <v>0.0</v>
      </c>
      <c r="I3835" s="35">
        <v>0.0</v>
      </c>
      <c r="J3835" s="35"/>
      <c r="K3835" s="35">
        <v>0.0</v>
      </c>
    </row>
    <row r="3836" ht="15.75" customHeight="1">
      <c r="A3836" s="35" t="s">
        <v>9157</v>
      </c>
      <c r="B3836" s="35"/>
      <c r="C3836" s="35">
        <v>2.0</v>
      </c>
      <c r="D3836" s="35" t="s">
        <v>4635</v>
      </c>
      <c r="E3836" s="35">
        <v>46027.0</v>
      </c>
      <c r="F3836" s="35">
        <v>0.0</v>
      </c>
      <c r="G3836" s="35">
        <v>0.0</v>
      </c>
      <c r="H3836" s="35">
        <v>0.0</v>
      </c>
      <c r="I3836" s="35">
        <v>0.0</v>
      </c>
      <c r="J3836" s="35"/>
      <c r="K3836" s="35">
        <v>11.0</v>
      </c>
    </row>
    <row r="3837" ht="15.75" customHeight="1">
      <c r="A3837" s="35" t="s">
        <v>9158</v>
      </c>
      <c r="B3837" s="35"/>
      <c r="C3837" s="35">
        <v>2.0</v>
      </c>
      <c r="D3837" s="35" t="s">
        <v>4635</v>
      </c>
      <c r="E3837" s="35">
        <v>46027.0</v>
      </c>
      <c r="F3837" s="35">
        <v>0.0</v>
      </c>
      <c r="G3837" s="35">
        <v>4.0</v>
      </c>
      <c r="H3837" s="35">
        <v>0.0</v>
      </c>
      <c r="I3837" s="35">
        <v>0.0</v>
      </c>
      <c r="J3837" s="35"/>
      <c r="K3837" s="35">
        <v>0.0</v>
      </c>
    </row>
    <row r="3838" ht="15.75" customHeight="1">
      <c r="A3838" s="35" t="s">
        <v>9159</v>
      </c>
      <c r="B3838" s="35"/>
      <c r="C3838" s="35">
        <v>2.0</v>
      </c>
      <c r="D3838" s="35" t="s">
        <v>4635</v>
      </c>
      <c r="E3838" s="35">
        <v>46027.0</v>
      </c>
      <c r="F3838" s="35">
        <v>0.0</v>
      </c>
      <c r="G3838" s="35">
        <v>4.0</v>
      </c>
      <c r="H3838" s="35">
        <v>0.0</v>
      </c>
      <c r="I3838" s="35">
        <v>0.0</v>
      </c>
      <c r="J3838" s="35"/>
      <c r="K3838" s="35">
        <v>0.0</v>
      </c>
    </row>
    <row r="3839" ht="15.75" customHeight="1">
      <c r="A3839" s="35" t="s">
        <v>9161</v>
      </c>
      <c r="B3839" s="35"/>
      <c r="C3839" s="35">
        <v>2.0</v>
      </c>
      <c r="D3839" s="35" t="s">
        <v>4635</v>
      </c>
      <c r="E3839" s="35">
        <v>46027.0</v>
      </c>
      <c r="F3839" s="35">
        <v>0.0</v>
      </c>
      <c r="G3839" s="35">
        <v>1.0</v>
      </c>
      <c r="H3839" s="35">
        <v>0.0</v>
      </c>
      <c r="I3839" s="35">
        <v>0.0</v>
      </c>
      <c r="J3839" s="35"/>
      <c r="K3839" s="35">
        <v>0.0</v>
      </c>
    </row>
    <row r="3840" ht="15.75" customHeight="1">
      <c r="A3840" s="35" t="s">
        <v>9162</v>
      </c>
      <c r="B3840" s="35"/>
      <c r="C3840" s="35">
        <v>2.0</v>
      </c>
      <c r="D3840" s="35" t="s">
        <v>4635</v>
      </c>
      <c r="E3840" s="35">
        <v>46027.0</v>
      </c>
      <c r="F3840" s="35">
        <v>0.0</v>
      </c>
      <c r="G3840" s="35">
        <v>0.0</v>
      </c>
      <c r="H3840" s="35">
        <v>0.0</v>
      </c>
      <c r="I3840" s="35">
        <v>1.0</v>
      </c>
      <c r="J3840" s="35"/>
      <c r="K3840" s="35">
        <v>0.0</v>
      </c>
    </row>
    <row r="3841" ht="15.75" customHeight="1">
      <c r="A3841" s="35" t="s">
        <v>9164</v>
      </c>
      <c r="B3841" s="35"/>
      <c r="C3841" s="35">
        <v>2.0</v>
      </c>
      <c r="D3841" s="35" t="s">
        <v>4635</v>
      </c>
      <c r="E3841" s="35">
        <v>46027.0</v>
      </c>
      <c r="F3841" s="35">
        <v>0.0</v>
      </c>
      <c r="G3841" s="35">
        <v>1.0</v>
      </c>
      <c r="H3841" s="35">
        <v>0.0</v>
      </c>
      <c r="I3841" s="35">
        <v>0.0</v>
      </c>
      <c r="J3841" s="35"/>
      <c r="K3841" s="35">
        <v>0.0</v>
      </c>
    </row>
    <row r="3842" ht="15.75" customHeight="1">
      <c r="A3842" s="35" t="s">
        <v>9165</v>
      </c>
      <c r="B3842" s="35"/>
      <c r="C3842" s="35">
        <v>2.0</v>
      </c>
      <c r="D3842" s="35" t="s">
        <v>4635</v>
      </c>
      <c r="E3842" s="35">
        <v>46027.0</v>
      </c>
      <c r="F3842" s="35">
        <v>0.0</v>
      </c>
      <c r="G3842" s="35">
        <v>1.0</v>
      </c>
      <c r="H3842" s="35">
        <v>0.0</v>
      </c>
      <c r="I3842" s="35">
        <v>0.0</v>
      </c>
      <c r="J3842" s="35"/>
      <c r="K3842" s="35">
        <v>0.0</v>
      </c>
    </row>
    <row r="3843" ht="15.75" customHeight="1">
      <c r="A3843" s="35" t="s">
        <v>9167</v>
      </c>
      <c r="B3843" s="35"/>
      <c r="C3843" s="35">
        <v>2.0</v>
      </c>
      <c r="D3843" s="35">
        <v>787.0</v>
      </c>
      <c r="E3843" s="35">
        <v>46027.0</v>
      </c>
      <c r="F3843" s="35">
        <v>0.0</v>
      </c>
      <c r="G3843" s="35">
        <v>1.0</v>
      </c>
      <c r="H3843" s="35">
        <v>0.0</v>
      </c>
      <c r="I3843" s="35">
        <v>0.0</v>
      </c>
      <c r="J3843" s="35"/>
      <c r="K3843" s="35">
        <v>0.0</v>
      </c>
    </row>
    <row r="3844" ht="15.75" customHeight="1">
      <c r="A3844" s="35" t="s">
        <v>9168</v>
      </c>
      <c r="B3844" s="35"/>
      <c r="C3844" s="35">
        <v>2.0</v>
      </c>
      <c r="D3844" s="35" t="s">
        <v>4372</v>
      </c>
      <c r="E3844" s="35">
        <v>46027.0</v>
      </c>
      <c r="F3844" s="35">
        <v>0.0</v>
      </c>
      <c r="G3844" s="35">
        <v>4.0</v>
      </c>
      <c r="H3844" s="35">
        <v>0.0</v>
      </c>
      <c r="I3844" s="35">
        <v>0.0</v>
      </c>
      <c r="J3844" s="35"/>
      <c r="K3844" s="35">
        <v>0.0</v>
      </c>
    </row>
    <row r="3845" ht="15.75" customHeight="1">
      <c r="A3845" s="35" t="s">
        <v>9169</v>
      </c>
      <c r="B3845" s="35"/>
      <c r="C3845" s="35">
        <v>2.0</v>
      </c>
      <c r="D3845" s="35" t="s">
        <v>2032</v>
      </c>
      <c r="E3845" s="35">
        <v>46027.0</v>
      </c>
      <c r="F3845" s="35">
        <v>0.0</v>
      </c>
      <c r="G3845" s="35">
        <v>0.0</v>
      </c>
      <c r="H3845" s="35">
        <v>9.0</v>
      </c>
      <c r="I3845" s="35">
        <v>0.0</v>
      </c>
      <c r="J3845" s="35"/>
      <c r="K3845" s="35">
        <v>0.0</v>
      </c>
    </row>
    <row r="3846" ht="15.75" customHeight="1">
      <c r="A3846" s="35" t="s">
        <v>9171</v>
      </c>
      <c r="B3846" s="35"/>
      <c r="C3846" s="35">
        <v>2.0</v>
      </c>
      <c r="D3846" s="35" t="s">
        <v>4635</v>
      </c>
      <c r="E3846" s="35">
        <v>46027.0</v>
      </c>
      <c r="F3846" s="35">
        <v>0.0</v>
      </c>
      <c r="G3846" s="35">
        <v>1.0</v>
      </c>
      <c r="H3846" s="35">
        <v>0.0</v>
      </c>
      <c r="I3846" s="35">
        <v>0.0</v>
      </c>
      <c r="J3846" s="35"/>
      <c r="K3846" s="35">
        <v>0.0</v>
      </c>
    </row>
    <row r="3847" ht="15.75" customHeight="1">
      <c r="A3847" s="35" t="s">
        <v>9172</v>
      </c>
      <c r="B3847" s="35"/>
      <c r="C3847" s="35">
        <v>2.0</v>
      </c>
      <c r="D3847" s="35">
        <v>65.0</v>
      </c>
      <c r="E3847" s="35">
        <v>46027.0</v>
      </c>
      <c r="F3847" s="35">
        <v>0.0</v>
      </c>
      <c r="G3847" s="35">
        <v>2.0</v>
      </c>
      <c r="H3847" s="35">
        <v>0.0</v>
      </c>
      <c r="I3847" s="35">
        <v>0.0</v>
      </c>
      <c r="J3847" s="35"/>
      <c r="K3847" s="35">
        <v>0.0</v>
      </c>
    </row>
    <row r="3848" ht="15.75" customHeight="1">
      <c r="A3848" s="35" t="s">
        <v>9174</v>
      </c>
      <c r="B3848" s="35"/>
      <c r="C3848" s="35">
        <v>2.0</v>
      </c>
      <c r="D3848" s="35">
        <v>130.0</v>
      </c>
      <c r="E3848" s="35">
        <v>46027.0</v>
      </c>
      <c r="F3848" s="35">
        <v>0.0</v>
      </c>
      <c r="G3848" s="35">
        <v>8.0</v>
      </c>
      <c r="H3848" s="35">
        <v>0.0</v>
      </c>
      <c r="I3848" s="35">
        <v>0.0</v>
      </c>
      <c r="J3848" s="35"/>
      <c r="K3848" s="35">
        <v>0.0</v>
      </c>
    </row>
    <row r="3849" ht="15.75" customHeight="1">
      <c r="A3849" s="35" t="s">
        <v>9175</v>
      </c>
      <c r="B3849" s="35"/>
      <c r="C3849" s="35">
        <v>2.0</v>
      </c>
      <c r="D3849" s="35" t="s">
        <v>4635</v>
      </c>
      <c r="E3849" s="35">
        <v>46027.0</v>
      </c>
      <c r="F3849" s="35">
        <v>0.0</v>
      </c>
      <c r="G3849" s="35">
        <v>1.0</v>
      </c>
      <c r="H3849" s="35">
        <v>0.0</v>
      </c>
      <c r="I3849" s="35">
        <v>0.0</v>
      </c>
      <c r="J3849" s="35"/>
      <c r="K3849" s="35">
        <v>0.0</v>
      </c>
    </row>
    <row r="3850" ht="15.75" customHeight="1">
      <c r="A3850" s="35" t="s">
        <v>9177</v>
      </c>
      <c r="B3850" s="35"/>
      <c r="C3850" s="35">
        <v>2.0</v>
      </c>
      <c r="D3850" s="35">
        <v>124.0</v>
      </c>
      <c r="E3850" s="35">
        <v>46027.0</v>
      </c>
      <c r="F3850" s="35">
        <v>0.0</v>
      </c>
      <c r="G3850" s="35">
        <v>1.0</v>
      </c>
      <c r="H3850" s="35">
        <v>0.0</v>
      </c>
      <c r="I3850" s="35">
        <v>0.0</v>
      </c>
      <c r="J3850" s="35"/>
      <c r="K3850" s="35">
        <v>0.0</v>
      </c>
    </row>
    <row r="3851" ht="15.75" customHeight="1">
      <c r="A3851" s="35" t="s">
        <v>9178</v>
      </c>
      <c r="B3851" s="35"/>
      <c r="C3851" s="35">
        <v>2.0</v>
      </c>
      <c r="D3851" s="35" t="s">
        <v>4635</v>
      </c>
      <c r="E3851" s="35">
        <v>46027.0</v>
      </c>
      <c r="F3851" s="35">
        <v>0.0</v>
      </c>
      <c r="G3851" s="35">
        <v>4.0</v>
      </c>
      <c r="H3851" s="35">
        <v>0.0</v>
      </c>
      <c r="I3851" s="35">
        <v>0.0</v>
      </c>
      <c r="J3851" s="35"/>
      <c r="K3851" s="35">
        <v>0.0</v>
      </c>
    </row>
    <row r="3852" ht="15.75" customHeight="1">
      <c r="A3852" s="35" t="s">
        <v>9180</v>
      </c>
      <c r="B3852" s="35"/>
      <c r="C3852" s="35">
        <v>2.0</v>
      </c>
      <c r="D3852" s="35" t="s">
        <v>4635</v>
      </c>
      <c r="E3852" s="35">
        <v>46027.0</v>
      </c>
      <c r="F3852" s="35">
        <v>0.0</v>
      </c>
      <c r="G3852" s="35">
        <v>1.0</v>
      </c>
      <c r="H3852" s="35">
        <v>0.0</v>
      </c>
      <c r="I3852" s="35">
        <v>0.0</v>
      </c>
      <c r="J3852" s="35"/>
      <c r="K3852" s="35">
        <v>0.0</v>
      </c>
    </row>
    <row r="3853" ht="15.75" customHeight="1">
      <c r="A3853" s="35" t="s">
        <v>9181</v>
      </c>
      <c r="B3853" s="35"/>
      <c r="C3853" s="35">
        <v>2.0</v>
      </c>
      <c r="D3853" s="35" t="s">
        <v>4635</v>
      </c>
      <c r="E3853" s="35">
        <v>46027.0</v>
      </c>
      <c r="F3853" s="35">
        <v>0.0</v>
      </c>
      <c r="G3853" s="35">
        <v>1.0</v>
      </c>
      <c r="H3853" s="35">
        <v>0.0</v>
      </c>
      <c r="I3853" s="35">
        <v>0.0</v>
      </c>
      <c r="J3853" s="35"/>
      <c r="K3853" s="35">
        <v>0.0</v>
      </c>
    </row>
    <row r="3854" ht="15.75" customHeight="1">
      <c r="A3854" s="35" t="s">
        <v>9182</v>
      </c>
      <c r="B3854" s="35"/>
      <c r="C3854" s="35">
        <v>2.0</v>
      </c>
      <c r="D3854" s="35" t="s">
        <v>4635</v>
      </c>
      <c r="E3854" s="35">
        <v>46027.0</v>
      </c>
      <c r="F3854" s="35">
        <v>0.0</v>
      </c>
      <c r="G3854" s="35">
        <v>1.0</v>
      </c>
      <c r="H3854" s="35">
        <v>0.0</v>
      </c>
      <c r="I3854" s="35">
        <v>0.0</v>
      </c>
      <c r="J3854" s="35"/>
      <c r="K3854" s="35">
        <v>0.0</v>
      </c>
    </row>
    <row r="3855" ht="15.75" customHeight="1">
      <c r="A3855" s="35" t="s">
        <v>9184</v>
      </c>
      <c r="B3855" s="35"/>
      <c r="C3855" s="35">
        <v>2.0</v>
      </c>
      <c r="D3855" s="35">
        <v>272.0</v>
      </c>
      <c r="E3855" s="35">
        <v>46027.0</v>
      </c>
      <c r="F3855" s="35">
        <v>0.0</v>
      </c>
      <c r="G3855" s="35">
        <v>2.0</v>
      </c>
      <c r="H3855" s="35">
        <v>0.0</v>
      </c>
      <c r="I3855" s="35">
        <v>0.0</v>
      </c>
      <c r="J3855" s="35"/>
      <c r="K3855" s="35">
        <v>0.0</v>
      </c>
    </row>
    <row r="3856" ht="15.75" customHeight="1">
      <c r="A3856" s="35" t="s">
        <v>9185</v>
      </c>
      <c r="B3856" s="35"/>
      <c r="C3856" s="35">
        <v>2.0</v>
      </c>
      <c r="D3856" s="35" t="s">
        <v>4635</v>
      </c>
      <c r="E3856" s="35">
        <v>46027.0</v>
      </c>
      <c r="F3856" s="35">
        <v>0.0</v>
      </c>
      <c r="G3856" s="35">
        <v>1.0</v>
      </c>
      <c r="H3856" s="35">
        <v>0.0</v>
      </c>
      <c r="I3856" s="35">
        <v>0.0</v>
      </c>
      <c r="J3856" s="35"/>
      <c r="K3856" s="35">
        <v>0.0</v>
      </c>
    </row>
    <row r="3857" ht="15.75" customHeight="1">
      <c r="A3857" s="35" t="s">
        <v>9187</v>
      </c>
      <c r="B3857" s="35"/>
      <c r="C3857" s="35">
        <v>2.0</v>
      </c>
      <c r="D3857" s="35" t="s">
        <v>4635</v>
      </c>
      <c r="E3857" s="35">
        <v>46027.0</v>
      </c>
      <c r="F3857" s="35">
        <v>0.0</v>
      </c>
      <c r="G3857" s="35">
        <v>1.0</v>
      </c>
      <c r="H3857" s="35">
        <v>0.0</v>
      </c>
      <c r="I3857" s="35">
        <v>0.0</v>
      </c>
      <c r="J3857" s="35"/>
      <c r="K3857" s="35">
        <v>0.0</v>
      </c>
    </row>
    <row r="3858" ht="15.75" customHeight="1">
      <c r="A3858" s="35" t="s">
        <v>9189</v>
      </c>
      <c r="B3858" s="35"/>
      <c r="C3858" s="35">
        <v>2.0</v>
      </c>
      <c r="D3858" s="35" t="s">
        <v>4635</v>
      </c>
      <c r="E3858" s="35">
        <v>46027.0</v>
      </c>
      <c r="F3858" s="35">
        <v>0.0</v>
      </c>
      <c r="G3858" s="35">
        <v>1.0</v>
      </c>
      <c r="H3858" s="35">
        <v>0.0</v>
      </c>
      <c r="I3858" s="35">
        <v>0.0</v>
      </c>
      <c r="J3858" s="35"/>
      <c r="K3858" s="35">
        <v>0.0</v>
      </c>
    </row>
    <row r="3859" ht="15.75" customHeight="1">
      <c r="A3859" s="35" t="s">
        <v>9190</v>
      </c>
      <c r="B3859" s="35"/>
      <c r="C3859" s="35">
        <v>2.0</v>
      </c>
      <c r="D3859" s="35" t="s">
        <v>4635</v>
      </c>
      <c r="E3859" s="35">
        <v>46027.0</v>
      </c>
      <c r="F3859" s="35">
        <v>0.0</v>
      </c>
      <c r="G3859" s="35">
        <v>23.0</v>
      </c>
      <c r="H3859" s="35">
        <v>0.0</v>
      </c>
      <c r="I3859" s="35">
        <v>0.0</v>
      </c>
      <c r="J3859" s="35"/>
      <c r="K3859" s="35">
        <v>0.0</v>
      </c>
    </row>
    <row r="3860" ht="15.75" customHeight="1">
      <c r="A3860" s="35" t="s">
        <v>9192</v>
      </c>
      <c r="B3860" s="35"/>
      <c r="C3860" s="35">
        <v>2.0</v>
      </c>
      <c r="D3860" s="35" t="s">
        <v>4635</v>
      </c>
      <c r="E3860" s="35">
        <v>46027.0</v>
      </c>
      <c r="F3860" s="35">
        <v>0.0</v>
      </c>
      <c r="G3860" s="35">
        <v>23.0</v>
      </c>
      <c r="H3860" s="35">
        <v>0.0</v>
      </c>
      <c r="I3860" s="35">
        <v>0.0</v>
      </c>
      <c r="J3860" s="35"/>
      <c r="K3860" s="35">
        <v>0.0</v>
      </c>
    </row>
    <row r="3861" ht="15.75" customHeight="1">
      <c r="A3861" s="35" t="s">
        <v>9193</v>
      </c>
      <c r="B3861" s="35"/>
      <c r="C3861" s="35">
        <v>2.0</v>
      </c>
      <c r="D3861" s="35" t="s">
        <v>4635</v>
      </c>
      <c r="E3861" s="35">
        <v>46027.0</v>
      </c>
      <c r="F3861" s="35">
        <v>0.0</v>
      </c>
      <c r="G3861" s="35">
        <v>6.0</v>
      </c>
      <c r="H3861" s="35">
        <v>0.0</v>
      </c>
      <c r="I3861" s="35">
        <v>0.0</v>
      </c>
      <c r="J3861" s="35"/>
      <c r="K3861" s="35">
        <v>0.0</v>
      </c>
    </row>
    <row r="3862" ht="15.75" customHeight="1">
      <c r="A3862" s="35" t="s">
        <v>9195</v>
      </c>
      <c r="B3862" s="35"/>
      <c r="C3862" s="35">
        <v>2.0</v>
      </c>
      <c r="D3862" s="35" t="s">
        <v>4635</v>
      </c>
      <c r="E3862" s="35">
        <v>46027.0</v>
      </c>
      <c r="F3862" s="35">
        <v>0.0</v>
      </c>
      <c r="G3862" s="35">
        <v>44.0</v>
      </c>
      <c r="H3862" s="35">
        <v>0.0</v>
      </c>
      <c r="I3862" s="35">
        <v>0.0</v>
      </c>
      <c r="J3862" s="35"/>
      <c r="K3862" s="35">
        <v>0.0</v>
      </c>
    </row>
    <row r="3863" ht="15.75" customHeight="1">
      <c r="A3863" s="35" t="s">
        <v>9196</v>
      </c>
      <c r="B3863" s="35"/>
      <c r="C3863" s="35">
        <v>2.0</v>
      </c>
      <c r="D3863" s="35" t="s">
        <v>4635</v>
      </c>
      <c r="E3863" s="35">
        <v>46027.0</v>
      </c>
      <c r="F3863" s="35">
        <v>0.0</v>
      </c>
      <c r="G3863" s="35">
        <v>6.0</v>
      </c>
      <c r="H3863" s="35">
        <v>0.0</v>
      </c>
      <c r="I3863" s="35">
        <v>0.0</v>
      </c>
      <c r="J3863" s="35"/>
      <c r="K3863" s="35">
        <v>0.0</v>
      </c>
    </row>
    <row r="3864" ht="15.75" customHeight="1">
      <c r="A3864" s="35" t="s">
        <v>9197</v>
      </c>
      <c r="B3864" s="35"/>
      <c r="C3864" s="35">
        <v>2.0</v>
      </c>
      <c r="D3864" s="35" t="s">
        <v>4635</v>
      </c>
      <c r="E3864" s="35">
        <v>46027.0</v>
      </c>
      <c r="F3864" s="35">
        <v>0.0</v>
      </c>
      <c r="G3864" s="35">
        <v>8.0</v>
      </c>
      <c r="H3864" s="35">
        <v>0.0</v>
      </c>
      <c r="I3864" s="35">
        <v>0.0</v>
      </c>
      <c r="J3864" s="35"/>
      <c r="K3864" s="35">
        <v>0.0</v>
      </c>
    </row>
    <row r="3865" ht="15.75" customHeight="1">
      <c r="A3865" s="35" t="s">
        <v>9199</v>
      </c>
      <c r="B3865" s="35"/>
      <c r="C3865" s="35">
        <v>2.0</v>
      </c>
      <c r="D3865" s="35" t="s">
        <v>4635</v>
      </c>
      <c r="E3865" s="35">
        <v>46027.0</v>
      </c>
      <c r="F3865" s="35">
        <v>0.0</v>
      </c>
      <c r="G3865" s="35">
        <v>6.0</v>
      </c>
      <c r="H3865" s="35">
        <v>0.0</v>
      </c>
      <c r="I3865" s="35">
        <v>0.0</v>
      </c>
      <c r="J3865" s="35"/>
      <c r="K3865" s="35">
        <v>0.0</v>
      </c>
    </row>
    <row r="3866" ht="15.75" customHeight="1">
      <c r="A3866" s="35" t="s">
        <v>9200</v>
      </c>
      <c r="B3866" s="35"/>
      <c r="C3866" s="35">
        <v>2.0</v>
      </c>
      <c r="D3866" s="35">
        <v>66.0</v>
      </c>
      <c r="E3866" s="35">
        <v>46027.0</v>
      </c>
      <c r="F3866" s="35">
        <v>0.0</v>
      </c>
      <c r="G3866" s="35">
        <v>5.0</v>
      </c>
      <c r="H3866" s="35">
        <v>0.0</v>
      </c>
      <c r="I3866" s="35">
        <v>0.0</v>
      </c>
      <c r="J3866" s="35"/>
      <c r="K3866" s="35">
        <v>0.0</v>
      </c>
    </row>
    <row r="3867" ht="15.75" customHeight="1">
      <c r="A3867" s="35" t="s">
        <v>9202</v>
      </c>
      <c r="B3867" s="35"/>
      <c r="C3867" s="35">
        <v>2.0</v>
      </c>
      <c r="D3867" s="35" t="s">
        <v>4635</v>
      </c>
      <c r="E3867" s="35">
        <v>46027.0</v>
      </c>
      <c r="F3867" s="35">
        <v>0.0</v>
      </c>
      <c r="G3867" s="35">
        <v>4.0</v>
      </c>
      <c r="H3867" s="35">
        <v>0.0</v>
      </c>
      <c r="I3867" s="35">
        <v>0.0</v>
      </c>
      <c r="J3867" s="35"/>
      <c r="K3867" s="35">
        <v>0.0</v>
      </c>
    </row>
    <row r="3868" ht="15.75" customHeight="1">
      <c r="A3868" s="35" t="s">
        <v>9203</v>
      </c>
      <c r="B3868" s="35"/>
      <c r="C3868" s="35">
        <v>2.0</v>
      </c>
      <c r="D3868" s="35" t="s">
        <v>4635</v>
      </c>
      <c r="E3868" s="35">
        <v>46027.0</v>
      </c>
      <c r="F3868" s="35">
        <v>0.0</v>
      </c>
      <c r="G3868" s="35">
        <v>6.0</v>
      </c>
      <c r="H3868" s="35">
        <v>0.0</v>
      </c>
      <c r="I3868" s="35">
        <v>0.0</v>
      </c>
      <c r="J3868" s="35"/>
      <c r="K3868" s="35">
        <v>0.0</v>
      </c>
    </row>
    <row r="3869" ht="15.75" customHeight="1">
      <c r="A3869" s="35" t="s">
        <v>9205</v>
      </c>
      <c r="B3869" s="35"/>
      <c r="C3869" s="35">
        <v>2.0</v>
      </c>
      <c r="D3869" s="35" t="s">
        <v>4635</v>
      </c>
      <c r="E3869" s="35">
        <v>46027.0</v>
      </c>
      <c r="F3869" s="35">
        <v>0.0</v>
      </c>
      <c r="G3869" s="35">
        <v>1.0</v>
      </c>
      <c r="H3869" s="35">
        <v>0.0</v>
      </c>
      <c r="I3869" s="35">
        <v>0.0</v>
      </c>
      <c r="J3869" s="35"/>
      <c r="K3869" s="35">
        <v>0.0</v>
      </c>
    </row>
    <row r="3870" ht="15.75" customHeight="1">
      <c r="A3870" s="35" t="s">
        <v>9206</v>
      </c>
      <c r="B3870" s="35"/>
      <c r="C3870" s="35">
        <v>2.0</v>
      </c>
      <c r="D3870" s="35" t="s">
        <v>4635</v>
      </c>
      <c r="E3870" s="35">
        <v>46027.0</v>
      </c>
      <c r="F3870" s="35">
        <v>0.0</v>
      </c>
      <c r="G3870" s="35">
        <v>6.0</v>
      </c>
      <c r="H3870" s="35">
        <v>0.0</v>
      </c>
      <c r="I3870" s="35">
        <v>0.0</v>
      </c>
      <c r="J3870" s="35"/>
      <c r="K3870" s="35">
        <v>0.0</v>
      </c>
    </row>
    <row r="3871" ht="15.75" customHeight="1">
      <c r="A3871" s="35" t="s">
        <v>9208</v>
      </c>
      <c r="B3871" s="35"/>
      <c r="C3871" s="35">
        <v>2.0</v>
      </c>
      <c r="D3871" s="35" t="s">
        <v>4635</v>
      </c>
      <c r="E3871" s="35">
        <v>46027.0</v>
      </c>
      <c r="F3871" s="35">
        <v>0.0</v>
      </c>
      <c r="G3871" s="35">
        <v>3.0</v>
      </c>
      <c r="H3871" s="35">
        <v>0.0</v>
      </c>
      <c r="I3871" s="35">
        <v>0.0</v>
      </c>
      <c r="J3871" s="35"/>
      <c r="K3871" s="35">
        <v>0.0</v>
      </c>
    </row>
    <row r="3872" ht="15.75" customHeight="1">
      <c r="A3872" s="35" t="s">
        <v>9209</v>
      </c>
      <c r="B3872" s="35"/>
      <c r="C3872" s="35">
        <v>2.0</v>
      </c>
      <c r="D3872" s="35" t="s">
        <v>5444</v>
      </c>
      <c r="E3872" s="35">
        <v>46027.0</v>
      </c>
      <c r="F3872" s="35">
        <v>0.0</v>
      </c>
      <c r="G3872" s="35">
        <v>1.0</v>
      </c>
      <c r="H3872" s="35">
        <v>0.0</v>
      </c>
      <c r="I3872" s="35">
        <v>0.0</v>
      </c>
      <c r="J3872" s="35"/>
      <c r="K3872" s="35">
        <v>0.0</v>
      </c>
    </row>
    <row r="3873" ht="15.75" customHeight="1">
      <c r="A3873" s="35" t="s">
        <v>9211</v>
      </c>
      <c r="B3873" s="35"/>
      <c r="C3873" s="35">
        <v>2.0</v>
      </c>
      <c r="D3873" s="35" t="s">
        <v>2164</v>
      </c>
      <c r="E3873" s="35">
        <v>46027.0</v>
      </c>
      <c r="F3873" s="35">
        <v>0.0</v>
      </c>
      <c r="G3873" s="35">
        <v>1.0</v>
      </c>
      <c r="H3873" s="35">
        <v>0.0</v>
      </c>
      <c r="I3873" s="35">
        <v>0.0</v>
      </c>
      <c r="J3873" s="35"/>
      <c r="K3873" s="35">
        <v>0.0</v>
      </c>
    </row>
    <row r="3874" ht="15.75" customHeight="1">
      <c r="A3874" s="35" t="s">
        <v>9212</v>
      </c>
      <c r="B3874" s="35"/>
      <c r="C3874" s="35">
        <v>2.0</v>
      </c>
      <c r="D3874" s="35" t="s">
        <v>4343</v>
      </c>
      <c r="E3874" s="35">
        <v>46027.0</v>
      </c>
      <c r="F3874" s="35">
        <v>0.0</v>
      </c>
      <c r="G3874" s="35">
        <v>1.0</v>
      </c>
      <c r="H3874" s="35">
        <v>0.0</v>
      </c>
      <c r="I3874" s="35">
        <v>0.0</v>
      </c>
      <c r="J3874" s="35"/>
      <c r="K3874" s="35">
        <v>0.0</v>
      </c>
    </row>
    <row r="3875" ht="15.75" customHeight="1">
      <c r="A3875" s="35" t="s">
        <v>9214</v>
      </c>
      <c r="B3875" s="35"/>
      <c r="C3875" s="35">
        <v>2.0</v>
      </c>
      <c r="D3875" s="35" t="s">
        <v>4343</v>
      </c>
      <c r="E3875" s="35">
        <v>46027.0</v>
      </c>
      <c r="F3875" s="35">
        <v>0.0</v>
      </c>
      <c r="G3875" s="35">
        <v>62.0</v>
      </c>
      <c r="H3875" s="35">
        <v>0.0</v>
      </c>
      <c r="I3875" s="35">
        <v>0.0</v>
      </c>
      <c r="J3875" s="35"/>
      <c r="K3875" s="35">
        <v>0.0</v>
      </c>
    </row>
    <row r="3876" ht="15.75" customHeight="1">
      <c r="A3876" s="35" t="s">
        <v>9215</v>
      </c>
      <c r="B3876" s="35"/>
      <c r="C3876" s="35">
        <v>2.0</v>
      </c>
      <c r="D3876" s="35" t="s">
        <v>4635</v>
      </c>
      <c r="E3876" s="35">
        <v>46027.0</v>
      </c>
      <c r="F3876" s="35">
        <v>0.0</v>
      </c>
      <c r="G3876" s="35">
        <v>0.0</v>
      </c>
      <c r="H3876" s="35">
        <v>0.0</v>
      </c>
      <c r="I3876" s="35">
        <v>1.0</v>
      </c>
      <c r="J3876" s="35"/>
      <c r="K3876" s="35">
        <v>0.0</v>
      </c>
    </row>
    <row r="3877" ht="15.75" customHeight="1">
      <c r="A3877" s="35" t="s">
        <v>9217</v>
      </c>
      <c r="B3877" s="35"/>
      <c r="C3877" s="35">
        <v>2.0</v>
      </c>
      <c r="D3877" s="35" t="s">
        <v>4284</v>
      </c>
      <c r="E3877" s="35">
        <v>46027.0</v>
      </c>
      <c r="F3877" s="35">
        <v>0.0</v>
      </c>
      <c r="G3877" s="35">
        <v>1.0</v>
      </c>
      <c r="H3877" s="35">
        <v>0.0</v>
      </c>
      <c r="I3877" s="35">
        <v>0.0</v>
      </c>
      <c r="J3877" s="35"/>
      <c r="K3877" s="35">
        <v>0.0</v>
      </c>
    </row>
    <row r="3878" ht="15.75" customHeight="1">
      <c r="A3878" s="35" t="s">
        <v>9218</v>
      </c>
      <c r="B3878" s="35"/>
      <c r="C3878" s="35">
        <v>2.0</v>
      </c>
      <c r="D3878" s="35" t="s">
        <v>4635</v>
      </c>
      <c r="E3878" s="35">
        <v>46027.0</v>
      </c>
      <c r="F3878" s="35">
        <v>0.0</v>
      </c>
      <c r="G3878" s="35">
        <v>4.0</v>
      </c>
      <c r="H3878" s="35">
        <v>0.0</v>
      </c>
      <c r="I3878" s="35">
        <v>0.0</v>
      </c>
      <c r="J3878" s="35"/>
      <c r="K3878" s="35">
        <v>0.0</v>
      </c>
    </row>
    <row r="3879" ht="15.75" customHeight="1">
      <c r="A3879" s="35" t="s">
        <v>9220</v>
      </c>
      <c r="B3879" s="35"/>
      <c r="C3879" s="35">
        <v>2.0</v>
      </c>
      <c r="D3879" s="35" t="s">
        <v>4635</v>
      </c>
      <c r="E3879" s="35">
        <v>46027.0</v>
      </c>
      <c r="F3879" s="35">
        <v>0.0</v>
      </c>
      <c r="G3879" s="35">
        <v>5.0</v>
      </c>
      <c r="H3879" s="35">
        <v>0.0</v>
      </c>
      <c r="I3879" s="35">
        <v>0.0</v>
      </c>
      <c r="J3879" s="35"/>
      <c r="K3879" s="35">
        <v>0.0</v>
      </c>
    </row>
    <row r="3880" ht="15.75" customHeight="1">
      <c r="A3880" s="35" t="s">
        <v>9221</v>
      </c>
      <c r="B3880" s="35"/>
      <c r="C3880" s="35">
        <v>2.0</v>
      </c>
      <c r="D3880" s="35" t="s">
        <v>4635</v>
      </c>
      <c r="E3880" s="35">
        <v>46027.0</v>
      </c>
      <c r="F3880" s="35">
        <v>0.0</v>
      </c>
      <c r="G3880" s="35">
        <v>7.0</v>
      </c>
      <c r="H3880" s="35">
        <v>0.0</v>
      </c>
      <c r="I3880" s="35">
        <v>0.0</v>
      </c>
      <c r="J3880" s="35"/>
      <c r="K3880" s="35">
        <v>0.0</v>
      </c>
    </row>
    <row r="3881" ht="15.75" customHeight="1">
      <c r="A3881" s="35" t="s">
        <v>9222</v>
      </c>
      <c r="B3881" s="35"/>
      <c r="C3881" s="35">
        <v>2.0</v>
      </c>
      <c r="D3881" s="35" t="s">
        <v>4635</v>
      </c>
      <c r="E3881" s="35">
        <v>46027.0</v>
      </c>
      <c r="F3881" s="35">
        <v>0.0</v>
      </c>
      <c r="G3881" s="35">
        <v>4.0</v>
      </c>
      <c r="H3881" s="35">
        <v>0.0</v>
      </c>
      <c r="I3881" s="35">
        <v>0.0</v>
      </c>
      <c r="J3881" s="35"/>
      <c r="K3881" s="35">
        <v>0.0</v>
      </c>
    </row>
    <row r="3882" ht="15.75" customHeight="1">
      <c r="A3882" s="35" t="s">
        <v>9224</v>
      </c>
      <c r="B3882" s="35"/>
      <c r="C3882" s="35">
        <v>2.0</v>
      </c>
      <c r="D3882" s="35" t="s">
        <v>4635</v>
      </c>
      <c r="E3882" s="35">
        <v>46027.0</v>
      </c>
      <c r="F3882" s="35">
        <v>0.0</v>
      </c>
      <c r="G3882" s="35">
        <v>8.0</v>
      </c>
      <c r="H3882" s="35">
        <v>0.0</v>
      </c>
      <c r="I3882" s="35">
        <v>0.0</v>
      </c>
      <c r="J3882" s="35"/>
      <c r="K3882" s="35">
        <v>0.0</v>
      </c>
    </row>
    <row r="3883" ht="15.75" customHeight="1">
      <c r="A3883" s="35" t="s">
        <v>9225</v>
      </c>
      <c r="B3883" s="35"/>
      <c r="C3883" s="35">
        <v>2.0</v>
      </c>
      <c r="D3883" s="35" t="s">
        <v>4635</v>
      </c>
      <c r="E3883" s="35">
        <v>46027.0</v>
      </c>
      <c r="F3883" s="35">
        <v>0.0</v>
      </c>
      <c r="G3883" s="35">
        <v>5.0</v>
      </c>
      <c r="H3883" s="35">
        <v>0.0</v>
      </c>
      <c r="I3883" s="35">
        <v>0.0</v>
      </c>
      <c r="J3883" s="35"/>
      <c r="K3883" s="35">
        <v>0.0</v>
      </c>
    </row>
    <row r="3884" ht="15.75" customHeight="1">
      <c r="A3884" s="35" t="s">
        <v>9227</v>
      </c>
      <c r="B3884" s="35"/>
      <c r="C3884" s="35">
        <v>2.0</v>
      </c>
      <c r="D3884" s="35" t="s">
        <v>4635</v>
      </c>
      <c r="E3884" s="35">
        <v>46027.0</v>
      </c>
      <c r="F3884" s="35">
        <v>0.0</v>
      </c>
      <c r="G3884" s="35">
        <v>4.0</v>
      </c>
      <c r="H3884" s="35">
        <v>0.0</v>
      </c>
      <c r="I3884" s="35">
        <v>0.0</v>
      </c>
      <c r="J3884" s="35"/>
      <c r="K3884" s="35">
        <v>0.0</v>
      </c>
    </row>
    <row r="3885" ht="15.75" customHeight="1">
      <c r="A3885" s="35" t="s">
        <v>9228</v>
      </c>
      <c r="B3885" s="35"/>
      <c r="C3885" s="35">
        <v>2.0</v>
      </c>
      <c r="D3885" s="35" t="s">
        <v>4635</v>
      </c>
      <c r="E3885" s="35">
        <v>46027.0</v>
      </c>
      <c r="F3885" s="35">
        <v>0.0</v>
      </c>
      <c r="G3885" s="35">
        <v>1.0</v>
      </c>
      <c r="H3885" s="35">
        <v>0.0</v>
      </c>
      <c r="I3885" s="35">
        <v>0.0</v>
      </c>
      <c r="J3885" s="35"/>
      <c r="K3885" s="35">
        <v>0.0</v>
      </c>
    </row>
    <row r="3886" ht="15.75" customHeight="1">
      <c r="A3886" s="35" t="s">
        <v>9230</v>
      </c>
      <c r="B3886" s="35"/>
      <c r="C3886" s="35">
        <v>2.0</v>
      </c>
      <c r="D3886" s="35" t="s">
        <v>4635</v>
      </c>
      <c r="E3886" s="35">
        <v>46027.0</v>
      </c>
      <c r="F3886" s="35">
        <v>0.0</v>
      </c>
      <c r="G3886" s="35">
        <v>2.0</v>
      </c>
      <c r="H3886" s="35">
        <v>0.0</v>
      </c>
      <c r="I3886" s="35">
        <v>0.0</v>
      </c>
      <c r="J3886" s="35"/>
      <c r="K3886" s="35">
        <v>0.0</v>
      </c>
    </row>
    <row r="3887" ht="15.75" customHeight="1">
      <c r="A3887" s="35" t="s">
        <v>9231</v>
      </c>
      <c r="B3887" s="35"/>
      <c r="C3887" s="35">
        <v>2.0</v>
      </c>
      <c r="D3887" s="35" t="s">
        <v>2065</v>
      </c>
      <c r="E3887" s="35">
        <v>46027.0</v>
      </c>
      <c r="F3887" s="35">
        <v>0.0</v>
      </c>
      <c r="G3887" s="35">
        <v>2.0</v>
      </c>
      <c r="H3887" s="35">
        <v>0.0</v>
      </c>
      <c r="I3887" s="35">
        <v>0.0</v>
      </c>
      <c r="J3887" s="35"/>
      <c r="K3887" s="35">
        <v>0.0</v>
      </c>
    </row>
    <row r="3888" ht="15.75" customHeight="1">
      <c r="A3888" s="35" t="s">
        <v>9233</v>
      </c>
      <c r="B3888" s="35"/>
      <c r="C3888" s="35">
        <v>2.0</v>
      </c>
      <c r="D3888" s="35" t="s">
        <v>4635</v>
      </c>
      <c r="E3888" s="35">
        <v>46027.0</v>
      </c>
      <c r="F3888" s="35">
        <v>0.0</v>
      </c>
      <c r="G3888" s="35">
        <v>4.0</v>
      </c>
      <c r="H3888" s="35">
        <v>0.0</v>
      </c>
      <c r="I3888" s="35">
        <v>0.0</v>
      </c>
      <c r="J3888" s="35"/>
      <c r="K3888" s="35">
        <v>0.0</v>
      </c>
    </row>
    <row r="3889" ht="15.75" customHeight="1">
      <c r="A3889" s="35" t="s">
        <v>9234</v>
      </c>
      <c r="B3889" s="35"/>
      <c r="C3889" s="35">
        <v>2.0</v>
      </c>
      <c r="D3889" s="35" t="s">
        <v>4635</v>
      </c>
      <c r="E3889" s="35">
        <v>46027.0</v>
      </c>
      <c r="F3889" s="35">
        <v>0.0</v>
      </c>
      <c r="G3889" s="35">
        <v>2.0</v>
      </c>
      <c r="H3889" s="35">
        <v>0.0</v>
      </c>
      <c r="I3889" s="35">
        <v>0.0</v>
      </c>
      <c r="J3889" s="35"/>
      <c r="K3889" s="35">
        <v>0.0</v>
      </c>
    </row>
    <row r="3890" ht="15.75" customHeight="1">
      <c r="A3890" s="35" t="s">
        <v>9236</v>
      </c>
      <c r="B3890" s="35"/>
      <c r="C3890" s="35">
        <v>2.0</v>
      </c>
      <c r="D3890" s="35" t="s">
        <v>4635</v>
      </c>
      <c r="E3890" s="35">
        <v>46027.0</v>
      </c>
      <c r="F3890" s="35">
        <v>0.0</v>
      </c>
      <c r="G3890" s="35">
        <v>4.0</v>
      </c>
      <c r="H3890" s="35">
        <v>0.0</v>
      </c>
      <c r="I3890" s="35">
        <v>0.0</v>
      </c>
      <c r="J3890" s="35"/>
      <c r="K3890" s="35">
        <v>0.0</v>
      </c>
    </row>
    <row r="3891" ht="15.75" customHeight="1">
      <c r="A3891" s="35" t="s">
        <v>9237</v>
      </c>
      <c r="B3891" s="35"/>
      <c r="C3891" s="35">
        <v>2.0</v>
      </c>
      <c r="D3891" s="35" t="s">
        <v>4635</v>
      </c>
      <c r="E3891" s="35">
        <v>46027.0</v>
      </c>
      <c r="F3891" s="35">
        <v>0.0</v>
      </c>
      <c r="G3891" s="35">
        <v>1.0</v>
      </c>
      <c r="H3891" s="35">
        <v>0.0</v>
      </c>
      <c r="I3891" s="35">
        <v>0.0</v>
      </c>
      <c r="J3891" s="35"/>
      <c r="K3891" s="35">
        <v>0.0</v>
      </c>
    </row>
    <row r="3892" ht="15.75" customHeight="1">
      <c r="A3892" s="35" t="s">
        <v>9238</v>
      </c>
      <c r="B3892" s="35"/>
      <c r="C3892" s="35">
        <v>2.0</v>
      </c>
      <c r="D3892" s="35" t="s">
        <v>4635</v>
      </c>
      <c r="E3892" s="35">
        <v>46027.0</v>
      </c>
      <c r="F3892" s="35">
        <v>0.0</v>
      </c>
      <c r="G3892" s="35">
        <v>4.0</v>
      </c>
      <c r="H3892" s="35">
        <v>0.0</v>
      </c>
      <c r="I3892" s="35">
        <v>0.0</v>
      </c>
      <c r="J3892" s="35"/>
      <c r="K3892" s="35">
        <v>0.0</v>
      </c>
    </row>
    <row r="3893" ht="15.75" customHeight="1">
      <c r="A3893" s="35" t="s">
        <v>9240</v>
      </c>
      <c r="B3893" s="35"/>
      <c r="C3893" s="35">
        <v>2.0</v>
      </c>
      <c r="D3893" s="35" t="s">
        <v>4635</v>
      </c>
      <c r="E3893" s="35">
        <v>46027.0</v>
      </c>
      <c r="F3893" s="35">
        <v>0.0</v>
      </c>
      <c r="G3893" s="35">
        <v>2.0</v>
      </c>
      <c r="H3893" s="35">
        <v>0.0</v>
      </c>
      <c r="I3893" s="35">
        <v>0.0</v>
      </c>
      <c r="J3893" s="35"/>
      <c r="K3893" s="35">
        <v>0.0</v>
      </c>
    </row>
    <row r="3894" ht="15.75" customHeight="1">
      <c r="A3894" s="35" t="s">
        <v>9241</v>
      </c>
      <c r="B3894" s="35"/>
      <c r="C3894" s="35">
        <v>2.0</v>
      </c>
      <c r="D3894" s="35" t="s">
        <v>4635</v>
      </c>
      <c r="E3894" s="35">
        <v>46027.0</v>
      </c>
      <c r="F3894" s="35">
        <v>0.0</v>
      </c>
      <c r="G3894" s="35">
        <v>4.0</v>
      </c>
      <c r="H3894" s="35">
        <v>0.0</v>
      </c>
      <c r="I3894" s="35">
        <v>0.0</v>
      </c>
      <c r="J3894" s="35"/>
      <c r="K3894" s="35">
        <v>0.0</v>
      </c>
    </row>
    <row r="3895" ht="15.75" customHeight="1">
      <c r="A3895" s="35" t="s">
        <v>9243</v>
      </c>
      <c r="B3895" s="35"/>
      <c r="C3895" s="35">
        <v>2.0</v>
      </c>
      <c r="D3895" s="35" t="s">
        <v>4635</v>
      </c>
      <c r="E3895" s="35">
        <v>46027.0</v>
      </c>
      <c r="F3895" s="35">
        <v>0.0</v>
      </c>
      <c r="G3895" s="35">
        <v>7.0</v>
      </c>
      <c r="H3895" s="35">
        <v>0.0</v>
      </c>
      <c r="I3895" s="35">
        <v>0.0</v>
      </c>
      <c r="J3895" s="35"/>
      <c r="K3895" s="35">
        <v>0.0</v>
      </c>
    </row>
    <row r="3896" ht="15.75" customHeight="1">
      <c r="A3896" s="35" t="s">
        <v>9244</v>
      </c>
      <c r="B3896" s="35"/>
      <c r="C3896" s="35">
        <v>2.0</v>
      </c>
      <c r="D3896" s="35" t="s">
        <v>4635</v>
      </c>
      <c r="E3896" s="35">
        <v>46027.0</v>
      </c>
      <c r="F3896" s="35">
        <v>0.0</v>
      </c>
      <c r="G3896" s="35">
        <v>2.0</v>
      </c>
      <c r="H3896" s="35">
        <v>0.0</v>
      </c>
      <c r="I3896" s="35">
        <v>0.0</v>
      </c>
      <c r="J3896" s="35"/>
      <c r="K3896" s="35">
        <v>0.0</v>
      </c>
    </row>
    <row r="3897" ht="15.75" customHeight="1">
      <c r="A3897" s="35" t="s">
        <v>9246</v>
      </c>
      <c r="B3897" s="35"/>
      <c r="C3897" s="35">
        <v>2.0</v>
      </c>
      <c r="D3897" s="35" t="s">
        <v>4635</v>
      </c>
      <c r="E3897" s="35">
        <v>46027.0</v>
      </c>
      <c r="F3897" s="35">
        <v>0.0</v>
      </c>
      <c r="G3897" s="35">
        <v>1.0</v>
      </c>
      <c r="H3897" s="35">
        <v>0.0</v>
      </c>
      <c r="I3897" s="35">
        <v>0.0</v>
      </c>
      <c r="J3897" s="35"/>
      <c r="K3897" s="35">
        <v>0.0</v>
      </c>
    </row>
    <row r="3898" ht="15.75" customHeight="1">
      <c r="A3898" s="35" t="s">
        <v>9247</v>
      </c>
      <c r="B3898" s="35"/>
      <c r="C3898" s="35">
        <v>2.0</v>
      </c>
      <c r="D3898" s="35" t="s">
        <v>4635</v>
      </c>
      <c r="E3898" s="35">
        <v>46027.0</v>
      </c>
      <c r="F3898" s="35">
        <v>0.0</v>
      </c>
      <c r="G3898" s="35">
        <v>4.0</v>
      </c>
      <c r="H3898" s="35">
        <v>0.0</v>
      </c>
      <c r="I3898" s="35">
        <v>0.0</v>
      </c>
      <c r="J3898" s="35"/>
      <c r="K3898" s="35">
        <v>0.0</v>
      </c>
    </row>
    <row r="3899" ht="15.75" customHeight="1">
      <c r="A3899" s="35" t="s">
        <v>9249</v>
      </c>
      <c r="B3899" s="35"/>
      <c r="C3899" s="35">
        <v>2.0</v>
      </c>
      <c r="D3899" s="35" t="s">
        <v>4635</v>
      </c>
      <c r="E3899" s="35">
        <v>46027.0</v>
      </c>
      <c r="F3899" s="35">
        <v>0.0</v>
      </c>
      <c r="G3899" s="35">
        <v>8.0</v>
      </c>
      <c r="H3899" s="35">
        <v>0.0</v>
      </c>
      <c r="I3899" s="35">
        <v>0.0</v>
      </c>
      <c r="J3899" s="35"/>
      <c r="K3899" s="35">
        <v>0.0</v>
      </c>
    </row>
    <row r="3900" ht="15.75" customHeight="1">
      <c r="A3900" s="35" t="s">
        <v>9250</v>
      </c>
      <c r="B3900" s="35"/>
      <c r="C3900" s="35">
        <v>2.0</v>
      </c>
      <c r="D3900" s="35" t="s">
        <v>4635</v>
      </c>
      <c r="E3900" s="35">
        <v>46027.0</v>
      </c>
      <c r="F3900" s="35">
        <v>0.0</v>
      </c>
      <c r="G3900" s="35">
        <v>1.0</v>
      </c>
      <c r="H3900" s="35">
        <v>0.0</v>
      </c>
      <c r="I3900" s="35">
        <v>0.0</v>
      </c>
      <c r="J3900" s="35"/>
      <c r="K3900" s="35">
        <v>0.0</v>
      </c>
    </row>
    <row r="3901" ht="15.75" customHeight="1">
      <c r="A3901" s="35" t="s">
        <v>9251</v>
      </c>
      <c r="B3901" s="35"/>
      <c r="C3901" s="35">
        <v>2.0</v>
      </c>
      <c r="D3901" s="35">
        <v>96.0</v>
      </c>
      <c r="E3901" s="35">
        <v>46027.0</v>
      </c>
      <c r="F3901" s="35">
        <v>0.0</v>
      </c>
      <c r="G3901" s="35">
        <v>6.0</v>
      </c>
      <c r="H3901" s="35">
        <v>0.0</v>
      </c>
      <c r="I3901" s="35">
        <v>0.0</v>
      </c>
      <c r="J3901" s="35"/>
      <c r="K3901" s="35">
        <v>0.0</v>
      </c>
    </row>
    <row r="3902" ht="15.75" customHeight="1">
      <c r="A3902" s="35" t="s">
        <v>9253</v>
      </c>
      <c r="B3902" s="35"/>
      <c r="C3902" s="35">
        <v>2.0</v>
      </c>
      <c r="D3902" s="35">
        <v>357.0</v>
      </c>
      <c r="E3902" s="35">
        <v>46027.0</v>
      </c>
      <c r="F3902" s="35">
        <v>0.0</v>
      </c>
      <c r="G3902" s="35">
        <v>1.0</v>
      </c>
      <c r="H3902" s="35">
        <v>0.0</v>
      </c>
      <c r="I3902" s="35">
        <v>0.0</v>
      </c>
      <c r="J3902" s="35"/>
      <c r="K3902" s="35">
        <v>0.0</v>
      </c>
    </row>
    <row r="3903" ht="15.75" customHeight="1">
      <c r="A3903" s="35" t="s">
        <v>9254</v>
      </c>
      <c r="B3903" s="35"/>
      <c r="C3903" s="35">
        <v>2.0</v>
      </c>
      <c r="D3903" s="35" t="s">
        <v>4635</v>
      </c>
      <c r="E3903" s="35">
        <v>46027.0</v>
      </c>
      <c r="F3903" s="35">
        <v>0.0</v>
      </c>
      <c r="G3903" s="35">
        <v>4.0</v>
      </c>
      <c r="H3903" s="35">
        <v>0.0</v>
      </c>
      <c r="I3903" s="35">
        <v>0.0</v>
      </c>
      <c r="J3903" s="35"/>
      <c r="K3903" s="35">
        <v>0.0</v>
      </c>
    </row>
    <row r="3904" ht="15.75" customHeight="1">
      <c r="A3904" s="35" t="s">
        <v>9256</v>
      </c>
      <c r="B3904" s="35"/>
      <c r="C3904" s="35">
        <v>2.0</v>
      </c>
      <c r="D3904" s="35" t="s">
        <v>4635</v>
      </c>
      <c r="E3904" s="35">
        <v>46027.0</v>
      </c>
      <c r="F3904" s="35">
        <v>0.0</v>
      </c>
      <c r="G3904" s="35">
        <v>4.0</v>
      </c>
      <c r="H3904" s="35">
        <v>0.0</v>
      </c>
      <c r="I3904" s="35">
        <v>0.0</v>
      </c>
      <c r="J3904" s="35"/>
      <c r="K3904" s="35">
        <v>0.0</v>
      </c>
    </row>
    <row r="3905" ht="15.75" customHeight="1">
      <c r="A3905" s="35" t="s">
        <v>9257</v>
      </c>
      <c r="B3905" s="35"/>
      <c r="C3905" s="35">
        <v>2.0</v>
      </c>
      <c r="D3905" s="35" t="s">
        <v>4635</v>
      </c>
      <c r="E3905" s="35">
        <v>46027.0</v>
      </c>
      <c r="F3905" s="35">
        <v>0.0</v>
      </c>
      <c r="G3905" s="35">
        <v>2.0</v>
      </c>
      <c r="H3905" s="35">
        <v>0.0</v>
      </c>
      <c r="I3905" s="35">
        <v>0.0</v>
      </c>
      <c r="J3905" s="35"/>
      <c r="K3905" s="35">
        <v>0.0</v>
      </c>
    </row>
    <row r="3906" ht="15.75" customHeight="1">
      <c r="A3906" s="35" t="s">
        <v>9259</v>
      </c>
      <c r="B3906" s="35"/>
      <c r="C3906" s="35">
        <v>2.0</v>
      </c>
      <c r="D3906" s="35" t="s">
        <v>4635</v>
      </c>
      <c r="E3906" s="35">
        <v>46027.0</v>
      </c>
      <c r="F3906" s="35">
        <v>0.0</v>
      </c>
      <c r="G3906" s="35">
        <v>6.0</v>
      </c>
      <c r="H3906" s="35">
        <v>0.0</v>
      </c>
      <c r="I3906" s="35">
        <v>0.0</v>
      </c>
      <c r="J3906" s="35"/>
      <c r="K3906" s="35">
        <v>0.0</v>
      </c>
    </row>
    <row r="3907" ht="15.75" customHeight="1">
      <c r="A3907" s="35" t="s">
        <v>9260</v>
      </c>
      <c r="B3907" s="35"/>
      <c r="C3907" s="35">
        <v>2.0</v>
      </c>
      <c r="D3907" s="35" t="s">
        <v>4635</v>
      </c>
      <c r="E3907" s="35">
        <v>46027.0</v>
      </c>
      <c r="F3907" s="35">
        <v>0.0</v>
      </c>
      <c r="G3907" s="35">
        <v>1.0</v>
      </c>
      <c r="H3907" s="35">
        <v>0.0</v>
      </c>
      <c r="I3907" s="35">
        <v>0.0</v>
      </c>
      <c r="J3907" s="35"/>
      <c r="K3907" s="35">
        <v>0.0</v>
      </c>
    </row>
    <row r="3908" ht="15.75" customHeight="1">
      <c r="A3908" s="35" t="s">
        <v>9262</v>
      </c>
      <c r="B3908" s="35"/>
      <c r="C3908" s="35">
        <v>2.0</v>
      </c>
      <c r="D3908" s="35" t="s">
        <v>4635</v>
      </c>
      <c r="E3908" s="35">
        <v>46027.0</v>
      </c>
      <c r="F3908" s="35">
        <v>0.0</v>
      </c>
      <c r="G3908" s="35">
        <v>1.0</v>
      </c>
      <c r="H3908" s="35">
        <v>0.0</v>
      </c>
      <c r="I3908" s="35">
        <v>0.0</v>
      </c>
      <c r="J3908" s="35"/>
      <c r="K3908" s="35">
        <v>0.0</v>
      </c>
    </row>
    <row r="3909" ht="15.75" customHeight="1">
      <c r="A3909" s="35" t="s">
        <v>9263</v>
      </c>
      <c r="B3909" s="35"/>
      <c r="C3909" s="35">
        <v>2.0</v>
      </c>
      <c r="D3909" s="35">
        <v>470.0</v>
      </c>
      <c r="E3909" s="35">
        <v>46027.0</v>
      </c>
      <c r="F3909" s="35">
        <v>0.0</v>
      </c>
      <c r="G3909" s="35">
        <v>1.0</v>
      </c>
      <c r="H3909" s="35">
        <v>0.0</v>
      </c>
      <c r="I3909" s="35">
        <v>0.0</v>
      </c>
      <c r="J3909" s="35"/>
      <c r="K3909" s="35">
        <v>0.0</v>
      </c>
    </row>
    <row r="3910" ht="15.75" customHeight="1">
      <c r="A3910" s="35" t="s">
        <v>9264</v>
      </c>
      <c r="B3910" s="35"/>
      <c r="C3910" s="35">
        <v>2.0</v>
      </c>
      <c r="D3910" s="35" t="s">
        <v>2004</v>
      </c>
      <c r="E3910" s="35">
        <v>46027.0</v>
      </c>
      <c r="F3910" s="35">
        <v>0.0</v>
      </c>
      <c r="G3910" s="35">
        <v>6.0</v>
      </c>
      <c r="H3910" s="35">
        <v>0.0</v>
      </c>
      <c r="I3910" s="35">
        <v>0.0</v>
      </c>
      <c r="J3910" s="35"/>
      <c r="K3910" s="35">
        <v>0.0</v>
      </c>
    </row>
    <row r="3911" ht="15.75" customHeight="1">
      <c r="A3911" s="35" t="s">
        <v>9266</v>
      </c>
      <c r="B3911" s="35"/>
      <c r="C3911" s="35">
        <v>2.0</v>
      </c>
      <c r="D3911" s="35">
        <v>119.0</v>
      </c>
      <c r="E3911" s="35">
        <v>46027.0</v>
      </c>
      <c r="F3911" s="35">
        <v>0.0</v>
      </c>
      <c r="G3911" s="35">
        <v>17.0</v>
      </c>
      <c r="H3911" s="35">
        <v>0.0</v>
      </c>
      <c r="I3911" s="35">
        <v>0.0</v>
      </c>
      <c r="J3911" s="35"/>
      <c r="K3911" s="35">
        <v>0.0</v>
      </c>
    </row>
    <row r="3912" ht="15.75" customHeight="1">
      <c r="A3912" s="35" t="s">
        <v>9267</v>
      </c>
      <c r="B3912" s="35"/>
      <c r="C3912" s="35">
        <v>2.0</v>
      </c>
      <c r="D3912" s="35">
        <v>224.0</v>
      </c>
      <c r="E3912" s="35">
        <v>46027.0</v>
      </c>
      <c r="F3912" s="35">
        <v>0.0</v>
      </c>
      <c r="G3912" s="35">
        <v>2.0</v>
      </c>
      <c r="H3912" s="35">
        <v>0.0</v>
      </c>
      <c r="I3912" s="35">
        <v>0.0</v>
      </c>
      <c r="J3912" s="35"/>
      <c r="K3912" s="35">
        <v>0.0</v>
      </c>
    </row>
    <row r="3913" ht="15.75" customHeight="1">
      <c r="A3913" s="35" t="s">
        <v>9269</v>
      </c>
      <c r="B3913" s="35"/>
      <c r="C3913" s="35">
        <v>2.0</v>
      </c>
      <c r="D3913" s="35" t="s">
        <v>4635</v>
      </c>
      <c r="E3913" s="35">
        <v>46027.0</v>
      </c>
      <c r="F3913" s="35">
        <v>0.0</v>
      </c>
      <c r="G3913" s="35">
        <v>2.0</v>
      </c>
      <c r="H3913" s="35">
        <v>0.0</v>
      </c>
      <c r="I3913" s="35">
        <v>0.0</v>
      </c>
      <c r="J3913" s="35"/>
      <c r="K3913" s="35">
        <v>0.0</v>
      </c>
    </row>
    <row r="3914" ht="15.75" customHeight="1">
      <c r="A3914" s="35" t="s">
        <v>9270</v>
      </c>
      <c r="B3914" s="35"/>
      <c r="C3914" s="35">
        <v>2.0</v>
      </c>
      <c r="D3914" s="35" t="s">
        <v>4635</v>
      </c>
      <c r="E3914" s="35">
        <v>46027.0</v>
      </c>
      <c r="F3914" s="35">
        <v>0.0</v>
      </c>
      <c r="G3914" s="35">
        <v>5.0</v>
      </c>
      <c r="H3914" s="35">
        <v>0.0</v>
      </c>
      <c r="I3914" s="35">
        <v>0.0</v>
      </c>
      <c r="J3914" s="35"/>
      <c r="K3914" s="35">
        <v>0.0</v>
      </c>
    </row>
    <row r="3915" ht="15.75" customHeight="1">
      <c r="A3915" s="35" t="s">
        <v>9271</v>
      </c>
      <c r="B3915" s="35"/>
      <c r="C3915" s="35">
        <v>2.0</v>
      </c>
      <c r="D3915" s="35" t="s">
        <v>4635</v>
      </c>
      <c r="E3915" s="35">
        <v>46027.0</v>
      </c>
      <c r="F3915" s="35">
        <v>0.0</v>
      </c>
      <c r="G3915" s="35">
        <v>1.0</v>
      </c>
      <c r="H3915" s="35">
        <v>0.0</v>
      </c>
      <c r="I3915" s="35">
        <v>0.0</v>
      </c>
      <c r="J3915" s="35"/>
      <c r="K3915" s="35">
        <v>0.0</v>
      </c>
    </row>
    <row r="3916" ht="15.75" customHeight="1">
      <c r="A3916" s="35" t="s">
        <v>9273</v>
      </c>
      <c r="B3916" s="35"/>
      <c r="C3916" s="35">
        <v>2.0</v>
      </c>
      <c r="D3916" s="35">
        <v>72.0</v>
      </c>
      <c r="E3916" s="35">
        <v>46027.0</v>
      </c>
      <c r="F3916" s="35">
        <v>0.0</v>
      </c>
      <c r="G3916" s="35">
        <v>1.0</v>
      </c>
      <c r="H3916" s="35">
        <v>0.0</v>
      </c>
      <c r="I3916" s="35">
        <v>0.0</v>
      </c>
      <c r="J3916" s="35"/>
      <c r="K3916" s="35">
        <v>0.0</v>
      </c>
    </row>
    <row r="3917" ht="15.75" customHeight="1">
      <c r="A3917" s="35" t="s">
        <v>9274</v>
      </c>
      <c r="B3917" s="35"/>
      <c r="C3917" s="35">
        <v>2.0</v>
      </c>
      <c r="D3917" s="35" t="s">
        <v>4635</v>
      </c>
      <c r="E3917" s="35">
        <v>46027.0</v>
      </c>
      <c r="F3917" s="35">
        <v>0.0</v>
      </c>
      <c r="G3917" s="35">
        <v>5.0</v>
      </c>
      <c r="H3917" s="35">
        <v>0.0</v>
      </c>
      <c r="I3917" s="35">
        <v>0.0</v>
      </c>
      <c r="J3917" s="35"/>
      <c r="K3917" s="35">
        <v>0.0</v>
      </c>
    </row>
    <row r="3918" ht="15.75" customHeight="1">
      <c r="A3918" s="35" t="s">
        <v>9276</v>
      </c>
      <c r="B3918" s="35"/>
      <c r="C3918" s="35">
        <v>2.0</v>
      </c>
      <c r="D3918" s="35" t="s">
        <v>4635</v>
      </c>
      <c r="E3918" s="35">
        <v>46027.0</v>
      </c>
      <c r="F3918" s="35">
        <v>0.0</v>
      </c>
      <c r="G3918" s="35">
        <v>4.0</v>
      </c>
      <c r="H3918" s="35">
        <v>0.0</v>
      </c>
      <c r="I3918" s="35">
        <v>0.0</v>
      </c>
      <c r="J3918" s="35"/>
      <c r="K3918" s="35">
        <v>0.0</v>
      </c>
    </row>
    <row r="3919" ht="15.75" customHeight="1">
      <c r="A3919" s="35" t="s">
        <v>9277</v>
      </c>
      <c r="B3919" s="35"/>
      <c r="C3919" s="35">
        <v>2.0</v>
      </c>
      <c r="D3919" s="35" t="s">
        <v>4635</v>
      </c>
      <c r="E3919" s="35">
        <v>46027.0</v>
      </c>
      <c r="F3919" s="35">
        <v>0.0</v>
      </c>
      <c r="G3919" s="35">
        <v>6.0</v>
      </c>
      <c r="H3919" s="35">
        <v>0.0</v>
      </c>
      <c r="I3919" s="35">
        <v>0.0</v>
      </c>
      <c r="J3919" s="35"/>
      <c r="K3919" s="35">
        <v>0.0</v>
      </c>
    </row>
    <row r="3920" ht="15.75" customHeight="1">
      <c r="A3920" s="35" t="s">
        <v>9279</v>
      </c>
      <c r="B3920" s="35"/>
      <c r="C3920" s="35">
        <v>2.0</v>
      </c>
      <c r="D3920" s="35">
        <v>58.0</v>
      </c>
      <c r="E3920" s="35">
        <v>46027.0</v>
      </c>
      <c r="F3920" s="35">
        <v>0.0</v>
      </c>
      <c r="G3920" s="35">
        <v>1.0</v>
      </c>
      <c r="H3920" s="35">
        <v>0.0</v>
      </c>
      <c r="I3920" s="35">
        <v>0.0</v>
      </c>
      <c r="J3920" s="35"/>
      <c r="K3920" s="35">
        <v>0.0</v>
      </c>
    </row>
    <row r="3921" ht="15.75" customHeight="1">
      <c r="A3921" s="35" t="s">
        <v>9280</v>
      </c>
      <c r="B3921" s="35"/>
      <c r="C3921" s="35">
        <v>2.0</v>
      </c>
      <c r="D3921" s="35" t="s">
        <v>2039</v>
      </c>
      <c r="E3921" s="35">
        <v>46027.0</v>
      </c>
      <c r="F3921" s="35">
        <v>0.0</v>
      </c>
      <c r="G3921" s="35">
        <v>10.0</v>
      </c>
      <c r="H3921" s="35">
        <v>0.0</v>
      </c>
      <c r="I3921" s="35">
        <v>0.0</v>
      </c>
      <c r="J3921" s="35"/>
      <c r="K3921" s="35">
        <v>0.0</v>
      </c>
    </row>
    <row r="3922" ht="15.75" customHeight="1">
      <c r="A3922" s="35" t="s">
        <v>9282</v>
      </c>
      <c r="B3922" s="35"/>
      <c r="C3922" s="35">
        <v>2.0</v>
      </c>
      <c r="D3922" s="35">
        <v>66.0</v>
      </c>
      <c r="E3922" s="35">
        <v>46027.0</v>
      </c>
      <c r="F3922" s="35">
        <v>0.0</v>
      </c>
      <c r="G3922" s="35">
        <v>5.0</v>
      </c>
      <c r="H3922" s="35">
        <v>0.0</v>
      </c>
      <c r="I3922" s="35">
        <v>0.0</v>
      </c>
      <c r="J3922" s="35"/>
      <c r="K3922" s="35">
        <v>0.0</v>
      </c>
    </row>
    <row r="3923" ht="15.75" customHeight="1">
      <c r="A3923" s="35" t="s">
        <v>9283</v>
      </c>
      <c r="B3923" s="35"/>
      <c r="C3923" s="35">
        <v>2.0</v>
      </c>
      <c r="D3923" s="35">
        <v>570.0</v>
      </c>
      <c r="E3923" s="35">
        <v>46027.0</v>
      </c>
      <c r="F3923" s="35">
        <v>0.0</v>
      </c>
      <c r="G3923" s="35">
        <v>0.0</v>
      </c>
      <c r="H3923" s="35">
        <v>1.0</v>
      </c>
      <c r="I3923" s="35">
        <v>0.0</v>
      </c>
      <c r="J3923" s="35"/>
      <c r="K3923" s="35">
        <v>0.0</v>
      </c>
    </row>
    <row r="3924" ht="15.75" customHeight="1">
      <c r="A3924" s="35" t="s">
        <v>9285</v>
      </c>
      <c r="B3924" s="35"/>
      <c r="C3924" s="35">
        <v>2.0</v>
      </c>
      <c r="D3924" s="35">
        <v>46.0</v>
      </c>
      <c r="E3924" s="35">
        <v>46027.0</v>
      </c>
      <c r="F3924" s="35">
        <v>0.0</v>
      </c>
      <c r="G3924" s="35">
        <v>1.0</v>
      </c>
      <c r="H3924" s="35">
        <v>0.0</v>
      </c>
      <c r="I3924" s="35">
        <v>0.0</v>
      </c>
      <c r="J3924" s="35"/>
      <c r="K3924" s="35">
        <v>0.0</v>
      </c>
    </row>
    <row r="3925" ht="15.75" customHeight="1">
      <c r="A3925" s="35" t="s">
        <v>9286</v>
      </c>
      <c r="B3925" s="35"/>
      <c r="C3925" s="35">
        <v>2.0</v>
      </c>
      <c r="D3925" s="35">
        <v>554.0</v>
      </c>
      <c r="E3925" s="35">
        <v>46027.0</v>
      </c>
      <c r="F3925" s="35">
        <v>0.0</v>
      </c>
      <c r="G3925" s="35">
        <v>1.0</v>
      </c>
      <c r="H3925" s="35">
        <v>0.0</v>
      </c>
      <c r="I3925" s="35">
        <v>0.0</v>
      </c>
      <c r="J3925" s="35"/>
      <c r="K3925" s="35">
        <v>0.0</v>
      </c>
    </row>
    <row r="3926" ht="15.75" customHeight="1">
      <c r="A3926" s="35" t="s">
        <v>9287</v>
      </c>
      <c r="B3926" s="35"/>
      <c r="C3926" s="35">
        <v>2.0</v>
      </c>
      <c r="D3926" s="35" t="s">
        <v>4635</v>
      </c>
      <c r="E3926" s="35">
        <v>46027.0</v>
      </c>
      <c r="F3926" s="35">
        <v>0.0</v>
      </c>
      <c r="G3926" s="35">
        <v>6.0</v>
      </c>
      <c r="H3926" s="35">
        <v>0.0</v>
      </c>
      <c r="I3926" s="35">
        <v>0.0</v>
      </c>
      <c r="J3926" s="35"/>
      <c r="K3926" s="35">
        <v>0.0</v>
      </c>
    </row>
    <row r="3927" ht="15.75" customHeight="1">
      <c r="A3927" s="35" t="s">
        <v>9289</v>
      </c>
      <c r="B3927" s="35"/>
      <c r="C3927" s="35">
        <v>2.0</v>
      </c>
      <c r="D3927" s="35" t="s">
        <v>4635</v>
      </c>
      <c r="E3927" s="35">
        <v>46027.0</v>
      </c>
      <c r="F3927" s="35">
        <v>0.0</v>
      </c>
      <c r="G3927" s="35">
        <v>1.0</v>
      </c>
      <c r="H3927" s="35">
        <v>0.0</v>
      </c>
      <c r="I3927" s="35">
        <v>0.0</v>
      </c>
      <c r="J3927" s="35"/>
      <c r="K3927" s="35">
        <v>0.0</v>
      </c>
    </row>
    <row r="3928" ht="15.75" customHeight="1">
      <c r="A3928" s="35" t="s">
        <v>9290</v>
      </c>
      <c r="B3928" s="35"/>
      <c r="C3928" s="35">
        <v>2.0</v>
      </c>
      <c r="D3928" s="35" t="s">
        <v>4635</v>
      </c>
      <c r="E3928" s="35">
        <v>46027.0</v>
      </c>
      <c r="F3928" s="35">
        <v>0.0</v>
      </c>
      <c r="G3928" s="35">
        <v>2.0</v>
      </c>
      <c r="H3928" s="35">
        <v>0.0</v>
      </c>
      <c r="I3928" s="35">
        <v>0.0</v>
      </c>
      <c r="J3928" s="35"/>
      <c r="K3928" s="35">
        <v>0.0</v>
      </c>
    </row>
    <row r="3929" ht="15.75" customHeight="1">
      <c r="A3929" s="35" t="s">
        <v>9292</v>
      </c>
      <c r="B3929" s="35"/>
      <c r="C3929" s="35">
        <v>2.0</v>
      </c>
      <c r="D3929" s="35" t="s">
        <v>4635</v>
      </c>
      <c r="E3929" s="35">
        <v>46027.0</v>
      </c>
      <c r="F3929" s="35">
        <v>0.0</v>
      </c>
      <c r="G3929" s="35">
        <v>3.0</v>
      </c>
      <c r="H3929" s="35">
        <v>0.0</v>
      </c>
      <c r="I3929" s="35">
        <v>0.0</v>
      </c>
      <c r="J3929" s="35"/>
      <c r="K3929" s="35">
        <v>0.0</v>
      </c>
    </row>
    <row r="3930" ht="15.75" customHeight="1">
      <c r="A3930" s="35" t="s">
        <v>9293</v>
      </c>
      <c r="B3930" s="35"/>
      <c r="C3930" s="35">
        <v>2.0</v>
      </c>
      <c r="D3930" s="35" t="s">
        <v>4635</v>
      </c>
      <c r="E3930" s="35">
        <v>46027.0</v>
      </c>
      <c r="F3930" s="35">
        <v>0.0</v>
      </c>
      <c r="G3930" s="35">
        <v>6.0</v>
      </c>
      <c r="H3930" s="35">
        <v>0.0</v>
      </c>
      <c r="I3930" s="35">
        <v>0.0</v>
      </c>
      <c r="J3930" s="35"/>
      <c r="K3930" s="35">
        <v>0.0</v>
      </c>
    </row>
    <row r="3931" ht="15.75" customHeight="1">
      <c r="A3931" s="35" t="s">
        <v>9294</v>
      </c>
      <c r="B3931" s="35"/>
      <c r="C3931" s="35">
        <v>2.0</v>
      </c>
      <c r="D3931" s="35" t="s">
        <v>4635</v>
      </c>
      <c r="E3931" s="35">
        <v>46027.0</v>
      </c>
      <c r="F3931" s="35">
        <v>0.0</v>
      </c>
      <c r="G3931" s="35">
        <v>2.0</v>
      </c>
      <c r="H3931" s="35">
        <v>0.0</v>
      </c>
      <c r="I3931" s="35">
        <v>0.0</v>
      </c>
      <c r="J3931" s="35"/>
      <c r="K3931" s="35">
        <v>0.0</v>
      </c>
    </row>
    <row r="3932" ht="15.75" customHeight="1">
      <c r="A3932" s="35" t="s">
        <v>9295</v>
      </c>
      <c r="B3932" s="35"/>
      <c r="C3932" s="35">
        <v>2.0</v>
      </c>
      <c r="D3932" s="35" t="s">
        <v>4635</v>
      </c>
      <c r="E3932" s="35">
        <v>46027.0</v>
      </c>
      <c r="F3932" s="35">
        <v>0.0</v>
      </c>
      <c r="G3932" s="35">
        <v>2.0</v>
      </c>
      <c r="H3932" s="35">
        <v>0.0</v>
      </c>
      <c r="I3932" s="35">
        <v>0.0</v>
      </c>
      <c r="J3932" s="35"/>
      <c r="K3932" s="35">
        <v>0.0</v>
      </c>
    </row>
    <row r="3933" ht="15.75" customHeight="1">
      <c r="A3933" s="35" t="s">
        <v>9297</v>
      </c>
      <c r="B3933" s="35"/>
      <c r="C3933" s="35">
        <v>2.0</v>
      </c>
      <c r="D3933" s="35" t="s">
        <v>4635</v>
      </c>
      <c r="E3933" s="35">
        <v>46027.0</v>
      </c>
      <c r="F3933" s="35">
        <v>0.0</v>
      </c>
      <c r="G3933" s="35">
        <v>4.0</v>
      </c>
      <c r="H3933" s="35">
        <v>0.0</v>
      </c>
      <c r="I3933" s="35">
        <v>0.0</v>
      </c>
      <c r="J3933" s="35"/>
      <c r="K3933" s="35">
        <v>0.0</v>
      </c>
    </row>
    <row r="3934" ht="15.75" customHeight="1">
      <c r="A3934" s="35" t="s">
        <v>9298</v>
      </c>
      <c r="B3934" s="35"/>
      <c r="C3934" s="35">
        <v>2.0</v>
      </c>
      <c r="D3934" s="35" t="s">
        <v>4489</v>
      </c>
      <c r="E3934" s="35">
        <v>46027.0</v>
      </c>
      <c r="F3934" s="35">
        <v>0.0</v>
      </c>
      <c r="G3934" s="35">
        <v>1.0</v>
      </c>
      <c r="H3934" s="35">
        <v>0.0</v>
      </c>
      <c r="I3934" s="35">
        <v>0.0</v>
      </c>
      <c r="J3934" s="35"/>
      <c r="K3934" s="35">
        <v>0.0</v>
      </c>
    </row>
    <row r="3935" ht="15.75" customHeight="1">
      <c r="A3935" s="35" t="s">
        <v>9300</v>
      </c>
      <c r="B3935" s="35"/>
      <c r="C3935" s="35">
        <v>2.0</v>
      </c>
      <c r="D3935" s="35">
        <v>609.0</v>
      </c>
      <c r="E3935" s="35">
        <v>46027.0</v>
      </c>
      <c r="F3935" s="35">
        <v>0.0</v>
      </c>
      <c r="G3935" s="35">
        <v>1.0</v>
      </c>
      <c r="H3935" s="35">
        <v>0.0</v>
      </c>
      <c r="I3935" s="35">
        <v>0.0</v>
      </c>
      <c r="J3935" s="35"/>
      <c r="K3935" s="35">
        <v>0.0</v>
      </c>
    </row>
    <row r="3936" ht="15.75" customHeight="1">
      <c r="A3936" s="35" t="s">
        <v>9301</v>
      </c>
      <c r="B3936" s="35"/>
      <c r="C3936" s="35">
        <v>2.0</v>
      </c>
      <c r="D3936" s="35" t="s">
        <v>4635</v>
      </c>
      <c r="E3936" s="35">
        <v>46027.0</v>
      </c>
      <c r="F3936" s="35">
        <v>0.0</v>
      </c>
      <c r="G3936" s="35">
        <v>18.0</v>
      </c>
      <c r="H3936" s="35">
        <v>0.0</v>
      </c>
      <c r="I3936" s="35">
        <v>0.0</v>
      </c>
      <c r="J3936" s="35"/>
      <c r="K3936" s="35">
        <v>0.0</v>
      </c>
    </row>
    <row r="3937" ht="15.75" customHeight="1">
      <c r="A3937" s="35" t="s">
        <v>9303</v>
      </c>
      <c r="B3937" s="35"/>
      <c r="C3937" s="35">
        <v>2.0</v>
      </c>
      <c r="D3937" s="35" t="s">
        <v>3644</v>
      </c>
      <c r="E3937" s="35">
        <v>46027.0</v>
      </c>
      <c r="F3937" s="35">
        <v>0.0</v>
      </c>
      <c r="G3937" s="35">
        <v>2.0</v>
      </c>
      <c r="H3937" s="35">
        <v>0.0</v>
      </c>
      <c r="I3937" s="35">
        <v>0.0</v>
      </c>
      <c r="J3937" s="35"/>
      <c r="K3937" s="35">
        <v>0.0</v>
      </c>
    </row>
    <row r="3938" ht="15.75" customHeight="1">
      <c r="A3938" s="35" t="s">
        <v>9304</v>
      </c>
      <c r="B3938" s="35"/>
      <c r="C3938" s="35">
        <v>2.0</v>
      </c>
      <c r="D3938" s="35" t="s">
        <v>4635</v>
      </c>
      <c r="E3938" s="35">
        <v>46027.0</v>
      </c>
      <c r="F3938" s="35">
        <v>0.0</v>
      </c>
      <c r="G3938" s="35">
        <v>2.0</v>
      </c>
      <c r="H3938" s="35">
        <v>0.0</v>
      </c>
      <c r="I3938" s="35">
        <v>0.0</v>
      </c>
      <c r="J3938" s="35"/>
      <c r="K3938" s="35">
        <v>0.0</v>
      </c>
    </row>
    <row r="3939" ht="15.75" customHeight="1">
      <c r="A3939" s="35" t="s">
        <v>9305</v>
      </c>
      <c r="B3939" s="35"/>
      <c r="C3939" s="35">
        <v>2.0</v>
      </c>
      <c r="D3939" s="35" t="s">
        <v>2019</v>
      </c>
      <c r="E3939" s="35">
        <v>46027.0</v>
      </c>
      <c r="F3939" s="35">
        <v>0.0</v>
      </c>
      <c r="G3939" s="35">
        <v>1.0</v>
      </c>
      <c r="H3939" s="35">
        <v>0.0</v>
      </c>
      <c r="I3939" s="35">
        <v>0.0</v>
      </c>
      <c r="J3939" s="35"/>
      <c r="K3939" s="35">
        <v>0.0</v>
      </c>
    </row>
    <row r="3940" ht="15.75" customHeight="1">
      <c r="A3940" s="35" t="s">
        <v>9307</v>
      </c>
      <c r="B3940" s="35"/>
      <c r="C3940" s="35">
        <v>2.0</v>
      </c>
      <c r="D3940" s="35" t="s">
        <v>4692</v>
      </c>
      <c r="E3940" s="35">
        <v>46027.0</v>
      </c>
      <c r="F3940" s="35">
        <v>0.0</v>
      </c>
      <c r="G3940" s="35">
        <v>1.0</v>
      </c>
      <c r="H3940" s="35">
        <v>0.0</v>
      </c>
      <c r="I3940" s="35">
        <v>0.0</v>
      </c>
      <c r="J3940" s="35"/>
      <c r="K3940" s="35">
        <v>0.0</v>
      </c>
    </row>
    <row r="3941" ht="15.75" customHeight="1">
      <c r="A3941" s="35" t="s">
        <v>9308</v>
      </c>
      <c r="B3941" s="35"/>
      <c r="C3941" s="35">
        <v>2.0</v>
      </c>
      <c r="D3941" s="35" t="s">
        <v>4635</v>
      </c>
      <c r="E3941" s="35">
        <v>46027.0</v>
      </c>
      <c r="F3941" s="35">
        <v>0.0</v>
      </c>
      <c r="G3941" s="35">
        <v>22.0</v>
      </c>
      <c r="H3941" s="35">
        <v>0.0</v>
      </c>
      <c r="I3941" s="35">
        <v>0.0</v>
      </c>
      <c r="J3941" s="35"/>
      <c r="K3941" s="35">
        <v>0.0</v>
      </c>
    </row>
    <row r="3942" ht="15.75" customHeight="1">
      <c r="A3942" s="35" t="s">
        <v>9310</v>
      </c>
      <c r="B3942" s="35"/>
      <c r="C3942" s="35">
        <v>2.0</v>
      </c>
      <c r="D3942" s="35" t="s">
        <v>4635</v>
      </c>
      <c r="E3942" s="35">
        <v>46027.0</v>
      </c>
      <c r="F3942" s="35">
        <v>0.0</v>
      </c>
      <c r="G3942" s="35">
        <v>6.0</v>
      </c>
      <c r="H3942" s="35">
        <v>0.0</v>
      </c>
      <c r="I3942" s="35">
        <v>0.0</v>
      </c>
      <c r="J3942" s="35"/>
      <c r="K3942" s="35">
        <v>0.0</v>
      </c>
    </row>
    <row r="3943" ht="15.75" customHeight="1">
      <c r="A3943" s="35" t="s">
        <v>9311</v>
      </c>
      <c r="B3943" s="35"/>
      <c r="C3943" s="35">
        <v>2.0</v>
      </c>
      <c r="D3943" s="35" t="s">
        <v>4635</v>
      </c>
      <c r="E3943" s="35">
        <v>46027.0</v>
      </c>
      <c r="F3943" s="35">
        <v>0.0</v>
      </c>
      <c r="G3943" s="35">
        <v>6.0</v>
      </c>
      <c r="H3943" s="35">
        <v>0.0</v>
      </c>
      <c r="I3943" s="35">
        <v>0.0</v>
      </c>
      <c r="J3943" s="35"/>
      <c r="K3943" s="35">
        <v>0.0</v>
      </c>
    </row>
    <row r="3944" ht="15.75" customHeight="1">
      <c r="A3944" s="35" t="s">
        <v>9313</v>
      </c>
      <c r="B3944" s="35"/>
      <c r="C3944" s="35">
        <v>2.0</v>
      </c>
      <c r="D3944" s="35">
        <v>113.0</v>
      </c>
      <c r="E3944" s="35">
        <v>46027.0</v>
      </c>
      <c r="F3944" s="35">
        <v>0.0</v>
      </c>
      <c r="G3944" s="35">
        <v>2.0</v>
      </c>
      <c r="H3944" s="35">
        <v>0.0</v>
      </c>
      <c r="I3944" s="35">
        <v>0.0</v>
      </c>
      <c r="J3944" s="35"/>
      <c r="K3944" s="35">
        <v>0.0</v>
      </c>
    </row>
    <row r="3945" ht="15.75" customHeight="1">
      <c r="A3945" s="35" t="s">
        <v>9314</v>
      </c>
      <c r="B3945" s="35"/>
      <c r="C3945" s="35">
        <v>2.0</v>
      </c>
      <c r="D3945" s="35" t="s">
        <v>4635</v>
      </c>
      <c r="E3945" s="35">
        <v>46027.0</v>
      </c>
      <c r="F3945" s="35">
        <v>0.0</v>
      </c>
      <c r="G3945" s="35">
        <v>8.0</v>
      </c>
      <c r="H3945" s="35">
        <v>0.0</v>
      </c>
      <c r="I3945" s="35">
        <v>0.0</v>
      </c>
      <c r="J3945" s="35"/>
      <c r="K3945" s="35">
        <v>0.0</v>
      </c>
    </row>
    <row r="3946" ht="15.75" customHeight="1">
      <c r="A3946" s="35" t="s">
        <v>9316</v>
      </c>
      <c r="B3946" s="35"/>
      <c r="C3946" s="35">
        <v>2.0</v>
      </c>
      <c r="D3946" s="35">
        <v>37.0</v>
      </c>
      <c r="E3946" s="35">
        <v>46027.0</v>
      </c>
      <c r="F3946" s="35">
        <v>0.0</v>
      </c>
      <c r="G3946" s="35">
        <v>45.0</v>
      </c>
      <c r="H3946" s="35">
        <v>0.0</v>
      </c>
      <c r="I3946" s="35">
        <v>0.0</v>
      </c>
      <c r="J3946" s="35"/>
      <c r="K3946" s="35">
        <v>0.0</v>
      </c>
    </row>
    <row r="3947" ht="15.75" customHeight="1">
      <c r="A3947" s="35" t="s">
        <v>9317</v>
      </c>
      <c r="B3947" s="35"/>
      <c r="C3947" s="35">
        <v>2.0</v>
      </c>
      <c r="D3947" s="35">
        <v>49.0</v>
      </c>
      <c r="E3947" s="35">
        <v>46027.0</v>
      </c>
      <c r="F3947" s="35">
        <v>0.0</v>
      </c>
      <c r="G3947" s="35">
        <v>62.0</v>
      </c>
      <c r="H3947" s="35">
        <v>0.0</v>
      </c>
      <c r="I3947" s="35">
        <v>0.0</v>
      </c>
      <c r="J3947" s="35"/>
      <c r="K3947" s="35">
        <v>0.0</v>
      </c>
    </row>
    <row r="3948" ht="15.75" customHeight="1">
      <c r="A3948" s="35" t="s">
        <v>9319</v>
      </c>
      <c r="B3948" s="35"/>
      <c r="C3948" s="35">
        <v>2.0</v>
      </c>
      <c r="D3948" s="35">
        <v>53.0</v>
      </c>
      <c r="E3948" s="35">
        <v>46027.0</v>
      </c>
      <c r="F3948" s="35">
        <v>0.0</v>
      </c>
      <c r="G3948" s="35">
        <v>4.0</v>
      </c>
      <c r="H3948" s="35">
        <v>0.0</v>
      </c>
      <c r="I3948" s="35">
        <v>0.0</v>
      </c>
      <c r="J3948" s="35"/>
      <c r="K3948" s="35">
        <v>0.0</v>
      </c>
    </row>
    <row r="3949" ht="15.75" customHeight="1">
      <c r="A3949" s="35" t="s">
        <v>9320</v>
      </c>
      <c r="B3949" s="35"/>
      <c r="C3949" s="35">
        <v>2.0</v>
      </c>
      <c r="D3949" s="35" t="s">
        <v>4635</v>
      </c>
      <c r="E3949" s="35">
        <v>46027.0</v>
      </c>
      <c r="F3949" s="35">
        <v>0.0</v>
      </c>
      <c r="G3949" s="35">
        <v>4.0</v>
      </c>
      <c r="H3949" s="35">
        <v>0.0</v>
      </c>
      <c r="I3949" s="35">
        <v>0.0</v>
      </c>
      <c r="J3949" s="35"/>
      <c r="K3949" s="35">
        <v>0.0</v>
      </c>
    </row>
    <row r="3950" ht="15.75" customHeight="1">
      <c r="A3950" s="35" t="s">
        <v>9321</v>
      </c>
      <c r="B3950" s="35"/>
      <c r="C3950" s="35">
        <v>2.0</v>
      </c>
      <c r="D3950" s="35">
        <v>66.0</v>
      </c>
      <c r="E3950" s="35">
        <v>46027.0</v>
      </c>
      <c r="F3950" s="35">
        <v>0.0</v>
      </c>
      <c r="G3950" s="35">
        <v>5.0</v>
      </c>
      <c r="H3950" s="35">
        <v>0.0</v>
      </c>
      <c r="I3950" s="35">
        <v>0.0</v>
      </c>
      <c r="J3950" s="35"/>
      <c r="K3950" s="35">
        <v>0.0</v>
      </c>
    </row>
    <row r="3951" ht="15.75" customHeight="1">
      <c r="A3951" s="35" t="s">
        <v>9323</v>
      </c>
      <c r="B3951" s="35"/>
      <c r="C3951" s="35">
        <v>2.0</v>
      </c>
      <c r="D3951" s="35" t="s">
        <v>4635</v>
      </c>
      <c r="E3951" s="35">
        <v>46027.0</v>
      </c>
      <c r="F3951" s="35">
        <v>0.0</v>
      </c>
      <c r="G3951" s="35">
        <v>4.0</v>
      </c>
      <c r="H3951" s="35">
        <v>0.0</v>
      </c>
      <c r="I3951" s="35">
        <v>0.0</v>
      </c>
      <c r="J3951" s="35"/>
      <c r="K3951" s="35">
        <v>0.0</v>
      </c>
    </row>
    <row r="3952" ht="15.75" customHeight="1">
      <c r="A3952" s="35" t="s">
        <v>9324</v>
      </c>
      <c r="B3952" s="35"/>
      <c r="C3952" s="35">
        <v>2.0</v>
      </c>
      <c r="D3952" s="35">
        <v>66.0</v>
      </c>
      <c r="E3952" s="35">
        <v>46027.0</v>
      </c>
      <c r="F3952" s="35">
        <v>0.0</v>
      </c>
      <c r="G3952" s="35">
        <v>5.0</v>
      </c>
      <c r="H3952" s="35">
        <v>0.0</v>
      </c>
      <c r="I3952" s="35">
        <v>0.0</v>
      </c>
      <c r="J3952" s="35"/>
      <c r="K3952" s="35">
        <v>0.0</v>
      </c>
    </row>
    <row r="3953" ht="15.75" customHeight="1">
      <c r="A3953" s="35" t="s">
        <v>9326</v>
      </c>
      <c r="B3953" s="35"/>
      <c r="C3953" s="35">
        <v>2.0</v>
      </c>
      <c r="D3953" s="35" t="s">
        <v>4635</v>
      </c>
      <c r="E3953" s="35">
        <v>46027.0</v>
      </c>
      <c r="F3953" s="35">
        <v>0.0</v>
      </c>
      <c r="G3953" s="35">
        <v>1.0</v>
      </c>
      <c r="H3953" s="35">
        <v>0.0</v>
      </c>
      <c r="I3953" s="35">
        <v>0.0</v>
      </c>
      <c r="J3953" s="35"/>
      <c r="K3953" s="35">
        <v>0.0</v>
      </c>
    </row>
    <row r="3954" ht="15.75" customHeight="1">
      <c r="A3954" s="35" t="s">
        <v>9327</v>
      </c>
      <c r="B3954" s="35"/>
      <c r="C3954" s="35">
        <v>2.0</v>
      </c>
      <c r="D3954" s="35">
        <v>252.0</v>
      </c>
      <c r="E3954" s="35">
        <v>46027.0</v>
      </c>
      <c r="F3954" s="35">
        <v>0.0</v>
      </c>
      <c r="G3954" s="35">
        <v>4.0</v>
      </c>
      <c r="H3954" s="35">
        <v>0.0</v>
      </c>
      <c r="I3954" s="35">
        <v>0.0</v>
      </c>
      <c r="J3954" s="35"/>
      <c r="K3954" s="35">
        <v>0.0</v>
      </c>
    </row>
    <row r="3955" ht="15.75" customHeight="1">
      <c r="A3955" s="35" t="s">
        <v>9328</v>
      </c>
      <c r="B3955" s="35"/>
      <c r="C3955" s="35">
        <v>2.0</v>
      </c>
      <c r="D3955" s="35" t="s">
        <v>4635</v>
      </c>
      <c r="E3955" s="35">
        <v>46027.0</v>
      </c>
      <c r="F3955" s="35">
        <v>0.0</v>
      </c>
      <c r="G3955" s="35">
        <v>10.0</v>
      </c>
      <c r="H3955" s="35">
        <v>0.0</v>
      </c>
      <c r="I3955" s="35">
        <v>0.0</v>
      </c>
      <c r="J3955" s="35"/>
      <c r="K3955" s="35">
        <v>0.0</v>
      </c>
    </row>
    <row r="3956" ht="15.75" customHeight="1">
      <c r="A3956" s="35" t="s">
        <v>9329</v>
      </c>
      <c r="B3956" s="35"/>
      <c r="C3956" s="35">
        <v>2.0</v>
      </c>
      <c r="D3956" s="35" t="s">
        <v>4635</v>
      </c>
      <c r="E3956" s="35">
        <v>46027.0</v>
      </c>
      <c r="F3956" s="35">
        <v>0.0</v>
      </c>
      <c r="G3956" s="35">
        <v>3.0</v>
      </c>
      <c r="H3956" s="35">
        <v>0.0</v>
      </c>
      <c r="I3956" s="35">
        <v>0.0</v>
      </c>
      <c r="J3956" s="35"/>
      <c r="K3956" s="35">
        <v>0.0</v>
      </c>
    </row>
    <row r="3957" ht="15.75" customHeight="1">
      <c r="A3957" s="35" t="s">
        <v>9331</v>
      </c>
      <c r="B3957" s="35"/>
      <c r="C3957" s="35">
        <v>2.0</v>
      </c>
      <c r="D3957" s="35" t="s">
        <v>4635</v>
      </c>
      <c r="E3957" s="35">
        <v>46027.0</v>
      </c>
      <c r="F3957" s="35">
        <v>0.0</v>
      </c>
      <c r="G3957" s="35">
        <v>1.0</v>
      </c>
      <c r="H3957" s="35">
        <v>0.0</v>
      </c>
      <c r="I3957" s="35">
        <v>0.0</v>
      </c>
      <c r="J3957" s="35"/>
      <c r="K3957" s="35">
        <v>0.0</v>
      </c>
    </row>
    <row r="3958" ht="15.75" customHeight="1">
      <c r="A3958" s="35" t="s">
        <v>9332</v>
      </c>
      <c r="B3958" s="35"/>
      <c r="C3958" s="35">
        <v>2.0</v>
      </c>
      <c r="D3958" s="35">
        <v>159.0</v>
      </c>
      <c r="E3958" s="35">
        <v>46027.0</v>
      </c>
      <c r="F3958" s="35">
        <v>0.0</v>
      </c>
      <c r="G3958" s="35">
        <v>24.0</v>
      </c>
      <c r="H3958" s="35">
        <v>0.0</v>
      </c>
      <c r="I3958" s="35">
        <v>0.0</v>
      </c>
      <c r="J3958" s="35"/>
      <c r="K3958" s="35">
        <v>0.0</v>
      </c>
    </row>
    <row r="3959" ht="15.75" customHeight="1">
      <c r="A3959" s="35" t="s">
        <v>9334</v>
      </c>
      <c r="B3959" s="35"/>
      <c r="C3959" s="35">
        <v>2.0</v>
      </c>
      <c r="D3959" s="35">
        <v>119.0</v>
      </c>
      <c r="E3959" s="35">
        <v>46027.0</v>
      </c>
      <c r="F3959" s="35">
        <v>0.0</v>
      </c>
      <c r="G3959" s="35">
        <v>16.0</v>
      </c>
      <c r="H3959" s="35">
        <v>0.0</v>
      </c>
      <c r="I3959" s="35">
        <v>0.0</v>
      </c>
      <c r="J3959" s="35"/>
      <c r="K3959" s="35">
        <v>0.0</v>
      </c>
    </row>
    <row r="3960" ht="15.75" customHeight="1">
      <c r="A3960" s="35" t="s">
        <v>9335</v>
      </c>
      <c r="B3960" s="35"/>
      <c r="C3960" s="35">
        <v>2.0</v>
      </c>
      <c r="D3960" s="35" t="s">
        <v>4635</v>
      </c>
      <c r="E3960" s="35">
        <v>46027.0</v>
      </c>
      <c r="F3960" s="35">
        <v>0.0</v>
      </c>
      <c r="G3960" s="35">
        <v>0.0</v>
      </c>
      <c r="H3960" s="35">
        <v>1.0</v>
      </c>
      <c r="I3960" s="35">
        <v>0.0</v>
      </c>
      <c r="J3960" s="35"/>
      <c r="K3960" s="35">
        <v>0.0</v>
      </c>
    </row>
    <row r="3961" ht="15.75" customHeight="1">
      <c r="A3961" s="35" t="s">
        <v>9337</v>
      </c>
      <c r="B3961" s="35"/>
      <c r="C3961" s="35">
        <v>2.0</v>
      </c>
      <c r="D3961" s="35" t="s">
        <v>4635</v>
      </c>
      <c r="E3961" s="35">
        <v>46027.0</v>
      </c>
      <c r="F3961" s="35">
        <v>0.0</v>
      </c>
      <c r="G3961" s="35">
        <v>3.0</v>
      </c>
      <c r="H3961" s="35">
        <v>0.0</v>
      </c>
      <c r="I3961" s="35">
        <v>0.0</v>
      </c>
      <c r="J3961" s="35"/>
      <c r="K3961" s="35">
        <v>0.0</v>
      </c>
    </row>
    <row r="3962" ht="15.75" customHeight="1">
      <c r="A3962" s="35" t="s">
        <v>9338</v>
      </c>
      <c r="B3962" s="35"/>
      <c r="C3962" s="35">
        <v>2.0</v>
      </c>
      <c r="D3962" s="35" t="s">
        <v>4635</v>
      </c>
      <c r="E3962" s="35">
        <v>46027.0</v>
      </c>
      <c r="F3962" s="35">
        <v>0.0</v>
      </c>
      <c r="G3962" s="35">
        <v>4.0</v>
      </c>
      <c r="H3962" s="35">
        <v>0.0</v>
      </c>
      <c r="I3962" s="35">
        <v>0.0</v>
      </c>
      <c r="J3962" s="35"/>
      <c r="K3962" s="35">
        <v>0.0</v>
      </c>
    </row>
    <row r="3963" ht="15.75" customHeight="1">
      <c r="A3963" s="35" t="s">
        <v>9339</v>
      </c>
      <c r="B3963" s="35"/>
      <c r="C3963" s="35">
        <v>2.0</v>
      </c>
      <c r="D3963" s="35" t="s">
        <v>4635</v>
      </c>
      <c r="E3963" s="35">
        <v>46027.0</v>
      </c>
      <c r="F3963" s="35">
        <v>0.0</v>
      </c>
      <c r="G3963" s="35">
        <v>4.0</v>
      </c>
      <c r="H3963" s="35">
        <v>0.0</v>
      </c>
      <c r="I3963" s="35">
        <v>0.0</v>
      </c>
      <c r="J3963" s="35"/>
      <c r="K3963" s="35">
        <v>0.0</v>
      </c>
    </row>
    <row r="3964" ht="15.75" customHeight="1">
      <c r="A3964" s="35" t="s">
        <v>9341</v>
      </c>
      <c r="B3964" s="35"/>
      <c r="C3964" s="35">
        <v>2.0</v>
      </c>
      <c r="D3964" s="35">
        <v>342.0</v>
      </c>
      <c r="E3964" s="35">
        <v>46027.0</v>
      </c>
      <c r="F3964" s="35">
        <v>0.0</v>
      </c>
      <c r="G3964" s="35">
        <v>0.0</v>
      </c>
      <c r="H3964" s="35">
        <v>16.0</v>
      </c>
      <c r="I3964" s="35">
        <v>0.0</v>
      </c>
      <c r="J3964" s="35"/>
      <c r="K3964" s="35">
        <v>0.0</v>
      </c>
    </row>
    <row r="3965" ht="15.75" customHeight="1">
      <c r="A3965" s="35" t="s">
        <v>9342</v>
      </c>
      <c r="B3965" s="35"/>
      <c r="C3965" s="35">
        <v>2.0</v>
      </c>
      <c r="D3965" s="35">
        <v>58.0</v>
      </c>
      <c r="E3965" s="35">
        <v>46027.0</v>
      </c>
      <c r="F3965" s="35">
        <v>0.0</v>
      </c>
      <c r="G3965" s="35">
        <v>15.0</v>
      </c>
      <c r="H3965" s="35">
        <v>0.0</v>
      </c>
      <c r="I3965" s="35">
        <v>0.0</v>
      </c>
      <c r="J3965" s="35"/>
      <c r="K3965" s="35">
        <v>0.0</v>
      </c>
    </row>
    <row r="3966" ht="15.75" customHeight="1">
      <c r="A3966" s="35" t="s">
        <v>9344</v>
      </c>
      <c r="B3966" s="35"/>
      <c r="C3966" s="35">
        <v>2.0</v>
      </c>
      <c r="D3966" s="35">
        <v>136.0</v>
      </c>
      <c r="E3966" s="35">
        <v>46027.0</v>
      </c>
      <c r="F3966" s="35">
        <v>0.0</v>
      </c>
      <c r="G3966" s="35">
        <v>1.0</v>
      </c>
      <c r="H3966" s="35">
        <v>0.0</v>
      </c>
      <c r="I3966" s="35">
        <v>0.0</v>
      </c>
      <c r="J3966" s="35"/>
      <c r="K3966" s="35">
        <v>0.0</v>
      </c>
    </row>
    <row r="3967" ht="15.75" customHeight="1">
      <c r="A3967" s="35" t="s">
        <v>9345</v>
      </c>
      <c r="B3967" s="35"/>
      <c r="C3967" s="35">
        <v>2.0</v>
      </c>
      <c r="D3967" s="35">
        <v>306.0</v>
      </c>
      <c r="E3967" s="35">
        <v>46027.0</v>
      </c>
      <c r="F3967" s="35">
        <v>0.0</v>
      </c>
      <c r="G3967" s="35">
        <v>0.0</v>
      </c>
      <c r="H3967" s="35">
        <v>1.0</v>
      </c>
      <c r="I3967" s="35">
        <v>0.0</v>
      </c>
      <c r="J3967" s="35"/>
      <c r="K3967" s="35">
        <v>0.0</v>
      </c>
    </row>
    <row r="3968" ht="15.75" customHeight="1">
      <c r="A3968" s="35" t="s">
        <v>9347</v>
      </c>
      <c r="B3968" s="35"/>
      <c r="C3968" s="35">
        <v>2.0</v>
      </c>
      <c r="D3968" s="35" t="s">
        <v>4635</v>
      </c>
      <c r="E3968" s="35">
        <v>46027.0</v>
      </c>
      <c r="F3968" s="35">
        <v>0.0</v>
      </c>
      <c r="G3968" s="35">
        <v>11.0</v>
      </c>
      <c r="H3968" s="35">
        <v>0.0</v>
      </c>
      <c r="I3968" s="35">
        <v>0.0</v>
      </c>
      <c r="J3968" s="35"/>
      <c r="K3968" s="35">
        <v>0.0</v>
      </c>
    </row>
    <row r="3969" ht="15.75" customHeight="1">
      <c r="A3969" s="35" t="s">
        <v>9348</v>
      </c>
      <c r="B3969" s="35"/>
      <c r="C3969" s="35">
        <v>2.0</v>
      </c>
      <c r="D3969" s="35" t="s">
        <v>4635</v>
      </c>
      <c r="E3969" s="35">
        <v>46027.0</v>
      </c>
      <c r="F3969" s="35">
        <v>0.0</v>
      </c>
      <c r="G3969" s="35">
        <v>4.0</v>
      </c>
      <c r="H3969" s="35">
        <v>0.0</v>
      </c>
      <c r="I3969" s="35">
        <v>0.0</v>
      </c>
      <c r="J3969" s="35"/>
      <c r="K3969" s="35">
        <v>0.0</v>
      </c>
    </row>
    <row r="3970" ht="15.75" customHeight="1">
      <c r="A3970" s="35" t="s">
        <v>9349</v>
      </c>
      <c r="B3970" s="35"/>
      <c r="C3970" s="35">
        <v>2.0</v>
      </c>
      <c r="D3970" s="35" t="s">
        <v>4635</v>
      </c>
      <c r="E3970" s="35">
        <v>46027.0</v>
      </c>
      <c r="F3970" s="35">
        <v>0.0</v>
      </c>
      <c r="G3970" s="35">
        <v>2.0</v>
      </c>
      <c r="H3970" s="35">
        <v>0.0</v>
      </c>
      <c r="I3970" s="35">
        <v>0.0</v>
      </c>
      <c r="J3970" s="35"/>
      <c r="K3970" s="35">
        <v>0.0</v>
      </c>
    </row>
    <row r="3971" ht="15.75" customHeight="1">
      <c r="A3971" s="35" t="s">
        <v>9351</v>
      </c>
      <c r="B3971" s="35"/>
      <c r="C3971" s="35">
        <v>2.0</v>
      </c>
      <c r="D3971" s="35" t="s">
        <v>4635</v>
      </c>
      <c r="E3971" s="35">
        <v>46027.0</v>
      </c>
      <c r="F3971" s="35">
        <v>0.0</v>
      </c>
      <c r="G3971" s="35">
        <v>0.0</v>
      </c>
      <c r="H3971" s="35">
        <v>0.0</v>
      </c>
      <c r="I3971" s="35">
        <v>1.0</v>
      </c>
      <c r="J3971" s="35"/>
      <c r="K3971" s="35">
        <v>0.0</v>
      </c>
    </row>
    <row r="3972" ht="15.75" customHeight="1">
      <c r="A3972" s="35" t="s">
        <v>9352</v>
      </c>
      <c r="B3972" s="35"/>
      <c r="C3972" s="35">
        <v>2.0</v>
      </c>
      <c r="D3972" s="35">
        <v>65.0</v>
      </c>
      <c r="E3972" s="35">
        <v>46027.0</v>
      </c>
      <c r="F3972" s="35">
        <v>0.0</v>
      </c>
      <c r="G3972" s="35">
        <v>9.0</v>
      </c>
      <c r="H3972" s="35">
        <v>0.0</v>
      </c>
      <c r="I3972" s="35">
        <v>0.0</v>
      </c>
      <c r="J3972" s="35"/>
      <c r="K3972" s="35">
        <v>0.0</v>
      </c>
    </row>
    <row r="3973" ht="15.75" customHeight="1">
      <c r="A3973" s="35" t="s">
        <v>9354</v>
      </c>
      <c r="B3973" s="35"/>
      <c r="C3973" s="35">
        <v>2.0</v>
      </c>
      <c r="D3973" s="35" t="s">
        <v>4635</v>
      </c>
      <c r="E3973" s="35">
        <v>46027.0</v>
      </c>
      <c r="F3973" s="35">
        <v>0.0</v>
      </c>
      <c r="G3973" s="35">
        <v>4.0</v>
      </c>
      <c r="H3973" s="35">
        <v>0.0</v>
      </c>
      <c r="I3973" s="35">
        <v>0.0</v>
      </c>
      <c r="J3973" s="35"/>
      <c r="K3973" s="35">
        <v>0.0</v>
      </c>
    </row>
    <row r="3974" ht="15.75" customHeight="1">
      <c r="A3974" s="35" t="s">
        <v>9355</v>
      </c>
      <c r="B3974" s="35"/>
      <c r="C3974" s="35">
        <v>2.0</v>
      </c>
      <c r="D3974" s="35">
        <v>57.0</v>
      </c>
      <c r="E3974" s="35">
        <v>46027.0</v>
      </c>
      <c r="F3974" s="35">
        <v>0.0</v>
      </c>
      <c r="G3974" s="35">
        <v>1.0</v>
      </c>
      <c r="H3974" s="35">
        <v>0.0</v>
      </c>
      <c r="I3974" s="35">
        <v>0.0</v>
      </c>
      <c r="J3974" s="35"/>
      <c r="K3974" s="35">
        <v>0.0</v>
      </c>
    </row>
    <row r="3975" ht="15.75" customHeight="1">
      <c r="A3975" s="35" t="s">
        <v>9357</v>
      </c>
      <c r="B3975" s="35"/>
      <c r="C3975" s="35">
        <v>2.0</v>
      </c>
      <c r="D3975" s="35">
        <v>427.0</v>
      </c>
      <c r="E3975" s="35">
        <v>46027.0</v>
      </c>
      <c r="F3975" s="35">
        <v>0.0</v>
      </c>
      <c r="G3975" s="35">
        <v>8.0</v>
      </c>
      <c r="H3975" s="35">
        <v>0.0</v>
      </c>
      <c r="I3975" s="35">
        <v>0.0</v>
      </c>
      <c r="J3975" s="35"/>
      <c r="K3975" s="35">
        <v>0.0</v>
      </c>
    </row>
    <row r="3976" ht="15.75" customHeight="1">
      <c r="A3976" s="35" t="s">
        <v>9358</v>
      </c>
      <c r="B3976" s="35"/>
      <c r="C3976" s="35">
        <v>2.0</v>
      </c>
      <c r="D3976" s="35" t="s">
        <v>4635</v>
      </c>
      <c r="E3976" s="35">
        <v>46027.0</v>
      </c>
      <c r="F3976" s="35">
        <v>0.0</v>
      </c>
      <c r="G3976" s="35">
        <v>3.0</v>
      </c>
      <c r="H3976" s="35">
        <v>0.0</v>
      </c>
      <c r="I3976" s="35">
        <v>0.0</v>
      </c>
      <c r="J3976" s="35"/>
      <c r="K3976" s="35">
        <v>0.0</v>
      </c>
    </row>
    <row r="3977" ht="15.75" customHeight="1">
      <c r="A3977" s="35" t="s">
        <v>9359</v>
      </c>
      <c r="B3977" s="35"/>
      <c r="C3977" s="35">
        <v>2.0</v>
      </c>
      <c r="D3977" s="35">
        <v>66.0</v>
      </c>
      <c r="E3977" s="35">
        <v>46027.0</v>
      </c>
      <c r="F3977" s="35">
        <v>0.0</v>
      </c>
      <c r="G3977" s="35">
        <v>4.0</v>
      </c>
      <c r="H3977" s="35">
        <v>0.0</v>
      </c>
      <c r="I3977" s="35">
        <v>0.0</v>
      </c>
      <c r="J3977" s="35"/>
      <c r="K3977" s="35">
        <v>0.0</v>
      </c>
    </row>
    <row r="3978" ht="15.75" customHeight="1">
      <c r="A3978" s="35" t="s">
        <v>9361</v>
      </c>
      <c r="B3978" s="35"/>
      <c r="C3978" s="35">
        <v>2.0</v>
      </c>
      <c r="D3978" s="35" t="s">
        <v>4635</v>
      </c>
      <c r="E3978" s="35">
        <v>46027.0</v>
      </c>
      <c r="F3978" s="35">
        <v>0.0</v>
      </c>
      <c r="G3978" s="35">
        <v>4.0</v>
      </c>
      <c r="H3978" s="35">
        <v>0.0</v>
      </c>
      <c r="I3978" s="35">
        <v>0.0</v>
      </c>
      <c r="J3978" s="35"/>
      <c r="K3978" s="35">
        <v>0.0</v>
      </c>
    </row>
    <row r="3979" ht="15.75" customHeight="1">
      <c r="A3979" s="35" t="s">
        <v>9362</v>
      </c>
      <c r="B3979" s="35"/>
      <c r="C3979" s="35">
        <v>2.0</v>
      </c>
      <c r="D3979" s="35" t="s">
        <v>4635</v>
      </c>
      <c r="E3979" s="35">
        <v>46027.0</v>
      </c>
      <c r="F3979" s="35">
        <v>0.0</v>
      </c>
      <c r="G3979" s="35">
        <v>4.0</v>
      </c>
      <c r="H3979" s="35">
        <v>0.0</v>
      </c>
      <c r="I3979" s="35">
        <v>0.0</v>
      </c>
      <c r="J3979" s="35"/>
      <c r="K3979" s="35">
        <v>0.0</v>
      </c>
    </row>
    <row r="3980" ht="15.75" customHeight="1">
      <c r="A3980" s="35" t="s">
        <v>9364</v>
      </c>
      <c r="B3980" s="35"/>
      <c r="C3980" s="35">
        <v>2.0</v>
      </c>
      <c r="D3980" s="35">
        <v>793.0</v>
      </c>
      <c r="E3980" s="35">
        <v>46027.0</v>
      </c>
      <c r="F3980" s="35">
        <v>0.0</v>
      </c>
      <c r="G3980" s="35">
        <v>1.0</v>
      </c>
      <c r="H3980" s="35">
        <v>0.0</v>
      </c>
      <c r="I3980" s="35">
        <v>0.0</v>
      </c>
      <c r="J3980" s="35"/>
      <c r="K3980" s="35">
        <v>0.0</v>
      </c>
    </row>
    <row r="3981" ht="15.75" customHeight="1">
      <c r="A3981" s="35" t="s">
        <v>9365</v>
      </c>
      <c r="B3981" s="35"/>
      <c r="C3981" s="35">
        <v>2.0</v>
      </c>
      <c r="D3981" s="35" t="s">
        <v>4635</v>
      </c>
      <c r="E3981" s="35">
        <v>46027.0</v>
      </c>
      <c r="F3981" s="35">
        <v>0.0</v>
      </c>
      <c r="G3981" s="35">
        <v>1.0</v>
      </c>
      <c r="H3981" s="35">
        <v>0.0</v>
      </c>
      <c r="I3981" s="35">
        <v>0.0</v>
      </c>
      <c r="J3981" s="35"/>
      <c r="K3981" s="35">
        <v>0.0</v>
      </c>
    </row>
    <row r="3982" ht="15.75" customHeight="1">
      <c r="A3982" s="35" t="s">
        <v>9367</v>
      </c>
      <c r="B3982" s="35"/>
      <c r="C3982" s="35">
        <v>2.0</v>
      </c>
      <c r="D3982" s="35" t="s">
        <v>4635</v>
      </c>
      <c r="E3982" s="35">
        <v>46027.0</v>
      </c>
      <c r="F3982" s="35">
        <v>0.0</v>
      </c>
      <c r="G3982" s="35">
        <v>6.0</v>
      </c>
      <c r="H3982" s="35">
        <v>0.0</v>
      </c>
      <c r="I3982" s="35">
        <v>0.0</v>
      </c>
      <c r="J3982" s="35"/>
      <c r="K3982" s="35">
        <v>0.0</v>
      </c>
    </row>
    <row r="3983" ht="15.75" customHeight="1">
      <c r="A3983" s="35" t="s">
        <v>9368</v>
      </c>
      <c r="B3983" s="35"/>
      <c r="C3983" s="35">
        <v>2.0</v>
      </c>
      <c r="D3983" s="35" t="s">
        <v>4635</v>
      </c>
      <c r="E3983" s="35">
        <v>46027.0</v>
      </c>
      <c r="F3983" s="35">
        <v>0.0</v>
      </c>
      <c r="G3983" s="35">
        <v>1.0</v>
      </c>
      <c r="H3983" s="35">
        <v>0.0</v>
      </c>
      <c r="I3983" s="35">
        <v>0.0</v>
      </c>
      <c r="J3983" s="35"/>
      <c r="K3983" s="35">
        <v>0.0</v>
      </c>
    </row>
    <row r="3984" ht="15.75" customHeight="1">
      <c r="A3984" s="35" t="s">
        <v>9370</v>
      </c>
      <c r="B3984" s="35"/>
      <c r="C3984" s="35">
        <v>2.0</v>
      </c>
      <c r="D3984" s="35" t="s">
        <v>4635</v>
      </c>
      <c r="E3984" s="35">
        <v>46027.0</v>
      </c>
      <c r="F3984" s="35">
        <v>0.0</v>
      </c>
      <c r="G3984" s="35">
        <v>0.0</v>
      </c>
      <c r="H3984" s="35">
        <v>1.0</v>
      </c>
      <c r="I3984" s="35">
        <v>0.0</v>
      </c>
      <c r="J3984" s="35"/>
      <c r="K3984" s="35">
        <v>0.0</v>
      </c>
    </row>
    <row r="3985" ht="15.75" customHeight="1">
      <c r="A3985" s="35" t="s">
        <v>9371</v>
      </c>
      <c r="B3985" s="35"/>
      <c r="C3985" s="35">
        <v>2.0</v>
      </c>
      <c r="D3985" s="35">
        <v>41.0</v>
      </c>
      <c r="E3985" s="35">
        <v>46027.0</v>
      </c>
      <c r="F3985" s="35">
        <v>0.0</v>
      </c>
      <c r="G3985" s="35">
        <v>2.0</v>
      </c>
      <c r="H3985" s="35">
        <v>0.0</v>
      </c>
      <c r="I3985" s="35">
        <v>0.0</v>
      </c>
      <c r="J3985" s="35"/>
      <c r="K3985" s="35">
        <v>0.0</v>
      </c>
    </row>
    <row r="3986" ht="15.75" customHeight="1">
      <c r="A3986" s="35" t="s">
        <v>9372</v>
      </c>
      <c r="B3986" s="35"/>
      <c r="C3986" s="35">
        <v>2.0</v>
      </c>
      <c r="D3986" s="35" t="s">
        <v>4635</v>
      </c>
      <c r="E3986" s="35">
        <v>46027.0</v>
      </c>
      <c r="F3986" s="35">
        <v>0.0</v>
      </c>
      <c r="G3986" s="35">
        <v>4.0</v>
      </c>
      <c r="H3986" s="35">
        <v>0.0</v>
      </c>
      <c r="I3986" s="35">
        <v>0.0</v>
      </c>
      <c r="J3986" s="35"/>
      <c r="K3986" s="35">
        <v>0.0</v>
      </c>
    </row>
    <row r="3987" ht="15.75" customHeight="1">
      <c r="A3987" s="35" t="s">
        <v>9374</v>
      </c>
      <c r="B3987" s="35"/>
      <c r="C3987" s="35">
        <v>2.0</v>
      </c>
      <c r="D3987" s="35" t="s">
        <v>4635</v>
      </c>
      <c r="E3987" s="35">
        <v>46027.0</v>
      </c>
      <c r="F3987" s="35">
        <v>0.0</v>
      </c>
      <c r="G3987" s="35">
        <v>1.0</v>
      </c>
      <c r="H3987" s="35">
        <v>0.0</v>
      </c>
      <c r="I3987" s="35">
        <v>0.0</v>
      </c>
      <c r="J3987" s="35"/>
      <c r="K3987" s="35">
        <v>0.0</v>
      </c>
    </row>
    <row r="3988" ht="15.75" customHeight="1">
      <c r="A3988" s="35" t="s">
        <v>9375</v>
      </c>
      <c r="B3988" s="35"/>
      <c r="C3988" s="35">
        <v>2.0</v>
      </c>
      <c r="D3988" s="35" t="s">
        <v>4635</v>
      </c>
      <c r="E3988" s="35">
        <v>46027.0</v>
      </c>
      <c r="F3988" s="35">
        <v>0.0</v>
      </c>
      <c r="G3988" s="35">
        <v>4.0</v>
      </c>
      <c r="H3988" s="35">
        <v>0.0</v>
      </c>
      <c r="I3988" s="35">
        <v>0.0</v>
      </c>
      <c r="J3988" s="35"/>
      <c r="K3988" s="35">
        <v>0.0</v>
      </c>
    </row>
    <row r="3989" ht="15.75" customHeight="1">
      <c r="A3989" s="35" t="s">
        <v>9377</v>
      </c>
      <c r="B3989" s="35"/>
      <c r="C3989" s="35">
        <v>2.0</v>
      </c>
      <c r="D3989" s="35" t="s">
        <v>4635</v>
      </c>
      <c r="E3989" s="35">
        <v>46027.0</v>
      </c>
      <c r="F3989" s="35">
        <v>0.0</v>
      </c>
      <c r="G3989" s="35">
        <v>4.0</v>
      </c>
      <c r="H3989" s="35">
        <v>0.0</v>
      </c>
      <c r="I3989" s="35">
        <v>0.0</v>
      </c>
      <c r="J3989" s="35"/>
      <c r="K3989" s="35">
        <v>0.0</v>
      </c>
    </row>
    <row r="3990" ht="15.75" customHeight="1">
      <c r="A3990" s="35" t="s">
        <v>9378</v>
      </c>
      <c r="B3990" s="35"/>
      <c r="C3990" s="35">
        <v>0.0</v>
      </c>
      <c r="D3990" s="35" t="s">
        <v>4635</v>
      </c>
      <c r="E3990" s="35">
        <v>46086.0</v>
      </c>
      <c r="F3990" s="35">
        <v>0.0</v>
      </c>
      <c r="G3990" s="35">
        <v>9.0</v>
      </c>
      <c r="H3990" s="35">
        <v>3.0</v>
      </c>
      <c r="I3990" s="35">
        <v>0.0</v>
      </c>
      <c r="J3990" s="35"/>
      <c r="K3990" s="35">
        <v>1.0</v>
      </c>
    </row>
    <row r="3991" ht="15.75" customHeight="1">
      <c r="A3991" s="35" t="s">
        <v>9380</v>
      </c>
      <c r="B3991" s="35"/>
      <c r="C3991" s="35">
        <v>0.0</v>
      </c>
      <c r="D3991" s="35" t="s">
        <v>4635</v>
      </c>
      <c r="E3991" s="35">
        <v>46058.0</v>
      </c>
      <c r="F3991" s="35">
        <v>0.0</v>
      </c>
      <c r="G3991" s="35">
        <v>14.0</v>
      </c>
      <c r="H3991" s="35">
        <v>40.0</v>
      </c>
      <c r="I3991" s="35">
        <v>0.0</v>
      </c>
      <c r="J3991" s="35"/>
      <c r="K3991" s="35">
        <v>0.0</v>
      </c>
    </row>
    <row r="3992" ht="15.75" customHeight="1">
      <c r="A3992" s="35" t="s">
        <v>9381</v>
      </c>
      <c r="B3992" s="35"/>
      <c r="C3992" s="35">
        <v>0.0</v>
      </c>
      <c r="D3992" s="35" t="s">
        <v>4635</v>
      </c>
      <c r="E3992" s="35">
        <v>46058.0</v>
      </c>
      <c r="F3992" s="35">
        <v>0.0</v>
      </c>
      <c r="G3992" s="35">
        <v>19.0</v>
      </c>
      <c r="H3992" s="35">
        <v>54.0</v>
      </c>
      <c r="I3992" s="35">
        <v>0.0</v>
      </c>
      <c r="J3992" s="35"/>
      <c r="K3992" s="35">
        <v>0.0</v>
      </c>
    </row>
    <row r="3993" ht="15.75" customHeight="1">
      <c r="A3993" s="35" t="s">
        <v>9383</v>
      </c>
      <c r="B3993" s="35"/>
      <c r="C3993" s="35">
        <v>0.0</v>
      </c>
      <c r="D3993" s="35" t="s">
        <v>4635</v>
      </c>
      <c r="E3993" s="35">
        <v>46058.0</v>
      </c>
      <c r="F3993" s="35">
        <v>0.0</v>
      </c>
      <c r="G3993" s="35">
        <v>40.0</v>
      </c>
      <c r="H3993" s="35">
        <v>70.0</v>
      </c>
      <c r="I3993" s="35">
        <v>0.0</v>
      </c>
      <c r="J3993" s="35"/>
      <c r="K3993" s="35">
        <v>0.0</v>
      </c>
    </row>
    <row r="3994" ht="15.75" customHeight="1">
      <c r="A3994" s="35" t="s">
        <v>9384</v>
      </c>
      <c r="B3994" s="35"/>
      <c r="C3994" s="35">
        <v>0.0</v>
      </c>
      <c r="D3994" s="35" t="s">
        <v>4635</v>
      </c>
      <c r="E3994" s="35">
        <v>46058.0</v>
      </c>
      <c r="F3994" s="35">
        <v>0.0</v>
      </c>
      <c r="G3994" s="35">
        <v>15.0</v>
      </c>
      <c r="H3994" s="35">
        <v>36.0</v>
      </c>
      <c r="I3994" s="35">
        <v>0.0</v>
      </c>
      <c r="J3994" s="35"/>
      <c r="K3994" s="35">
        <v>0.0</v>
      </c>
    </row>
    <row r="3995" ht="15.75" customHeight="1">
      <c r="A3995" s="35" t="s">
        <v>9385</v>
      </c>
      <c r="B3995" s="35"/>
      <c r="C3995" s="35">
        <v>0.0</v>
      </c>
      <c r="D3995" s="35" t="s">
        <v>4635</v>
      </c>
      <c r="E3995" s="35">
        <v>46058.0</v>
      </c>
      <c r="F3995" s="35">
        <v>0.0</v>
      </c>
      <c r="G3995" s="35">
        <v>12.0</v>
      </c>
      <c r="H3995" s="35">
        <v>41.0</v>
      </c>
      <c r="I3995" s="35">
        <v>0.0</v>
      </c>
      <c r="J3995" s="35"/>
      <c r="K3995" s="35">
        <v>0.0</v>
      </c>
    </row>
    <row r="3996" ht="15.75" customHeight="1">
      <c r="A3996" s="35" t="s">
        <v>9387</v>
      </c>
      <c r="B3996" s="35"/>
      <c r="C3996" s="35">
        <v>0.0</v>
      </c>
      <c r="D3996" s="35" t="s">
        <v>4635</v>
      </c>
      <c r="E3996" s="35">
        <v>46058.0</v>
      </c>
      <c r="F3996" s="35">
        <v>0.0</v>
      </c>
      <c r="G3996" s="35">
        <v>16.0</v>
      </c>
      <c r="H3996" s="35">
        <v>44.0</v>
      </c>
      <c r="I3996" s="35">
        <v>0.0</v>
      </c>
      <c r="J3996" s="35"/>
      <c r="K3996" s="35">
        <v>0.0</v>
      </c>
    </row>
    <row r="3997" ht="15.75" customHeight="1">
      <c r="A3997" s="35" t="s">
        <v>9388</v>
      </c>
      <c r="B3997" s="35"/>
      <c r="C3997" s="35">
        <v>0.0</v>
      </c>
      <c r="D3997" s="35" t="s">
        <v>4635</v>
      </c>
      <c r="E3997" s="35">
        <v>46058.0</v>
      </c>
      <c r="F3997" s="35">
        <v>0.0</v>
      </c>
      <c r="G3997" s="35">
        <v>40.0</v>
      </c>
      <c r="H3997" s="35">
        <v>70.0</v>
      </c>
      <c r="I3997" s="35">
        <v>0.0</v>
      </c>
      <c r="J3997" s="35"/>
      <c r="K3997" s="35">
        <v>0.0</v>
      </c>
    </row>
    <row r="3998" ht="15.75" customHeight="1">
      <c r="A3998" s="35" t="s">
        <v>9390</v>
      </c>
      <c r="B3998" s="35"/>
      <c r="C3998" s="35">
        <v>0.0</v>
      </c>
      <c r="D3998" s="35" t="s">
        <v>4635</v>
      </c>
      <c r="E3998" s="35">
        <v>46058.0</v>
      </c>
      <c r="F3998" s="35">
        <v>0.0</v>
      </c>
      <c r="G3998" s="35">
        <v>40.0</v>
      </c>
      <c r="H3998" s="35">
        <v>70.0</v>
      </c>
      <c r="I3998" s="35">
        <v>0.0</v>
      </c>
      <c r="J3998" s="35"/>
      <c r="K3998" s="35">
        <v>0.0</v>
      </c>
    </row>
    <row r="3999" ht="15.75" customHeight="1">
      <c r="A3999" s="35" t="s">
        <v>9391</v>
      </c>
      <c r="B3999" s="35"/>
      <c r="C3999" s="35">
        <v>0.0</v>
      </c>
      <c r="D3999" s="35" t="s">
        <v>4635</v>
      </c>
      <c r="E3999" s="35">
        <v>46058.0</v>
      </c>
      <c r="F3999" s="35">
        <v>0.0</v>
      </c>
      <c r="G3999" s="35">
        <v>13.0</v>
      </c>
      <c r="H3999" s="35">
        <v>38.0</v>
      </c>
      <c r="I3999" s="35">
        <v>0.0</v>
      </c>
      <c r="J3999" s="35"/>
      <c r="K3999" s="35">
        <v>0.0</v>
      </c>
    </row>
    <row r="4000" ht="15.75" customHeight="1">
      <c r="A4000" s="35" t="s">
        <v>9393</v>
      </c>
      <c r="B4000" s="35"/>
      <c r="C4000" s="35">
        <v>0.0</v>
      </c>
      <c r="D4000" s="35" t="s">
        <v>4635</v>
      </c>
      <c r="E4000" s="35">
        <v>46058.0</v>
      </c>
      <c r="F4000" s="35">
        <v>0.0</v>
      </c>
      <c r="G4000" s="35">
        <v>40.0</v>
      </c>
      <c r="H4000" s="35">
        <v>70.0</v>
      </c>
      <c r="I4000" s="35">
        <v>0.0</v>
      </c>
      <c r="J4000" s="35"/>
      <c r="K4000" s="35">
        <v>0.0</v>
      </c>
    </row>
    <row r="4001" ht="15.75" customHeight="1">
      <c r="A4001" s="35" t="s">
        <v>9394</v>
      </c>
      <c r="B4001" s="35"/>
      <c r="C4001" s="35">
        <v>0.0</v>
      </c>
      <c r="D4001" s="35" t="s">
        <v>4390</v>
      </c>
      <c r="E4001" s="35">
        <v>46058.0</v>
      </c>
      <c r="F4001" s="35">
        <v>0.0</v>
      </c>
      <c r="G4001" s="35">
        <v>0.0</v>
      </c>
      <c r="H4001" s="35">
        <v>1.0</v>
      </c>
      <c r="I4001" s="35">
        <v>2.0</v>
      </c>
      <c r="J4001" s="35"/>
      <c r="K4001" s="35">
        <v>0.0</v>
      </c>
    </row>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40.0"/>
    <col customWidth="1" min="3" max="3" width="41.14"/>
    <col customWidth="1" min="4" max="4" width="11.43"/>
    <col customWidth="1" min="5" max="26" width="9.86"/>
  </cols>
  <sheetData>
    <row r="1">
      <c r="A1" s="34" t="s">
        <v>841</v>
      </c>
      <c r="B1" s="34" t="s">
        <v>17</v>
      </c>
      <c r="C1" s="34" t="s">
        <v>1833</v>
      </c>
      <c r="D1" s="34" t="s">
        <v>22</v>
      </c>
    </row>
    <row r="2">
      <c r="A2" s="35">
        <v>45985.0</v>
      </c>
      <c r="B2" s="35" t="s">
        <v>1835</v>
      </c>
      <c r="C2" s="35" t="s">
        <v>1836</v>
      </c>
      <c r="D2" s="35" t="s">
        <v>2326</v>
      </c>
    </row>
    <row r="3">
      <c r="A3" s="35">
        <v>45986.0</v>
      </c>
      <c r="B3" s="35" t="s">
        <v>1838</v>
      </c>
      <c r="C3" s="35" t="s">
        <v>1839</v>
      </c>
      <c r="D3" s="35" t="s">
        <v>2326</v>
      </c>
    </row>
    <row r="4">
      <c r="A4" s="35">
        <v>45987.0</v>
      </c>
      <c r="B4" s="35" t="s">
        <v>1842</v>
      </c>
      <c r="C4" s="35" t="s">
        <v>1843</v>
      </c>
      <c r="D4" s="35" t="s">
        <v>2326</v>
      </c>
    </row>
    <row r="5">
      <c r="A5" s="35">
        <v>45988.0</v>
      </c>
      <c r="B5" s="35" t="s">
        <v>1844</v>
      </c>
      <c r="C5" s="35" t="s">
        <v>1845</v>
      </c>
      <c r="D5" s="35" t="s">
        <v>2326</v>
      </c>
    </row>
    <row r="6">
      <c r="A6" s="35">
        <v>45989.0</v>
      </c>
      <c r="B6" s="35" t="s">
        <v>1846</v>
      </c>
      <c r="C6" s="35" t="s">
        <v>1847</v>
      </c>
      <c r="D6" s="35" t="s">
        <v>2326</v>
      </c>
    </row>
    <row r="7">
      <c r="A7" s="35">
        <v>45990.0</v>
      </c>
      <c r="B7" s="35" t="s">
        <v>1850</v>
      </c>
      <c r="C7" s="35" t="s">
        <v>1851</v>
      </c>
      <c r="D7" s="35" t="s">
        <v>2326</v>
      </c>
    </row>
    <row r="8">
      <c r="A8" s="35">
        <v>45992.0</v>
      </c>
      <c r="B8" s="35" t="s">
        <v>1853</v>
      </c>
      <c r="C8" s="35" t="s">
        <v>1855</v>
      </c>
      <c r="D8" s="35" t="s">
        <v>2326</v>
      </c>
    </row>
    <row r="9">
      <c r="A9" s="35">
        <v>45993.0</v>
      </c>
      <c r="B9" s="35" t="s">
        <v>1856</v>
      </c>
      <c r="C9" s="35" t="s">
        <v>1858</v>
      </c>
      <c r="D9" s="35" t="s">
        <v>2326</v>
      </c>
    </row>
    <row r="10">
      <c r="A10" s="35">
        <v>45994.0</v>
      </c>
      <c r="B10" s="35" t="s">
        <v>1860</v>
      </c>
      <c r="C10" s="35" t="s">
        <v>1861</v>
      </c>
      <c r="D10" s="35" t="s">
        <v>2326</v>
      </c>
    </row>
    <row r="11">
      <c r="A11" s="35">
        <v>45995.0</v>
      </c>
      <c r="B11" s="35" t="s">
        <v>1864</v>
      </c>
      <c r="C11" s="35" t="s">
        <v>1865</v>
      </c>
      <c r="D11" s="35" t="s">
        <v>2326</v>
      </c>
    </row>
    <row r="12">
      <c r="A12" s="35" t="s">
        <v>1866</v>
      </c>
      <c r="B12" s="35" t="s">
        <v>206</v>
      </c>
      <c r="C12" s="35" t="s">
        <v>1867</v>
      </c>
      <c r="D12" s="35" t="s">
        <v>2326</v>
      </c>
    </row>
    <row r="13">
      <c r="A13" s="35">
        <v>45996.0</v>
      </c>
      <c r="B13" s="35" t="s">
        <v>1870</v>
      </c>
      <c r="C13" s="35" t="s">
        <v>1871</v>
      </c>
      <c r="D13" s="35" t="s">
        <v>2326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14"/>
    <col customWidth="1" min="2" max="2" width="29.71"/>
    <col customWidth="1" min="3" max="3" width="41.14"/>
    <col customWidth="1" min="4" max="7" width="11.43"/>
    <col customWidth="1" min="8" max="8" width="37.71"/>
    <col customWidth="1" min="9" max="15" width="11.43"/>
    <col customWidth="1" min="16" max="17" width="41.14"/>
    <col customWidth="1" min="18" max="18" width="21.71"/>
    <col customWidth="1" min="19" max="26" width="9.86"/>
  </cols>
  <sheetData>
    <row r="1">
      <c r="A1" s="34" t="s">
        <v>2356</v>
      </c>
      <c r="B1" s="34"/>
      <c r="C1" s="34"/>
      <c r="D1" s="34"/>
      <c r="E1" s="34"/>
      <c r="F1" s="34" t="s">
        <v>2360</v>
      </c>
      <c r="G1" s="34"/>
      <c r="H1" s="34" t="s">
        <v>2362</v>
      </c>
      <c r="I1" s="34"/>
      <c r="J1" s="34"/>
      <c r="K1" s="34"/>
      <c r="L1" s="34"/>
      <c r="M1" s="34" t="s">
        <v>2360</v>
      </c>
      <c r="N1" s="34"/>
      <c r="O1" s="34"/>
      <c r="P1" s="34" t="s">
        <v>2368</v>
      </c>
      <c r="Q1" s="34"/>
      <c r="R1" s="34"/>
    </row>
    <row r="2">
      <c r="A2" s="35" t="s">
        <v>2370</v>
      </c>
      <c r="B2" s="35">
        <v>1.0</v>
      </c>
      <c r="C2" s="35" t="s">
        <v>2372</v>
      </c>
      <c r="D2" s="35"/>
      <c r="E2" s="35"/>
      <c r="F2" s="35"/>
      <c r="G2" s="35"/>
      <c r="H2" s="35" t="s">
        <v>2374</v>
      </c>
      <c r="I2" s="35"/>
      <c r="J2" s="35"/>
      <c r="K2" s="35"/>
      <c r="L2" s="35"/>
      <c r="M2" s="35"/>
      <c r="N2" s="35"/>
      <c r="O2" s="35"/>
      <c r="P2" s="35"/>
      <c r="Q2" s="35"/>
      <c r="R2" s="35"/>
    </row>
    <row r="3">
      <c r="A3" s="35" t="s">
        <v>2376</v>
      </c>
      <c r="B3" s="35">
        <v>1.0</v>
      </c>
      <c r="C3" s="35" t="s">
        <v>2372</v>
      </c>
      <c r="D3" s="35"/>
      <c r="E3" s="35"/>
      <c r="F3" s="35"/>
      <c r="G3" s="35"/>
      <c r="H3" s="35"/>
      <c r="I3" s="35"/>
      <c r="J3" s="35"/>
      <c r="K3" s="35"/>
      <c r="L3" s="35"/>
      <c r="M3" s="35"/>
      <c r="N3" s="35"/>
      <c r="O3" s="35"/>
      <c r="P3" s="35" t="s">
        <v>1903</v>
      </c>
      <c r="Q3" s="35" t="s">
        <v>443</v>
      </c>
      <c r="R3" s="35" t="s">
        <v>2381</v>
      </c>
    </row>
    <row r="4">
      <c r="A4" s="35" t="s">
        <v>2383</v>
      </c>
      <c r="B4" s="35">
        <v>1.0</v>
      </c>
      <c r="C4" s="35" t="s">
        <v>2372</v>
      </c>
      <c r="D4" s="35"/>
      <c r="E4" s="35"/>
      <c r="F4" s="35"/>
      <c r="G4" s="35"/>
      <c r="H4" s="35"/>
      <c r="I4" s="35"/>
      <c r="J4" s="35"/>
      <c r="K4" s="35"/>
      <c r="L4" s="35"/>
      <c r="M4" s="35"/>
      <c r="N4" s="35"/>
      <c r="O4" s="35"/>
      <c r="P4" s="35"/>
      <c r="Q4" s="35" t="s">
        <v>98</v>
      </c>
      <c r="R4" s="35"/>
    </row>
    <row r="5">
      <c r="A5" s="35" t="s">
        <v>2387</v>
      </c>
      <c r="B5" s="35">
        <v>1.0</v>
      </c>
      <c r="C5" s="35" t="s">
        <v>2372</v>
      </c>
      <c r="D5" s="35"/>
      <c r="E5" s="35"/>
      <c r="F5" s="35"/>
      <c r="G5" s="35"/>
      <c r="H5" s="35"/>
      <c r="I5" s="35"/>
      <c r="J5" s="35"/>
      <c r="K5" s="35"/>
      <c r="L5" s="35"/>
      <c r="M5" s="35"/>
      <c r="N5" s="35"/>
      <c r="O5" s="35"/>
      <c r="P5" s="35">
        <v>1.0</v>
      </c>
      <c r="Q5" s="35" t="s">
        <v>2391</v>
      </c>
      <c r="R5" s="35" t="s">
        <v>98</v>
      </c>
    </row>
    <row r="6">
      <c r="A6" s="35" t="s">
        <v>2394</v>
      </c>
      <c r="B6" s="35">
        <v>1.0</v>
      </c>
      <c r="C6" s="35" t="s">
        <v>2372</v>
      </c>
      <c r="D6" s="35"/>
      <c r="E6" s="35"/>
      <c r="F6" s="35"/>
      <c r="G6" s="35"/>
      <c r="H6" s="35"/>
      <c r="I6" s="35"/>
      <c r="J6" s="35"/>
      <c r="K6" s="35"/>
      <c r="L6" s="35"/>
      <c r="M6" s="35"/>
      <c r="N6" s="35"/>
      <c r="O6" s="35"/>
      <c r="P6" s="35">
        <v>2.0</v>
      </c>
      <c r="Q6" s="35" t="s">
        <v>2397</v>
      </c>
      <c r="R6" s="35" t="s">
        <v>98</v>
      </c>
    </row>
    <row r="7">
      <c r="A7" s="35"/>
      <c r="B7" s="35"/>
      <c r="C7" s="35"/>
      <c r="D7" s="35"/>
      <c r="E7" s="35"/>
      <c r="F7" s="35"/>
      <c r="G7" s="35"/>
      <c r="H7" s="35"/>
      <c r="I7" s="35"/>
      <c r="J7" s="35"/>
      <c r="K7" s="35"/>
      <c r="L7" s="35"/>
      <c r="M7" s="35"/>
      <c r="N7" s="35"/>
      <c r="O7" s="35"/>
      <c r="P7" s="35">
        <v>3.0</v>
      </c>
      <c r="Q7" s="35" t="s">
        <v>2402</v>
      </c>
      <c r="R7" s="35" t="s">
        <v>98</v>
      </c>
    </row>
    <row r="8">
      <c r="A8" s="35"/>
      <c r="B8" s="35"/>
      <c r="C8" s="35"/>
      <c r="D8" s="35"/>
      <c r="E8" s="35"/>
      <c r="F8" s="35"/>
      <c r="G8" s="35"/>
      <c r="H8" s="35"/>
      <c r="I8" s="35"/>
      <c r="J8" s="35"/>
      <c r="K8" s="35"/>
      <c r="L8" s="35"/>
      <c r="M8" s="35"/>
      <c r="N8" s="35"/>
      <c r="O8" s="35"/>
      <c r="P8" s="35">
        <v>4.0</v>
      </c>
      <c r="Q8" s="35" t="s">
        <v>2407</v>
      </c>
      <c r="R8" s="35" t="s">
        <v>98</v>
      </c>
    </row>
    <row r="9">
      <c r="A9" s="35" t="s">
        <v>2410</v>
      </c>
      <c r="B9" s="35"/>
      <c r="C9" s="35"/>
      <c r="D9" s="35"/>
      <c r="E9" s="35"/>
      <c r="F9" s="35"/>
      <c r="G9" s="35"/>
      <c r="H9" s="35"/>
      <c r="I9" s="35"/>
      <c r="J9" s="35"/>
      <c r="K9" s="35"/>
      <c r="L9" s="35"/>
      <c r="M9" s="35"/>
      <c r="N9" s="35"/>
      <c r="O9" s="35"/>
      <c r="P9" s="35">
        <v>5.0</v>
      </c>
      <c r="Q9" s="35" t="s">
        <v>2414</v>
      </c>
      <c r="R9" s="35" t="s">
        <v>98</v>
      </c>
    </row>
    <row r="10">
      <c r="A10" s="35"/>
      <c r="B10" s="35"/>
      <c r="C10" s="35"/>
      <c r="D10" s="35"/>
      <c r="E10" s="35"/>
      <c r="F10" s="35"/>
      <c r="G10" s="35"/>
      <c r="H10" s="35"/>
      <c r="I10" s="35"/>
      <c r="J10" s="35"/>
      <c r="K10" s="35"/>
      <c r="L10" s="35"/>
      <c r="M10" s="35"/>
      <c r="N10" s="35"/>
      <c r="O10" s="35"/>
      <c r="P10" s="35"/>
      <c r="Q10" s="35" t="s">
        <v>2417</v>
      </c>
      <c r="R10" s="35"/>
    </row>
    <row r="11">
      <c r="A11" s="35" t="s">
        <v>2420</v>
      </c>
      <c r="B11" s="35" t="s">
        <v>2421</v>
      </c>
      <c r="C11" s="35"/>
      <c r="D11" s="35"/>
      <c r="E11" s="35"/>
      <c r="F11" s="35"/>
      <c r="G11" s="35"/>
      <c r="H11" s="35"/>
      <c r="I11" s="35"/>
      <c r="J11" s="35"/>
      <c r="K11" s="35"/>
      <c r="L11" s="35"/>
      <c r="M11" s="35"/>
      <c r="N11" s="35"/>
      <c r="O11" s="35"/>
      <c r="P11" s="35">
        <v>6.0</v>
      </c>
      <c r="Q11" s="35" t="s">
        <v>2424</v>
      </c>
      <c r="R11" s="35" t="s">
        <v>2426</v>
      </c>
    </row>
    <row r="12">
      <c r="A12" s="35" t="s">
        <v>2427</v>
      </c>
      <c r="B12" s="35" t="s">
        <v>2421</v>
      </c>
      <c r="C12" s="35"/>
      <c r="D12" s="35"/>
      <c r="E12" s="35"/>
      <c r="F12" s="35"/>
      <c r="G12" s="35"/>
      <c r="H12" s="35"/>
      <c r="I12" s="35"/>
      <c r="J12" s="35"/>
      <c r="K12" s="35"/>
      <c r="L12" s="35"/>
      <c r="M12" s="35"/>
      <c r="N12" s="35"/>
      <c r="O12" s="35"/>
      <c r="P12" s="35">
        <v>7.0</v>
      </c>
      <c r="Q12" s="35" t="s">
        <v>406</v>
      </c>
      <c r="R12" s="35" t="s">
        <v>2426</v>
      </c>
    </row>
    <row r="13">
      <c r="A13" s="35" t="s">
        <v>2431</v>
      </c>
      <c r="B13" s="35" t="s">
        <v>2421</v>
      </c>
      <c r="C13" s="35"/>
      <c r="D13" s="35"/>
      <c r="E13" s="35"/>
      <c r="F13" s="35"/>
      <c r="G13" s="35"/>
      <c r="H13" s="35"/>
      <c r="I13" s="35"/>
      <c r="J13" s="35"/>
      <c r="K13" s="35"/>
      <c r="L13" s="35"/>
      <c r="M13" s="35"/>
      <c r="N13" s="35"/>
      <c r="O13" s="35"/>
      <c r="P13" s="35"/>
      <c r="Q13" s="35" t="s">
        <v>2436</v>
      </c>
      <c r="R13" s="35"/>
    </row>
    <row r="14">
      <c r="A14" s="35" t="s">
        <v>2438</v>
      </c>
      <c r="B14" s="35" t="s">
        <v>2421</v>
      </c>
      <c r="C14" s="35"/>
      <c r="D14" s="35"/>
      <c r="E14" s="35"/>
      <c r="F14" s="35"/>
      <c r="G14" s="35"/>
      <c r="H14" s="35"/>
      <c r="I14" s="35"/>
      <c r="J14" s="35"/>
      <c r="K14" s="35"/>
      <c r="L14" s="35"/>
      <c r="M14" s="35"/>
      <c r="N14" s="35"/>
      <c r="O14" s="35"/>
      <c r="P14" s="35">
        <v>8.0</v>
      </c>
      <c r="Q14" s="35" t="s">
        <v>2440</v>
      </c>
      <c r="R14" s="35" t="s">
        <v>2441</v>
      </c>
    </row>
    <row r="15">
      <c r="A15" s="35" t="s">
        <v>2444</v>
      </c>
      <c r="B15" s="35" t="s">
        <v>2421</v>
      </c>
      <c r="C15" s="35"/>
      <c r="D15" s="35"/>
      <c r="E15" s="35"/>
      <c r="F15" s="35"/>
      <c r="G15" s="35"/>
      <c r="H15" s="35"/>
      <c r="I15" s="35"/>
      <c r="J15" s="35"/>
      <c r="K15" s="35"/>
      <c r="L15" s="35"/>
      <c r="M15" s="35"/>
      <c r="N15" s="35"/>
      <c r="O15" s="35"/>
      <c r="P15" s="35">
        <v>9.0</v>
      </c>
      <c r="Q15" s="35" t="s">
        <v>2447</v>
      </c>
      <c r="R15" s="35" t="s">
        <v>2441</v>
      </c>
    </row>
    <row r="16">
      <c r="A16" s="35"/>
      <c r="B16" s="35"/>
      <c r="C16" s="35"/>
      <c r="D16" s="35"/>
      <c r="E16" s="35"/>
      <c r="F16" s="35"/>
      <c r="G16" s="35"/>
      <c r="H16" s="35"/>
      <c r="I16" s="35"/>
      <c r="J16" s="35"/>
      <c r="K16" s="35"/>
      <c r="L16" s="35"/>
      <c r="M16" s="35"/>
      <c r="N16" s="35"/>
      <c r="O16" s="35"/>
      <c r="P16" s="35">
        <v>10.0</v>
      </c>
      <c r="Q16" s="35" t="s">
        <v>2453</v>
      </c>
      <c r="R16" s="35" t="s">
        <v>2441</v>
      </c>
    </row>
    <row r="17">
      <c r="A17" s="35"/>
      <c r="B17" s="35"/>
      <c r="C17" s="35"/>
      <c r="D17" s="35"/>
      <c r="E17" s="35"/>
      <c r="F17" s="35"/>
      <c r="G17" s="35"/>
      <c r="H17" s="35"/>
      <c r="I17" s="35"/>
      <c r="J17" s="35"/>
      <c r="K17" s="35"/>
      <c r="L17" s="35"/>
      <c r="M17" s="35"/>
      <c r="N17" s="35"/>
      <c r="O17" s="35"/>
      <c r="P17" s="35">
        <v>11.0</v>
      </c>
      <c r="Q17" s="35" t="s">
        <v>2456</v>
      </c>
      <c r="R17" s="35" t="s">
        <v>2441</v>
      </c>
    </row>
    <row r="18">
      <c r="A18" s="35" t="s">
        <v>2459</v>
      </c>
      <c r="B18" s="35"/>
      <c r="C18" s="35"/>
      <c r="D18" s="35"/>
      <c r="E18" s="35"/>
      <c r="F18" s="35"/>
      <c r="G18" s="35"/>
      <c r="H18" s="35"/>
      <c r="I18" s="35"/>
      <c r="J18" s="35"/>
      <c r="K18" s="35"/>
      <c r="L18" s="35"/>
      <c r="M18" s="35"/>
      <c r="N18" s="35"/>
      <c r="O18" s="35"/>
      <c r="P18" s="35">
        <v>12.0</v>
      </c>
      <c r="Q18" s="35" t="s">
        <v>2463</v>
      </c>
      <c r="R18" s="35" t="s">
        <v>2441</v>
      </c>
    </row>
    <row r="19">
      <c r="A19" s="35"/>
      <c r="B19" s="35"/>
      <c r="C19" s="35"/>
      <c r="D19" s="35"/>
      <c r="E19" s="35"/>
      <c r="F19" s="35"/>
      <c r="G19" s="35"/>
      <c r="H19" s="35"/>
      <c r="I19" s="35"/>
      <c r="J19" s="35"/>
      <c r="K19" s="35"/>
      <c r="L19" s="35"/>
      <c r="M19" s="35"/>
      <c r="N19" s="35"/>
      <c r="O19" s="35"/>
      <c r="P19" s="35">
        <v>13.0</v>
      </c>
      <c r="Q19" s="35" t="s">
        <v>2467</v>
      </c>
      <c r="R19" s="35" t="s">
        <v>2441</v>
      </c>
    </row>
    <row r="20">
      <c r="A20" s="35" t="s">
        <v>2469</v>
      </c>
      <c r="B20" s="35"/>
      <c r="C20" s="35"/>
      <c r="D20" s="35"/>
      <c r="E20" s="35"/>
      <c r="F20" s="35"/>
      <c r="G20" s="35"/>
      <c r="H20" s="35"/>
      <c r="I20" s="35"/>
      <c r="J20" s="35"/>
      <c r="K20" s="35"/>
      <c r="L20" s="35"/>
      <c r="M20" s="35"/>
      <c r="N20" s="35"/>
      <c r="O20" s="35"/>
      <c r="P20" s="35">
        <v>14.0</v>
      </c>
      <c r="Q20" s="35" t="s">
        <v>2473</v>
      </c>
      <c r="R20" s="35" t="s">
        <v>2441</v>
      </c>
    </row>
    <row r="21" ht="15.75" customHeight="1">
      <c r="A21" s="35"/>
      <c r="B21" s="35"/>
      <c r="C21" s="35"/>
      <c r="D21" s="35"/>
      <c r="E21" s="35"/>
      <c r="F21" s="35"/>
      <c r="G21" s="35"/>
      <c r="H21" s="35"/>
      <c r="I21" s="35"/>
      <c r="J21" s="35"/>
      <c r="K21" s="35"/>
      <c r="L21" s="35"/>
      <c r="M21" s="35"/>
      <c r="N21" s="35"/>
      <c r="O21" s="35"/>
      <c r="P21" s="35">
        <v>15.0</v>
      </c>
      <c r="Q21" s="35" t="s">
        <v>2477</v>
      </c>
      <c r="R21" s="35" t="s">
        <v>2441</v>
      </c>
    </row>
    <row r="22" ht="15.75" customHeight="1">
      <c r="A22" s="35"/>
      <c r="B22" s="35"/>
      <c r="C22" s="35"/>
      <c r="D22" s="35"/>
      <c r="E22" s="35"/>
      <c r="F22" s="35"/>
      <c r="G22" s="35"/>
      <c r="H22" s="35"/>
      <c r="I22" s="35"/>
      <c r="J22" s="35"/>
      <c r="K22" s="35"/>
      <c r="L22" s="35"/>
      <c r="M22" s="35"/>
      <c r="N22" s="35"/>
      <c r="O22" s="35"/>
      <c r="P22" s="35">
        <v>16.0</v>
      </c>
      <c r="Q22" s="35" t="s">
        <v>2483</v>
      </c>
      <c r="R22" s="35" t="s">
        <v>2441</v>
      </c>
    </row>
    <row r="23" ht="15.75" customHeight="1">
      <c r="A23" s="35" t="s">
        <v>2484</v>
      </c>
      <c r="B23" s="35"/>
      <c r="C23" s="35"/>
      <c r="D23" s="35"/>
      <c r="E23" s="35"/>
      <c r="F23" s="35"/>
      <c r="G23" s="35"/>
      <c r="H23" s="35"/>
      <c r="I23" s="35"/>
      <c r="J23" s="35"/>
      <c r="K23" s="35"/>
      <c r="L23" s="35"/>
      <c r="M23" s="35"/>
      <c r="N23" s="35"/>
      <c r="O23" s="35"/>
      <c r="P23" s="35">
        <v>17.0</v>
      </c>
      <c r="Q23" s="35" t="s">
        <v>2488</v>
      </c>
      <c r="R23" s="35" t="s">
        <v>2441</v>
      </c>
    </row>
    <row r="24" ht="15.75" customHeight="1">
      <c r="A24" s="35"/>
      <c r="B24" s="35"/>
      <c r="C24" s="35"/>
      <c r="D24" s="35"/>
      <c r="E24" s="35"/>
      <c r="F24" s="35"/>
      <c r="G24" s="35"/>
      <c r="H24" s="35"/>
      <c r="I24" s="35"/>
      <c r="J24" s="35"/>
      <c r="K24" s="35"/>
      <c r="L24" s="35"/>
      <c r="M24" s="35"/>
      <c r="N24" s="35"/>
      <c r="O24" s="35"/>
      <c r="P24" s="35">
        <v>18.0</v>
      </c>
      <c r="Q24" s="35" t="s">
        <v>2494</v>
      </c>
      <c r="R24" s="35" t="s">
        <v>2441</v>
      </c>
    </row>
    <row r="25" ht="15.75" customHeight="1">
      <c r="A25" s="35" t="s">
        <v>2495</v>
      </c>
      <c r="B25" s="35">
        <v>1.0</v>
      </c>
      <c r="C25" s="35"/>
      <c r="D25" s="35"/>
      <c r="E25" s="35"/>
      <c r="F25" s="35"/>
      <c r="G25" s="35"/>
      <c r="H25" s="35"/>
      <c r="I25" s="35"/>
      <c r="J25" s="35"/>
      <c r="K25" s="35"/>
      <c r="L25" s="35"/>
      <c r="M25" s="35"/>
      <c r="N25" s="35"/>
      <c r="O25" s="35"/>
      <c r="P25" s="35">
        <v>19.0</v>
      </c>
      <c r="Q25" s="35" t="s">
        <v>2498</v>
      </c>
      <c r="R25" s="35" t="s">
        <v>2441</v>
      </c>
    </row>
    <row r="26" ht="15.75" customHeight="1">
      <c r="A26" s="35" t="s">
        <v>2500</v>
      </c>
      <c r="B26" s="35">
        <v>1.0</v>
      </c>
      <c r="C26" s="35"/>
      <c r="D26" s="35"/>
      <c r="E26" s="35"/>
      <c r="F26" s="35"/>
      <c r="G26" s="35"/>
      <c r="H26" s="35"/>
      <c r="I26" s="35"/>
      <c r="J26" s="35"/>
      <c r="K26" s="35"/>
      <c r="L26" s="35"/>
      <c r="M26" s="35"/>
      <c r="N26" s="35"/>
      <c r="O26" s="35"/>
      <c r="P26" s="35">
        <v>20.0</v>
      </c>
      <c r="Q26" s="35" t="s">
        <v>2504</v>
      </c>
      <c r="R26" s="35" t="s">
        <v>2441</v>
      </c>
    </row>
    <row r="27" ht="15.75" customHeight="1">
      <c r="A27" s="35" t="s">
        <v>2505</v>
      </c>
      <c r="B27" s="35">
        <v>1.0</v>
      </c>
      <c r="C27" s="35"/>
      <c r="D27" s="35"/>
      <c r="E27" s="35"/>
      <c r="F27" s="35"/>
      <c r="G27" s="35"/>
      <c r="H27" s="35"/>
      <c r="I27" s="35"/>
      <c r="J27" s="35"/>
      <c r="K27" s="35"/>
      <c r="L27" s="35"/>
      <c r="M27" s="35"/>
      <c r="N27" s="35"/>
      <c r="O27" s="35"/>
      <c r="P27" s="35">
        <v>21.0</v>
      </c>
      <c r="Q27" s="35" t="s">
        <v>2509</v>
      </c>
      <c r="R27" s="35" t="s">
        <v>2441</v>
      </c>
    </row>
    <row r="28" ht="15.75" customHeight="1">
      <c r="A28" s="35" t="s">
        <v>2511</v>
      </c>
      <c r="B28" s="35">
        <v>1.0</v>
      </c>
      <c r="C28" s="35"/>
      <c r="D28" s="35"/>
      <c r="E28" s="35"/>
      <c r="F28" s="35"/>
      <c r="G28" s="35"/>
      <c r="H28" s="35"/>
      <c r="I28" s="35"/>
      <c r="J28" s="35"/>
      <c r="K28" s="35"/>
      <c r="L28" s="35"/>
      <c r="M28" s="35"/>
      <c r="N28" s="35"/>
      <c r="O28" s="35"/>
      <c r="P28" s="35">
        <v>22.0</v>
      </c>
      <c r="Q28" s="35" t="s">
        <v>2516</v>
      </c>
      <c r="R28" s="35" t="s">
        <v>2441</v>
      </c>
    </row>
    <row r="29" ht="15.75" customHeight="1">
      <c r="A29" s="35" t="s">
        <v>2518</v>
      </c>
      <c r="B29" s="35">
        <v>1.0</v>
      </c>
      <c r="C29" s="35"/>
      <c r="D29" s="35"/>
      <c r="E29" s="35"/>
      <c r="F29" s="35"/>
      <c r="G29" s="35"/>
      <c r="H29" s="35"/>
      <c r="I29" s="35"/>
      <c r="J29" s="35"/>
      <c r="K29" s="35"/>
      <c r="L29" s="35"/>
      <c r="M29" s="35"/>
      <c r="N29" s="35"/>
      <c r="O29" s="35"/>
      <c r="P29" s="35">
        <v>23.0</v>
      </c>
      <c r="Q29" s="35" t="s">
        <v>2521</v>
      </c>
      <c r="R29" s="35" t="s">
        <v>2441</v>
      </c>
    </row>
    <row r="30" ht="15.75" customHeight="1">
      <c r="A30" s="35" t="s">
        <v>2522</v>
      </c>
      <c r="B30" s="35">
        <v>1.0</v>
      </c>
      <c r="C30" s="35"/>
      <c r="D30" s="35"/>
      <c r="E30" s="35"/>
      <c r="F30" s="35"/>
      <c r="G30" s="35"/>
      <c r="H30" s="35"/>
      <c r="I30" s="35"/>
      <c r="J30" s="35"/>
      <c r="K30" s="35"/>
      <c r="L30" s="35"/>
      <c r="M30" s="35"/>
      <c r="N30" s="35"/>
      <c r="O30" s="35"/>
      <c r="P30" s="35">
        <v>24.0</v>
      </c>
      <c r="Q30" s="35" t="s">
        <v>2525</v>
      </c>
      <c r="R30" s="35" t="s">
        <v>2441</v>
      </c>
    </row>
    <row r="31" ht="15.75" customHeight="1">
      <c r="A31" s="35" t="s">
        <v>2494</v>
      </c>
      <c r="B31" s="35">
        <v>1.0</v>
      </c>
      <c r="C31" s="35"/>
      <c r="D31" s="35"/>
      <c r="E31" s="35"/>
      <c r="F31" s="35"/>
      <c r="G31" s="35"/>
      <c r="H31" s="35"/>
      <c r="I31" s="35"/>
      <c r="J31" s="35"/>
      <c r="K31" s="35"/>
      <c r="L31" s="35"/>
      <c r="M31" s="35"/>
      <c r="N31" s="35"/>
      <c r="O31" s="35"/>
      <c r="P31" s="35">
        <v>25.0</v>
      </c>
      <c r="Q31" s="35" t="s">
        <v>2531</v>
      </c>
      <c r="R31" s="35" t="s">
        <v>2441</v>
      </c>
    </row>
    <row r="32" ht="15.75" customHeight="1">
      <c r="A32" s="35" t="s">
        <v>2532</v>
      </c>
      <c r="B32" s="35">
        <v>1.0</v>
      </c>
      <c r="C32" s="35"/>
      <c r="D32" s="35"/>
      <c r="E32" s="35"/>
      <c r="F32" s="35"/>
      <c r="G32" s="35"/>
      <c r="H32" s="35"/>
      <c r="I32" s="35"/>
      <c r="J32" s="35"/>
      <c r="K32" s="35"/>
      <c r="L32" s="35"/>
      <c r="M32" s="35"/>
      <c r="N32" s="35"/>
      <c r="O32" s="35"/>
      <c r="P32" s="35">
        <v>26.0</v>
      </c>
      <c r="Q32" s="35" t="s">
        <v>2537</v>
      </c>
      <c r="R32" s="35" t="s">
        <v>2441</v>
      </c>
    </row>
    <row r="33" ht="15.75" customHeight="1">
      <c r="A33" s="35" t="s">
        <v>2539</v>
      </c>
      <c r="B33" s="35">
        <v>1.0</v>
      </c>
      <c r="C33" s="35"/>
      <c r="D33" s="35"/>
      <c r="E33" s="35"/>
      <c r="F33" s="35"/>
      <c r="G33" s="35"/>
      <c r="H33" s="35"/>
      <c r="I33" s="35"/>
      <c r="J33" s="35"/>
      <c r="K33" s="35"/>
      <c r="L33" s="35"/>
      <c r="M33" s="35"/>
      <c r="N33" s="35"/>
      <c r="O33" s="35"/>
      <c r="P33" s="35">
        <v>27.0</v>
      </c>
      <c r="Q33" s="35" t="s">
        <v>2545</v>
      </c>
      <c r="R33" s="35" t="s">
        <v>2441</v>
      </c>
    </row>
    <row r="34" ht="15.75" customHeight="1">
      <c r="A34" s="35" t="s">
        <v>2546</v>
      </c>
      <c r="B34" s="35">
        <v>1.0</v>
      </c>
      <c r="C34" s="35"/>
      <c r="D34" s="35"/>
      <c r="E34" s="35"/>
      <c r="F34" s="35"/>
      <c r="G34" s="35"/>
      <c r="H34" s="35"/>
      <c r="I34" s="35"/>
      <c r="J34" s="35"/>
      <c r="K34" s="35"/>
      <c r="L34" s="35"/>
      <c r="M34" s="35"/>
      <c r="N34" s="35"/>
      <c r="O34" s="35"/>
      <c r="P34" s="35">
        <v>28.0</v>
      </c>
      <c r="Q34" s="35" t="s">
        <v>2522</v>
      </c>
      <c r="R34" s="35" t="s">
        <v>2441</v>
      </c>
    </row>
    <row r="35" ht="15.75" customHeight="1">
      <c r="A35" s="35" t="s">
        <v>2551</v>
      </c>
      <c r="B35" s="35">
        <v>1.0</v>
      </c>
      <c r="C35" s="35"/>
      <c r="D35" s="35"/>
      <c r="E35" s="35"/>
      <c r="F35" s="35"/>
      <c r="G35" s="35"/>
      <c r="H35" s="35"/>
      <c r="I35" s="35"/>
      <c r="J35" s="35"/>
      <c r="K35" s="35"/>
      <c r="L35" s="35"/>
      <c r="M35" s="35"/>
      <c r="N35" s="35"/>
      <c r="O35" s="35"/>
      <c r="P35" s="35">
        <v>29.0</v>
      </c>
      <c r="Q35" s="35" t="s">
        <v>2556</v>
      </c>
      <c r="R35" s="35" t="s">
        <v>2441</v>
      </c>
    </row>
    <row r="36" ht="15.75" customHeight="1">
      <c r="A36" s="35" t="s">
        <v>2558</v>
      </c>
      <c r="B36" s="35">
        <v>1.0</v>
      </c>
      <c r="C36" s="35"/>
      <c r="D36" s="35"/>
      <c r="E36" s="35"/>
      <c r="F36" s="35"/>
      <c r="G36" s="35"/>
      <c r="H36" s="35"/>
      <c r="I36" s="35"/>
      <c r="J36" s="35"/>
      <c r="K36" s="35"/>
      <c r="L36" s="35"/>
      <c r="M36" s="35"/>
      <c r="N36" s="35"/>
      <c r="O36" s="35"/>
      <c r="P36" s="35">
        <v>30.0</v>
      </c>
      <c r="Q36" s="35" t="s">
        <v>2539</v>
      </c>
      <c r="R36" s="35" t="s">
        <v>2441</v>
      </c>
    </row>
    <row r="37" ht="15.75" customHeight="1">
      <c r="A37" s="35" t="s">
        <v>2565</v>
      </c>
      <c r="B37" s="35">
        <v>1.0</v>
      </c>
      <c r="C37" s="35"/>
      <c r="D37" s="35"/>
      <c r="E37" s="35"/>
      <c r="F37" s="35"/>
      <c r="G37" s="35"/>
      <c r="H37" s="35"/>
      <c r="I37" s="35"/>
      <c r="J37" s="35"/>
      <c r="K37" s="35"/>
      <c r="L37" s="35"/>
      <c r="M37" s="35"/>
      <c r="N37" s="35"/>
      <c r="O37" s="35"/>
      <c r="P37" s="35">
        <v>31.0</v>
      </c>
      <c r="Q37" s="35" t="s">
        <v>2571</v>
      </c>
      <c r="R37" s="35" t="s">
        <v>2441</v>
      </c>
    </row>
    <row r="38" ht="15.75" customHeight="1">
      <c r="A38" s="35" t="s">
        <v>2574</v>
      </c>
      <c r="B38" s="35">
        <v>1.0</v>
      </c>
      <c r="C38" s="35"/>
      <c r="D38" s="35"/>
      <c r="E38" s="35"/>
      <c r="F38" s="35"/>
      <c r="G38" s="35"/>
      <c r="H38" s="35"/>
      <c r="I38" s="35"/>
      <c r="J38" s="35"/>
      <c r="K38" s="35"/>
      <c r="L38" s="35"/>
      <c r="M38" s="35"/>
      <c r="N38" s="35"/>
      <c r="O38" s="35"/>
      <c r="P38" s="35">
        <v>32.0</v>
      </c>
      <c r="Q38" s="35" t="s">
        <v>2580</v>
      </c>
      <c r="R38" s="35" t="s">
        <v>2441</v>
      </c>
    </row>
    <row r="39" ht="15.75" customHeight="1">
      <c r="A39" s="35" t="s">
        <v>2583</v>
      </c>
      <c r="B39" s="35">
        <v>1.0</v>
      </c>
      <c r="C39" s="35"/>
      <c r="D39" s="35"/>
      <c r="E39" s="35"/>
      <c r="F39" s="35"/>
      <c r="G39" s="35"/>
      <c r="H39" s="35"/>
      <c r="I39" s="35"/>
      <c r="J39" s="35"/>
      <c r="K39" s="35"/>
      <c r="L39" s="35"/>
      <c r="M39" s="35"/>
      <c r="N39" s="35"/>
      <c r="O39" s="35"/>
      <c r="P39" s="35">
        <v>33.0</v>
      </c>
      <c r="Q39" s="35" t="s">
        <v>2546</v>
      </c>
      <c r="R39" s="35" t="s">
        <v>2441</v>
      </c>
    </row>
    <row r="40" ht="15.75" customHeight="1">
      <c r="A40" s="35" t="s">
        <v>2509</v>
      </c>
      <c r="B40" s="35">
        <v>1.0</v>
      </c>
      <c r="C40" s="35"/>
      <c r="D40" s="35"/>
      <c r="E40" s="35"/>
      <c r="F40" s="35"/>
      <c r="G40" s="35"/>
      <c r="H40" s="35"/>
      <c r="I40" s="35"/>
      <c r="J40" s="35"/>
      <c r="K40" s="35"/>
      <c r="L40" s="35"/>
      <c r="M40" s="35"/>
      <c r="N40" s="35"/>
      <c r="O40" s="35"/>
      <c r="P40" s="35">
        <v>34.0</v>
      </c>
      <c r="Q40" s="35" t="s">
        <v>2593</v>
      </c>
      <c r="R40" s="35" t="s">
        <v>2441</v>
      </c>
    </row>
    <row r="41" ht="15.75" customHeight="1">
      <c r="A41" s="35" t="s">
        <v>2595</v>
      </c>
      <c r="B41" s="35">
        <v>1.0</v>
      </c>
      <c r="C41" s="35"/>
      <c r="D41" s="35"/>
      <c r="E41" s="35"/>
      <c r="F41" s="35"/>
      <c r="G41" s="35"/>
      <c r="H41" s="35"/>
      <c r="I41" s="35"/>
      <c r="J41" s="35"/>
      <c r="K41" s="35"/>
      <c r="L41" s="35"/>
      <c r="M41" s="35"/>
      <c r="N41" s="35"/>
      <c r="O41" s="35"/>
      <c r="P41" s="35">
        <v>35.0</v>
      </c>
      <c r="Q41" s="35" t="s">
        <v>2601</v>
      </c>
      <c r="R41" s="35" t="s">
        <v>2441</v>
      </c>
    </row>
    <row r="42" ht="15.75" customHeight="1">
      <c r="A42" s="35" t="s">
        <v>2488</v>
      </c>
      <c r="B42" s="35">
        <v>1.0</v>
      </c>
      <c r="C42" s="35"/>
      <c r="D42" s="35"/>
      <c r="E42" s="35"/>
      <c r="F42" s="35"/>
      <c r="G42" s="35"/>
      <c r="H42" s="35"/>
      <c r="I42" s="35"/>
      <c r="J42" s="35"/>
      <c r="K42" s="35"/>
      <c r="L42" s="35"/>
      <c r="M42" s="35"/>
      <c r="N42" s="35"/>
      <c r="O42" s="35"/>
      <c r="P42" s="35">
        <v>36.0</v>
      </c>
      <c r="Q42" s="35" t="s">
        <v>2595</v>
      </c>
      <c r="R42" s="35" t="s">
        <v>2441</v>
      </c>
    </row>
    <row r="43" ht="15.75" customHeight="1">
      <c r="A43" s="35" t="s">
        <v>2608</v>
      </c>
      <c r="B43" s="35">
        <v>1.0</v>
      </c>
      <c r="C43" s="35"/>
      <c r="D43" s="35"/>
      <c r="E43" s="35"/>
      <c r="F43" s="35"/>
      <c r="G43" s="35"/>
      <c r="H43" s="35"/>
      <c r="I43" s="35"/>
      <c r="J43" s="35"/>
      <c r="K43" s="35"/>
      <c r="L43" s="35"/>
      <c r="M43" s="35"/>
      <c r="N43" s="35"/>
      <c r="O43" s="35"/>
      <c r="P43" s="35">
        <v>37.0</v>
      </c>
      <c r="Q43" s="35" t="s">
        <v>2613</v>
      </c>
      <c r="R43" s="35" t="s">
        <v>2441</v>
      </c>
    </row>
    <row r="44" ht="15.75" customHeight="1">
      <c r="A44" s="35" t="s">
        <v>2614</v>
      </c>
      <c r="B44" s="35">
        <v>1.0</v>
      </c>
      <c r="C44" s="35"/>
      <c r="D44" s="35"/>
      <c r="E44" s="35"/>
      <c r="F44" s="35"/>
      <c r="G44" s="35"/>
      <c r="H44" s="35"/>
      <c r="I44" s="35"/>
      <c r="J44" s="35"/>
      <c r="K44" s="35"/>
      <c r="L44" s="35"/>
      <c r="M44" s="35"/>
      <c r="N44" s="35"/>
      <c r="O44" s="35"/>
      <c r="P44" s="35">
        <v>38.0</v>
      </c>
      <c r="Q44" s="35" t="s">
        <v>2619</v>
      </c>
      <c r="R44" s="35" t="s">
        <v>2441</v>
      </c>
    </row>
    <row r="45" ht="15.75" customHeight="1">
      <c r="A45" s="35" t="s">
        <v>2504</v>
      </c>
      <c r="B45" s="35">
        <v>1.0</v>
      </c>
      <c r="C45" s="35"/>
      <c r="D45" s="35"/>
      <c r="E45" s="35"/>
      <c r="F45" s="35"/>
      <c r="G45" s="35"/>
      <c r="H45" s="35"/>
      <c r="I45" s="35"/>
      <c r="J45" s="35"/>
      <c r="K45" s="35"/>
      <c r="L45" s="35"/>
      <c r="M45" s="35"/>
      <c r="N45" s="35"/>
      <c r="O45" s="35"/>
      <c r="P45" s="35">
        <v>39.0</v>
      </c>
      <c r="Q45" s="35" t="s">
        <v>2624</v>
      </c>
      <c r="R45" s="35" t="s">
        <v>2441</v>
      </c>
    </row>
    <row r="46" ht="15.75" customHeight="1">
      <c r="A46" s="35" t="s">
        <v>2627</v>
      </c>
      <c r="B46" s="35">
        <v>1.0</v>
      </c>
      <c r="C46" s="35"/>
      <c r="D46" s="35"/>
      <c r="E46" s="35"/>
      <c r="F46" s="35"/>
      <c r="G46" s="35"/>
      <c r="H46" s="35"/>
      <c r="I46" s="35"/>
      <c r="J46" s="35"/>
      <c r="K46" s="35"/>
      <c r="L46" s="35"/>
      <c r="M46" s="35"/>
      <c r="N46" s="35"/>
      <c r="O46" s="35"/>
      <c r="P46" s="35">
        <v>40.0</v>
      </c>
      <c r="Q46" s="35" t="s">
        <v>2614</v>
      </c>
      <c r="R46" s="35" t="s">
        <v>2441</v>
      </c>
    </row>
    <row r="47" ht="15.75" customHeight="1">
      <c r="A47" s="35" t="s">
        <v>2498</v>
      </c>
      <c r="B47" s="35">
        <v>1.0</v>
      </c>
      <c r="C47" s="35"/>
      <c r="D47" s="35"/>
      <c r="E47" s="35"/>
      <c r="F47" s="35"/>
      <c r="G47" s="35"/>
      <c r="H47" s="35"/>
      <c r="I47" s="35"/>
      <c r="J47" s="35"/>
      <c r="K47" s="35"/>
      <c r="L47" s="35"/>
      <c r="M47" s="35"/>
      <c r="N47" s="35"/>
      <c r="O47" s="35"/>
      <c r="P47" s="35">
        <v>41.0</v>
      </c>
      <c r="Q47" s="35" t="s">
        <v>2641</v>
      </c>
      <c r="R47" s="35" t="s">
        <v>2441</v>
      </c>
    </row>
    <row r="48" ht="15.75" customHeight="1">
      <c r="A48" s="35" t="s">
        <v>2521</v>
      </c>
      <c r="B48" s="35">
        <v>1.0</v>
      </c>
      <c r="C48" s="35"/>
      <c r="D48" s="35"/>
      <c r="E48" s="35"/>
      <c r="F48" s="35"/>
      <c r="G48" s="35"/>
      <c r="H48" s="35"/>
      <c r="I48" s="35"/>
      <c r="J48" s="35"/>
      <c r="K48" s="35"/>
      <c r="L48" s="35"/>
      <c r="M48" s="35"/>
      <c r="N48" s="35"/>
      <c r="O48" s="35"/>
      <c r="P48" s="35">
        <v>42.0</v>
      </c>
      <c r="Q48" s="35" t="s">
        <v>2646</v>
      </c>
      <c r="R48" s="35" t="s">
        <v>2441</v>
      </c>
    </row>
    <row r="49" ht="15.75" customHeight="1">
      <c r="A49" s="35" t="s">
        <v>2624</v>
      </c>
      <c r="B49" s="35">
        <v>1.0</v>
      </c>
      <c r="C49" s="35"/>
      <c r="D49" s="35"/>
      <c r="E49" s="35"/>
      <c r="F49" s="35"/>
      <c r="G49" s="35"/>
      <c r="H49" s="35"/>
      <c r="I49" s="35"/>
      <c r="J49" s="35"/>
      <c r="K49" s="35"/>
      <c r="L49" s="35"/>
      <c r="M49" s="35"/>
      <c r="N49" s="35"/>
      <c r="O49" s="35"/>
      <c r="P49" s="35"/>
      <c r="Q49" s="35" t="s">
        <v>2654</v>
      </c>
      <c r="R49" s="35"/>
    </row>
    <row r="50" ht="15.75" customHeight="1">
      <c r="A50" s="35" t="s">
        <v>2525</v>
      </c>
      <c r="B50" s="35">
        <v>1.0</v>
      </c>
      <c r="C50" s="35"/>
      <c r="D50" s="35"/>
      <c r="E50" s="35"/>
      <c r="F50" s="35"/>
      <c r="G50" s="35"/>
      <c r="H50" s="35"/>
      <c r="I50" s="35"/>
      <c r="J50" s="35"/>
      <c r="K50" s="35"/>
      <c r="L50" s="35"/>
      <c r="M50" s="35"/>
      <c r="N50" s="35"/>
      <c r="O50" s="35"/>
      <c r="P50" s="35">
        <v>43.0</v>
      </c>
      <c r="Q50" s="35" t="s">
        <v>2661</v>
      </c>
      <c r="R50" s="35" t="s">
        <v>2441</v>
      </c>
    </row>
    <row r="51" ht="15.75" customHeight="1">
      <c r="A51" s="35" t="s">
        <v>2477</v>
      </c>
      <c r="B51" s="35">
        <v>1.0</v>
      </c>
      <c r="C51" s="35"/>
      <c r="D51" s="35"/>
      <c r="E51" s="35"/>
      <c r="F51" s="35"/>
      <c r="G51" s="35"/>
      <c r="H51" s="35"/>
      <c r="I51" s="35"/>
      <c r="J51" s="35"/>
      <c r="K51" s="35"/>
      <c r="L51" s="35"/>
      <c r="M51" s="35"/>
      <c r="N51" s="35"/>
      <c r="O51" s="35"/>
      <c r="P51" s="35">
        <v>44.0</v>
      </c>
      <c r="Q51" s="35" t="s">
        <v>2670</v>
      </c>
      <c r="R51" s="35" t="s">
        <v>2441</v>
      </c>
    </row>
    <row r="52" ht="15.75" customHeight="1">
      <c r="A52" s="35"/>
      <c r="B52" s="35"/>
      <c r="C52" s="35"/>
      <c r="D52" s="35"/>
      <c r="E52" s="35"/>
      <c r="F52" s="35"/>
      <c r="G52" s="35"/>
      <c r="H52" s="35"/>
      <c r="I52" s="35"/>
      <c r="J52" s="35"/>
      <c r="K52" s="35"/>
      <c r="L52" s="35"/>
      <c r="M52" s="35"/>
      <c r="N52" s="35"/>
      <c r="O52" s="35"/>
      <c r="P52" s="35">
        <v>45.0</v>
      </c>
      <c r="Q52" s="35" t="s">
        <v>2680</v>
      </c>
      <c r="R52" s="35" t="s">
        <v>2441</v>
      </c>
    </row>
    <row r="53" ht="15.75" customHeight="1">
      <c r="A53" s="35"/>
      <c r="B53" s="35"/>
      <c r="C53" s="35"/>
      <c r="D53" s="35"/>
      <c r="E53" s="35"/>
      <c r="F53" s="35"/>
      <c r="G53" s="35"/>
      <c r="H53" s="35"/>
      <c r="I53" s="35"/>
      <c r="J53" s="35"/>
      <c r="K53" s="35"/>
      <c r="L53" s="35"/>
      <c r="M53" s="35"/>
      <c r="N53" s="35"/>
      <c r="O53" s="35"/>
      <c r="P53" s="35">
        <v>46.0</v>
      </c>
      <c r="Q53" s="35" t="s">
        <v>2694</v>
      </c>
      <c r="R53" s="35" t="s">
        <v>2441</v>
      </c>
    </row>
    <row r="54" ht="15.75" customHeight="1">
      <c r="A54" s="35"/>
      <c r="B54" s="35"/>
      <c r="C54" s="35"/>
      <c r="D54" s="35"/>
      <c r="E54" s="35"/>
      <c r="F54" s="35"/>
      <c r="G54" s="35"/>
      <c r="H54" s="35"/>
      <c r="I54" s="35"/>
      <c r="J54" s="35"/>
      <c r="K54" s="35"/>
      <c r="L54" s="35"/>
      <c r="M54" s="35"/>
      <c r="N54" s="35"/>
      <c r="O54" s="35"/>
      <c r="P54" s="35">
        <v>47.0</v>
      </c>
      <c r="Q54" s="35" t="s">
        <v>2717</v>
      </c>
      <c r="R54" s="35" t="s">
        <v>2441</v>
      </c>
    </row>
    <row r="55" ht="15.75" customHeight="1">
      <c r="A55" s="35" t="s">
        <v>2720</v>
      </c>
      <c r="B55" s="35"/>
      <c r="C55" s="35"/>
      <c r="D55" s="35"/>
      <c r="E55" s="35"/>
      <c r="F55" s="35"/>
      <c r="G55" s="35"/>
      <c r="H55" s="35"/>
      <c r="I55" s="35"/>
      <c r="J55" s="35"/>
      <c r="K55" s="35"/>
      <c r="L55" s="35"/>
      <c r="M55" s="35"/>
      <c r="N55" s="35"/>
      <c r="O55" s="35"/>
      <c r="P55" s="35">
        <v>48.0</v>
      </c>
      <c r="Q55" s="35" t="s">
        <v>2725</v>
      </c>
      <c r="R55" s="35" t="s">
        <v>2441</v>
      </c>
    </row>
    <row r="56" ht="15.75" customHeight="1">
      <c r="A56" s="35"/>
      <c r="B56" s="35"/>
      <c r="C56" s="35"/>
      <c r="D56" s="35"/>
      <c r="E56" s="35"/>
      <c r="F56" s="35"/>
      <c r="G56" s="35"/>
      <c r="H56" s="35"/>
      <c r="I56" s="35"/>
      <c r="J56" s="35"/>
      <c r="K56" s="35"/>
      <c r="L56" s="35"/>
      <c r="M56" s="35"/>
      <c r="N56" s="35"/>
      <c r="O56" s="35"/>
      <c r="P56" s="35">
        <v>49.0</v>
      </c>
      <c r="Q56" s="35" t="s">
        <v>2731</v>
      </c>
      <c r="R56" s="35" t="s">
        <v>2441</v>
      </c>
    </row>
    <row r="57" ht="15.75" customHeight="1">
      <c r="A57" s="35" t="s">
        <v>2376</v>
      </c>
      <c r="B57" s="35" t="s">
        <v>2733</v>
      </c>
      <c r="C57" s="35"/>
      <c r="D57" s="35"/>
      <c r="E57" s="35"/>
      <c r="F57" s="35"/>
      <c r="G57" s="35"/>
      <c r="H57" s="35"/>
      <c r="I57" s="35"/>
      <c r="J57" s="35"/>
      <c r="K57" s="35"/>
      <c r="L57" s="35"/>
      <c r="M57" s="35"/>
      <c r="N57" s="35"/>
      <c r="O57" s="35"/>
      <c r="P57" s="35">
        <v>50.0</v>
      </c>
      <c r="Q57" s="35" t="s">
        <v>2737</v>
      </c>
      <c r="R57" s="35" t="s">
        <v>2441</v>
      </c>
    </row>
    <row r="58" ht="15.75" customHeight="1">
      <c r="A58" s="35" t="s">
        <v>2383</v>
      </c>
      <c r="B58" s="35" t="s">
        <v>2733</v>
      </c>
      <c r="C58" s="35"/>
      <c r="D58" s="35"/>
      <c r="E58" s="35"/>
      <c r="F58" s="35"/>
      <c r="G58" s="35"/>
      <c r="H58" s="35"/>
      <c r="I58" s="35"/>
      <c r="J58" s="35"/>
      <c r="K58" s="35"/>
      <c r="L58" s="35"/>
      <c r="M58" s="35"/>
      <c r="N58" s="35"/>
      <c r="O58" s="35"/>
      <c r="P58" s="35">
        <v>51.0</v>
      </c>
      <c r="Q58" s="35" t="s">
        <v>2741</v>
      </c>
      <c r="R58" s="35" t="s">
        <v>2441</v>
      </c>
    </row>
    <row r="59" ht="15.75" customHeight="1">
      <c r="A59" s="35" t="s">
        <v>2387</v>
      </c>
      <c r="B59" s="35" t="s">
        <v>2733</v>
      </c>
      <c r="C59" s="35"/>
      <c r="D59" s="35"/>
      <c r="E59" s="35"/>
      <c r="F59" s="35"/>
      <c r="G59" s="35"/>
      <c r="H59" s="35"/>
      <c r="I59" s="35"/>
      <c r="J59" s="35"/>
      <c r="K59" s="35"/>
      <c r="L59" s="35"/>
      <c r="M59" s="35"/>
      <c r="N59" s="35"/>
      <c r="O59" s="35"/>
      <c r="P59" s="35"/>
      <c r="Q59" s="35"/>
      <c r="R59" s="35"/>
    </row>
    <row r="60" ht="15.75" customHeight="1">
      <c r="A60" s="35"/>
      <c r="B60" s="35"/>
      <c r="C60" s="35"/>
      <c r="D60" s="35"/>
      <c r="E60" s="35"/>
      <c r="F60" s="35"/>
      <c r="G60" s="35"/>
      <c r="H60" s="35"/>
      <c r="I60" s="35"/>
      <c r="J60" s="35"/>
      <c r="K60" s="35"/>
      <c r="L60" s="35"/>
      <c r="M60" s="35"/>
      <c r="N60" s="35"/>
      <c r="O60" s="35"/>
      <c r="P60" s="35"/>
      <c r="Q60" s="35"/>
      <c r="R60" s="35"/>
    </row>
    <row r="61" ht="15.75" customHeight="1">
      <c r="A61" s="35"/>
      <c r="B61" s="35"/>
      <c r="C61" s="35"/>
      <c r="D61" s="35"/>
      <c r="E61" s="35"/>
      <c r="F61" s="35"/>
      <c r="G61" s="35"/>
      <c r="H61" s="35"/>
      <c r="I61" s="35"/>
      <c r="J61" s="35"/>
      <c r="K61" s="35"/>
      <c r="L61" s="35"/>
      <c r="M61" s="35"/>
      <c r="N61" s="35"/>
      <c r="O61" s="35"/>
      <c r="P61" s="35"/>
      <c r="Q61" s="35"/>
      <c r="R61" s="35"/>
    </row>
    <row r="62" ht="15.75" customHeight="1">
      <c r="A62" s="35" t="s">
        <v>2749</v>
      </c>
      <c r="B62" s="35"/>
      <c r="C62" s="35"/>
      <c r="D62" s="35"/>
      <c r="E62" s="35"/>
      <c r="F62" s="35"/>
      <c r="G62" s="35"/>
      <c r="H62" s="35"/>
      <c r="I62" s="35"/>
      <c r="J62" s="35"/>
      <c r="K62" s="35"/>
      <c r="L62" s="35"/>
      <c r="M62" s="35"/>
      <c r="N62" s="35"/>
      <c r="O62" s="35"/>
      <c r="P62" s="35"/>
      <c r="Q62" s="35"/>
      <c r="R62" s="35"/>
    </row>
    <row r="63" ht="15.75" customHeight="1">
      <c r="A63" s="35"/>
      <c r="B63" s="35"/>
      <c r="C63" s="35"/>
      <c r="D63" s="35"/>
      <c r="E63" s="35"/>
      <c r="F63" s="35"/>
      <c r="G63" s="35"/>
      <c r="H63" s="35"/>
      <c r="I63" s="35"/>
      <c r="J63" s="35"/>
      <c r="K63" s="35"/>
      <c r="L63" s="35"/>
      <c r="M63" s="35"/>
      <c r="N63" s="35"/>
      <c r="O63" s="35"/>
      <c r="P63" s="35"/>
      <c r="Q63" s="35"/>
      <c r="R63" s="35"/>
    </row>
    <row r="64" ht="15.75" customHeight="1">
      <c r="A64" s="35" t="s">
        <v>2758</v>
      </c>
      <c r="B64" s="35"/>
      <c r="C64" s="35"/>
      <c r="D64" s="35"/>
      <c r="E64" s="35"/>
      <c r="F64" s="35"/>
      <c r="G64" s="35"/>
      <c r="H64" s="35"/>
      <c r="I64" s="35"/>
      <c r="J64" s="35"/>
      <c r="K64" s="35"/>
      <c r="L64" s="35"/>
      <c r="M64" s="35"/>
      <c r="N64" s="35"/>
      <c r="O64" s="35"/>
      <c r="P64" s="35"/>
      <c r="Q64" s="35"/>
      <c r="R64" s="35"/>
    </row>
    <row r="65" ht="15.75" customHeight="1">
      <c r="A65" s="35" t="s">
        <v>2495</v>
      </c>
      <c r="B65" s="35"/>
      <c r="C65" s="35"/>
      <c r="D65" s="35"/>
      <c r="E65" s="35"/>
      <c r="F65" s="35"/>
      <c r="G65" s="35"/>
      <c r="H65" s="35"/>
      <c r="I65" s="35"/>
      <c r="J65" s="35"/>
      <c r="K65" s="35"/>
      <c r="L65" s="35"/>
      <c r="M65" s="35"/>
      <c r="N65" s="35"/>
      <c r="O65" s="35"/>
      <c r="P65" s="35"/>
      <c r="Q65" s="35"/>
      <c r="R65" s="35"/>
    </row>
    <row r="66" ht="15.75" customHeight="1">
      <c r="A66" s="35" t="s">
        <v>1900</v>
      </c>
      <c r="B66" s="35"/>
      <c r="C66" s="35"/>
      <c r="D66" s="35"/>
      <c r="E66" s="35"/>
      <c r="F66" s="35"/>
      <c r="G66" s="35"/>
      <c r="H66" s="35"/>
      <c r="I66" s="35"/>
      <c r="J66" s="35"/>
      <c r="K66" s="35"/>
      <c r="L66" s="35"/>
      <c r="M66" s="35"/>
      <c r="N66" s="35"/>
      <c r="O66" s="35"/>
      <c r="P66" s="35"/>
      <c r="Q66" s="35"/>
      <c r="R66" s="35"/>
    </row>
    <row r="67" ht="15.75" customHeight="1">
      <c r="A67" s="35" t="s">
        <v>2770</v>
      </c>
      <c r="B67" s="35"/>
      <c r="C67" s="35"/>
      <c r="D67" s="35"/>
      <c r="E67" s="35"/>
      <c r="F67" s="35"/>
      <c r="G67" s="35"/>
      <c r="H67" s="35"/>
      <c r="I67" s="35"/>
      <c r="J67" s="35"/>
      <c r="K67" s="35"/>
      <c r="L67" s="35"/>
      <c r="M67" s="35"/>
      <c r="N67" s="35"/>
      <c r="O67" s="35"/>
      <c r="P67" s="35"/>
      <c r="Q67" s="35"/>
      <c r="R67" s="35"/>
    </row>
    <row r="68" ht="15.75" customHeight="1">
      <c r="A68" s="35" t="s">
        <v>2774</v>
      </c>
      <c r="B68" s="35"/>
      <c r="C68" s="35"/>
      <c r="D68" s="35"/>
      <c r="E68" s="35"/>
      <c r="F68" s="35"/>
      <c r="G68" s="35"/>
      <c r="H68" s="35"/>
      <c r="I68" s="35"/>
      <c r="J68" s="35"/>
      <c r="K68" s="35"/>
      <c r="L68" s="35"/>
      <c r="M68" s="35"/>
      <c r="N68" s="35"/>
      <c r="O68" s="35"/>
      <c r="P68" s="35"/>
      <c r="Q68" s="35"/>
      <c r="R68" s="35"/>
    </row>
    <row r="69" ht="15.75" customHeight="1">
      <c r="A69" s="35" t="s">
        <v>1883</v>
      </c>
      <c r="B69" s="35"/>
      <c r="C69" s="35"/>
      <c r="D69" s="35"/>
      <c r="E69" s="35"/>
      <c r="F69" s="35"/>
      <c r="G69" s="35"/>
      <c r="H69" s="35"/>
      <c r="I69" s="35"/>
      <c r="J69" s="35"/>
      <c r="K69" s="35"/>
      <c r="L69" s="35"/>
      <c r="M69" s="35"/>
      <c r="N69" s="35"/>
      <c r="O69" s="35"/>
      <c r="P69" s="35"/>
      <c r="Q69" s="35"/>
      <c r="R69" s="35"/>
    </row>
    <row r="70" ht="15.75" customHeight="1">
      <c r="A70" s="35" t="s">
        <v>465</v>
      </c>
      <c r="B70" s="35"/>
      <c r="C70" s="35"/>
      <c r="D70" s="35"/>
      <c r="E70" s="35"/>
      <c r="F70" s="35"/>
      <c r="G70" s="35"/>
      <c r="H70" s="35"/>
      <c r="I70" s="35"/>
      <c r="J70" s="35"/>
      <c r="K70" s="35"/>
      <c r="L70" s="35"/>
      <c r="M70" s="35"/>
      <c r="N70" s="35"/>
      <c r="O70" s="35"/>
      <c r="P70" s="35"/>
      <c r="Q70" s="35"/>
      <c r="R70" s="35"/>
    </row>
    <row r="71" ht="15.75" customHeight="1">
      <c r="A71" s="35" t="s">
        <v>1902</v>
      </c>
      <c r="B71" s="35"/>
      <c r="C71" s="35"/>
      <c r="D71" s="35"/>
      <c r="E71" s="35"/>
      <c r="F71" s="35"/>
      <c r="G71" s="35"/>
      <c r="H71" s="35"/>
      <c r="I71" s="35"/>
      <c r="J71" s="35"/>
      <c r="K71" s="35"/>
      <c r="L71" s="35"/>
      <c r="M71" s="35"/>
      <c r="N71" s="35"/>
      <c r="O71" s="35"/>
      <c r="P71" s="35"/>
      <c r="Q71" s="35"/>
      <c r="R71" s="35"/>
    </row>
    <row r="72" ht="15.75" customHeight="1">
      <c r="A72" s="35" t="s">
        <v>2790</v>
      </c>
      <c r="B72" s="35"/>
      <c r="C72" s="35"/>
      <c r="D72" s="35"/>
      <c r="E72" s="35"/>
      <c r="F72" s="35"/>
      <c r="G72" s="35"/>
      <c r="H72" s="35"/>
      <c r="I72" s="35"/>
      <c r="J72" s="35"/>
      <c r="K72" s="35"/>
      <c r="L72" s="35"/>
      <c r="M72" s="35"/>
      <c r="N72" s="35"/>
      <c r="O72" s="35"/>
      <c r="P72" s="35"/>
      <c r="Q72" s="35"/>
      <c r="R72" s="35"/>
    </row>
    <row r="73" ht="15.75" customHeight="1">
      <c r="A73" s="35" t="s">
        <v>2793</v>
      </c>
      <c r="B73" s="35"/>
      <c r="C73" s="35"/>
      <c r="D73" s="35"/>
      <c r="E73" s="35"/>
      <c r="F73" s="35"/>
      <c r="G73" s="35"/>
      <c r="H73" s="35"/>
      <c r="I73" s="35"/>
      <c r="J73" s="35"/>
      <c r="K73" s="35"/>
      <c r="L73" s="35"/>
      <c r="M73" s="35"/>
      <c r="N73" s="35"/>
      <c r="O73" s="35"/>
      <c r="P73" s="35"/>
      <c r="Q73" s="35"/>
      <c r="R73" s="35"/>
    </row>
    <row r="74" ht="15.75" customHeight="1">
      <c r="A74" s="35" t="s">
        <v>2799</v>
      </c>
      <c r="B74" s="35"/>
      <c r="C74" s="35"/>
      <c r="D74" s="35"/>
      <c r="E74" s="35"/>
      <c r="F74" s="35"/>
      <c r="G74" s="35"/>
      <c r="H74" s="35"/>
      <c r="I74" s="35"/>
      <c r="J74" s="35"/>
      <c r="K74" s="35"/>
      <c r="L74" s="35"/>
      <c r="M74" s="35"/>
      <c r="N74" s="35"/>
      <c r="O74" s="35"/>
      <c r="P74" s="35"/>
      <c r="Q74" s="35"/>
      <c r="R74" s="35"/>
    </row>
    <row r="75" ht="15.75" customHeight="1">
      <c r="A75" s="35" t="s">
        <v>2803</v>
      </c>
      <c r="B75" s="35"/>
      <c r="C75" s="35"/>
      <c r="D75" s="35"/>
      <c r="E75" s="35"/>
      <c r="F75" s="35"/>
      <c r="G75" s="35"/>
      <c r="H75" s="35"/>
      <c r="I75" s="35"/>
      <c r="J75" s="35"/>
      <c r="K75" s="35"/>
      <c r="L75" s="35"/>
      <c r="M75" s="35"/>
      <c r="N75" s="35"/>
      <c r="O75" s="35"/>
      <c r="P75" s="35"/>
      <c r="Q75" s="35"/>
      <c r="R75" s="35"/>
    </row>
    <row r="76" ht="15.75" customHeight="1">
      <c r="A76" s="35" t="s">
        <v>2810</v>
      </c>
      <c r="B76" s="35"/>
      <c r="C76" s="35"/>
      <c r="D76" s="35"/>
      <c r="E76" s="35"/>
      <c r="F76" s="35"/>
      <c r="G76" s="35"/>
      <c r="H76" s="35"/>
      <c r="I76" s="35"/>
      <c r="J76" s="35"/>
      <c r="K76" s="35"/>
      <c r="L76" s="35"/>
      <c r="M76" s="35"/>
      <c r="N76" s="35"/>
      <c r="O76" s="35"/>
      <c r="P76" s="35"/>
      <c r="Q76" s="35"/>
      <c r="R76" s="35"/>
    </row>
    <row r="77" ht="15.75" customHeight="1">
      <c r="A77" s="35" t="s">
        <v>2814</v>
      </c>
      <c r="B77" s="35"/>
      <c r="C77" s="35"/>
      <c r="D77" s="35"/>
      <c r="E77" s="35"/>
      <c r="F77" s="35"/>
      <c r="G77" s="35"/>
      <c r="H77" s="35"/>
      <c r="I77" s="35"/>
      <c r="J77" s="35"/>
      <c r="K77" s="35"/>
      <c r="L77" s="35"/>
      <c r="M77" s="35"/>
      <c r="N77" s="35"/>
      <c r="O77" s="35"/>
      <c r="P77" s="35"/>
      <c r="Q77" s="35"/>
      <c r="R77" s="35"/>
    </row>
    <row r="78" ht="15.75" customHeight="1">
      <c r="A78" s="35" t="s">
        <v>2824</v>
      </c>
      <c r="B78" s="35"/>
      <c r="C78" s="35"/>
      <c r="D78" s="35"/>
      <c r="E78" s="35"/>
      <c r="F78" s="35"/>
      <c r="G78" s="35"/>
      <c r="H78" s="35"/>
      <c r="I78" s="35"/>
      <c r="J78" s="35"/>
      <c r="K78" s="35"/>
      <c r="L78" s="35"/>
      <c r="M78" s="35"/>
      <c r="N78" s="35"/>
      <c r="O78" s="35"/>
      <c r="P78" s="35"/>
      <c r="Q78" s="35"/>
      <c r="R78" s="35"/>
    </row>
    <row r="79" ht="15.75" customHeight="1">
      <c r="A79" s="35" t="s">
        <v>2830</v>
      </c>
      <c r="B79" s="35"/>
      <c r="C79" s="35"/>
      <c r="D79" s="35"/>
      <c r="E79" s="35"/>
      <c r="F79" s="35"/>
      <c r="G79" s="35"/>
      <c r="H79" s="35"/>
      <c r="I79" s="35"/>
      <c r="J79" s="35"/>
      <c r="K79" s="35"/>
      <c r="L79" s="35"/>
      <c r="M79" s="35"/>
      <c r="N79" s="35"/>
      <c r="O79" s="35"/>
      <c r="P79" s="35"/>
      <c r="Q79" s="35"/>
      <c r="R79" s="35"/>
    </row>
    <row r="80" ht="15.75" customHeight="1">
      <c r="A80" s="35" t="s">
        <v>2835</v>
      </c>
      <c r="B80" s="35"/>
      <c r="C80" s="35"/>
      <c r="D80" s="35"/>
      <c r="E80" s="35"/>
      <c r="F80" s="35"/>
      <c r="G80" s="35"/>
      <c r="H80" s="35"/>
      <c r="I80" s="35"/>
      <c r="J80" s="35"/>
      <c r="K80" s="35"/>
      <c r="L80" s="35"/>
      <c r="M80" s="35"/>
      <c r="N80" s="35"/>
      <c r="O80" s="35"/>
      <c r="P80" s="35"/>
      <c r="Q80" s="35"/>
      <c r="R80" s="35"/>
    </row>
    <row r="81" ht="15.75" customHeight="1">
      <c r="A81" s="35" t="s">
        <v>1886</v>
      </c>
      <c r="B81" s="35"/>
      <c r="C81" s="35"/>
      <c r="D81" s="35"/>
      <c r="E81" s="35"/>
      <c r="F81" s="35"/>
      <c r="G81" s="35"/>
      <c r="H81" s="35"/>
      <c r="I81" s="35"/>
      <c r="J81" s="35"/>
      <c r="K81" s="35"/>
      <c r="L81" s="35"/>
      <c r="M81" s="35"/>
      <c r="N81" s="35"/>
      <c r="O81" s="35"/>
      <c r="P81" s="35"/>
      <c r="Q81" s="35"/>
      <c r="R81" s="35"/>
    </row>
    <row r="82" ht="15.75" customHeight="1">
      <c r="A82" s="35" t="s">
        <v>2847</v>
      </c>
      <c r="B82" s="35"/>
      <c r="C82" s="35"/>
      <c r="D82" s="35"/>
      <c r="E82" s="35"/>
      <c r="F82" s="35"/>
      <c r="G82" s="35"/>
      <c r="H82" s="35"/>
      <c r="I82" s="35"/>
      <c r="J82" s="35"/>
      <c r="K82" s="35"/>
      <c r="L82" s="35"/>
      <c r="M82" s="35"/>
      <c r="N82" s="35"/>
      <c r="O82" s="35"/>
      <c r="P82" s="35"/>
      <c r="Q82" s="35"/>
      <c r="R82" s="35"/>
    </row>
    <row r="83" ht="15.75" customHeight="1">
      <c r="A83" s="35" t="s">
        <v>2852</v>
      </c>
      <c r="B83" s="35"/>
      <c r="C83" s="35"/>
      <c r="D83" s="35"/>
      <c r="E83" s="35"/>
      <c r="F83" s="35"/>
      <c r="G83" s="35"/>
      <c r="H83" s="35"/>
      <c r="I83" s="35"/>
      <c r="J83" s="35"/>
      <c r="K83" s="35"/>
      <c r="L83" s="35"/>
      <c r="M83" s="35"/>
      <c r="N83" s="35"/>
      <c r="O83" s="35"/>
      <c r="P83" s="35"/>
      <c r="Q83" s="35"/>
      <c r="R83" s="35"/>
    </row>
    <row r="84" ht="15.75" customHeight="1">
      <c r="A84" s="35" t="s">
        <v>2857</v>
      </c>
      <c r="B84" s="35"/>
      <c r="C84" s="35"/>
      <c r="D84" s="35"/>
      <c r="E84" s="35"/>
      <c r="F84" s="35"/>
      <c r="G84" s="35"/>
      <c r="H84" s="35"/>
      <c r="I84" s="35"/>
      <c r="J84" s="35"/>
      <c r="K84" s="35"/>
      <c r="L84" s="35"/>
      <c r="M84" s="35"/>
      <c r="N84" s="35"/>
      <c r="O84" s="35"/>
      <c r="P84" s="35"/>
      <c r="Q84" s="35"/>
      <c r="R84" s="35"/>
    </row>
    <row r="85" ht="15.75" customHeight="1">
      <c r="A85" s="35" t="s">
        <v>2862</v>
      </c>
      <c r="B85" s="35"/>
      <c r="C85" s="35"/>
      <c r="D85" s="35"/>
      <c r="E85" s="35"/>
      <c r="F85" s="35"/>
      <c r="G85" s="35"/>
      <c r="H85" s="35"/>
      <c r="I85" s="35"/>
      <c r="J85" s="35"/>
      <c r="K85" s="35"/>
      <c r="L85" s="35"/>
      <c r="M85" s="35"/>
      <c r="N85" s="35"/>
      <c r="O85" s="35"/>
      <c r="P85" s="35"/>
      <c r="Q85" s="35"/>
      <c r="R85" s="35"/>
    </row>
    <row r="86" ht="15.75" customHeight="1">
      <c r="A86" s="35" t="s">
        <v>2531</v>
      </c>
      <c r="B86" s="35"/>
      <c r="C86" s="35"/>
      <c r="D86" s="35"/>
      <c r="E86" s="35"/>
      <c r="F86" s="35"/>
      <c r="G86" s="35"/>
      <c r="H86" s="35"/>
      <c r="I86" s="35"/>
      <c r="J86" s="35"/>
      <c r="K86" s="35"/>
      <c r="L86" s="35"/>
      <c r="M86" s="35"/>
      <c r="N86" s="35"/>
      <c r="O86" s="35"/>
      <c r="P86" s="35"/>
      <c r="Q86" s="35"/>
      <c r="R86" s="35"/>
    </row>
    <row r="87" ht="15.75" customHeight="1">
      <c r="A87" s="35" t="s">
        <v>2873</v>
      </c>
      <c r="B87" s="35"/>
      <c r="C87" s="35"/>
      <c r="D87" s="35"/>
      <c r="E87" s="35"/>
      <c r="F87" s="35"/>
      <c r="G87" s="35"/>
      <c r="H87" s="35"/>
      <c r="I87" s="35"/>
      <c r="J87" s="35"/>
      <c r="K87" s="35"/>
      <c r="L87" s="35"/>
      <c r="M87" s="35"/>
      <c r="N87" s="35"/>
      <c r="O87" s="35"/>
      <c r="P87" s="35"/>
      <c r="Q87" s="35"/>
      <c r="R87" s="35"/>
    </row>
    <row r="88" ht="15.75" customHeight="1">
      <c r="A88" s="35"/>
      <c r="B88" s="35"/>
      <c r="C88" s="35"/>
      <c r="D88" s="35"/>
      <c r="E88" s="35"/>
      <c r="F88" s="35"/>
      <c r="G88" s="35"/>
      <c r="H88" s="35"/>
      <c r="I88" s="35"/>
      <c r="J88" s="35"/>
      <c r="K88" s="35"/>
      <c r="L88" s="35"/>
      <c r="M88" s="35"/>
      <c r="N88" s="35"/>
      <c r="O88" s="35"/>
      <c r="P88" s="35"/>
      <c r="Q88" s="35"/>
      <c r="R88" s="35"/>
    </row>
    <row r="89" ht="15.75" customHeight="1">
      <c r="A89" s="35"/>
      <c r="B89" s="35"/>
      <c r="C89" s="35"/>
      <c r="D89" s="35"/>
      <c r="E89" s="35"/>
      <c r="F89" s="35"/>
      <c r="G89" s="35"/>
      <c r="H89" s="35"/>
      <c r="I89" s="35"/>
      <c r="J89" s="35"/>
      <c r="K89" s="35"/>
      <c r="L89" s="35"/>
      <c r="M89" s="35"/>
      <c r="N89" s="35"/>
      <c r="O89" s="35"/>
      <c r="P89" s="35"/>
      <c r="Q89" s="35"/>
      <c r="R89" s="35"/>
    </row>
    <row r="90" ht="15.75" customHeight="1">
      <c r="A90" s="35" t="s">
        <v>2885</v>
      </c>
      <c r="B90" s="35"/>
      <c r="C90" s="35"/>
      <c r="D90" s="35"/>
      <c r="E90" s="35"/>
      <c r="F90" s="35"/>
      <c r="G90" s="35"/>
      <c r="H90" s="35"/>
      <c r="I90" s="35"/>
      <c r="J90" s="35"/>
      <c r="K90" s="35"/>
      <c r="L90" s="35"/>
      <c r="M90" s="35"/>
      <c r="N90" s="35"/>
      <c r="O90" s="35"/>
      <c r="P90" s="35"/>
      <c r="Q90" s="35"/>
      <c r="R90" s="35"/>
    </row>
    <row r="91" ht="15.75" customHeight="1">
      <c r="A91" s="35"/>
      <c r="B91" s="35"/>
      <c r="C91" s="35"/>
      <c r="D91" s="35"/>
      <c r="E91" s="35"/>
      <c r="F91" s="35"/>
      <c r="G91" s="35"/>
      <c r="H91" s="35"/>
      <c r="I91" s="35"/>
      <c r="J91" s="35"/>
      <c r="K91" s="35"/>
      <c r="L91" s="35"/>
      <c r="M91" s="35"/>
      <c r="N91" s="35"/>
      <c r="O91" s="35"/>
      <c r="P91" s="35"/>
      <c r="Q91" s="35"/>
      <c r="R91" s="35"/>
    </row>
    <row r="92" ht="15.75" customHeight="1">
      <c r="A92" s="35" t="s">
        <v>2862</v>
      </c>
      <c r="B92" s="35">
        <v>1.0</v>
      </c>
      <c r="C92" s="35" t="s">
        <v>2893</v>
      </c>
      <c r="D92" s="35"/>
      <c r="E92" s="35"/>
      <c r="F92" s="35"/>
      <c r="G92" s="35"/>
      <c r="H92" s="35"/>
      <c r="I92" s="35"/>
      <c r="J92" s="35"/>
      <c r="K92" s="35"/>
      <c r="L92" s="35"/>
      <c r="M92" s="35"/>
      <c r="N92" s="35"/>
      <c r="O92" s="35"/>
      <c r="P92" s="35"/>
      <c r="Q92" s="35"/>
      <c r="R92" s="35"/>
    </row>
    <row r="93" ht="15.75" customHeight="1">
      <c r="A93" s="35" t="s">
        <v>2467</v>
      </c>
      <c r="B93" s="35">
        <v>1.0</v>
      </c>
      <c r="C93" s="35" t="s">
        <v>2893</v>
      </c>
      <c r="D93" s="35"/>
      <c r="E93" s="35"/>
      <c r="F93" s="35"/>
      <c r="G93" s="35"/>
      <c r="H93" s="35"/>
      <c r="I93" s="35"/>
      <c r="J93" s="35"/>
      <c r="K93" s="35"/>
      <c r="L93" s="35"/>
      <c r="M93" s="35"/>
      <c r="N93" s="35"/>
      <c r="O93" s="35"/>
      <c r="P93" s="35"/>
      <c r="Q93" s="35"/>
      <c r="R93" s="35"/>
    </row>
    <row r="94" ht="15.75" customHeight="1">
      <c r="A94" s="35" t="s">
        <v>1900</v>
      </c>
      <c r="B94" s="35">
        <v>1.0</v>
      </c>
      <c r="C94" s="35" t="s">
        <v>2904</v>
      </c>
      <c r="D94" s="35"/>
      <c r="E94" s="35"/>
      <c r="F94" s="35"/>
      <c r="G94" s="35"/>
      <c r="H94" s="35"/>
      <c r="I94" s="35"/>
      <c r="J94" s="35"/>
      <c r="K94" s="35"/>
      <c r="L94" s="35"/>
      <c r="M94" s="35"/>
      <c r="N94" s="35"/>
      <c r="O94" s="35"/>
      <c r="P94" s="35"/>
      <c r="Q94" s="35"/>
      <c r="R94" s="35"/>
    </row>
    <row r="95" ht="15.75" customHeight="1">
      <c r="A95" s="35" t="s">
        <v>465</v>
      </c>
      <c r="B95" s="35">
        <v>1.0</v>
      </c>
      <c r="C95" s="35" t="s">
        <v>2904</v>
      </c>
      <c r="D95" s="35"/>
      <c r="E95" s="35"/>
      <c r="F95" s="35"/>
      <c r="G95" s="35"/>
      <c r="H95" s="35"/>
      <c r="I95" s="35"/>
      <c r="J95" s="35"/>
      <c r="K95" s="35"/>
      <c r="L95" s="35"/>
      <c r="M95" s="35"/>
      <c r="N95" s="35"/>
      <c r="O95" s="35"/>
      <c r="P95" s="35"/>
      <c r="Q95" s="35"/>
      <c r="R95" s="35"/>
    </row>
    <row r="96" ht="15.75" customHeight="1">
      <c r="A96" s="35" t="s">
        <v>1902</v>
      </c>
      <c r="B96" s="35">
        <v>1.0</v>
      </c>
      <c r="C96" s="35" t="s">
        <v>2904</v>
      </c>
      <c r="D96" s="35"/>
      <c r="E96" s="35"/>
      <c r="F96" s="35"/>
      <c r="G96" s="35"/>
      <c r="H96" s="35"/>
      <c r="I96" s="35"/>
      <c r="J96" s="35"/>
      <c r="K96" s="35"/>
      <c r="L96" s="35"/>
      <c r="M96" s="35"/>
      <c r="N96" s="35"/>
      <c r="O96" s="35"/>
      <c r="P96" s="35"/>
      <c r="Q96" s="35"/>
      <c r="R96" s="35"/>
    </row>
    <row r="97" ht="15.75" customHeight="1">
      <c r="A97" s="35"/>
      <c r="B97" s="35"/>
      <c r="C97" s="35"/>
      <c r="D97" s="35"/>
      <c r="E97" s="35"/>
      <c r="F97" s="35"/>
      <c r="G97" s="35"/>
      <c r="H97" s="35"/>
      <c r="I97" s="35"/>
      <c r="J97" s="35"/>
      <c r="K97" s="35"/>
      <c r="L97" s="35"/>
      <c r="M97" s="35"/>
      <c r="N97" s="35"/>
      <c r="O97" s="35"/>
      <c r="P97" s="35"/>
      <c r="Q97" s="35"/>
      <c r="R97" s="35"/>
    </row>
    <row r="98" ht="15.75" customHeight="1">
      <c r="A98" s="35"/>
      <c r="B98" s="35"/>
      <c r="C98" s="35"/>
      <c r="D98" s="35"/>
      <c r="E98" s="35"/>
      <c r="F98" s="35"/>
      <c r="G98" s="35"/>
      <c r="H98" s="35"/>
      <c r="I98" s="35"/>
      <c r="J98" s="35"/>
      <c r="K98" s="35"/>
      <c r="L98" s="35"/>
      <c r="M98" s="35"/>
      <c r="N98" s="35"/>
      <c r="O98" s="35"/>
      <c r="P98" s="35"/>
      <c r="Q98" s="35"/>
      <c r="R98" s="35"/>
    </row>
    <row r="99" ht="15.75" customHeight="1">
      <c r="A99" s="35" t="s">
        <v>2926</v>
      </c>
      <c r="B99" s="35"/>
      <c r="C99" s="35"/>
      <c r="D99" s="35"/>
      <c r="E99" s="35"/>
      <c r="F99" s="35"/>
      <c r="G99" s="35"/>
      <c r="H99" s="35"/>
      <c r="I99" s="35"/>
      <c r="J99" s="35"/>
      <c r="K99" s="35"/>
      <c r="L99" s="35"/>
      <c r="M99" s="35"/>
      <c r="N99" s="35"/>
      <c r="O99" s="35"/>
      <c r="P99" s="35"/>
      <c r="Q99" s="35"/>
      <c r="R99" s="35"/>
    </row>
    <row r="100" ht="15.75" customHeight="1">
      <c r="A100" s="35"/>
      <c r="B100" s="35"/>
      <c r="C100" s="35"/>
      <c r="D100" s="35"/>
      <c r="E100" s="35"/>
      <c r="F100" s="35"/>
      <c r="G100" s="35"/>
      <c r="H100" s="35"/>
      <c r="I100" s="35"/>
      <c r="J100" s="35"/>
      <c r="K100" s="35"/>
      <c r="L100" s="35"/>
      <c r="M100" s="35"/>
      <c r="N100" s="35"/>
      <c r="O100" s="35"/>
      <c r="P100" s="35"/>
      <c r="Q100" s="35"/>
      <c r="R100" s="35"/>
    </row>
    <row r="101" ht="15.75" customHeight="1">
      <c r="A101" s="35" t="s">
        <v>2494</v>
      </c>
      <c r="B101" s="35"/>
      <c r="C101" s="35"/>
      <c r="D101" s="35"/>
      <c r="E101" s="35"/>
      <c r="F101" s="35"/>
      <c r="G101" s="35"/>
      <c r="H101" s="35"/>
      <c r="I101" s="35"/>
      <c r="J101" s="35"/>
      <c r="K101" s="35"/>
      <c r="L101" s="35"/>
      <c r="M101" s="35"/>
      <c r="N101" s="35"/>
      <c r="O101" s="35"/>
      <c r="P101" s="35"/>
      <c r="Q101" s="35"/>
      <c r="R101" s="35"/>
    </row>
    <row r="102" ht="15.75" customHeight="1">
      <c r="A102" s="35" t="s">
        <v>2539</v>
      </c>
      <c r="B102" s="35"/>
      <c r="C102" s="35"/>
      <c r="D102" s="35"/>
      <c r="E102" s="35"/>
      <c r="F102" s="35"/>
      <c r="G102" s="35"/>
      <c r="H102" s="35"/>
      <c r="I102" s="35"/>
      <c r="J102" s="35"/>
      <c r="K102" s="35"/>
      <c r="L102" s="35"/>
      <c r="M102" s="35"/>
      <c r="N102" s="35"/>
      <c r="O102" s="35"/>
      <c r="P102" s="35"/>
      <c r="Q102" s="35"/>
      <c r="R102" s="35"/>
    </row>
    <row r="103" ht="15.75" customHeight="1">
      <c r="A103" s="35" t="s">
        <v>2595</v>
      </c>
      <c r="B103" s="35"/>
      <c r="C103" s="35"/>
      <c r="D103" s="35"/>
      <c r="E103" s="35"/>
      <c r="F103" s="35"/>
      <c r="G103" s="35"/>
      <c r="H103" s="35"/>
      <c r="I103" s="35"/>
      <c r="J103" s="35"/>
      <c r="K103" s="35"/>
      <c r="L103" s="35"/>
      <c r="M103" s="35"/>
      <c r="N103" s="35"/>
      <c r="O103" s="35"/>
      <c r="P103" s="35"/>
      <c r="Q103" s="35"/>
      <c r="R103" s="35"/>
    </row>
    <row r="104" ht="15.75" customHeight="1">
      <c r="A104" s="35" t="s">
        <v>2488</v>
      </c>
      <c r="B104" s="35"/>
      <c r="C104" s="35"/>
      <c r="D104" s="35"/>
      <c r="E104" s="35"/>
      <c r="F104" s="35"/>
      <c r="G104" s="35"/>
      <c r="H104" s="35"/>
      <c r="I104" s="35"/>
      <c r="J104" s="35"/>
      <c r="K104" s="35"/>
      <c r="L104" s="35"/>
      <c r="M104" s="35"/>
      <c r="N104" s="35"/>
      <c r="O104" s="35"/>
      <c r="P104" s="35"/>
      <c r="Q104" s="35"/>
      <c r="R104" s="35"/>
    </row>
    <row r="105" ht="15.75" customHeight="1">
      <c r="A105" s="35" t="s">
        <v>2608</v>
      </c>
      <c r="B105" s="35"/>
      <c r="C105" s="35"/>
      <c r="D105" s="35"/>
      <c r="E105" s="35"/>
      <c r="F105" s="35"/>
      <c r="G105" s="35"/>
      <c r="H105" s="35"/>
      <c r="I105" s="35"/>
      <c r="J105" s="35"/>
      <c r="K105" s="35"/>
      <c r="L105" s="35"/>
      <c r="M105" s="35"/>
      <c r="N105" s="35"/>
      <c r="O105" s="35"/>
      <c r="P105" s="35"/>
      <c r="Q105" s="35"/>
      <c r="R105" s="35"/>
    </row>
    <row r="106" ht="15.75" customHeight="1">
      <c r="A106" s="35" t="s">
        <v>2504</v>
      </c>
      <c r="B106" s="35"/>
      <c r="C106" s="35"/>
      <c r="D106" s="35"/>
      <c r="E106" s="35"/>
      <c r="F106" s="35"/>
      <c r="G106" s="35"/>
      <c r="H106" s="35"/>
      <c r="I106" s="35"/>
      <c r="J106" s="35"/>
      <c r="K106" s="35"/>
      <c r="L106" s="35"/>
      <c r="M106" s="35"/>
      <c r="N106" s="35"/>
      <c r="O106" s="35"/>
      <c r="P106" s="35"/>
      <c r="Q106" s="35"/>
      <c r="R106" s="35"/>
    </row>
    <row r="107" ht="15.75" customHeight="1">
      <c r="A107" s="35" t="s">
        <v>2627</v>
      </c>
      <c r="B107" s="35"/>
      <c r="C107" s="35"/>
      <c r="D107" s="35"/>
      <c r="E107" s="35"/>
      <c r="F107" s="35"/>
      <c r="G107" s="35"/>
      <c r="H107" s="35"/>
      <c r="I107" s="35"/>
      <c r="J107" s="35"/>
      <c r="K107" s="35"/>
      <c r="L107" s="35"/>
      <c r="M107" s="35"/>
      <c r="N107" s="35"/>
      <c r="O107" s="35"/>
      <c r="P107" s="35"/>
      <c r="Q107" s="35"/>
      <c r="R107" s="35"/>
    </row>
    <row r="108" ht="15.75" customHeight="1">
      <c r="A108" s="35" t="s">
        <v>2498</v>
      </c>
      <c r="B108" s="35"/>
      <c r="C108" s="35"/>
      <c r="D108" s="35"/>
      <c r="E108" s="35"/>
      <c r="F108" s="35"/>
      <c r="G108" s="35"/>
      <c r="H108" s="35"/>
      <c r="I108" s="35"/>
      <c r="J108" s="35"/>
      <c r="K108" s="35"/>
      <c r="L108" s="35"/>
      <c r="M108" s="35"/>
      <c r="N108" s="35"/>
      <c r="O108" s="35"/>
      <c r="P108" s="35"/>
      <c r="Q108" s="35"/>
      <c r="R108" s="35"/>
    </row>
    <row r="109" ht="15.75" customHeight="1">
      <c r="A109" s="35" t="s">
        <v>2624</v>
      </c>
      <c r="B109" s="35"/>
      <c r="C109" s="35"/>
      <c r="D109" s="35"/>
      <c r="E109" s="35"/>
      <c r="F109" s="35"/>
      <c r="G109" s="35"/>
      <c r="H109" s="35"/>
      <c r="I109" s="35"/>
      <c r="J109" s="35"/>
      <c r="K109" s="35"/>
      <c r="L109" s="35"/>
      <c r="M109" s="35"/>
      <c r="N109" s="35"/>
      <c r="O109" s="35"/>
      <c r="P109" s="35"/>
      <c r="Q109" s="35"/>
      <c r="R109" s="35"/>
    </row>
    <row r="110" ht="15.75" customHeight="1">
      <c r="A110" s="35" t="s">
        <v>2477</v>
      </c>
      <c r="B110" s="35"/>
      <c r="C110" s="35"/>
      <c r="D110" s="35"/>
      <c r="E110" s="35"/>
      <c r="F110" s="35"/>
      <c r="G110" s="35"/>
      <c r="H110" s="35"/>
      <c r="I110" s="35"/>
      <c r="J110" s="35"/>
      <c r="K110" s="35"/>
      <c r="L110" s="35"/>
      <c r="M110" s="35"/>
      <c r="N110" s="35"/>
      <c r="O110" s="35"/>
      <c r="P110" s="35"/>
      <c r="Q110" s="35"/>
      <c r="R110" s="35"/>
    </row>
    <row r="111" ht="15.75" customHeight="1">
      <c r="A111" s="35"/>
      <c r="B111" s="35"/>
      <c r="C111" s="35"/>
      <c r="D111" s="35"/>
      <c r="E111" s="35"/>
      <c r="F111" s="35"/>
      <c r="G111" s="35"/>
      <c r="H111" s="35"/>
      <c r="I111" s="35"/>
      <c r="J111" s="35"/>
      <c r="K111" s="35"/>
      <c r="L111" s="35"/>
      <c r="M111" s="35"/>
      <c r="N111" s="35"/>
      <c r="O111" s="35"/>
      <c r="P111" s="35"/>
      <c r="Q111" s="35"/>
      <c r="R111" s="35"/>
    </row>
    <row r="112" ht="15.75" customHeight="1">
      <c r="A112" s="35"/>
      <c r="B112" s="35"/>
      <c r="C112" s="35"/>
      <c r="D112" s="35"/>
      <c r="E112" s="35"/>
      <c r="F112" s="35"/>
      <c r="G112" s="35"/>
      <c r="H112" s="35"/>
      <c r="I112" s="35"/>
      <c r="J112" s="35"/>
      <c r="K112" s="35"/>
      <c r="L112" s="35"/>
      <c r="M112" s="35"/>
      <c r="N112" s="35"/>
      <c r="O112" s="35"/>
      <c r="P112" s="35"/>
      <c r="Q112" s="35"/>
      <c r="R112" s="35"/>
    </row>
    <row r="113" ht="15.75" customHeight="1">
      <c r="A113" s="35" t="s">
        <v>2977</v>
      </c>
      <c r="B113" s="35"/>
      <c r="C113" s="35"/>
      <c r="D113" s="35"/>
      <c r="E113" s="35"/>
      <c r="F113" s="35"/>
      <c r="G113" s="35"/>
      <c r="H113" s="35"/>
      <c r="I113" s="35"/>
      <c r="J113" s="35"/>
      <c r="K113" s="35"/>
      <c r="L113" s="35"/>
      <c r="M113" s="35"/>
      <c r="N113" s="35"/>
      <c r="O113" s="35"/>
      <c r="P113" s="35"/>
      <c r="Q113" s="35"/>
      <c r="R113" s="35"/>
    </row>
    <row r="114" ht="15.75" customHeight="1">
      <c r="A114" s="35"/>
      <c r="B114" s="35"/>
      <c r="C114" s="35"/>
      <c r="D114" s="35"/>
      <c r="E114" s="35"/>
      <c r="F114" s="35"/>
      <c r="G114" s="35"/>
      <c r="H114" s="35"/>
      <c r="I114" s="35"/>
      <c r="J114" s="35"/>
      <c r="K114" s="35"/>
      <c r="L114" s="35"/>
      <c r="M114" s="35"/>
      <c r="N114" s="35"/>
      <c r="O114" s="35"/>
      <c r="P114" s="35"/>
      <c r="Q114" s="35"/>
      <c r="R114" s="35"/>
    </row>
    <row r="115" ht="15.75" customHeight="1">
      <c r="A115" s="35" t="s">
        <v>2521</v>
      </c>
      <c r="B115" s="35"/>
      <c r="C115" s="35"/>
      <c r="D115" s="35"/>
      <c r="E115" s="35"/>
      <c r="F115" s="35"/>
      <c r="G115" s="35"/>
      <c r="H115" s="35"/>
      <c r="I115" s="35"/>
      <c r="J115" s="35"/>
      <c r="K115" s="35"/>
      <c r="L115" s="35"/>
      <c r="M115" s="35"/>
      <c r="N115" s="35"/>
      <c r="O115" s="35"/>
      <c r="P115" s="35"/>
      <c r="Q115" s="35"/>
      <c r="R115" s="35"/>
    </row>
    <row r="116" ht="15.75" customHeight="1">
      <c r="A116" s="35" t="s">
        <v>2624</v>
      </c>
      <c r="B116" s="35"/>
      <c r="C116" s="35"/>
      <c r="D116" s="35"/>
      <c r="E116" s="35"/>
      <c r="F116" s="35"/>
      <c r="G116" s="35"/>
      <c r="H116" s="35"/>
      <c r="I116" s="35"/>
      <c r="J116" s="35"/>
      <c r="K116" s="35"/>
      <c r="L116" s="35"/>
      <c r="M116" s="35"/>
      <c r="N116" s="35"/>
      <c r="O116" s="35"/>
      <c r="P116" s="35"/>
      <c r="Q116" s="35"/>
      <c r="R116" s="35"/>
    </row>
    <row r="117" ht="15.75" customHeight="1">
      <c r="A117" s="35" t="s">
        <v>2516</v>
      </c>
      <c r="B117" s="35"/>
      <c r="C117" s="35"/>
      <c r="D117" s="35"/>
      <c r="E117" s="35"/>
      <c r="F117" s="35"/>
      <c r="G117" s="35"/>
      <c r="H117" s="35"/>
      <c r="I117" s="35"/>
      <c r="J117" s="35"/>
      <c r="K117" s="35"/>
      <c r="L117" s="35"/>
      <c r="M117" s="35"/>
      <c r="N117" s="35"/>
      <c r="O117" s="35"/>
      <c r="P117" s="35"/>
      <c r="Q117" s="35"/>
      <c r="R117" s="35"/>
    </row>
    <row r="118" ht="15.75" customHeight="1">
      <c r="A118" s="35" t="s">
        <v>2505</v>
      </c>
      <c r="B118" s="35"/>
      <c r="C118" s="35"/>
      <c r="D118" s="35"/>
      <c r="E118" s="35"/>
      <c r="F118" s="35"/>
      <c r="G118" s="35"/>
      <c r="H118" s="35"/>
      <c r="I118" s="35"/>
      <c r="J118" s="35"/>
      <c r="K118" s="35"/>
      <c r="L118" s="35"/>
      <c r="M118" s="35"/>
      <c r="N118" s="35"/>
      <c r="O118" s="35"/>
      <c r="P118" s="35"/>
      <c r="Q118" s="35"/>
      <c r="R118" s="35"/>
    </row>
    <row r="119" ht="15.75" customHeight="1">
      <c r="A119" s="35" t="s">
        <v>2488</v>
      </c>
      <c r="B119" s="35"/>
      <c r="C119" s="35"/>
      <c r="D119" s="35"/>
      <c r="E119" s="35"/>
      <c r="F119" s="35"/>
      <c r="G119" s="35"/>
      <c r="H119" s="35"/>
      <c r="I119" s="35"/>
      <c r="J119" s="35"/>
      <c r="K119" s="35"/>
      <c r="L119" s="35"/>
      <c r="M119" s="35"/>
      <c r="N119" s="35"/>
      <c r="O119" s="35"/>
      <c r="P119" s="35"/>
      <c r="Q119" s="35"/>
      <c r="R119" s="35"/>
    </row>
    <row r="120" ht="15.75" customHeight="1">
      <c r="A120" s="35" t="s">
        <v>2627</v>
      </c>
      <c r="B120" s="35"/>
      <c r="C120" s="35"/>
      <c r="D120" s="35"/>
      <c r="E120" s="35"/>
      <c r="F120" s="35"/>
      <c r="G120" s="35"/>
      <c r="H120" s="35"/>
      <c r="I120" s="35"/>
      <c r="J120" s="35"/>
      <c r="K120" s="35"/>
      <c r="L120" s="35"/>
      <c r="M120" s="35"/>
      <c r="N120" s="35"/>
      <c r="O120" s="35"/>
      <c r="P120" s="35"/>
      <c r="Q120" s="35"/>
      <c r="R120" s="35"/>
    </row>
    <row r="121" ht="15.75" customHeight="1">
      <c r="A121" s="35" t="s">
        <v>2498</v>
      </c>
      <c r="B121" s="35"/>
      <c r="C121" s="35"/>
      <c r="D121" s="35"/>
      <c r="E121" s="35"/>
      <c r="F121" s="35"/>
      <c r="G121" s="35"/>
      <c r="H121" s="35"/>
      <c r="I121" s="35"/>
      <c r="J121" s="35"/>
      <c r="K121" s="35"/>
      <c r="L121" s="35"/>
      <c r="M121" s="35"/>
      <c r="N121" s="35"/>
      <c r="O121" s="35"/>
      <c r="P121" s="35"/>
      <c r="Q121" s="35"/>
      <c r="R121" s="35"/>
    </row>
    <row r="122" ht="15.75" customHeight="1">
      <c r="A122" s="35" t="s">
        <v>2546</v>
      </c>
      <c r="B122" s="35"/>
      <c r="C122" s="35"/>
      <c r="D122" s="35"/>
      <c r="E122" s="35"/>
      <c r="F122" s="35"/>
      <c r="G122" s="35"/>
      <c r="H122" s="35"/>
      <c r="I122" s="35"/>
      <c r="J122" s="35"/>
      <c r="K122" s="35"/>
      <c r="L122" s="35"/>
      <c r="M122" s="35"/>
      <c r="N122" s="35"/>
      <c r="O122" s="35"/>
      <c r="P122" s="35"/>
      <c r="Q122" s="35"/>
      <c r="R122" s="35"/>
    </row>
    <row r="123" ht="15.75" customHeight="1">
      <c r="A123" s="35" t="s">
        <v>2518</v>
      </c>
      <c r="B123" s="35"/>
      <c r="C123" s="35"/>
      <c r="D123" s="35"/>
      <c r="E123" s="35"/>
      <c r="F123" s="35"/>
      <c r="G123" s="35"/>
      <c r="H123" s="35"/>
      <c r="I123" s="35"/>
      <c r="J123" s="35"/>
      <c r="K123" s="35"/>
      <c r="L123" s="35"/>
      <c r="M123" s="35"/>
      <c r="N123" s="35"/>
      <c r="O123" s="35"/>
      <c r="P123" s="35"/>
      <c r="Q123" s="35"/>
      <c r="R123" s="35"/>
    </row>
    <row r="124" ht="15.75" customHeight="1">
      <c r="A124" s="35" t="s">
        <v>2551</v>
      </c>
      <c r="B124" s="35"/>
      <c r="C124" s="35"/>
      <c r="D124" s="35"/>
      <c r="E124" s="35"/>
      <c r="F124" s="35"/>
      <c r="G124" s="35"/>
      <c r="H124" s="35"/>
      <c r="I124" s="35"/>
      <c r="J124" s="35"/>
      <c r="K124" s="35"/>
      <c r="L124" s="35"/>
      <c r="M124" s="35"/>
      <c r="N124" s="35"/>
      <c r="O124" s="35"/>
      <c r="P124" s="35"/>
      <c r="Q124" s="35"/>
      <c r="R124" s="35"/>
    </row>
    <row r="125" ht="15.75" customHeight="1">
      <c r="A125" s="35" t="s">
        <v>2500</v>
      </c>
      <c r="B125" s="35"/>
      <c r="C125" s="35"/>
      <c r="D125" s="35"/>
      <c r="E125" s="35"/>
      <c r="F125" s="35"/>
      <c r="G125" s="35"/>
      <c r="H125" s="35"/>
      <c r="I125" s="35"/>
      <c r="J125" s="35"/>
      <c r="K125" s="35"/>
      <c r="L125" s="35"/>
      <c r="M125" s="35"/>
      <c r="N125" s="35"/>
      <c r="O125" s="35"/>
      <c r="P125" s="35"/>
      <c r="Q125" s="35"/>
      <c r="R125" s="35"/>
    </row>
    <row r="126" ht="15.75" customHeight="1">
      <c r="A126" s="35" t="s">
        <v>2494</v>
      </c>
      <c r="B126" s="35"/>
      <c r="C126" s="35"/>
      <c r="D126" s="35"/>
      <c r="E126" s="35"/>
      <c r="F126" s="35"/>
      <c r="G126" s="35"/>
      <c r="H126" s="35"/>
      <c r="I126" s="35"/>
      <c r="J126" s="35"/>
      <c r="K126" s="35"/>
      <c r="L126" s="35"/>
      <c r="M126" s="35"/>
      <c r="N126" s="35"/>
      <c r="O126" s="35"/>
      <c r="P126" s="35"/>
      <c r="Q126" s="35"/>
      <c r="R126" s="35"/>
    </row>
    <row r="127" ht="15.75" customHeight="1">
      <c r="A127" s="35" t="s">
        <v>2539</v>
      </c>
      <c r="B127" s="35"/>
      <c r="C127" s="35"/>
      <c r="D127" s="35"/>
      <c r="E127" s="35"/>
      <c r="F127" s="35"/>
      <c r="G127" s="35"/>
      <c r="H127" s="35"/>
      <c r="I127" s="35"/>
      <c r="J127" s="35"/>
      <c r="K127" s="35"/>
      <c r="L127" s="35"/>
      <c r="M127" s="35"/>
      <c r="N127" s="35"/>
      <c r="O127" s="35"/>
      <c r="P127" s="35"/>
      <c r="Q127" s="35"/>
      <c r="R127" s="35"/>
    </row>
    <row r="128" ht="15.75" customHeight="1">
      <c r="A128" s="35" t="s">
        <v>2608</v>
      </c>
      <c r="B128" s="35"/>
      <c r="C128" s="35"/>
      <c r="D128" s="35"/>
      <c r="E128" s="35"/>
      <c r="F128" s="35"/>
      <c r="G128" s="35"/>
      <c r="H128" s="35"/>
      <c r="I128" s="35"/>
      <c r="J128" s="35"/>
      <c r="K128" s="35"/>
      <c r="L128" s="35"/>
      <c r="M128" s="35"/>
      <c r="N128" s="35"/>
      <c r="O128" s="35"/>
      <c r="P128" s="35"/>
      <c r="Q128" s="35"/>
      <c r="R128" s="35"/>
    </row>
    <row r="129" ht="15.75" customHeight="1">
      <c r="A129" s="35" t="s">
        <v>2504</v>
      </c>
      <c r="B129" s="35"/>
      <c r="C129" s="35"/>
      <c r="D129" s="35"/>
      <c r="E129" s="35"/>
      <c r="F129" s="35"/>
      <c r="G129" s="35"/>
      <c r="H129" s="35"/>
      <c r="I129" s="35"/>
      <c r="J129" s="35"/>
      <c r="K129" s="35"/>
      <c r="L129" s="35"/>
      <c r="M129" s="35"/>
      <c r="N129" s="35"/>
      <c r="O129" s="35"/>
      <c r="P129" s="35"/>
      <c r="Q129" s="35"/>
      <c r="R129" s="35"/>
    </row>
    <row r="130" ht="15.75" customHeight="1">
      <c r="A130" s="35" t="s">
        <v>2522</v>
      </c>
      <c r="B130" s="35"/>
      <c r="C130" s="35"/>
      <c r="D130" s="35"/>
      <c r="E130" s="35"/>
      <c r="F130" s="35"/>
      <c r="G130" s="35"/>
      <c r="H130" s="35"/>
      <c r="I130" s="35"/>
      <c r="J130" s="35"/>
      <c r="K130" s="35"/>
      <c r="L130" s="35"/>
      <c r="M130" s="35"/>
      <c r="N130" s="35"/>
      <c r="O130" s="35"/>
      <c r="P130" s="35"/>
      <c r="Q130" s="35"/>
      <c r="R130" s="35"/>
    </row>
    <row r="131" ht="15.75" customHeight="1">
      <c r="A131" s="35" t="s">
        <v>2532</v>
      </c>
      <c r="B131" s="35"/>
      <c r="C131" s="35"/>
      <c r="D131" s="35"/>
      <c r="E131" s="35"/>
      <c r="F131" s="35"/>
      <c r="G131" s="35"/>
      <c r="H131" s="35"/>
      <c r="I131" s="35"/>
      <c r="J131" s="35"/>
      <c r="K131" s="35"/>
      <c r="L131" s="35"/>
      <c r="M131" s="35"/>
      <c r="N131" s="35"/>
      <c r="O131" s="35"/>
      <c r="P131" s="35"/>
      <c r="Q131" s="35"/>
      <c r="R131" s="35"/>
    </row>
    <row r="132" ht="15.75" customHeight="1">
      <c r="A132" s="35" t="s">
        <v>2595</v>
      </c>
      <c r="B132" s="35"/>
      <c r="C132" s="35"/>
      <c r="D132" s="35"/>
      <c r="E132" s="35"/>
      <c r="F132" s="35"/>
      <c r="G132" s="35"/>
      <c r="H132" s="35"/>
      <c r="I132" s="35"/>
      <c r="J132" s="35"/>
      <c r="K132" s="35"/>
      <c r="L132" s="35"/>
      <c r="M132" s="35"/>
      <c r="N132" s="35"/>
      <c r="O132" s="35"/>
      <c r="P132" s="35"/>
      <c r="Q132" s="35"/>
      <c r="R132" s="35"/>
    </row>
    <row r="133" ht="15.75" customHeight="1">
      <c r="A133" s="35" t="s">
        <v>3047</v>
      </c>
      <c r="B133" s="35"/>
      <c r="C133" s="35"/>
      <c r="D133" s="35"/>
      <c r="E133" s="35"/>
      <c r="F133" s="35"/>
      <c r="G133" s="35"/>
      <c r="H133" s="35"/>
      <c r="I133" s="35"/>
      <c r="J133" s="35"/>
      <c r="K133" s="35"/>
      <c r="L133" s="35"/>
      <c r="M133" s="35"/>
      <c r="N133" s="35"/>
      <c r="O133" s="35"/>
      <c r="P133" s="35"/>
      <c r="Q133" s="35"/>
      <c r="R133" s="35"/>
    </row>
    <row r="134" ht="15.75" customHeight="1">
      <c r="A134" s="35" t="s">
        <v>2477</v>
      </c>
      <c r="B134" s="35"/>
      <c r="C134" s="35"/>
      <c r="D134" s="35"/>
      <c r="E134" s="35"/>
      <c r="F134" s="35"/>
      <c r="G134" s="35"/>
      <c r="H134" s="35"/>
      <c r="I134" s="35"/>
      <c r="J134" s="35"/>
      <c r="K134" s="35"/>
      <c r="L134" s="35"/>
      <c r="M134" s="35"/>
      <c r="N134" s="35"/>
      <c r="O134" s="35"/>
      <c r="P134" s="35"/>
      <c r="Q134" s="35"/>
      <c r="R134" s="35"/>
    </row>
    <row r="135" ht="15.75" customHeight="1">
      <c r="A135" s="35" t="s">
        <v>2614</v>
      </c>
      <c r="B135" s="35"/>
      <c r="C135" s="35"/>
      <c r="D135" s="35"/>
      <c r="E135" s="35"/>
      <c r="F135" s="35"/>
      <c r="G135" s="35"/>
      <c r="H135" s="35"/>
      <c r="I135" s="35"/>
      <c r="J135" s="35"/>
      <c r="K135" s="35"/>
      <c r="L135" s="35"/>
      <c r="M135" s="35"/>
      <c r="N135" s="35"/>
      <c r="O135" s="35"/>
      <c r="P135" s="35"/>
      <c r="Q135" s="35"/>
      <c r="R135" s="35"/>
    </row>
    <row r="136" ht="15.75" customHeight="1">
      <c r="A136" s="35" t="s">
        <v>2583</v>
      </c>
      <c r="B136" s="35"/>
      <c r="C136" s="35"/>
      <c r="D136" s="35"/>
      <c r="E136" s="35"/>
      <c r="F136" s="35"/>
      <c r="G136" s="35"/>
      <c r="H136" s="35"/>
      <c r="I136" s="35"/>
      <c r="J136" s="35"/>
      <c r="K136" s="35"/>
      <c r="L136" s="35"/>
      <c r="M136" s="35"/>
      <c r="N136" s="35"/>
      <c r="O136" s="35"/>
      <c r="P136" s="35"/>
      <c r="Q136" s="35"/>
      <c r="R136" s="35"/>
    </row>
    <row r="137" ht="15.75" customHeight="1">
      <c r="A137" s="35" t="s">
        <v>2619</v>
      </c>
      <c r="B137" s="35"/>
      <c r="C137" s="35"/>
      <c r="D137" s="35"/>
      <c r="E137" s="35"/>
      <c r="F137" s="35"/>
      <c r="G137" s="35"/>
      <c r="H137" s="35"/>
      <c r="I137" s="35"/>
      <c r="J137" s="35"/>
      <c r="K137" s="35"/>
      <c r="L137" s="35"/>
      <c r="M137" s="35"/>
      <c r="N137" s="35"/>
      <c r="O137" s="35"/>
      <c r="P137" s="35"/>
      <c r="Q137" s="35"/>
      <c r="R137" s="35"/>
    </row>
    <row r="138" ht="15.75" customHeight="1">
      <c r="A138" s="35" t="s">
        <v>2509</v>
      </c>
      <c r="B138" s="35"/>
      <c r="C138" s="35"/>
      <c r="D138" s="35"/>
      <c r="E138" s="35"/>
      <c r="F138" s="35"/>
      <c r="G138" s="35"/>
      <c r="H138" s="35"/>
      <c r="I138" s="35"/>
      <c r="J138" s="35"/>
      <c r="K138" s="35"/>
      <c r="L138" s="35"/>
      <c r="M138" s="35"/>
      <c r="N138" s="35"/>
      <c r="O138" s="35"/>
      <c r="P138" s="35"/>
      <c r="Q138" s="35"/>
      <c r="R138" s="35"/>
    </row>
    <row r="139" ht="15.75" customHeight="1">
      <c r="A139" s="35" t="s">
        <v>2525</v>
      </c>
      <c r="B139" s="35"/>
      <c r="C139" s="35"/>
      <c r="D139" s="35"/>
      <c r="E139" s="35"/>
      <c r="F139" s="35"/>
      <c r="G139" s="35"/>
      <c r="H139" s="35"/>
      <c r="I139" s="35"/>
      <c r="J139" s="35"/>
      <c r="K139" s="35"/>
      <c r="L139" s="35"/>
      <c r="M139" s="35"/>
      <c r="N139" s="35"/>
      <c r="O139" s="35"/>
      <c r="P139" s="35"/>
      <c r="Q139" s="35"/>
      <c r="R139" s="35"/>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1.14"/>
    <col customWidth="1" min="3" max="3" width="11.43"/>
    <col customWidth="1" min="4" max="6" width="41.14"/>
    <col customWidth="1" min="7" max="9" width="11.43"/>
    <col customWidth="1" min="10" max="10" width="41.14"/>
    <col customWidth="1" min="11" max="26" width="9.86"/>
  </cols>
  <sheetData>
    <row r="1">
      <c r="A1" s="34" t="s">
        <v>2534</v>
      </c>
      <c r="B1" s="34" t="s">
        <v>248</v>
      </c>
      <c r="C1" s="34"/>
      <c r="D1" s="34" t="s">
        <v>2541</v>
      </c>
      <c r="E1" s="34" t="s">
        <v>2543</v>
      </c>
      <c r="F1" s="34"/>
      <c r="G1" s="34"/>
      <c r="H1" s="34"/>
      <c r="I1" s="34"/>
      <c r="J1" s="34"/>
    </row>
    <row r="2">
      <c r="A2" s="35" t="s">
        <v>205</v>
      </c>
      <c r="B2" s="35" t="s">
        <v>212</v>
      </c>
      <c r="C2" s="35"/>
      <c r="D2" s="35" t="s">
        <v>2553</v>
      </c>
      <c r="E2" s="35" t="s">
        <v>2554</v>
      </c>
      <c r="F2" s="35"/>
      <c r="G2" s="35"/>
      <c r="H2" s="35"/>
      <c r="I2" s="35"/>
      <c r="J2" s="35"/>
    </row>
    <row r="3">
      <c r="A3" s="35" t="s">
        <v>227</v>
      </c>
      <c r="B3" s="35" t="s">
        <v>232</v>
      </c>
      <c r="C3" s="35"/>
      <c r="D3" s="35" t="s">
        <v>2561</v>
      </c>
      <c r="E3" s="35" t="s">
        <v>2563</v>
      </c>
      <c r="F3" s="35"/>
      <c r="G3" s="35"/>
      <c r="H3" s="35"/>
      <c r="I3" s="35"/>
      <c r="J3" s="35"/>
    </row>
    <row r="4">
      <c r="A4" s="35" t="s">
        <v>240</v>
      </c>
      <c r="B4" s="35" t="s">
        <v>245</v>
      </c>
      <c r="C4" s="35"/>
      <c r="D4" s="35" t="s">
        <v>2569</v>
      </c>
      <c r="E4" s="35" t="s">
        <v>2570</v>
      </c>
      <c r="F4" s="35"/>
      <c r="G4" s="35"/>
      <c r="H4" s="35"/>
      <c r="I4" s="35"/>
      <c r="J4" s="35"/>
    </row>
    <row r="5">
      <c r="A5" s="35" t="s">
        <v>2572</v>
      </c>
      <c r="B5" s="35" t="s">
        <v>264</v>
      </c>
      <c r="C5" s="35"/>
      <c r="D5" s="35" t="s">
        <v>2577</v>
      </c>
      <c r="E5" s="35"/>
      <c r="F5" s="35"/>
      <c r="G5" s="35"/>
      <c r="H5" s="35"/>
      <c r="I5" s="35"/>
      <c r="J5" s="35"/>
    </row>
    <row r="6">
      <c r="A6" s="35" t="s">
        <v>268</v>
      </c>
      <c r="B6" s="35" t="s">
        <v>273</v>
      </c>
      <c r="C6" s="35"/>
      <c r="D6" s="35" t="s">
        <v>2584</v>
      </c>
      <c r="E6" s="35" t="s">
        <v>2585</v>
      </c>
      <c r="F6" s="35" t="s">
        <v>2586</v>
      </c>
      <c r="G6" s="35"/>
      <c r="H6" s="35"/>
      <c r="I6" s="35"/>
      <c r="J6" s="35"/>
    </row>
    <row r="7">
      <c r="A7" s="35" t="s">
        <v>282</v>
      </c>
      <c r="B7" s="35" t="s">
        <v>287</v>
      </c>
      <c r="C7" s="35"/>
      <c r="D7" s="35" t="s">
        <v>2590</v>
      </c>
      <c r="E7" s="35"/>
      <c r="F7" s="35"/>
      <c r="G7" s="35"/>
      <c r="H7" s="35"/>
      <c r="I7" s="35"/>
      <c r="J7" s="35"/>
    </row>
    <row r="8">
      <c r="A8" s="35" t="s">
        <v>291</v>
      </c>
      <c r="B8" s="35" t="s">
        <v>292</v>
      </c>
      <c r="C8" s="35"/>
      <c r="D8" s="35" t="s">
        <v>2590</v>
      </c>
      <c r="E8" s="35"/>
      <c r="F8" s="35"/>
      <c r="G8" s="35"/>
      <c r="H8" s="35"/>
      <c r="I8" s="35"/>
      <c r="J8" s="35"/>
    </row>
    <row r="9">
      <c r="A9" s="35" t="s">
        <v>300</v>
      </c>
      <c r="B9" s="35" t="s">
        <v>301</v>
      </c>
      <c r="C9" s="35"/>
      <c r="D9" s="35" t="s">
        <v>2598</v>
      </c>
      <c r="E9" s="35"/>
      <c r="F9" s="35"/>
      <c r="G9" s="35"/>
      <c r="H9" s="35"/>
      <c r="I9" s="35"/>
      <c r="J9" s="35"/>
    </row>
    <row r="10">
      <c r="A10" s="35" t="s">
        <v>308</v>
      </c>
      <c r="B10" s="35" t="s">
        <v>309</v>
      </c>
      <c r="C10" s="35"/>
      <c r="D10" s="35" t="s">
        <v>2603</v>
      </c>
      <c r="E10" s="35" t="s">
        <v>2605</v>
      </c>
      <c r="F10" s="35"/>
      <c r="G10" s="35"/>
      <c r="H10" s="35"/>
      <c r="I10" s="35"/>
      <c r="J10" s="35"/>
    </row>
    <row r="11">
      <c r="A11" s="35" t="s">
        <v>311</v>
      </c>
      <c r="B11" s="35" t="s">
        <v>314</v>
      </c>
      <c r="C11" s="35"/>
      <c r="D11" s="35" t="s">
        <v>2585</v>
      </c>
      <c r="E11" s="35"/>
      <c r="F11" s="35"/>
      <c r="G11" s="35"/>
      <c r="H11" s="35"/>
      <c r="I11" s="35"/>
      <c r="J11" s="35"/>
    </row>
    <row r="12">
      <c r="A12" s="35" t="s">
        <v>316</v>
      </c>
      <c r="B12" s="35" t="s">
        <v>317</v>
      </c>
      <c r="C12" s="35"/>
      <c r="D12" s="35" t="s">
        <v>888</v>
      </c>
      <c r="E12" s="35"/>
      <c r="F12" s="35"/>
      <c r="G12" s="35"/>
      <c r="H12" s="35"/>
      <c r="I12" s="35"/>
      <c r="J12" s="35" t="s">
        <v>2617</v>
      </c>
    </row>
    <row r="13">
      <c r="A13" s="35" t="s">
        <v>319</v>
      </c>
      <c r="B13" s="35" t="s">
        <v>322</v>
      </c>
      <c r="C13" s="35"/>
      <c r="D13" s="35"/>
      <c r="E13" s="35" t="s">
        <v>888</v>
      </c>
      <c r="F13" s="35"/>
      <c r="G13" s="35"/>
      <c r="H13" s="35"/>
      <c r="I13" s="35"/>
      <c r="J13" s="35"/>
    </row>
    <row r="14">
      <c r="A14" s="35" t="s">
        <v>324</v>
      </c>
      <c r="B14" s="35" t="s">
        <v>325</v>
      </c>
      <c r="C14" s="35"/>
      <c r="D14" s="35" t="s">
        <v>2625</v>
      </c>
      <c r="E14" s="35"/>
      <c r="F14" s="35"/>
      <c r="G14" s="35"/>
      <c r="H14" s="35"/>
      <c r="I14" s="35"/>
      <c r="J14" s="35"/>
    </row>
    <row r="15">
      <c r="A15" s="35" t="s">
        <v>329</v>
      </c>
      <c r="B15" s="35" t="s">
        <v>330</v>
      </c>
      <c r="C15" s="35"/>
      <c r="D15" s="35" t="s">
        <v>2631</v>
      </c>
      <c r="E15" s="35" t="s">
        <v>2632</v>
      </c>
      <c r="F15" s="35"/>
      <c r="G15" s="35"/>
      <c r="H15" s="35"/>
      <c r="I15" s="35"/>
      <c r="J15" s="35"/>
    </row>
    <row r="16">
      <c r="A16" s="35" t="s">
        <v>2634</v>
      </c>
      <c r="B16" s="35" t="s">
        <v>2637</v>
      </c>
      <c r="C16" s="35"/>
      <c r="D16" s="35" t="s">
        <v>2639</v>
      </c>
      <c r="E16" s="35" t="s">
        <v>888</v>
      </c>
      <c r="F16" s="35"/>
      <c r="G16" s="35"/>
      <c r="H16" s="35"/>
      <c r="I16" s="35"/>
      <c r="J16" s="35"/>
    </row>
    <row r="17">
      <c r="A17" s="35" t="s">
        <v>332</v>
      </c>
      <c r="B17" s="35" t="s">
        <v>335</v>
      </c>
      <c r="C17" s="35"/>
      <c r="D17" s="35" t="s">
        <v>2647</v>
      </c>
      <c r="E17" s="35"/>
      <c r="F17" s="35"/>
      <c r="G17" s="35"/>
      <c r="H17" s="35"/>
      <c r="I17" s="35"/>
      <c r="J17" s="35"/>
    </row>
    <row r="18">
      <c r="A18" s="35" t="s">
        <v>337</v>
      </c>
      <c r="B18" s="35" t="s">
        <v>340</v>
      </c>
      <c r="C18" s="35"/>
      <c r="D18" s="35" t="s">
        <v>2652</v>
      </c>
      <c r="E18" s="35"/>
      <c r="F18" s="35"/>
      <c r="G18" s="35"/>
      <c r="H18" s="35"/>
      <c r="I18" s="35"/>
      <c r="J18" s="35"/>
    </row>
    <row r="19">
      <c r="A19" s="35" t="s">
        <v>342</v>
      </c>
      <c r="B19" s="35" t="s">
        <v>273</v>
      </c>
      <c r="C19" s="35"/>
      <c r="D19" s="35" t="s">
        <v>2656</v>
      </c>
      <c r="E19" s="35" t="s">
        <v>2658</v>
      </c>
      <c r="F19" s="35"/>
      <c r="G19" s="35"/>
      <c r="H19" s="35"/>
      <c r="I19" s="35"/>
      <c r="J19" s="35"/>
    </row>
    <row r="20">
      <c r="A20" s="35" t="s">
        <v>349</v>
      </c>
      <c r="B20" s="35" t="s">
        <v>352</v>
      </c>
      <c r="C20" s="35"/>
      <c r="D20" s="35" t="s">
        <v>2663</v>
      </c>
      <c r="E20" s="35"/>
      <c r="F20" s="35"/>
      <c r="G20" s="35"/>
      <c r="H20" s="35"/>
      <c r="I20" s="35"/>
      <c r="J20" s="35"/>
    </row>
    <row r="21" ht="15.75" customHeight="1">
      <c r="A21" s="35" t="s">
        <v>357</v>
      </c>
      <c r="B21" s="35" t="s">
        <v>358</v>
      </c>
      <c r="C21" s="35"/>
      <c r="D21" s="35"/>
      <c r="E21" s="35"/>
      <c r="F21" s="35"/>
      <c r="G21" s="35"/>
      <c r="H21" s="35"/>
      <c r="I21" s="35"/>
      <c r="J21" s="35"/>
    </row>
    <row r="22" ht="15.75" customHeight="1">
      <c r="A22" s="35" t="s">
        <v>363</v>
      </c>
      <c r="B22" s="35" t="s">
        <v>364</v>
      </c>
      <c r="C22" s="35"/>
      <c r="D22" s="35" t="s">
        <v>2674</v>
      </c>
      <c r="E22" s="35" t="s">
        <v>2676</v>
      </c>
      <c r="F22" s="35" t="s">
        <v>2677</v>
      </c>
      <c r="G22" s="35"/>
      <c r="H22" s="35"/>
      <c r="I22" s="35"/>
      <c r="J22" s="35"/>
    </row>
    <row r="23" ht="15.75" customHeight="1">
      <c r="A23" s="35" t="s">
        <v>368</v>
      </c>
      <c r="B23" s="35" t="s">
        <v>369</v>
      </c>
      <c r="C23" s="35"/>
      <c r="D23" s="35" t="s">
        <v>2684</v>
      </c>
      <c r="E23" s="35" t="s">
        <v>2685</v>
      </c>
      <c r="F23" s="35"/>
      <c r="G23" s="35"/>
      <c r="H23" s="35"/>
      <c r="I23" s="35"/>
      <c r="J23" s="35"/>
    </row>
    <row r="24" ht="15.75" customHeight="1">
      <c r="A24" s="35" t="s">
        <v>373</v>
      </c>
      <c r="B24" s="35" t="s">
        <v>374</v>
      </c>
      <c r="C24" s="35"/>
      <c r="D24" s="35" t="s">
        <v>2687</v>
      </c>
      <c r="E24" s="35"/>
      <c r="F24" s="35"/>
      <c r="G24" s="35"/>
      <c r="H24" s="35"/>
      <c r="I24" s="35"/>
      <c r="J24" s="35"/>
    </row>
    <row r="25" ht="15.75" customHeight="1">
      <c r="A25" s="35" t="s">
        <v>378</v>
      </c>
      <c r="B25" s="35" t="s">
        <v>379</v>
      </c>
      <c r="C25" s="35"/>
      <c r="D25" s="35" t="s">
        <v>880</v>
      </c>
      <c r="E25" s="35" t="s">
        <v>2691</v>
      </c>
      <c r="F25" s="35"/>
      <c r="G25" s="35"/>
      <c r="H25" s="35"/>
      <c r="I25" s="35"/>
      <c r="J25" s="35"/>
    </row>
    <row r="26" ht="15.75" customHeight="1">
      <c r="A26" s="35" t="s">
        <v>381</v>
      </c>
      <c r="B26" s="35" t="s">
        <v>383</v>
      </c>
      <c r="C26" s="35"/>
      <c r="D26" s="35" t="s">
        <v>2590</v>
      </c>
      <c r="E26" s="35" t="s">
        <v>2584</v>
      </c>
      <c r="F26" s="35"/>
      <c r="G26" s="35"/>
      <c r="H26" s="35"/>
      <c r="I26" s="35"/>
      <c r="J26" s="35"/>
    </row>
    <row r="27" ht="15.75" customHeight="1">
      <c r="A27" s="35" t="s">
        <v>2698</v>
      </c>
      <c r="B27" s="35" t="s">
        <v>388</v>
      </c>
      <c r="C27" s="35"/>
      <c r="D27" s="35" t="s">
        <v>2584</v>
      </c>
      <c r="E27" s="35"/>
      <c r="F27" s="35"/>
      <c r="G27" s="35"/>
      <c r="H27" s="35"/>
      <c r="I27" s="35"/>
      <c r="J27" s="35"/>
    </row>
    <row r="28" ht="15.75" customHeight="1">
      <c r="A28" s="35" t="s">
        <v>2704</v>
      </c>
      <c r="B28" s="35"/>
      <c r="C28" s="35"/>
      <c r="D28" s="35"/>
      <c r="E28" s="35"/>
      <c r="F28" s="35"/>
      <c r="G28" s="35"/>
      <c r="H28" s="35"/>
      <c r="I28" s="35"/>
      <c r="J28" s="35"/>
    </row>
    <row r="29" ht="15.75" customHeight="1">
      <c r="A29" s="35"/>
      <c r="B29" s="35"/>
      <c r="C29" s="35"/>
      <c r="D29" s="35"/>
      <c r="E29" s="35"/>
      <c r="F29" s="35"/>
      <c r="G29" s="35"/>
      <c r="H29" s="35"/>
      <c r="I29" s="35"/>
      <c r="J29" s="35"/>
    </row>
    <row r="30" ht="15.75" customHeight="1">
      <c r="A30" s="35" t="s">
        <v>2706</v>
      </c>
      <c r="B30" s="35" t="s">
        <v>2708</v>
      </c>
      <c r="C30" s="35"/>
      <c r="D30" s="35"/>
      <c r="E30" s="35"/>
      <c r="F30" s="35"/>
      <c r="G30" s="35"/>
      <c r="H30" s="35"/>
      <c r="I30" s="35"/>
      <c r="J30" s="35"/>
    </row>
    <row r="31" ht="15.75" customHeight="1">
      <c r="A31" s="35"/>
      <c r="B31" s="35"/>
      <c r="C31" s="35"/>
      <c r="D31" s="35"/>
      <c r="E31" s="35"/>
      <c r="F31" s="35"/>
      <c r="G31" s="35"/>
      <c r="H31" s="35"/>
      <c r="I31" s="35"/>
      <c r="J31" s="35"/>
    </row>
    <row r="32" ht="15.75" customHeight="1">
      <c r="A32" s="35" t="s">
        <v>2713</v>
      </c>
      <c r="B32" s="35" t="s">
        <v>2714</v>
      </c>
      <c r="C32" s="35"/>
      <c r="D32" s="35"/>
      <c r="E32" s="35"/>
      <c r="F32" s="35"/>
      <c r="G32" s="35"/>
      <c r="H32" s="35"/>
      <c r="I32" s="35"/>
      <c r="J32" s="35"/>
    </row>
    <row r="33" ht="15.75" customHeight="1">
      <c r="A33" s="35"/>
      <c r="B33" s="35"/>
      <c r="C33" s="35"/>
      <c r="D33" s="35"/>
      <c r="E33" s="35"/>
      <c r="F33" s="35"/>
      <c r="G33" s="35"/>
      <c r="H33" s="35"/>
      <c r="I33" s="35"/>
      <c r="J33" s="35"/>
    </row>
    <row r="34" ht="15.75" customHeight="1">
      <c r="A34" s="35" t="s">
        <v>2718</v>
      </c>
      <c r="B34" s="35" t="s">
        <v>2714</v>
      </c>
      <c r="C34" s="35"/>
      <c r="D34" s="35"/>
      <c r="E34" s="35"/>
      <c r="F34" s="35"/>
      <c r="G34" s="35"/>
      <c r="H34" s="35"/>
      <c r="I34" s="35"/>
      <c r="J34" s="35"/>
    </row>
    <row r="35" ht="15.75" customHeight="1">
      <c r="A35" s="35"/>
      <c r="B35" s="35"/>
      <c r="C35" s="35"/>
      <c r="D35" s="35"/>
      <c r="E35" s="35"/>
      <c r="F35" s="35"/>
      <c r="G35" s="35"/>
      <c r="H35" s="35"/>
      <c r="I35" s="35"/>
      <c r="J35" s="35"/>
    </row>
    <row r="36" ht="15.75" customHeight="1">
      <c r="A36" s="35" t="s">
        <v>2723</v>
      </c>
      <c r="B36" s="35" t="s">
        <v>2714</v>
      </c>
      <c r="C36" s="35"/>
      <c r="D36" s="35"/>
      <c r="E36" s="35"/>
      <c r="F36" s="35"/>
      <c r="G36" s="35"/>
      <c r="H36" s="35"/>
      <c r="I36" s="35"/>
      <c r="J36" s="35"/>
    </row>
    <row r="37" ht="15.75" customHeight="1">
      <c r="A37" s="35"/>
      <c r="B37" s="35"/>
      <c r="C37" s="35"/>
      <c r="D37" s="35"/>
      <c r="E37" s="35"/>
      <c r="F37" s="35"/>
      <c r="G37" s="35"/>
      <c r="H37" s="35"/>
      <c r="I37" s="35"/>
      <c r="J37" s="35"/>
    </row>
    <row r="38" ht="15.75" customHeight="1">
      <c r="A38" s="35"/>
      <c r="B38" s="35"/>
      <c r="C38" s="35"/>
      <c r="D38" s="35"/>
      <c r="E38" s="35"/>
      <c r="F38" s="35"/>
      <c r="G38" s="35"/>
      <c r="H38" s="35"/>
      <c r="I38" s="35"/>
      <c r="J38" s="35"/>
    </row>
    <row r="39" ht="15.75" customHeight="1">
      <c r="A39" s="35"/>
      <c r="B39" s="35"/>
      <c r="C39" s="35"/>
      <c r="D39" s="35"/>
      <c r="E39" s="35"/>
      <c r="F39" s="35"/>
      <c r="G39" s="35"/>
      <c r="H39" s="35"/>
      <c r="I39" s="35"/>
      <c r="J39" s="35"/>
    </row>
    <row r="40" ht="15.75" customHeight="1">
      <c r="A40" s="35"/>
      <c r="B40" s="35"/>
      <c r="C40" s="35"/>
      <c r="D40" s="35"/>
      <c r="E40" s="35"/>
      <c r="F40" s="35"/>
      <c r="G40" s="35"/>
      <c r="H40" s="35"/>
      <c r="I40" s="35"/>
      <c r="J40" s="35"/>
    </row>
    <row r="41" ht="15.75" customHeight="1">
      <c r="A41" s="35"/>
      <c r="B41" s="35"/>
      <c r="C41" s="35"/>
      <c r="D41" s="35"/>
      <c r="E41" s="35"/>
      <c r="F41" s="35"/>
      <c r="G41" s="35"/>
      <c r="H41" s="35"/>
      <c r="I41" s="35"/>
      <c r="J41" s="35"/>
    </row>
    <row r="42" ht="15.75" customHeight="1">
      <c r="A42" s="35" t="s">
        <v>394</v>
      </c>
      <c r="B42" s="35" t="s">
        <v>395</v>
      </c>
      <c r="C42" s="35"/>
      <c r="D42" s="35"/>
      <c r="E42" s="35"/>
      <c r="F42" s="35"/>
      <c r="G42" s="35"/>
      <c r="H42" s="35"/>
      <c r="I42" s="35"/>
      <c r="J42" s="35"/>
    </row>
    <row r="43" ht="15.75" customHeight="1">
      <c r="A43" s="35"/>
      <c r="B43" s="35"/>
      <c r="C43" s="35"/>
      <c r="D43" s="35"/>
      <c r="E43" s="35"/>
      <c r="F43" s="35"/>
      <c r="G43" s="35"/>
      <c r="H43" s="35"/>
      <c r="I43" s="35"/>
      <c r="J43" s="35"/>
    </row>
    <row r="44" ht="15.75" customHeight="1">
      <c r="A44" s="35" t="s">
        <v>2743</v>
      </c>
      <c r="B44" s="35" t="s">
        <v>2708</v>
      </c>
      <c r="C44" s="35"/>
      <c r="D44" s="35"/>
      <c r="E44" s="35"/>
      <c r="F44" s="35"/>
      <c r="G44" s="35"/>
      <c r="H44" s="35"/>
      <c r="I44" s="35"/>
      <c r="J44" s="35"/>
    </row>
    <row r="45" ht="15.75" customHeight="1">
      <c r="A45" s="35" t="s">
        <v>2747</v>
      </c>
      <c r="B45" s="35" t="s">
        <v>2714</v>
      </c>
      <c r="C45" s="35"/>
      <c r="D45" s="35"/>
      <c r="E45" s="35"/>
      <c r="F45" s="35"/>
      <c r="G45" s="35"/>
      <c r="H45" s="35"/>
      <c r="I45" s="35"/>
      <c r="J45" s="35"/>
    </row>
    <row r="46" ht="15.75" customHeight="1">
      <c r="A46" s="35" t="s">
        <v>2750</v>
      </c>
      <c r="B46" s="35" t="s">
        <v>2714</v>
      </c>
      <c r="C46" s="35"/>
      <c r="D46" s="35"/>
      <c r="E46" s="35"/>
      <c r="F46" s="35"/>
      <c r="G46" s="35"/>
      <c r="H46" s="35"/>
      <c r="I46" s="35"/>
      <c r="J46" s="35"/>
    </row>
    <row r="47" ht="15.75" customHeight="1">
      <c r="A47" s="35" t="s">
        <v>2753</v>
      </c>
      <c r="B47" s="35" t="s">
        <v>2714</v>
      </c>
      <c r="C47" s="35"/>
      <c r="D47" s="35"/>
      <c r="E47" s="35"/>
      <c r="F47" s="35"/>
      <c r="G47" s="35"/>
      <c r="H47" s="35"/>
      <c r="I47" s="35"/>
      <c r="J47" s="35"/>
    </row>
    <row r="48" ht="15.75" customHeight="1">
      <c r="A48" s="35"/>
      <c r="B48" s="35"/>
      <c r="C48" s="35"/>
      <c r="D48" s="35"/>
      <c r="E48" s="35"/>
      <c r="F48" s="35"/>
      <c r="G48" s="35"/>
      <c r="H48" s="35"/>
      <c r="I48" s="35"/>
      <c r="J48" s="35"/>
    </row>
    <row r="49" ht="15.75" customHeight="1">
      <c r="A49" s="35" t="s">
        <v>2760</v>
      </c>
      <c r="B49" s="35" t="s">
        <v>2761</v>
      </c>
      <c r="C49" s="35"/>
      <c r="D49" s="35"/>
      <c r="E49" s="35"/>
      <c r="F49" s="35"/>
      <c r="G49" s="35"/>
      <c r="H49" s="35"/>
      <c r="I49" s="35"/>
      <c r="J49" s="35"/>
    </row>
    <row r="50" ht="15.75" customHeight="1">
      <c r="A50" s="35"/>
      <c r="B50" s="35"/>
      <c r="C50" s="35"/>
      <c r="D50" s="35"/>
      <c r="E50" s="35"/>
      <c r="F50" s="35"/>
      <c r="G50" s="35"/>
      <c r="H50" s="35"/>
      <c r="I50" s="35"/>
      <c r="J50" s="35"/>
    </row>
    <row r="51" ht="15.75" customHeight="1">
      <c r="A51" s="35"/>
      <c r="B51" s="35"/>
      <c r="C51" s="35"/>
      <c r="D51" s="35"/>
      <c r="E51" s="35"/>
      <c r="F51" s="35"/>
      <c r="G51" s="35"/>
      <c r="H51" s="35"/>
      <c r="I51" s="35"/>
      <c r="J51" s="35"/>
    </row>
    <row r="52" ht="15.75" customHeight="1">
      <c r="A52" s="35"/>
      <c r="B52" s="35"/>
      <c r="C52" s="35"/>
      <c r="D52" s="35"/>
      <c r="E52" s="35"/>
      <c r="F52" s="35"/>
      <c r="G52" s="35"/>
      <c r="H52" s="35"/>
      <c r="I52" s="35"/>
      <c r="J52" s="35"/>
    </row>
    <row r="53" ht="15.75" customHeight="1">
      <c r="A53" s="35"/>
      <c r="B53" s="35"/>
      <c r="C53" s="35"/>
      <c r="D53" s="35"/>
      <c r="E53" s="35"/>
      <c r="F53" s="35"/>
      <c r="G53" s="35"/>
      <c r="H53" s="35"/>
      <c r="I53" s="35"/>
      <c r="J53" s="35"/>
    </row>
    <row r="54" ht="15.75" customHeight="1">
      <c r="A54" s="35"/>
      <c r="B54" s="35"/>
      <c r="C54" s="35"/>
      <c r="D54" s="35"/>
      <c r="E54" s="35"/>
      <c r="F54" s="35"/>
      <c r="G54" s="35"/>
      <c r="H54" s="35"/>
      <c r="I54" s="35"/>
      <c r="J54" s="35"/>
    </row>
    <row r="55" ht="15.75" customHeight="1">
      <c r="A55" s="35"/>
      <c r="B55" s="35"/>
      <c r="C55" s="35"/>
      <c r="D55" s="35"/>
      <c r="E55" s="35"/>
      <c r="F55" s="35"/>
      <c r="G55" s="35"/>
      <c r="H55" s="35"/>
      <c r="I55" s="35"/>
      <c r="J55" s="35"/>
    </row>
    <row r="56" ht="15.75" customHeight="1">
      <c r="A56" s="35" t="s">
        <v>900</v>
      </c>
      <c r="B56" s="35"/>
      <c r="C56" s="35"/>
      <c r="D56" s="35"/>
      <c r="E56" s="35"/>
      <c r="F56" s="35"/>
      <c r="G56" s="35"/>
      <c r="H56" s="35"/>
      <c r="I56" s="35"/>
      <c r="J56" s="35"/>
    </row>
    <row r="57" ht="15.75" customHeight="1">
      <c r="A57" s="35" t="s">
        <v>886</v>
      </c>
      <c r="B57" s="35"/>
      <c r="C57" s="35" t="s">
        <v>2780</v>
      </c>
      <c r="D57" s="35"/>
      <c r="E57" s="35"/>
      <c r="F57" s="35"/>
      <c r="G57" s="35"/>
      <c r="H57" s="35"/>
      <c r="I57" s="35"/>
      <c r="J57" s="35"/>
    </row>
    <row r="58" ht="15.75" customHeight="1">
      <c r="A58" s="35" t="s">
        <v>892</v>
      </c>
      <c r="B58" s="35"/>
      <c r="C58" s="35"/>
      <c r="D58" s="35"/>
      <c r="E58" s="35"/>
      <c r="F58" s="35"/>
      <c r="G58" s="35"/>
      <c r="H58" s="35"/>
      <c r="I58" s="35"/>
      <c r="J58" s="35"/>
    </row>
    <row r="59" ht="15.75" customHeight="1">
      <c r="A59" s="35"/>
      <c r="B59" s="35"/>
      <c r="C59" s="35"/>
      <c r="D59" s="35"/>
      <c r="E59" s="35"/>
      <c r="F59" s="35"/>
      <c r="G59" s="35"/>
      <c r="H59" s="35"/>
      <c r="I59" s="35"/>
      <c r="J59" s="35"/>
    </row>
    <row r="60" ht="15.75" customHeight="1">
      <c r="A60" s="35" t="s">
        <v>880</v>
      </c>
      <c r="B60" s="35" t="s">
        <v>2785</v>
      </c>
      <c r="C60" s="35"/>
      <c r="D60" s="35"/>
      <c r="E60" s="35"/>
      <c r="F60" s="35"/>
      <c r="G60" s="35"/>
      <c r="H60" s="35"/>
      <c r="I60" s="35"/>
      <c r="J60" s="35"/>
    </row>
    <row r="61" ht="15.75" customHeight="1">
      <c r="A61" s="35" t="s">
        <v>2590</v>
      </c>
      <c r="B61" s="35"/>
      <c r="C61" s="35"/>
      <c r="D61" s="35"/>
      <c r="E61" s="35"/>
      <c r="F61" s="35"/>
      <c r="G61" s="35"/>
      <c r="H61" s="35"/>
      <c r="I61" s="35"/>
      <c r="J61" s="35"/>
    </row>
    <row r="62" ht="15.75" customHeight="1">
      <c r="A62" s="35" t="s">
        <v>898</v>
      </c>
      <c r="B62" s="35"/>
      <c r="C62" s="35"/>
      <c r="D62" s="35"/>
      <c r="E62" s="35"/>
      <c r="F62" s="35" t="s">
        <v>2792</v>
      </c>
      <c r="G62" s="35"/>
      <c r="H62" s="35"/>
      <c r="I62" s="35"/>
      <c r="J62" s="35"/>
    </row>
    <row r="63" ht="15.75" customHeight="1">
      <c r="A63" s="35" t="s">
        <v>896</v>
      </c>
      <c r="B63" s="35"/>
      <c r="C63" s="35"/>
      <c r="D63" s="35"/>
      <c r="E63" s="35"/>
      <c r="F63" s="35" t="s">
        <v>2797</v>
      </c>
      <c r="G63" s="35"/>
      <c r="H63" s="35"/>
      <c r="I63" s="35"/>
      <c r="J63" s="35"/>
    </row>
    <row r="64" ht="15.75" customHeight="1">
      <c r="A64" s="35" t="s">
        <v>888</v>
      </c>
      <c r="B64" s="35"/>
      <c r="C64" s="35"/>
      <c r="D64" s="35"/>
      <c r="E64" s="35"/>
      <c r="F64" s="35"/>
      <c r="G64" s="35"/>
      <c r="H64" s="35"/>
      <c r="I64" s="35"/>
      <c r="J64" s="35"/>
    </row>
    <row r="65" ht="15.75" customHeight="1">
      <c r="A65" s="35"/>
      <c r="B65" s="35"/>
      <c r="C65" s="35"/>
      <c r="D65" s="35"/>
      <c r="E65" s="35"/>
      <c r="F65" s="35" t="s">
        <v>2802</v>
      </c>
      <c r="G65" s="35"/>
      <c r="H65" s="35"/>
      <c r="I65" s="35"/>
      <c r="J65" s="35"/>
    </row>
    <row r="66" ht="15.75" customHeight="1">
      <c r="A66" s="35"/>
      <c r="B66" s="35"/>
      <c r="C66" s="35"/>
      <c r="D66" s="35"/>
      <c r="E66" s="35"/>
      <c r="F66" s="35" t="s">
        <v>2807</v>
      </c>
      <c r="G66" s="35"/>
      <c r="H66" s="35"/>
      <c r="I66" s="35"/>
      <c r="J66" s="35"/>
    </row>
    <row r="67" ht="15.75" customHeight="1">
      <c r="A67" s="35" t="s">
        <v>2809</v>
      </c>
      <c r="B67" s="35" t="s">
        <v>2811</v>
      </c>
      <c r="C67" s="35"/>
      <c r="D67" s="35"/>
      <c r="E67" s="35"/>
      <c r="F67" s="35" t="s">
        <v>2812</v>
      </c>
      <c r="G67" s="35"/>
      <c r="H67" s="35"/>
      <c r="I67" s="35"/>
      <c r="J67" s="35"/>
    </row>
    <row r="68" ht="15.75" customHeight="1">
      <c r="A68" s="35"/>
      <c r="B68" s="35"/>
      <c r="C68" s="35"/>
      <c r="D68" s="35"/>
      <c r="E68" s="35"/>
      <c r="F68" s="35" t="s">
        <v>2815</v>
      </c>
      <c r="G68" s="35"/>
      <c r="H68" s="35"/>
      <c r="I68" s="35"/>
      <c r="J68" s="35"/>
    </row>
    <row r="69" ht="15.75" customHeight="1">
      <c r="A69" s="35" t="s">
        <v>2818</v>
      </c>
      <c r="B69" s="35"/>
      <c r="C69" s="35"/>
      <c r="D69" s="35"/>
      <c r="E69" s="35"/>
      <c r="F69" s="35" t="s">
        <v>2821</v>
      </c>
      <c r="G69" s="35"/>
      <c r="H69" s="35"/>
      <c r="I69" s="35"/>
      <c r="J69" s="35"/>
    </row>
    <row r="70" ht="15.75" customHeight="1">
      <c r="A70" s="35" t="s">
        <v>2825</v>
      </c>
      <c r="B70" s="35"/>
      <c r="C70" s="35"/>
      <c r="D70" s="35"/>
      <c r="E70" s="35"/>
      <c r="F70" s="35" t="s">
        <v>2827</v>
      </c>
      <c r="G70" s="35"/>
      <c r="H70" s="35"/>
      <c r="I70" s="35"/>
      <c r="J70" s="35"/>
    </row>
    <row r="71" ht="15.75" customHeight="1">
      <c r="A71" s="35"/>
      <c r="B71" s="35"/>
      <c r="C71" s="35"/>
      <c r="D71" s="35"/>
      <c r="E71" s="35"/>
      <c r="F71" s="35" t="s">
        <v>2831</v>
      </c>
      <c r="G71" s="35"/>
      <c r="H71" s="35"/>
      <c r="I71" s="35"/>
      <c r="J71" s="35"/>
    </row>
    <row r="72" ht="15.75" customHeight="1">
      <c r="A72" s="35"/>
      <c r="B72" s="35"/>
      <c r="C72" s="35"/>
      <c r="D72" s="35"/>
      <c r="E72" s="35"/>
      <c r="F72" s="35" t="s">
        <v>2834</v>
      </c>
      <c r="G72" s="35"/>
      <c r="H72" s="35"/>
      <c r="I72" s="35"/>
      <c r="J72" s="35"/>
    </row>
    <row r="73" ht="15.75" customHeight="1">
      <c r="A73" s="35"/>
      <c r="B73" s="35"/>
      <c r="C73" s="35"/>
      <c r="D73" s="35"/>
      <c r="E73" s="35"/>
      <c r="F73" s="35" t="s">
        <v>2837</v>
      </c>
      <c r="G73" s="35"/>
      <c r="H73" s="35"/>
      <c r="I73" s="35"/>
      <c r="J73" s="35"/>
    </row>
    <row r="74" ht="15.75" customHeight="1">
      <c r="A74" s="35"/>
      <c r="B74" s="35"/>
      <c r="C74" s="35"/>
      <c r="D74" s="35"/>
      <c r="E74" s="35"/>
      <c r="F74" s="35" t="s">
        <v>2841</v>
      </c>
      <c r="G74" s="35"/>
      <c r="H74" s="35"/>
      <c r="I74" s="35"/>
      <c r="J74" s="35"/>
    </row>
    <row r="75" ht="15.75" customHeight="1">
      <c r="A75" s="35"/>
      <c r="B75" s="35"/>
      <c r="C75" s="35"/>
      <c r="D75" s="35"/>
      <c r="E75" s="35"/>
      <c r="F75" s="35" t="s">
        <v>2846</v>
      </c>
      <c r="G75" s="35"/>
      <c r="H75" s="35"/>
      <c r="I75" s="35"/>
      <c r="J75" s="35"/>
    </row>
    <row r="76" ht="15.75" customHeight="1">
      <c r="A76" s="35"/>
      <c r="B76" s="35"/>
      <c r="C76" s="35"/>
      <c r="D76" s="35"/>
      <c r="E76" s="35"/>
      <c r="F76" s="35" t="s">
        <v>2849</v>
      </c>
      <c r="G76" s="35"/>
      <c r="H76" s="35"/>
      <c r="I76" s="35"/>
      <c r="J76" s="35"/>
    </row>
    <row r="77" ht="15.75" customHeight="1">
      <c r="A77" s="35"/>
      <c r="B77" s="35"/>
      <c r="C77" s="35"/>
      <c r="D77" s="35"/>
      <c r="E77" s="35"/>
      <c r="F77" s="35" t="s">
        <v>2771</v>
      </c>
      <c r="G77" s="35"/>
      <c r="H77" s="35"/>
      <c r="I77" s="35"/>
      <c r="J77" s="35"/>
    </row>
    <row r="78" ht="15.75" customHeight="1">
      <c r="A78" s="35"/>
      <c r="B78" s="35"/>
      <c r="C78" s="35"/>
      <c r="D78" s="35"/>
      <c r="E78" s="35"/>
      <c r="F78" s="35" t="s">
        <v>2856</v>
      </c>
      <c r="G78" s="35"/>
      <c r="H78" s="35"/>
      <c r="I78" s="35"/>
      <c r="J78" s="35"/>
    </row>
    <row r="79" ht="15.75" customHeight="1">
      <c r="A79" s="35"/>
      <c r="B79" s="35"/>
      <c r="C79" s="35"/>
      <c r="D79" s="35"/>
      <c r="E79" s="35"/>
      <c r="F79" s="35" t="s">
        <v>2860</v>
      </c>
      <c r="G79" s="35"/>
      <c r="H79" s="35"/>
      <c r="I79" s="35"/>
      <c r="J79" s="35"/>
    </row>
    <row r="80" ht="15.75" customHeight="1">
      <c r="A80" s="35"/>
      <c r="B80" s="35"/>
      <c r="C80" s="35"/>
      <c r="D80" s="35"/>
      <c r="E80" s="35"/>
      <c r="F80" s="35" t="s">
        <v>2864</v>
      </c>
      <c r="G80" s="35"/>
      <c r="H80" s="35"/>
      <c r="I80" s="35"/>
      <c r="J80" s="35"/>
    </row>
    <row r="81" ht="15.75" customHeight="1">
      <c r="A81" s="35"/>
      <c r="B81" s="35"/>
      <c r="C81" s="35"/>
      <c r="D81" s="35"/>
      <c r="E81" s="35"/>
      <c r="F81" s="35" t="s">
        <v>2821</v>
      </c>
      <c r="G81" s="35"/>
      <c r="H81" s="35"/>
      <c r="I81" s="35"/>
      <c r="J81" s="35"/>
    </row>
    <row r="82" ht="15.75" customHeight="1">
      <c r="A82" s="35"/>
      <c r="B82" s="35"/>
      <c r="C82" s="35"/>
      <c r="D82" s="35"/>
      <c r="E82" s="35"/>
      <c r="F82" s="35" t="s">
        <v>2869</v>
      </c>
      <c r="G82" s="35"/>
      <c r="H82" s="35"/>
      <c r="I82" s="35"/>
      <c r="J82" s="35"/>
    </row>
    <row r="83" ht="15.75" customHeight="1">
      <c r="A83" s="35"/>
      <c r="B83" s="35"/>
      <c r="C83" s="35"/>
      <c r="D83" s="35"/>
      <c r="E83" s="35"/>
      <c r="F83" s="35" t="s">
        <v>2874</v>
      </c>
      <c r="G83" s="35"/>
      <c r="H83" s="35"/>
      <c r="I83" s="35"/>
      <c r="J83" s="35"/>
    </row>
    <row r="84" ht="15.75" customHeight="1">
      <c r="A84" s="35"/>
      <c r="B84" s="35"/>
      <c r="C84" s="35"/>
      <c r="D84" s="35"/>
      <c r="E84" s="35"/>
      <c r="F84" s="35" t="s">
        <v>2877</v>
      </c>
      <c r="G84" s="35"/>
      <c r="H84" s="35"/>
      <c r="I84" s="35"/>
      <c r="J84" s="35"/>
    </row>
    <row r="85" ht="15.75" customHeight="1">
      <c r="A85" s="35"/>
      <c r="B85" s="35"/>
      <c r="C85" s="35"/>
      <c r="D85" s="35"/>
      <c r="E85" s="35"/>
      <c r="F85" s="35" t="s">
        <v>2827</v>
      </c>
      <c r="G85" s="35"/>
      <c r="H85" s="35"/>
      <c r="I85" s="35"/>
      <c r="J85" s="35"/>
    </row>
    <row r="86" ht="15.75" customHeight="1">
      <c r="A86" s="35"/>
      <c r="B86" s="35"/>
      <c r="C86" s="35"/>
      <c r="D86" s="35"/>
      <c r="E86" s="35"/>
      <c r="F86" s="35" t="s">
        <v>2881</v>
      </c>
      <c r="G86" s="35"/>
      <c r="H86" s="35"/>
      <c r="I86" s="35"/>
      <c r="J86" s="35"/>
    </row>
    <row r="87" ht="15.75" customHeight="1">
      <c r="A87" s="35"/>
      <c r="B87" s="35"/>
      <c r="C87" s="35"/>
      <c r="D87" s="35"/>
      <c r="E87" s="35"/>
      <c r="F87" s="35" t="s">
        <v>2886</v>
      </c>
      <c r="G87" s="35"/>
      <c r="H87" s="35"/>
      <c r="I87" s="35"/>
      <c r="J87" s="35"/>
    </row>
    <row r="88" ht="15.75" customHeight="1">
      <c r="A88" s="35"/>
      <c r="B88" s="35"/>
      <c r="C88" s="35"/>
      <c r="D88" s="35"/>
      <c r="E88" s="35"/>
      <c r="F88" s="35" t="s">
        <v>2889</v>
      </c>
      <c r="G88" s="35"/>
      <c r="H88" s="35"/>
      <c r="I88" s="35"/>
      <c r="J88" s="35"/>
    </row>
    <row r="89" ht="15.75" customHeight="1">
      <c r="A89" s="35"/>
      <c r="B89" s="35"/>
      <c r="C89" s="35"/>
      <c r="D89" s="35"/>
      <c r="E89" s="35"/>
      <c r="F89" s="35" t="s">
        <v>2797</v>
      </c>
      <c r="G89" s="35"/>
      <c r="H89" s="35"/>
      <c r="I89" s="35"/>
      <c r="J89" s="35"/>
    </row>
    <row r="90" ht="15.75" customHeight="1">
      <c r="A90" s="35"/>
      <c r="B90" s="35"/>
      <c r="C90" s="35"/>
      <c r="D90" s="35"/>
      <c r="E90" s="35"/>
      <c r="F90" s="35" t="s">
        <v>2894</v>
      </c>
      <c r="G90" s="35"/>
      <c r="H90" s="35"/>
      <c r="I90" s="35"/>
      <c r="J90" s="35"/>
    </row>
    <row r="91" ht="15.75" customHeight="1">
      <c r="A91" s="35"/>
      <c r="B91" s="35"/>
      <c r="C91" s="35"/>
      <c r="D91" s="35"/>
      <c r="E91" s="35"/>
      <c r="F91" s="35" t="s">
        <v>2899</v>
      </c>
      <c r="G91" s="35"/>
      <c r="H91" s="35"/>
      <c r="I91" s="35"/>
      <c r="J91" s="35"/>
    </row>
    <row r="92" ht="15.75" customHeight="1">
      <c r="A92" s="35"/>
      <c r="B92" s="35"/>
      <c r="C92" s="35"/>
      <c r="D92" s="35"/>
      <c r="E92" s="35"/>
      <c r="F92" s="35" t="s">
        <v>2901</v>
      </c>
      <c r="G92" s="35"/>
      <c r="H92" s="35"/>
      <c r="I92" s="35"/>
      <c r="J92" s="35"/>
    </row>
    <row r="93" ht="15.75" customHeight="1">
      <c r="A93" s="35"/>
      <c r="B93" s="35"/>
      <c r="C93" s="35"/>
      <c r="D93" s="35"/>
      <c r="E93" s="35"/>
      <c r="F93" s="35" t="s">
        <v>2906</v>
      </c>
      <c r="G93" s="35"/>
      <c r="H93" s="35"/>
      <c r="I93" s="35"/>
      <c r="J93" s="35"/>
    </row>
    <row r="94" ht="15.75" customHeight="1">
      <c r="A94" s="35"/>
      <c r="B94" s="35"/>
      <c r="C94" s="35"/>
      <c r="D94" s="35"/>
      <c r="E94" s="35"/>
      <c r="F94" s="35" t="s">
        <v>2909</v>
      </c>
      <c r="G94" s="35"/>
      <c r="H94" s="35"/>
      <c r="I94" s="35"/>
      <c r="J94" s="35"/>
    </row>
    <row r="95" ht="15.75" customHeight="1">
      <c r="A95" s="35"/>
      <c r="B95" s="35"/>
      <c r="C95" s="35"/>
      <c r="D95" s="35"/>
      <c r="E95" s="35"/>
      <c r="F95" s="35" t="s">
        <v>2911</v>
      </c>
      <c r="G95" s="35"/>
      <c r="H95" s="35"/>
      <c r="I95" s="35"/>
      <c r="J95" s="35"/>
    </row>
    <row r="96" ht="15.75" customHeight="1">
      <c r="A96" s="35"/>
      <c r="B96" s="35"/>
      <c r="C96" s="35"/>
      <c r="D96" s="35"/>
      <c r="E96" s="35"/>
      <c r="F96" s="35" t="s">
        <v>2914</v>
      </c>
      <c r="G96" s="35"/>
      <c r="H96" s="35"/>
      <c r="I96" s="35"/>
      <c r="J96" s="35"/>
    </row>
    <row r="97" ht="15.75" customHeight="1">
      <c r="A97" s="35"/>
      <c r="B97" s="35"/>
      <c r="C97" s="35"/>
      <c r="D97" s="35"/>
      <c r="E97" s="35"/>
      <c r="F97" s="35" t="s">
        <v>2918</v>
      </c>
      <c r="G97" s="35"/>
      <c r="H97" s="35"/>
      <c r="I97" s="35"/>
      <c r="J97" s="35"/>
    </row>
    <row r="98" ht="15.75" customHeight="1">
      <c r="A98" s="35"/>
      <c r="B98" s="35"/>
      <c r="C98" s="35"/>
      <c r="D98" s="35"/>
      <c r="E98" s="35"/>
      <c r="F98" s="35" t="s">
        <v>2921</v>
      </c>
      <c r="G98" s="35"/>
      <c r="H98" s="35"/>
      <c r="I98" s="35"/>
      <c r="J98" s="35"/>
    </row>
    <row r="99" ht="15.75" customHeight="1">
      <c r="A99" s="35"/>
      <c r="B99" s="35"/>
      <c r="C99" s="35"/>
      <c r="D99" s="35"/>
      <c r="E99" s="35"/>
      <c r="F99" s="35" t="s">
        <v>2928</v>
      </c>
      <c r="G99" s="35"/>
      <c r="H99" s="35"/>
      <c r="I99" s="35"/>
      <c r="J99" s="35"/>
    </row>
    <row r="100" ht="15.75" customHeight="1">
      <c r="A100" s="35"/>
      <c r="B100" s="35"/>
      <c r="C100" s="35"/>
      <c r="D100" s="35"/>
      <c r="E100" s="35"/>
      <c r="F100" s="35" t="s">
        <v>2932</v>
      </c>
      <c r="G100" s="35"/>
      <c r="H100" s="35"/>
      <c r="I100" s="35"/>
      <c r="J100" s="35"/>
    </row>
    <row r="101" ht="15.75" customHeight="1">
      <c r="A101" s="35"/>
      <c r="B101" s="35"/>
      <c r="C101" s="35"/>
      <c r="D101" s="35"/>
      <c r="E101" s="35"/>
      <c r="F101" s="35" t="s">
        <v>2935</v>
      </c>
      <c r="G101" s="35"/>
      <c r="H101" s="35"/>
      <c r="I101" s="35"/>
      <c r="J101" s="35"/>
    </row>
    <row r="102" ht="15.75" customHeight="1">
      <c r="A102" s="35"/>
      <c r="B102" s="35"/>
      <c r="C102" s="35"/>
      <c r="D102" s="35"/>
      <c r="E102" s="35"/>
      <c r="F102" s="35" t="s">
        <v>2938</v>
      </c>
      <c r="G102" s="35"/>
      <c r="H102" s="35"/>
      <c r="I102" s="35"/>
      <c r="J102" s="35"/>
    </row>
    <row r="103" ht="15.75" customHeight="1">
      <c r="A103" s="35"/>
      <c r="B103" s="35"/>
      <c r="C103" s="35"/>
      <c r="D103" s="35"/>
      <c r="E103" s="35"/>
      <c r="F103" s="35" t="s">
        <v>2942</v>
      </c>
      <c r="G103" s="35"/>
      <c r="H103" s="35"/>
      <c r="I103" s="35"/>
      <c r="J103" s="35"/>
    </row>
    <row r="104" ht="15.75" customHeight="1">
      <c r="A104" s="35"/>
      <c r="B104" s="35"/>
      <c r="C104" s="35"/>
      <c r="D104" s="35"/>
      <c r="E104" s="35"/>
      <c r="F104" s="35" t="s">
        <v>2944</v>
      </c>
      <c r="G104" s="35"/>
      <c r="H104" s="35"/>
      <c r="I104" s="35"/>
      <c r="J104" s="35"/>
    </row>
    <row r="105" ht="15.75" customHeight="1">
      <c r="A105" s="35"/>
      <c r="B105" s="35"/>
      <c r="C105" s="35"/>
      <c r="D105" s="35"/>
      <c r="E105" s="35"/>
      <c r="F105" s="35" t="s">
        <v>2947</v>
      </c>
      <c r="G105" s="35"/>
      <c r="H105" s="35"/>
      <c r="I105" s="35"/>
      <c r="J105" s="35"/>
    </row>
    <row r="106" ht="15.75" customHeight="1">
      <c r="A106" s="35"/>
      <c r="B106" s="35"/>
      <c r="C106" s="35"/>
      <c r="D106" s="35"/>
      <c r="E106" s="35"/>
      <c r="F106" s="35" t="s">
        <v>2948</v>
      </c>
      <c r="G106" s="35"/>
      <c r="H106" s="35"/>
      <c r="I106" s="35"/>
      <c r="J106" s="35"/>
    </row>
    <row r="107" ht="15.75" customHeight="1">
      <c r="A107" s="35"/>
      <c r="B107" s="35"/>
      <c r="C107" s="35"/>
      <c r="D107" s="35"/>
      <c r="E107" s="35"/>
      <c r="F107" s="35" t="s">
        <v>2950</v>
      </c>
      <c r="G107" s="35"/>
      <c r="H107" s="35"/>
      <c r="I107" s="35"/>
      <c r="J107" s="35"/>
    </row>
    <row r="108" ht="15.75" customHeight="1">
      <c r="A108" s="35"/>
      <c r="B108" s="35"/>
      <c r="C108" s="35"/>
      <c r="D108" s="35"/>
      <c r="E108" s="35"/>
      <c r="F108" s="35" t="s">
        <v>2953</v>
      </c>
      <c r="G108" s="35"/>
      <c r="H108" s="35"/>
      <c r="I108" s="35"/>
      <c r="J108" s="35"/>
    </row>
    <row r="109" ht="15.75" customHeight="1">
      <c r="A109" s="35"/>
      <c r="B109" s="35"/>
      <c r="C109" s="35"/>
      <c r="D109" s="35"/>
      <c r="E109" s="35"/>
      <c r="F109" s="35" t="s">
        <v>2955</v>
      </c>
      <c r="G109" s="35"/>
      <c r="H109" s="35"/>
      <c r="I109" s="35"/>
      <c r="J109" s="35"/>
    </row>
    <row r="110" ht="15.75" customHeight="1">
      <c r="A110" s="35"/>
      <c r="B110" s="35"/>
      <c r="C110" s="35"/>
      <c r="D110" s="35"/>
      <c r="E110" s="35"/>
      <c r="F110" s="35" t="s">
        <v>2957</v>
      </c>
      <c r="G110" s="35"/>
      <c r="H110" s="35"/>
      <c r="I110" s="35"/>
      <c r="J110" s="35"/>
    </row>
    <row r="111" ht="15.75" customHeight="1">
      <c r="A111" s="35"/>
      <c r="B111" s="35"/>
      <c r="C111" s="35"/>
      <c r="D111" s="35"/>
      <c r="E111" s="35"/>
      <c r="F111" s="35" t="s">
        <v>2959</v>
      </c>
      <c r="G111" s="35"/>
      <c r="H111" s="35"/>
      <c r="I111" s="35"/>
      <c r="J111" s="35"/>
    </row>
    <row r="112" ht="15.75" customHeight="1">
      <c r="A112" s="35"/>
      <c r="B112" s="35"/>
      <c r="C112" s="35"/>
      <c r="D112" s="35"/>
      <c r="E112" s="35"/>
      <c r="F112" s="35"/>
      <c r="G112" s="35"/>
      <c r="H112" s="35"/>
      <c r="I112" s="35"/>
      <c r="J112" s="35"/>
    </row>
    <row r="113" ht="15.75" customHeight="1">
      <c r="A113" s="35"/>
      <c r="B113" s="35"/>
      <c r="C113" s="35"/>
      <c r="D113" s="35"/>
      <c r="E113" s="35"/>
      <c r="F113" s="35"/>
      <c r="G113" s="35"/>
      <c r="H113" s="35"/>
      <c r="I113" s="35"/>
      <c r="J113" s="35"/>
    </row>
    <row r="114" ht="15.75" customHeight="1">
      <c r="A114" s="35"/>
      <c r="B114" s="35"/>
      <c r="C114" s="35"/>
      <c r="D114" s="35"/>
      <c r="E114" s="35"/>
      <c r="F114" s="35" t="s">
        <v>2964</v>
      </c>
      <c r="G114" s="35"/>
      <c r="H114" s="35"/>
      <c r="I114" s="35"/>
      <c r="J114" s="35"/>
    </row>
    <row r="115" ht="15.75" customHeight="1">
      <c r="A115" s="35"/>
      <c r="B115" s="35"/>
      <c r="C115" s="35"/>
      <c r="D115" s="35"/>
      <c r="E115" s="35"/>
      <c r="F115" s="35"/>
      <c r="G115" s="35"/>
      <c r="H115" s="35"/>
      <c r="I115" s="35"/>
      <c r="J115" s="35"/>
    </row>
    <row r="116" ht="15.75" customHeight="1">
      <c r="A116" s="35"/>
      <c r="B116" s="35"/>
      <c r="C116" s="35"/>
      <c r="D116" s="35"/>
      <c r="E116" s="35"/>
      <c r="F116" s="35" t="s">
        <v>2969</v>
      </c>
      <c r="G116" s="35"/>
      <c r="H116" s="35"/>
      <c r="I116" s="35"/>
      <c r="J116" s="35"/>
    </row>
    <row r="117" ht="15.75" customHeight="1">
      <c r="A117" s="35"/>
      <c r="B117" s="35"/>
      <c r="C117" s="35"/>
      <c r="D117" s="35"/>
      <c r="E117" s="35"/>
      <c r="F117" s="35" t="s">
        <v>2973</v>
      </c>
      <c r="G117" s="35"/>
      <c r="H117" s="35"/>
      <c r="I117" s="35"/>
      <c r="J117" s="35"/>
    </row>
    <row r="118" ht="15.75" customHeight="1">
      <c r="A118" s="35"/>
      <c r="B118" s="35"/>
      <c r="C118" s="35"/>
      <c r="D118" s="35"/>
      <c r="E118" s="35"/>
      <c r="F118" s="35" t="s">
        <v>2976</v>
      </c>
      <c r="G118" s="35"/>
      <c r="H118" s="35"/>
      <c r="I118" s="35"/>
      <c r="J118" s="35"/>
    </row>
    <row r="119" ht="15.75" customHeight="1">
      <c r="A119" s="35"/>
      <c r="B119" s="35"/>
      <c r="C119" s="35"/>
      <c r="D119" s="35"/>
      <c r="E119" s="35"/>
      <c r="F119" s="35" t="s">
        <v>2979</v>
      </c>
      <c r="G119" s="35"/>
      <c r="H119" s="35"/>
      <c r="I119" s="35"/>
      <c r="J119" s="35"/>
    </row>
    <row r="120" ht="15.75" customHeight="1">
      <c r="A120" s="35"/>
      <c r="B120" s="35"/>
      <c r="C120" s="35"/>
      <c r="D120" s="35"/>
      <c r="E120" s="35"/>
      <c r="F120" s="35"/>
      <c r="G120" s="35"/>
      <c r="H120" s="35"/>
      <c r="I120" s="35"/>
      <c r="J120" s="35"/>
    </row>
    <row r="121" ht="15.75" customHeight="1">
      <c r="A121" s="35"/>
      <c r="B121" s="35"/>
      <c r="C121" s="35"/>
      <c r="D121" s="35"/>
      <c r="E121" s="35"/>
      <c r="F121" s="35"/>
      <c r="G121" s="35"/>
      <c r="H121" s="35"/>
      <c r="I121" s="35"/>
      <c r="J121" s="35"/>
    </row>
    <row r="122" ht="15.75" customHeight="1">
      <c r="A122" s="35"/>
      <c r="B122" s="35"/>
      <c r="C122" s="35"/>
      <c r="D122" s="35"/>
      <c r="E122" s="35"/>
      <c r="F122" s="35" t="s">
        <v>2985</v>
      </c>
      <c r="G122" s="35"/>
      <c r="H122" s="35"/>
      <c r="I122" s="35"/>
      <c r="J122" s="35"/>
    </row>
    <row r="123" ht="15.75" customHeight="1">
      <c r="A123" s="35"/>
      <c r="B123" s="35"/>
      <c r="C123" s="35"/>
      <c r="D123" s="35"/>
      <c r="E123" s="35"/>
      <c r="F123" s="35" t="s">
        <v>2987</v>
      </c>
      <c r="G123" s="35"/>
      <c r="H123" s="35"/>
      <c r="I123" s="35"/>
      <c r="J123" s="35"/>
    </row>
    <row r="124" ht="15.75" customHeight="1">
      <c r="A124" s="35"/>
      <c r="B124" s="35"/>
      <c r="C124" s="35"/>
      <c r="D124" s="35"/>
      <c r="E124" s="35"/>
      <c r="F124" s="35"/>
      <c r="G124" s="35"/>
      <c r="H124" s="35"/>
      <c r="I124" s="35"/>
      <c r="J124" s="35"/>
    </row>
    <row r="125" ht="15.75" customHeight="1">
      <c r="A125" s="35"/>
      <c r="B125" s="35"/>
      <c r="C125" s="35"/>
      <c r="D125" s="35"/>
      <c r="E125" s="35"/>
      <c r="F125" s="35" t="s">
        <v>2990</v>
      </c>
      <c r="G125" s="35"/>
      <c r="H125" s="35"/>
      <c r="I125" s="35"/>
      <c r="J125" s="35"/>
    </row>
    <row r="126" ht="15.75" customHeight="1">
      <c r="A126" s="35"/>
      <c r="B126" s="35"/>
      <c r="C126" s="35"/>
      <c r="D126" s="35"/>
      <c r="E126" s="35"/>
      <c r="F126" s="35" t="s">
        <v>2993</v>
      </c>
      <c r="G126" s="35"/>
      <c r="H126" s="35"/>
      <c r="I126" s="35"/>
      <c r="J126" s="35"/>
    </row>
    <row r="127" ht="15.75" customHeight="1">
      <c r="A127" s="35"/>
      <c r="B127" s="35"/>
      <c r="C127" s="35"/>
      <c r="D127" s="35"/>
      <c r="E127" s="35"/>
      <c r="F127" s="35" t="s">
        <v>2997</v>
      </c>
      <c r="G127" s="35"/>
      <c r="H127" s="35"/>
      <c r="I127" s="35"/>
      <c r="J127" s="35"/>
    </row>
    <row r="128" ht="15.75" customHeight="1">
      <c r="A128" s="35"/>
      <c r="B128" s="35"/>
      <c r="C128" s="35"/>
      <c r="D128" s="35"/>
      <c r="E128" s="35"/>
      <c r="F128" s="35" t="s">
        <v>2999</v>
      </c>
      <c r="G128" s="35"/>
      <c r="H128" s="35"/>
      <c r="I128" s="35"/>
      <c r="J128" s="35"/>
    </row>
    <row r="129" ht="15.75" customHeight="1">
      <c r="A129" s="35"/>
      <c r="B129" s="35"/>
      <c r="C129" s="35"/>
      <c r="D129" s="35"/>
      <c r="E129" s="35"/>
      <c r="F129" s="35"/>
      <c r="G129" s="35"/>
      <c r="H129" s="35"/>
      <c r="I129" s="35"/>
      <c r="J129" s="35"/>
    </row>
    <row r="130" ht="15.75" customHeight="1">
      <c r="A130" s="35"/>
      <c r="B130" s="35"/>
      <c r="C130" s="35"/>
      <c r="D130" s="35"/>
      <c r="E130" s="35"/>
      <c r="F130" s="35"/>
      <c r="G130" s="35"/>
      <c r="H130" s="35"/>
      <c r="I130" s="35"/>
      <c r="J130" s="35"/>
    </row>
    <row r="131" ht="15.75" customHeight="1">
      <c r="A131" s="35"/>
      <c r="B131" s="35"/>
      <c r="C131" s="35"/>
      <c r="D131" s="35"/>
      <c r="E131" s="35"/>
      <c r="F131" s="35" t="s">
        <v>3005</v>
      </c>
      <c r="G131" s="35"/>
      <c r="H131" s="35"/>
      <c r="I131" s="35"/>
      <c r="J131" s="35"/>
    </row>
    <row r="132" ht="15.75" customHeight="1">
      <c r="A132" s="35"/>
      <c r="B132" s="35"/>
      <c r="C132" s="35"/>
      <c r="D132" s="35"/>
      <c r="E132" s="35"/>
      <c r="F132" s="35" t="s">
        <v>3009</v>
      </c>
      <c r="G132" s="35"/>
      <c r="H132" s="35"/>
      <c r="I132" s="35"/>
      <c r="J132" s="35"/>
    </row>
    <row r="133" ht="15.75" customHeight="1">
      <c r="A133" s="35"/>
      <c r="B133" s="35"/>
      <c r="C133" s="35"/>
      <c r="D133" s="35"/>
      <c r="E133" s="35"/>
      <c r="F133" s="35" t="s">
        <v>3011</v>
      </c>
      <c r="G133" s="35"/>
      <c r="H133" s="35"/>
      <c r="I133" s="35"/>
      <c r="J133" s="35"/>
    </row>
    <row r="134" ht="15.75" customHeight="1">
      <c r="A134" s="35"/>
      <c r="B134" s="35"/>
      <c r="C134" s="35"/>
      <c r="D134" s="35"/>
      <c r="E134" s="35"/>
      <c r="F134" s="35" t="s">
        <v>3014</v>
      </c>
      <c r="G134" s="35"/>
      <c r="H134" s="35"/>
      <c r="I134" s="35"/>
      <c r="J134" s="35"/>
    </row>
    <row r="135" ht="15.75" customHeight="1">
      <c r="A135" s="35"/>
      <c r="B135" s="35"/>
      <c r="C135" s="35"/>
      <c r="D135" s="35"/>
      <c r="E135" s="35"/>
      <c r="F135" s="35" t="s">
        <v>3018</v>
      </c>
      <c r="G135" s="35"/>
      <c r="H135" s="35"/>
      <c r="I135" s="35"/>
      <c r="J135" s="35"/>
    </row>
    <row r="136" ht="15.75" customHeight="1">
      <c r="A136" s="35"/>
      <c r="B136" s="35"/>
      <c r="C136" s="35"/>
      <c r="D136" s="35"/>
      <c r="E136" s="35"/>
      <c r="F136" s="35"/>
      <c r="G136" s="35"/>
      <c r="H136" s="35"/>
      <c r="I136" s="35"/>
      <c r="J136" s="35"/>
    </row>
    <row r="137" ht="15.75" customHeight="1">
      <c r="A137" s="35"/>
      <c r="B137" s="35"/>
      <c r="C137" s="35"/>
      <c r="D137" s="35"/>
      <c r="E137" s="35"/>
      <c r="F137" s="35"/>
      <c r="G137" s="35"/>
      <c r="H137" s="35"/>
      <c r="I137" s="35"/>
      <c r="J137" s="35"/>
    </row>
    <row r="138" ht="15.75" customHeight="1">
      <c r="A138" s="35"/>
      <c r="B138" s="35"/>
      <c r="C138" s="35"/>
      <c r="D138" s="35"/>
      <c r="E138" s="35"/>
      <c r="F138" s="35" t="s">
        <v>3023</v>
      </c>
      <c r="G138" s="35"/>
      <c r="H138" s="35"/>
      <c r="I138" s="35"/>
      <c r="J138" s="35"/>
    </row>
    <row r="139" ht="15.75" customHeight="1">
      <c r="A139" s="35"/>
      <c r="B139" s="35"/>
      <c r="C139" s="35"/>
      <c r="D139" s="35"/>
      <c r="E139" s="35"/>
      <c r="F139" s="35" t="s">
        <v>3026</v>
      </c>
      <c r="G139" s="35"/>
      <c r="H139" s="35"/>
      <c r="I139" s="35"/>
      <c r="J139" s="35"/>
    </row>
    <row r="140" ht="15.75" customHeight="1">
      <c r="A140" s="35"/>
      <c r="B140" s="35"/>
      <c r="C140" s="35"/>
      <c r="D140" s="35"/>
      <c r="E140" s="35"/>
      <c r="F140" s="35" t="s">
        <v>3028</v>
      </c>
      <c r="G140" s="35"/>
      <c r="H140" s="35"/>
      <c r="I140" s="35"/>
      <c r="J140" s="35"/>
    </row>
    <row r="141" ht="15.75" customHeight="1">
      <c r="A141" s="35"/>
      <c r="B141" s="35"/>
      <c r="C141" s="35"/>
      <c r="D141" s="35"/>
      <c r="E141" s="35"/>
      <c r="F141" s="35"/>
      <c r="G141" s="35"/>
      <c r="H141" s="35"/>
      <c r="I141" s="35"/>
      <c r="J141" s="35"/>
    </row>
    <row r="142" ht="15.75" customHeight="1">
      <c r="A142" s="35"/>
      <c r="B142" s="35"/>
      <c r="C142" s="35"/>
      <c r="D142" s="35"/>
      <c r="E142" s="35"/>
      <c r="F142" s="35"/>
      <c r="G142" s="35"/>
      <c r="H142" s="35"/>
      <c r="I142" s="35"/>
      <c r="J142" s="35"/>
    </row>
    <row r="143" ht="15.75" customHeight="1">
      <c r="A143" s="35"/>
      <c r="B143" s="35"/>
      <c r="C143" s="35"/>
      <c r="D143" s="35"/>
      <c r="E143" s="35"/>
      <c r="F143" s="35"/>
      <c r="G143" s="35"/>
      <c r="H143" s="35"/>
      <c r="I143" s="35"/>
      <c r="J143" s="35"/>
    </row>
    <row r="144" ht="15.75" customHeight="1">
      <c r="A144" s="35"/>
      <c r="B144" s="35"/>
      <c r="C144" s="35"/>
      <c r="D144" s="35"/>
      <c r="E144" s="35"/>
      <c r="F144" s="35" t="s">
        <v>106</v>
      </c>
      <c r="G144" s="35"/>
      <c r="H144" s="35"/>
      <c r="I144" s="35"/>
      <c r="J144" s="35"/>
    </row>
    <row r="145" ht="15.75" customHeight="1">
      <c r="A145" s="35"/>
      <c r="B145" s="35"/>
      <c r="C145" s="35"/>
      <c r="D145" s="35"/>
      <c r="E145" s="35"/>
      <c r="F145" s="35" t="s">
        <v>3038</v>
      </c>
      <c r="G145" s="35"/>
      <c r="H145" s="35"/>
      <c r="I145" s="35"/>
      <c r="J145" s="35"/>
    </row>
    <row r="146" ht="15.75" customHeight="1">
      <c r="A146" s="35"/>
      <c r="B146" s="35"/>
      <c r="C146" s="35"/>
      <c r="D146" s="35"/>
      <c r="E146" s="35"/>
      <c r="F146" s="35" t="s">
        <v>3023</v>
      </c>
      <c r="G146" s="35"/>
      <c r="H146" s="35"/>
      <c r="I146" s="35"/>
      <c r="J146" s="35"/>
    </row>
    <row r="147" ht="15.75" customHeight="1">
      <c r="A147" s="35"/>
      <c r="B147" s="35"/>
      <c r="C147" s="35"/>
      <c r="D147" s="35"/>
      <c r="E147" s="35"/>
      <c r="F147" s="35" t="s">
        <v>3040</v>
      </c>
      <c r="G147" s="35"/>
      <c r="H147" s="35"/>
      <c r="I147" s="35"/>
      <c r="J147" s="35"/>
    </row>
    <row r="148" ht="15.75" customHeight="1">
      <c r="A148" s="35"/>
      <c r="B148" s="35"/>
      <c r="C148" s="35"/>
      <c r="D148" s="35"/>
      <c r="E148" s="35"/>
      <c r="F148" s="35" t="s">
        <v>3043</v>
      </c>
      <c r="G148" s="35"/>
      <c r="H148" s="35"/>
      <c r="I148" s="35"/>
      <c r="J148" s="35"/>
    </row>
    <row r="149" ht="15.75" customHeight="1">
      <c r="A149" s="35"/>
      <c r="B149" s="35"/>
      <c r="C149" s="35"/>
      <c r="D149" s="35"/>
      <c r="E149" s="35"/>
      <c r="F149" s="35" t="s">
        <v>3046</v>
      </c>
      <c r="G149" s="35"/>
      <c r="H149" s="35"/>
      <c r="I149" s="35"/>
      <c r="J149" s="35"/>
    </row>
    <row r="150" ht="15.75" customHeight="1">
      <c r="A150" s="35"/>
      <c r="B150" s="35"/>
      <c r="C150" s="35"/>
      <c r="D150" s="35"/>
      <c r="E150" s="35"/>
      <c r="F150" s="35" t="s">
        <v>3051</v>
      </c>
      <c r="G150" s="35"/>
      <c r="H150" s="35"/>
      <c r="I150" s="35"/>
      <c r="J150" s="35"/>
    </row>
    <row r="151" ht="15.75" customHeight="1">
      <c r="A151" s="35"/>
      <c r="B151" s="35"/>
      <c r="C151" s="35"/>
      <c r="D151" s="35"/>
      <c r="E151" s="35"/>
      <c r="F151" s="35" t="s">
        <v>3053</v>
      </c>
      <c r="G151" s="35"/>
      <c r="H151" s="35"/>
      <c r="I151" s="35"/>
      <c r="J151" s="35"/>
    </row>
    <row r="152" ht="15.75" customHeight="1">
      <c r="A152" s="35"/>
      <c r="B152" s="35"/>
      <c r="C152" s="35"/>
      <c r="D152" s="35"/>
      <c r="E152" s="35"/>
      <c r="F152" s="35" t="s">
        <v>3046</v>
      </c>
      <c r="G152" s="35"/>
      <c r="H152" s="35"/>
      <c r="I152" s="35"/>
      <c r="J152" s="35"/>
    </row>
    <row r="153" ht="15.75" customHeight="1">
      <c r="A153" s="35"/>
      <c r="B153" s="35"/>
      <c r="C153" s="35"/>
      <c r="D153" s="35"/>
      <c r="E153" s="35"/>
      <c r="F153" s="35" t="s">
        <v>3059</v>
      </c>
      <c r="G153" s="35"/>
      <c r="H153" s="35"/>
      <c r="I153" s="35"/>
      <c r="J153" s="35"/>
    </row>
    <row r="154" ht="15.75" customHeight="1">
      <c r="A154" s="35"/>
      <c r="B154" s="35"/>
      <c r="C154" s="35"/>
      <c r="D154" s="35"/>
      <c r="E154" s="35"/>
      <c r="F154" s="35" t="s">
        <v>3061</v>
      </c>
      <c r="G154" s="35"/>
      <c r="H154" s="35"/>
      <c r="I154" s="35"/>
      <c r="J154" s="35"/>
    </row>
    <row r="155" ht="15.75" customHeight="1">
      <c r="A155" s="35"/>
      <c r="B155" s="35"/>
      <c r="C155" s="35"/>
      <c r="D155" s="35"/>
      <c r="E155" s="35"/>
      <c r="F155" s="35" t="s">
        <v>3046</v>
      </c>
      <c r="G155" s="35"/>
      <c r="H155" s="35"/>
      <c r="I155" s="35"/>
      <c r="J155" s="35"/>
    </row>
    <row r="156" ht="15.75" customHeight="1">
      <c r="A156" s="35"/>
      <c r="B156" s="35"/>
      <c r="C156" s="35"/>
      <c r="D156" s="35"/>
      <c r="E156" s="35"/>
      <c r="F156" s="35" t="s">
        <v>3066</v>
      </c>
      <c r="G156" s="35"/>
      <c r="H156" s="35"/>
      <c r="I156" s="35"/>
      <c r="J156" s="35"/>
    </row>
    <row r="157" ht="15.75" customHeight="1">
      <c r="A157" s="35"/>
      <c r="B157" s="35"/>
      <c r="C157" s="35"/>
      <c r="D157" s="35"/>
      <c r="E157" s="35"/>
      <c r="F157" s="35" t="s">
        <v>3069</v>
      </c>
      <c r="G157" s="35"/>
      <c r="H157" s="35"/>
      <c r="I157" s="35"/>
      <c r="J157" s="35"/>
    </row>
    <row r="158" ht="15.75" customHeight="1">
      <c r="A158" s="35"/>
      <c r="B158" s="35"/>
      <c r="C158" s="35"/>
      <c r="D158" s="35"/>
      <c r="E158" s="35"/>
      <c r="F158" s="35" t="s">
        <v>3046</v>
      </c>
      <c r="G158" s="35"/>
      <c r="H158" s="35"/>
      <c r="I158" s="35"/>
      <c r="J158" s="35"/>
    </row>
    <row r="159" ht="15.75" customHeight="1">
      <c r="A159" s="35"/>
      <c r="B159" s="35"/>
      <c r="C159" s="35"/>
      <c r="D159" s="35"/>
      <c r="E159" s="35"/>
      <c r="F159" s="35" t="s">
        <v>3077</v>
      </c>
      <c r="G159" s="35"/>
      <c r="H159" s="35"/>
      <c r="I159" s="35"/>
      <c r="J159" s="35"/>
    </row>
    <row r="160" ht="15.75" customHeight="1">
      <c r="A160" s="35"/>
      <c r="B160" s="35"/>
      <c r="C160" s="35"/>
      <c r="D160" s="35"/>
      <c r="E160" s="35"/>
      <c r="F160" s="35" t="s">
        <v>3085</v>
      </c>
      <c r="G160" s="35"/>
      <c r="H160" s="35"/>
      <c r="I160" s="35"/>
      <c r="J160" s="35"/>
    </row>
    <row r="161" ht="15.75" customHeight="1">
      <c r="A161" s="35"/>
      <c r="B161" s="35"/>
      <c r="C161" s="35"/>
      <c r="D161" s="35"/>
      <c r="E161" s="35"/>
      <c r="F161" s="35" t="s">
        <v>3046</v>
      </c>
      <c r="G161" s="35"/>
      <c r="H161" s="35"/>
      <c r="I161" s="35"/>
      <c r="J161" s="35"/>
    </row>
    <row r="162" ht="15.75" customHeight="1">
      <c r="A162" s="35"/>
      <c r="B162" s="35"/>
      <c r="C162" s="35"/>
      <c r="D162" s="35"/>
      <c r="E162" s="35"/>
      <c r="F162" s="35" t="s">
        <v>2120</v>
      </c>
      <c r="G162" s="35"/>
      <c r="H162" s="35"/>
      <c r="I162" s="35"/>
      <c r="J162" s="35"/>
    </row>
    <row r="163" ht="15.75" customHeight="1">
      <c r="A163" s="35"/>
      <c r="B163" s="35"/>
      <c r="C163" s="35"/>
      <c r="D163" s="35"/>
      <c r="E163" s="35"/>
      <c r="F163" s="35" t="s">
        <v>3095</v>
      </c>
      <c r="G163" s="35"/>
      <c r="H163" s="35"/>
      <c r="I163" s="35"/>
      <c r="J163" s="35"/>
    </row>
    <row r="164" ht="15.75" customHeight="1">
      <c r="A164" s="35"/>
      <c r="B164" s="35"/>
      <c r="C164" s="35"/>
      <c r="D164" s="35"/>
      <c r="E164" s="35"/>
      <c r="F164" s="35" t="s">
        <v>3046</v>
      </c>
      <c r="G164" s="35"/>
      <c r="H164" s="35"/>
      <c r="I164" s="35"/>
      <c r="J164" s="35"/>
    </row>
    <row r="165" ht="15.75" customHeight="1">
      <c r="A165" s="35"/>
      <c r="B165" s="35"/>
      <c r="C165" s="35"/>
      <c r="D165" s="35"/>
      <c r="E165" s="35"/>
      <c r="F165" s="35" t="s">
        <v>3102</v>
      </c>
      <c r="G165" s="35"/>
      <c r="H165" s="35"/>
      <c r="I165" s="35"/>
      <c r="J165" s="35"/>
    </row>
    <row r="166" ht="15.75" customHeight="1">
      <c r="A166" s="35"/>
      <c r="B166" s="35"/>
      <c r="C166" s="35"/>
      <c r="D166" s="35"/>
      <c r="E166" s="35"/>
      <c r="F166" s="35" t="s">
        <v>3105</v>
      </c>
      <c r="G166" s="35"/>
      <c r="H166" s="35"/>
      <c r="I166" s="35"/>
      <c r="J166" s="35"/>
    </row>
    <row r="167" ht="15.75" customHeight="1">
      <c r="A167" s="35"/>
      <c r="B167" s="35"/>
      <c r="C167" s="35"/>
      <c r="D167" s="35"/>
      <c r="E167" s="35"/>
      <c r="F167" s="35" t="s">
        <v>3046</v>
      </c>
      <c r="G167" s="35"/>
      <c r="H167" s="35"/>
      <c r="I167" s="35"/>
      <c r="J167" s="35"/>
    </row>
    <row r="168" ht="15.75" customHeight="1">
      <c r="A168" s="35"/>
      <c r="B168" s="35"/>
      <c r="C168" s="35"/>
      <c r="D168" s="35"/>
      <c r="E168" s="35"/>
      <c r="F168" s="35" t="s">
        <v>3111</v>
      </c>
      <c r="G168" s="35"/>
      <c r="H168" s="35"/>
      <c r="I168" s="35"/>
      <c r="J168" s="35"/>
    </row>
    <row r="169" ht="15.75" customHeight="1">
      <c r="A169" s="35"/>
      <c r="B169" s="35"/>
      <c r="C169" s="35"/>
      <c r="D169" s="35"/>
      <c r="E169" s="35"/>
      <c r="F169" s="35" t="s">
        <v>3113</v>
      </c>
      <c r="G169" s="35"/>
      <c r="H169" s="35"/>
      <c r="I169" s="35"/>
      <c r="J169" s="35"/>
    </row>
    <row r="170" ht="15.75" customHeight="1">
      <c r="A170" s="35"/>
      <c r="B170" s="35"/>
      <c r="C170" s="35"/>
      <c r="D170" s="35"/>
      <c r="E170" s="35"/>
      <c r="F170" s="35" t="s">
        <v>3046</v>
      </c>
      <c r="G170" s="35"/>
      <c r="H170" s="35"/>
      <c r="I170" s="35"/>
      <c r="J170" s="35"/>
    </row>
    <row r="171" ht="15.75" customHeight="1">
      <c r="A171" s="35"/>
      <c r="B171" s="35"/>
      <c r="C171" s="35"/>
      <c r="D171" s="35"/>
      <c r="E171" s="35"/>
      <c r="F171" s="35" t="s">
        <v>3119</v>
      </c>
      <c r="G171" s="35"/>
      <c r="H171" s="35"/>
      <c r="I171" s="35"/>
      <c r="J171" s="35"/>
    </row>
    <row r="172" ht="15.75" customHeight="1">
      <c r="A172" s="35"/>
      <c r="B172" s="35"/>
      <c r="C172" s="35"/>
      <c r="D172" s="35"/>
      <c r="E172" s="35"/>
      <c r="F172" s="35" t="s">
        <v>3123</v>
      </c>
      <c r="G172" s="35"/>
      <c r="H172" s="35"/>
      <c r="I172" s="35"/>
      <c r="J172" s="35"/>
    </row>
    <row r="173" ht="15.75" customHeight="1">
      <c r="A173" s="35"/>
      <c r="B173" s="35"/>
      <c r="C173" s="35"/>
      <c r="D173" s="35"/>
      <c r="E173" s="35"/>
      <c r="F173" s="35" t="s">
        <v>3046</v>
      </c>
      <c r="G173" s="35"/>
      <c r="H173" s="35"/>
      <c r="I173" s="35"/>
      <c r="J173" s="35"/>
    </row>
    <row r="174" ht="15.75" customHeight="1">
      <c r="A174" s="35"/>
      <c r="B174" s="35"/>
      <c r="C174" s="35"/>
      <c r="D174" s="35"/>
      <c r="E174" s="35"/>
      <c r="F174" s="35" t="s">
        <v>3129</v>
      </c>
      <c r="G174" s="35"/>
      <c r="H174" s="35"/>
      <c r="I174" s="35"/>
      <c r="J174" s="35"/>
    </row>
    <row r="175" ht="15.75" customHeight="1">
      <c r="A175" s="35"/>
      <c r="B175" s="35"/>
      <c r="C175" s="35"/>
      <c r="D175" s="35"/>
      <c r="E175" s="35"/>
      <c r="F175" s="35" t="s">
        <v>3132</v>
      </c>
      <c r="G175" s="35"/>
      <c r="H175" s="35"/>
      <c r="I175" s="35"/>
      <c r="J175" s="35"/>
    </row>
    <row r="176" ht="15.75" customHeight="1">
      <c r="A176" s="35"/>
      <c r="B176" s="35"/>
      <c r="C176" s="35"/>
      <c r="D176" s="35"/>
      <c r="E176" s="35"/>
      <c r="F176" s="35" t="s">
        <v>3046</v>
      </c>
      <c r="G176" s="35"/>
      <c r="H176" s="35"/>
      <c r="I176" s="35"/>
      <c r="J176" s="35"/>
    </row>
    <row r="177" ht="15.75" customHeight="1">
      <c r="A177" s="35"/>
      <c r="B177" s="35"/>
      <c r="C177" s="35"/>
      <c r="D177" s="35"/>
      <c r="E177" s="35"/>
      <c r="F177" s="35" t="s">
        <v>3136</v>
      </c>
      <c r="G177" s="35"/>
      <c r="H177" s="35"/>
      <c r="I177" s="35"/>
      <c r="J177" s="35"/>
    </row>
    <row r="178" ht="15.75" customHeight="1">
      <c r="A178" s="35"/>
      <c r="B178" s="35"/>
      <c r="C178" s="35"/>
      <c r="D178" s="35"/>
      <c r="E178" s="35"/>
      <c r="F178" s="35" t="s">
        <v>3141</v>
      </c>
      <c r="G178" s="35"/>
      <c r="H178" s="35"/>
      <c r="I178" s="35"/>
      <c r="J178" s="35"/>
    </row>
    <row r="179" ht="15.75" customHeight="1">
      <c r="A179" s="35"/>
      <c r="B179" s="35"/>
      <c r="C179" s="35"/>
      <c r="D179" s="35"/>
      <c r="E179" s="35"/>
      <c r="F179" s="35" t="s">
        <v>3046</v>
      </c>
      <c r="G179" s="35"/>
      <c r="H179" s="35"/>
      <c r="I179" s="35"/>
      <c r="J179" s="35"/>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14"/>
    <col customWidth="1" min="2" max="2" width="11.43"/>
    <col customWidth="1" min="3" max="3" width="41.14"/>
    <col customWidth="1" min="4" max="4" width="20.57"/>
    <col customWidth="1" min="5" max="6" width="11.43"/>
    <col customWidth="1" min="7" max="26" width="9.86"/>
  </cols>
  <sheetData>
    <row r="1">
      <c r="A1" s="34" t="s">
        <v>3252</v>
      </c>
      <c r="B1" s="34"/>
      <c r="C1" s="34" t="s">
        <v>3255</v>
      </c>
      <c r="D1" s="34"/>
      <c r="E1" s="34"/>
      <c r="F1" s="34" t="s">
        <v>3259</v>
      </c>
    </row>
    <row r="2">
      <c r="A2" s="35" t="s">
        <v>3261</v>
      </c>
      <c r="B2" s="35"/>
      <c r="C2" s="35" t="s">
        <v>3264</v>
      </c>
      <c r="D2" s="35"/>
      <c r="E2" s="35"/>
      <c r="F2" s="35"/>
    </row>
    <row r="3">
      <c r="A3" s="35" t="s">
        <v>1097</v>
      </c>
      <c r="B3" s="35"/>
      <c r="C3" s="35" t="s">
        <v>3266</v>
      </c>
      <c r="D3" s="35"/>
      <c r="E3" s="35"/>
      <c r="F3" s="35"/>
    </row>
    <row r="4">
      <c r="A4" s="35" t="s">
        <v>1193</v>
      </c>
      <c r="B4" s="35"/>
      <c r="C4" s="35" t="s">
        <v>3267</v>
      </c>
      <c r="D4" s="35"/>
      <c r="E4" s="35"/>
      <c r="F4" s="35"/>
    </row>
    <row r="5">
      <c r="A5" s="35" t="s">
        <v>3271</v>
      </c>
      <c r="B5" s="35"/>
      <c r="C5" s="35" t="s">
        <v>3272</v>
      </c>
      <c r="D5" s="35"/>
      <c r="E5" s="35"/>
      <c r="F5" s="35"/>
    </row>
    <row r="6">
      <c r="A6" s="35" t="s">
        <v>3273</v>
      </c>
      <c r="B6" s="35"/>
      <c r="C6" s="35" t="s">
        <v>3275</v>
      </c>
      <c r="D6" s="35"/>
      <c r="E6" s="35"/>
      <c r="F6" s="35"/>
    </row>
    <row r="7">
      <c r="A7" s="35" t="s">
        <v>1288</v>
      </c>
      <c r="B7" s="35"/>
      <c r="C7" s="35" t="s">
        <v>3278</v>
      </c>
      <c r="D7" s="35"/>
      <c r="E7" s="35"/>
      <c r="F7" s="35"/>
    </row>
    <row r="8">
      <c r="A8" s="35" t="s">
        <v>1358</v>
      </c>
      <c r="B8" s="35"/>
      <c r="C8" s="35" t="s">
        <v>3283</v>
      </c>
      <c r="D8" s="35"/>
      <c r="E8" s="35"/>
      <c r="F8" s="35"/>
    </row>
    <row r="9">
      <c r="A9" s="35" t="s">
        <v>1502</v>
      </c>
      <c r="B9" s="35"/>
      <c r="C9" s="35" t="s">
        <v>3286</v>
      </c>
      <c r="D9" s="35"/>
      <c r="E9" s="35"/>
      <c r="F9" s="35"/>
    </row>
    <row r="10">
      <c r="A10" s="35" t="s">
        <v>1555</v>
      </c>
      <c r="B10" s="35"/>
      <c r="C10" s="35" t="s">
        <v>3289</v>
      </c>
      <c r="D10" s="35"/>
      <c r="E10" s="35"/>
      <c r="F10" s="35"/>
    </row>
    <row r="11">
      <c r="A11" s="35" t="s">
        <v>3291</v>
      </c>
      <c r="B11" s="35"/>
      <c r="C11" s="35" t="s">
        <v>3294</v>
      </c>
      <c r="D11" s="35"/>
      <c r="E11" s="35"/>
      <c r="F11" s="35"/>
    </row>
    <row r="12">
      <c r="A12" s="35" t="s">
        <v>3252</v>
      </c>
      <c r="B12" s="35"/>
      <c r="C12" s="35" t="s">
        <v>3295</v>
      </c>
      <c r="D12" s="35" t="s">
        <v>3297</v>
      </c>
      <c r="E12" s="35"/>
      <c r="F12" s="35"/>
    </row>
    <row r="13">
      <c r="A13" s="35" t="s">
        <v>1097</v>
      </c>
      <c r="B13" s="35"/>
      <c r="C13" s="35" t="s">
        <v>1096</v>
      </c>
      <c r="D13" s="35" t="s">
        <v>1098</v>
      </c>
      <c r="E13" s="35"/>
      <c r="F13" s="35"/>
    </row>
    <row r="14">
      <c r="A14" s="35" t="s">
        <v>1097</v>
      </c>
      <c r="B14" s="35"/>
      <c r="C14" s="35" t="s">
        <v>1107</v>
      </c>
      <c r="D14" s="35" t="s">
        <v>1108</v>
      </c>
      <c r="E14" s="35"/>
      <c r="F14" s="35"/>
    </row>
    <row r="15">
      <c r="A15" s="35" t="s">
        <v>1097</v>
      </c>
      <c r="B15" s="35"/>
      <c r="C15" s="35" t="s">
        <v>1115</v>
      </c>
      <c r="D15" s="35" t="s">
        <v>3302</v>
      </c>
      <c r="E15" s="35"/>
      <c r="F15" s="35"/>
    </row>
    <row r="16">
      <c r="A16" s="35" t="s">
        <v>1097</v>
      </c>
      <c r="B16" s="35"/>
      <c r="C16" s="35" t="s">
        <v>1120</v>
      </c>
      <c r="D16" s="35" t="s">
        <v>1121</v>
      </c>
      <c r="E16" s="35"/>
      <c r="F16" s="35"/>
    </row>
    <row r="17">
      <c r="A17" s="35" t="s">
        <v>1097</v>
      </c>
      <c r="B17" s="35"/>
      <c r="C17" s="35" t="s">
        <v>1126</v>
      </c>
      <c r="D17" s="35" t="s">
        <v>1098</v>
      </c>
      <c r="E17" s="35"/>
      <c r="F17" s="35"/>
    </row>
    <row r="18">
      <c r="A18" s="35" t="s">
        <v>1097</v>
      </c>
      <c r="B18" s="35"/>
      <c r="C18" s="35" t="s">
        <v>1132</v>
      </c>
      <c r="D18" s="35" t="s">
        <v>3302</v>
      </c>
      <c r="E18" s="35"/>
      <c r="F18" s="35"/>
    </row>
    <row r="19">
      <c r="A19" s="35" t="s">
        <v>1097</v>
      </c>
      <c r="B19" s="35"/>
      <c r="C19" s="35" t="s">
        <v>1136</v>
      </c>
      <c r="D19" s="35" t="s">
        <v>1098</v>
      </c>
      <c r="E19" s="35"/>
      <c r="F19" s="35"/>
    </row>
    <row r="20">
      <c r="A20" s="35" t="s">
        <v>1097</v>
      </c>
      <c r="B20" s="35"/>
      <c r="C20" s="35" t="s">
        <v>1140</v>
      </c>
      <c r="D20" s="35" t="s">
        <v>1108</v>
      </c>
      <c r="E20" s="35"/>
      <c r="F20" s="35"/>
    </row>
    <row r="21" ht="15.75" customHeight="1">
      <c r="A21" s="35" t="s">
        <v>1097</v>
      </c>
      <c r="B21" s="35"/>
      <c r="C21" s="35" t="s">
        <v>1146</v>
      </c>
      <c r="D21" s="35" t="s">
        <v>1121</v>
      </c>
      <c r="E21" s="35"/>
      <c r="F21" s="35"/>
    </row>
    <row r="22" ht="15.75" customHeight="1">
      <c r="A22" s="35" t="s">
        <v>1097</v>
      </c>
      <c r="B22" s="35"/>
      <c r="C22" s="35" t="s">
        <v>1150</v>
      </c>
      <c r="D22" s="35" t="s">
        <v>1098</v>
      </c>
      <c r="E22" s="35"/>
      <c r="F22" s="35"/>
    </row>
    <row r="23" ht="15.75" customHeight="1">
      <c r="A23" s="35" t="s">
        <v>1097</v>
      </c>
      <c r="B23" s="35"/>
      <c r="C23" s="35" t="s">
        <v>1156</v>
      </c>
      <c r="D23" s="35" t="s">
        <v>3302</v>
      </c>
      <c r="E23" s="35"/>
      <c r="F23" s="35"/>
    </row>
    <row r="24" ht="15.75" customHeight="1">
      <c r="A24" s="35" t="s">
        <v>1097</v>
      </c>
      <c r="B24" s="35"/>
      <c r="C24" s="35" t="s">
        <v>1160</v>
      </c>
      <c r="D24" s="35" t="s">
        <v>1098</v>
      </c>
      <c r="E24" s="35"/>
      <c r="F24" s="35"/>
    </row>
    <row r="25" ht="15.75" customHeight="1">
      <c r="A25" s="35" t="s">
        <v>1097</v>
      </c>
      <c r="B25" s="35"/>
      <c r="C25" s="35" t="s">
        <v>1164</v>
      </c>
      <c r="D25" s="35" t="s">
        <v>1121</v>
      </c>
      <c r="E25" s="35"/>
      <c r="F25" s="35"/>
    </row>
    <row r="26" ht="15.75" customHeight="1">
      <c r="A26" s="35" t="s">
        <v>1097</v>
      </c>
      <c r="B26" s="35"/>
      <c r="C26" s="35" t="s">
        <v>1168</v>
      </c>
      <c r="D26" s="35" t="s">
        <v>3302</v>
      </c>
      <c r="E26" s="35"/>
      <c r="F26" s="35"/>
    </row>
    <row r="27" ht="15.75" customHeight="1">
      <c r="A27" s="35" t="s">
        <v>1097</v>
      </c>
      <c r="B27" s="35"/>
      <c r="C27" s="35" t="s">
        <v>1174</v>
      </c>
      <c r="D27" s="35" t="s">
        <v>1098</v>
      </c>
      <c r="E27" s="35"/>
      <c r="F27" s="35"/>
    </row>
    <row r="28" ht="15.75" customHeight="1">
      <c r="A28" s="35" t="s">
        <v>1097</v>
      </c>
      <c r="B28" s="35"/>
      <c r="C28" s="35" t="s">
        <v>1178</v>
      </c>
      <c r="D28" s="35" t="s">
        <v>1121</v>
      </c>
      <c r="E28" s="35"/>
      <c r="F28" s="35"/>
    </row>
    <row r="29" ht="15.75" customHeight="1">
      <c r="A29" s="35" t="s">
        <v>1097</v>
      </c>
      <c r="B29" s="35"/>
      <c r="C29" s="35" t="s">
        <v>1182</v>
      </c>
      <c r="D29" s="35" t="s">
        <v>1098</v>
      </c>
      <c r="E29" s="35"/>
      <c r="F29" s="35"/>
    </row>
    <row r="30" ht="15.75" customHeight="1">
      <c r="A30" s="35" t="s">
        <v>1097</v>
      </c>
      <c r="B30" s="35"/>
      <c r="C30" s="35" t="s">
        <v>1188</v>
      </c>
      <c r="D30" s="35" t="s">
        <v>3302</v>
      </c>
      <c r="E30" s="35"/>
      <c r="F30" s="35"/>
    </row>
    <row r="31" ht="15.75" customHeight="1">
      <c r="A31" s="35" t="s">
        <v>1193</v>
      </c>
      <c r="B31" s="35"/>
      <c r="C31" s="35" t="s">
        <v>1192</v>
      </c>
      <c r="D31" s="35" t="s">
        <v>1121</v>
      </c>
      <c r="E31" s="35"/>
      <c r="F31" s="35"/>
    </row>
    <row r="32" ht="15.75" customHeight="1">
      <c r="A32" s="35" t="s">
        <v>1193</v>
      </c>
      <c r="B32" s="35"/>
      <c r="C32" s="35" t="s">
        <v>1199</v>
      </c>
      <c r="D32" s="35" t="s">
        <v>1121</v>
      </c>
      <c r="E32" s="35"/>
      <c r="F32" s="35"/>
    </row>
    <row r="33" ht="15.75" customHeight="1">
      <c r="A33" s="35" t="s">
        <v>1193</v>
      </c>
      <c r="B33" s="35"/>
      <c r="C33" s="35" t="s">
        <v>1203</v>
      </c>
      <c r="D33" s="35" t="s">
        <v>1121</v>
      </c>
      <c r="E33" s="35"/>
      <c r="F33" s="35"/>
    </row>
    <row r="34" ht="15.75" customHeight="1">
      <c r="A34" s="35" t="s">
        <v>1193</v>
      </c>
      <c r="B34" s="35"/>
      <c r="C34" s="35" t="s">
        <v>1207</v>
      </c>
      <c r="D34" s="35" t="s">
        <v>1098</v>
      </c>
      <c r="E34" s="35"/>
      <c r="F34" s="35"/>
    </row>
    <row r="35" ht="15.75" customHeight="1">
      <c r="A35" s="35" t="s">
        <v>1193</v>
      </c>
      <c r="B35" s="35"/>
      <c r="C35" s="35" t="s">
        <v>1213</v>
      </c>
      <c r="D35" s="35" t="s">
        <v>3302</v>
      </c>
      <c r="E35" s="35"/>
      <c r="F35" s="35"/>
    </row>
    <row r="36" ht="15.75" customHeight="1">
      <c r="A36" s="35" t="s">
        <v>1193</v>
      </c>
      <c r="B36" s="35"/>
      <c r="C36" s="35" t="s">
        <v>1217</v>
      </c>
      <c r="D36" s="35" t="s">
        <v>1121</v>
      </c>
      <c r="E36" s="35"/>
      <c r="F36" s="35"/>
    </row>
    <row r="37" ht="15.75" customHeight="1">
      <c r="A37" s="35" t="s">
        <v>1193</v>
      </c>
      <c r="B37" s="35"/>
      <c r="C37" s="35" t="s">
        <v>1223</v>
      </c>
      <c r="D37" s="35" t="s">
        <v>1098</v>
      </c>
      <c r="E37" s="35"/>
      <c r="F37" s="35"/>
    </row>
    <row r="38" ht="15.75" customHeight="1">
      <c r="A38" s="35" t="s">
        <v>1193</v>
      </c>
      <c r="B38" s="35"/>
      <c r="C38" s="35" t="s">
        <v>1227</v>
      </c>
      <c r="D38" s="35" t="s">
        <v>1121</v>
      </c>
      <c r="E38" s="35"/>
      <c r="F38" s="35"/>
    </row>
    <row r="39" ht="15.75" customHeight="1">
      <c r="A39" s="35" t="s">
        <v>1193</v>
      </c>
      <c r="B39" s="35"/>
      <c r="C39" s="35" t="s">
        <v>1231</v>
      </c>
      <c r="D39" s="35" t="s">
        <v>1098</v>
      </c>
      <c r="E39" s="35"/>
      <c r="F39" s="35"/>
    </row>
    <row r="40" ht="15.75" customHeight="1">
      <c r="A40" s="35" t="s">
        <v>1193</v>
      </c>
      <c r="B40" s="35"/>
      <c r="C40" s="35" t="s">
        <v>1237</v>
      </c>
      <c r="D40" s="35" t="s">
        <v>1121</v>
      </c>
      <c r="E40" s="35"/>
      <c r="F40" s="35"/>
    </row>
    <row r="41" ht="15.75" customHeight="1">
      <c r="A41" s="35" t="s">
        <v>1193</v>
      </c>
      <c r="B41" s="35"/>
      <c r="C41" s="35" t="s">
        <v>1241</v>
      </c>
      <c r="D41" s="35" t="s">
        <v>1121</v>
      </c>
      <c r="E41" s="35"/>
      <c r="F41" s="35"/>
    </row>
    <row r="42" ht="15.75" customHeight="1">
      <c r="A42" s="35" t="s">
        <v>1193</v>
      </c>
      <c r="B42" s="35"/>
      <c r="C42" s="35" t="s">
        <v>1245</v>
      </c>
      <c r="D42" s="35" t="s">
        <v>1121</v>
      </c>
      <c r="E42" s="35"/>
      <c r="F42" s="35"/>
    </row>
    <row r="43" ht="15.75" customHeight="1">
      <c r="A43" s="35" t="s">
        <v>1193</v>
      </c>
      <c r="B43" s="35"/>
      <c r="C43" s="35" t="s">
        <v>1251</v>
      </c>
      <c r="D43" s="35" t="s">
        <v>1121</v>
      </c>
      <c r="E43" s="35"/>
      <c r="F43" s="35"/>
    </row>
    <row r="44" ht="15.75" customHeight="1">
      <c r="A44" s="35" t="s">
        <v>1193</v>
      </c>
      <c r="B44" s="35"/>
      <c r="C44" s="35" t="s">
        <v>1255</v>
      </c>
      <c r="D44" s="35" t="s">
        <v>1098</v>
      </c>
      <c r="E44" s="35"/>
      <c r="F44" s="35"/>
    </row>
    <row r="45" ht="15.75" customHeight="1">
      <c r="A45" s="35" t="s">
        <v>1193</v>
      </c>
      <c r="B45" s="35"/>
      <c r="C45" s="35" t="s">
        <v>1259</v>
      </c>
      <c r="D45" s="35" t="s">
        <v>1121</v>
      </c>
      <c r="E45" s="35"/>
      <c r="F45" s="35"/>
    </row>
    <row r="46" ht="15.75" customHeight="1">
      <c r="A46" s="35" t="s">
        <v>1193</v>
      </c>
      <c r="B46" s="35"/>
      <c r="C46" s="35" t="s">
        <v>1265</v>
      </c>
      <c r="D46" s="35" t="s">
        <v>1121</v>
      </c>
      <c r="E46" s="35"/>
      <c r="F46" s="35"/>
    </row>
    <row r="47" ht="15.75" customHeight="1">
      <c r="A47" s="35" t="s">
        <v>1193</v>
      </c>
      <c r="B47" s="35"/>
      <c r="C47" s="35" t="s">
        <v>1269</v>
      </c>
      <c r="D47" s="35" t="s">
        <v>3302</v>
      </c>
      <c r="E47" s="35"/>
      <c r="F47" s="35"/>
    </row>
    <row r="48" ht="15.75" customHeight="1">
      <c r="A48" s="35" t="s">
        <v>1193</v>
      </c>
      <c r="B48" s="35"/>
      <c r="C48" s="35" t="s">
        <v>1273</v>
      </c>
      <c r="D48" s="35" t="s">
        <v>1098</v>
      </c>
      <c r="E48" s="35"/>
      <c r="F48" s="35"/>
    </row>
    <row r="49" ht="15.75" customHeight="1">
      <c r="A49" s="35" t="s">
        <v>1193</v>
      </c>
      <c r="B49" s="35"/>
      <c r="C49" s="35" t="s">
        <v>1279</v>
      </c>
      <c r="D49" s="35" t="s">
        <v>1121</v>
      </c>
      <c r="E49" s="35"/>
      <c r="F49" s="35"/>
    </row>
    <row r="50" ht="15.75" customHeight="1">
      <c r="A50" s="35" t="s">
        <v>1193</v>
      </c>
      <c r="B50" s="35"/>
      <c r="C50" s="35" t="s">
        <v>1283</v>
      </c>
      <c r="D50" s="35" t="s">
        <v>1108</v>
      </c>
      <c r="E50" s="35"/>
      <c r="F50" s="35"/>
    </row>
    <row r="51" ht="15.75" customHeight="1">
      <c r="A51" s="35" t="s">
        <v>1288</v>
      </c>
      <c r="B51" s="35"/>
      <c r="C51" s="35" t="s">
        <v>1287</v>
      </c>
      <c r="D51" s="35" t="s">
        <v>1098</v>
      </c>
      <c r="E51" s="35"/>
      <c r="F51" s="35"/>
    </row>
    <row r="52" ht="15.75" customHeight="1">
      <c r="A52" s="35" t="s">
        <v>1288</v>
      </c>
      <c r="B52" s="35"/>
      <c r="C52" s="35" t="s">
        <v>1294</v>
      </c>
      <c r="D52" s="35" t="s">
        <v>1108</v>
      </c>
      <c r="E52" s="35"/>
      <c r="F52" s="35"/>
    </row>
    <row r="53" ht="15.75" customHeight="1">
      <c r="A53" s="35" t="s">
        <v>1288</v>
      </c>
      <c r="B53" s="35"/>
      <c r="C53" s="35" t="s">
        <v>1298</v>
      </c>
      <c r="D53" s="35" t="s">
        <v>1121</v>
      </c>
      <c r="E53" s="35"/>
      <c r="F53" s="35"/>
    </row>
    <row r="54" ht="15.75" customHeight="1">
      <c r="A54" s="35" t="s">
        <v>1288</v>
      </c>
      <c r="B54" s="35"/>
      <c r="C54" s="35" t="s">
        <v>1302</v>
      </c>
      <c r="D54" s="35" t="s">
        <v>1098</v>
      </c>
      <c r="E54" s="35"/>
      <c r="F54" s="35"/>
    </row>
    <row r="55" ht="15.75" customHeight="1">
      <c r="A55" s="35" t="s">
        <v>1288</v>
      </c>
      <c r="B55" s="35"/>
      <c r="C55" s="35" t="s">
        <v>1307</v>
      </c>
      <c r="D55" s="35" t="s">
        <v>3302</v>
      </c>
      <c r="E55" s="35"/>
      <c r="F55" s="35"/>
    </row>
    <row r="56" ht="15.75" customHeight="1">
      <c r="A56" s="35" t="s">
        <v>1288</v>
      </c>
      <c r="B56" s="35"/>
      <c r="C56" s="35" t="s">
        <v>1312</v>
      </c>
      <c r="D56" s="35" t="s">
        <v>1098</v>
      </c>
      <c r="E56" s="35"/>
      <c r="F56" s="35"/>
    </row>
    <row r="57" ht="15.75" customHeight="1">
      <c r="A57" s="35" t="s">
        <v>1288</v>
      </c>
      <c r="B57" s="35"/>
      <c r="C57" s="35" t="s">
        <v>1316</v>
      </c>
      <c r="D57" s="35" t="s">
        <v>1121</v>
      </c>
      <c r="E57" s="35"/>
      <c r="F57" s="35"/>
    </row>
    <row r="58" ht="15.75" customHeight="1">
      <c r="A58" s="35" t="s">
        <v>1288</v>
      </c>
      <c r="B58" s="35"/>
      <c r="C58" s="35" t="s">
        <v>1320</v>
      </c>
      <c r="D58" s="35" t="s">
        <v>3302</v>
      </c>
      <c r="E58" s="35"/>
      <c r="F58" s="35"/>
    </row>
    <row r="59" ht="15.75" customHeight="1">
      <c r="A59" s="35" t="s">
        <v>1288</v>
      </c>
      <c r="B59" s="35"/>
      <c r="C59" s="35" t="s">
        <v>1326</v>
      </c>
      <c r="D59" s="35" t="s">
        <v>1108</v>
      </c>
      <c r="E59" s="35"/>
      <c r="F59" s="35"/>
    </row>
    <row r="60" ht="15.75" customHeight="1">
      <c r="A60" s="35" t="s">
        <v>1288</v>
      </c>
      <c r="B60" s="35"/>
      <c r="C60" s="35" t="s">
        <v>1330</v>
      </c>
      <c r="D60" s="35" t="s">
        <v>1098</v>
      </c>
      <c r="E60" s="35"/>
      <c r="F60" s="35"/>
    </row>
    <row r="61" ht="15.75" customHeight="1">
      <c r="A61" s="35" t="s">
        <v>1288</v>
      </c>
      <c r="B61" s="35"/>
      <c r="C61" s="35" t="s">
        <v>1335</v>
      </c>
      <c r="D61" s="35" t="s">
        <v>1098</v>
      </c>
      <c r="E61" s="35"/>
      <c r="F61" s="35"/>
    </row>
    <row r="62" ht="15.75" customHeight="1">
      <c r="A62" s="35" t="s">
        <v>1288</v>
      </c>
      <c r="B62" s="35"/>
      <c r="C62" s="35" t="s">
        <v>1344</v>
      </c>
      <c r="D62" s="35" t="s">
        <v>3302</v>
      </c>
      <c r="E62" s="35"/>
      <c r="F62" s="35"/>
    </row>
    <row r="63" ht="15.75" customHeight="1">
      <c r="A63" s="35" t="s">
        <v>1358</v>
      </c>
      <c r="B63" s="35"/>
      <c r="C63" s="35" t="s">
        <v>1356</v>
      </c>
      <c r="D63" s="35" t="s">
        <v>1098</v>
      </c>
      <c r="E63" s="35"/>
      <c r="F63" s="35"/>
    </row>
    <row r="64" ht="15.75" customHeight="1">
      <c r="A64" s="35" t="s">
        <v>1358</v>
      </c>
      <c r="B64" s="35"/>
      <c r="C64" s="35" t="s">
        <v>1369</v>
      </c>
      <c r="D64" s="35" t="s">
        <v>1108</v>
      </c>
      <c r="E64" s="35"/>
      <c r="F64" s="35"/>
    </row>
    <row r="65" ht="15.75" customHeight="1">
      <c r="A65" s="35" t="s">
        <v>1358</v>
      </c>
      <c r="B65" s="35"/>
      <c r="C65" s="35" t="s">
        <v>1385</v>
      </c>
      <c r="D65" s="35" t="s">
        <v>3302</v>
      </c>
      <c r="E65" s="35"/>
      <c r="F65" s="35"/>
    </row>
    <row r="66" ht="15.75" customHeight="1">
      <c r="A66" s="35" t="s">
        <v>1358</v>
      </c>
      <c r="B66" s="35"/>
      <c r="C66" s="35" t="s">
        <v>1404</v>
      </c>
      <c r="D66" s="35" t="s">
        <v>1121</v>
      </c>
      <c r="E66" s="35"/>
      <c r="F66" s="35"/>
    </row>
    <row r="67" ht="15.75" customHeight="1">
      <c r="A67" s="35" t="s">
        <v>1358</v>
      </c>
      <c r="B67" s="35"/>
      <c r="C67" s="35" t="s">
        <v>1416</v>
      </c>
      <c r="D67" s="35" t="s">
        <v>3302</v>
      </c>
      <c r="E67" s="35"/>
      <c r="F67" s="35"/>
    </row>
    <row r="68" ht="15.75" customHeight="1">
      <c r="A68" s="35" t="s">
        <v>1358</v>
      </c>
      <c r="B68" s="35"/>
      <c r="C68" s="35" t="s">
        <v>1427</v>
      </c>
      <c r="D68" s="35" t="s">
        <v>1121</v>
      </c>
      <c r="E68" s="35"/>
      <c r="F68" s="35"/>
    </row>
    <row r="69" ht="15.75" customHeight="1">
      <c r="A69" s="35" t="s">
        <v>1358</v>
      </c>
      <c r="B69" s="35"/>
      <c r="C69" s="35" t="s">
        <v>1442</v>
      </c>
      <c r="D69" s="35" t="s">
        <v>1098</v>
      </c>
      <c r="E69" s="35"/>
      <c r="F69" s="35"/>
    </row>
    <row r="70" ht="15.75" customHeight="1">
      <c r="A70" s="35" t="s">
        <v>1358</v>
      </c>
      <c r="B70" s="35"/>
      <c r="C70" s="35" t="s">
        <v>1456</v>
      </c>
      <c r="D70" s="35" t="s">
        <v>1121</v>
      </c>
      <c r="E70" s="35"/>
      <c r="F70" s="35"/>
    </row>
    <row r="71" ht="15.75" customHeight="1">
      <c r="A71" s="35" t="s">
        <v>1358</v>
      </c>
      <c r="B71" s="35"/>
      <c r="C71" s="35" t="s">
        <v>1472</v>
      </c>
      <c r="D71" s="35" t="s">
        <v>1108</v>
      </c>
      <c r="E71" s="35"/>
      <c r="F71" s="35"/>
    </row>
    <row r="72" ht="15.75" customHeight="1">
      <c r="A72" s="35" t="s">
        <v>1358</v>
      </c>
      <c r="B72" s="35"/>
      <c r="C72" s="35" t="s">
        <v>1489</v>
      </c>
      <c r="D72" s="35" t="s">
        <v>3302</v>
      </c>
      <c r="E72" s="35"/>
      <c r="F72" s="35"/>
    </row>
    <row r="73" ht="15.75" customHeight="1">
      <c r="A73" s="35" t="s">
        <v>1502</v>
      </c>
      <c r="B73" s="35"/>
      <c r="C73" s="35" t="s">
        <v>1500</v>
      </c>
      <c r="D73" s="35" t="s">
        <v>3302</v>
      </c>
      <c r="E73" s="35"/>
      <c r="F73" s="35"/>
    </row>
    <row r="74" ht="15.75" customHeight="1">
      <c r="A74" s="35" t="s">
        <v>1502</v>
      </c>
      <c r="B74" s="35"/>
      <c r="C74" s="35" t="s">
        <v>1506</v>
      </c>
      <c r="D74" s="35" t="s">
        <v>1098</v>
      </c>
      <c r="E74" s="35"/>
      <c r="F74" s="35"/>
    </row>
    <row r="75" ht="15.75" customHeight="1">
      <c r="A75" s="35" t="s">
        <v>1502</v>
      </c>
      <c r="B75" s="35"/>
      <c r="C75" s="35" t="s">
        <v>1510</v>
      </c>
      <c r="D75" s="35" t="s">
        <v>1108</v>
      </c>
      <c r="E75" s="35"/>
      <c r="F75" s="35"/>
    </row>
    <row r="76" ht="15.75" customHeight="1">
      <c r="A76" s="35" t="s">
        <v>1502</v>
      </c>
      <c r="B76" s="35"/>
      <c r="C76" s="35" t="s">
        <v>1514</v>
      </c>
      <c r="D76" s="35" t="s">
        <v>1121</v>
      </c>
      <c r="E76" s="35"/>
      <c r="F76" s="35"/>
    </row>
    <row r="77" ht="15.75" customHeight="1">
      <c r="A77" s="35" t="s">
        <v>1502</v>
      </c>
      <c r="B77" s="35"/>
      <c r="C77" s="35" t="s">
        <v>1518</v>
      </c>
      <c r="D77" s="35" t="s">
        <v>1121</v>
      </c>
      <c r="E77" s="35"/>
      <c r="F77" s="35"/>
    </row>
    <row r="78" ht="15.75" customHeight="1">
      <c r="A78" s="35" t="s">
        <v>1502</v>
      </c>
      <c r="B78" s="35"/>
      <c r="C78" s="35" t="s">
        <v>1523</v>
      </c>
      <c r="D78" s="35" t="s">
        <v>1098</v>
      </c>
      <c r="E78" s="35"/>
      <c r="F78" s="35"/>
    </row>
    <row r="79" ht="15.75" customHeight="1">
      <c r="A79" s="35" t="s">
        <v>1502</v>
      </c>
      <c r="B79" s="35"/>
      <c r="C79" s="35" t="s">
        <v>1529</v>
      </c>
      <c r="D79" s="35" t="s">
        <v>1108</v>
      </c>
      <c r="E79" s="35"/>
      <c r="F79" s="35"/>
    </row>
    <row r="80" ht="15.75" customHeight="1">
      <c r="A80" s="35" t="s">
        <v>1502</v>
      </c>
      <c r="B80" s="35"/>
      <c r="C80" s="35" t="s">
        <v>1533</v>
      </c>
      <c r="D80" s="35" t="s">
        <v>3302</v>
      </c>
      <c r="E80" s="35"/>
      <c r="F80" s="35"/>
    </row>
    <row r="81" ht="15.75" customHeight="1">
      <c r="A81" s="35" t="s">
        <v>1502</v>
      </c>
      <c r="B81" s="35"/>
      <c r="C81" s="35" t="s">
        <v>1541</v>
      </c>
      <c r="D81" s="35" t="s">
        <v>3302</v>
      </c>
      <c r="E81" s="35"/>
      <c r="F81" s="35"/>
    </row>
    <row r="82" ht="15.75" customHeight="1">
      <c r="A82" s="35" t="s">
        <v>1502</v>
      </c>
      <c r="B82" s="35"/>
      <c r="C82" s="35" t="s">
        <v>1547</v>
      </c>
      <c r="D82" s="35" t="s">
        <v>1098</v>
      </c>
      <c r="E82" s="35"/>
      <c r="F82" s="35"/>
    </row>
    <row r="83" ht="15.75" customHeight="1">
      <c r="A83" s="35" t="s">
        <v>1555</v>
      </c>
      <c r="B83" s="35"/>
      <c r="C83" s="35" t="s">
        <v>1553</v>
      </c>
      <c r="D83" s="35" t="s">
        <v>3302</v>
      </c>
      <c r="E83" s="35"/>
      <c r="F83" s="35"/>
    </row>
    <row r="84" ht="15.75" customHeight="1">
      <c r="A84" s="35" t="s">
        <v>1555</v>
      </c>
      <c r="B84" s="35"/>
      <c r="C84" s="35" t="s">
        <v>1571</v>
      </c>
      <c r="D84" s="35" t="s">
        <v>1098</v>
      </c>
      <c r="E84" s="35"/>
      <c r="F84" s="35"/>
    </row>
    <row r="85" ht="15.75" customHeight="1">
      <c r="A85" s="35" t="s">
        <v>1555</v>
      </c>
      <c r="B85" s="35"/>
      <c r="C85" s="35" t="s">
        <v>1582</v>
      </c>
      <c r="D85" s="35" t="s">
        <v>1121</v>
      </c>
      <c r="E85" s="35"/>
      <c r="F85" s="35"/>
    </row>
    <row r="86" ht="15.75" customHeight="1">
      <c r="A86" s="35" t="s">
        <v>1555</v>
      </c>
      <c r="B86" s="35"/>
      <c r="C86" s="35" t="s">
        <v>1586</v>
      </c>
      <c r="D86" s="35" t="s">
        <v>3302</v>
      </c>
      <c r="E86" s="35"/>
      <c r="F86" s="35"/>
    </row>
    <row r="87" ht="15.75" customHeight="1">
      <c r="A87" s="35" t="s">
        <v>1555</v>
      </c>
      <c r="B87" s="35"/>
      <c r="C87" s="35" t="s">
        <v>1601</v>
      </c>
      <c r="D87" s="35" t="s">
        <v>1108</v>
      </c>
      <c r="E87" s="35"/>
      <c r="F87" s="35"/>
    </row>
    <row r="88" ht="15.75" customHeight="1">
      <c r="A88" s="35" t="s">
        <v>1555</v>
      </c>
      <c r="B88" s="35"/>
      <c r="C88" s="35" t="s">
        <v>1609</v>
      </c>
      <c r="D88" s="35" t="s">
        <v>1098</v>
      </c>
      <c r="E88" s="35"/>
      <c r="F88" s="35"/>
    </row>
    <row r="89" ht="15.75" customHeight="1">
      <c r="A89" s="35" t="s">
        <v>1555</v>
      </c>
      <c r="B89" s="35"/>
      <c r="C89" s="35" t="s">
        <v>1621</v>
      </c>
      <c r="D89" s="35" t="s">
        <v>3302</v>
      </c>
      <c r="E89" s="35"/>
      <c r="F89" s="35"/>
    </row>
    <row r="90" ht="15.75" customHeight="1">
      <c r="A90" s="35" t="s">
        <v>1555</v>
      </c>
      <c r="B90" s="35"/>
      <c r="C90" s="35" t="s">
        <v>1631</v>
      </c>
      <c r="D90" s="35" t="s">
        <v>1098</v>
      </c>
      <c r="E90" s="35"/>
      <c r="F90" s="35"/>
    </row>
    <row r="91" ht="15.75" customHeight="1">
      <c r="A91" s="35" t="s">
        <v>1555</v>
      </c>
      <c r="B91" s="35"/>
      <c r="C91" s="35" t="s">
        <v>1654</v>
      </c>
      <c r="D91" s="35" t="s">
        <v>1121</v>
      </c>
      <c r="E91" s="35"/>
      <c r="F91" s="35"/>
    </row>
    <row r="92" ht="15.75" customHeight="1">
      <c r="A92" s="35" t="s">
        <v>1555</v>
      </c>
      <c r="B92" s="35"/>
      <c r="C92" s="35" t="s">
        <v>1667</v>
      </c>
      <c r="D92" s="35" t="s">
        <v>3302</v>
      </c>
      <c r="E92" s="35"/>
      <c r="F92" s="35"/>
    </row>
    <row r="93" ht="15.75" customHeight="1">
      <c r="A93" s="35" t="s">
        <v>3291</v>
      </c>
      <c r="B93" s="35"/>
      <c r="C93" s="35" t="s">
        <v>3453</v>
      </c>
      <c r="D93" s="35" t="s">
        <v>1098</v>
      </c>
      <c r="E93" s="35"/>
      <c r="F93" s="35"/>
    </row>
    <row r="94" ht="15.75" customHeight="1">
      <c r="A94" s="35" t="s">
        <v>3291</v>
      </c>
      <c r="B94" s="35"/>
      <c r="C94" s="35" t="s">
        <v>3458</v>
      </c>
      <c r="D94" s="35" t="s">
        <v>1108</v>
      </c>
      <c r="E94" s="35"/>
      <c r="F94" s="35"/>
    </row>
    <row r="95" ht="15.75" customHeight="1">
      <c r="A95" s="35" t="s">
        <v>3291</v>
      </c>
      <c r="B95" s="35"/>
      <c r="C95" s="35" t="s">
        <v>3463</v>
      </c>
      <c r="D95" s="35" t="s">
        <v>3302</v>
      </c>
      <c r="E95" s="35"/>
      <c r="F95" s="35"/>
    </row>
    <row r="96" ht="15.75" customHeight="1">
      <c r="A96" s="35" t="s">
        <v>3291</v>
      </c>
      <c r="B96" s="35"/>
      <c r="C96" s="35" t="s">
        <v>3468</v>
      </c>
      <c r="D96" s="35" t="s">
        <v>1121</v>
      </c>
      <c r="E96" s="35"/>
      <c r="F96" s="35"/>
    </row>
    <row r="97" ht="15.75" customHeight="1">
      <c r="A97" s="35" t="s">
        <v>3291</v>
      </c>
      <c r="B97" s="35"/>
      <c r="C97" s="35" t="s">
        <v>3470</v>
      </c>
      <c r="D97" s="35" t="s">
        <v>3302</v>
      </c>
      <c r="E97" s="35"/>
      <c r="F97" s="35"/>
    </row>
    <row r="98" ht="15.75" customHeight="1">
      <c r="A98" s="35" t="s">
        <v>3291</v>
      </c>
      <c r="B98" s="35"/>
      <c r="C98" s="35" t="s">
        <v>3475</v>
      </c>
      <c r="D98" s="35" t="s">
        <v>1108</v>
      </c>
      <c r="E98" s="35"/>
      <c r="F98" s="35"/>
    </row>
    <row r="99" ht="15.75" customHeight="1">
      <c r="A99" s="35" t="s">
        <v>3291</v>
      </c>
      <c r="B99" s="35"/>
      <c r="C99" s="35" t="s">
        <v>3479</v>
      </c>
      <c r="D99" s="35" t="s">
        <v>1098</v>
      </c>
      <c r="E99" s="35"/>
      <c r="F99" s="35"/>
    </row>
    <row r="100" ht="15.75" customHeight="1">
      <c r="A100" s="35" t="s">
        <v>3291</v>
      </c>
      <c r="B100" s="35"/>
      <c r="C100" s="35" t="s">
        <v>3484</v>
      </c>
      <c r="D100" s="35" t="s">
        <v>1121</v>
      </c>
      <c r="E100" s="35"/>
      <c r="F100" s="35"/>
    </row>
    <row r="101" ht="15.75" customHeight="1">
      <c r="A101" s="35" t="s">
        <v>3291</v>
      </c>
      <c r="B101" s="35"/>
      <c r="C101" s="35" t="s">
        <v>3490</v>
      </c>
      <c r="D101" s="35" t="s">
        <v>3302</v>
      </c>
      <c r="E101" s="35"/>
      <c r="F101" s="35"/>
    </row>
    <row r="102" ht="15.75" customHeight="1">
      <c r="A102" s="35" t="s">
        <v>3291</v>
      </c>
      <c r="B102" s="35"/>
      <c r="C102" s="35" t="s">
        <v>3496</v>
      </c>
      <c r="D102" s="35" t="s">
        <v>1098</v>
      </c>
      <c r="E102" s="35"/>
      <c r="F102" s="35"/>
    </row>
    <row r="103" ht="15.75" customHeight="1">
      <c r="A103" s="35" t="s">
        <v>1288</v>
      </c>
      <c r="B103" s="35"/>
      <c r="C103" s="35" t="s">
        <v>1287</v>
      </c>
      <c r="D103" s="35" t="s">
        <v>1098</v>
      </c>
      <c r="E103" s="35"/>
      <c r="F103" s="35"/>
    </row>
    <row r="104" ht="15.75" customHeight="1">
      <c r="A104" s="35" t="s">
        <v>1288</v>
      </c>
      <c r="B104" s="35"/>
      <c r="C104" s="35" t="s">
        <v>1294</v>
      </c>
      <c r="D104" s="35" t="s">
        <v>3302</v>
      </c>
      <c r="E104" s="35"/>
      <c r="F104" s="35"/>
    </row>
    <row r="105" ht="15.75" customHeight="1">
      <c r="A105" s="35" t="s">
        <v>1288</v>
      </c>
      <c r="B105" s="35"/>
      <c r="C105" s="35" t="s">
        <v>1298</v>
      </c>
      <c r="D105" s="35" t="s">
        <v>1121</v>
      </c>
      <c r="E105" s="35"/>
      <c r="F105" s="35"/>
    </row>
    <row r="106" ht="15.75" customHeight="1">
      <c r="A106" s="35" t="s">
        <v>1288</v>
      </c>
      <c r="B106" s="35"/>
      <c r="C106" s="35" t="s">
        <v>1302</v>
      </c>
      <c r="D106" s="35" t="s">
        <v>1098</v>
      </c>
      <c r="E106" s="35"/>
      <c r="F106" s="35"/>
    </row>
    <row r="107" ht="15.75" customHeight="1">
      <c r="A107" s="35" t="s">
        <v>1288</v>
      </c>
      <c r="B107" s="35"/>
      <c r="C107" s="35" t="s">
        <v>1307</v>
      </c>
      <c r="D107" s="35" t="s">
        <v>3302</v>
      </c>
      <c r="E107" s="35"/>
      <c r="F107" s="35"/>
    </row>
    <row r="108" ht="15.75" customHeight="1">
      <c r="A108" s="35" t="s">
        <v>1288</v>
      </c>
      <c r="B108" s="35"/>
      <c r="C108" s="35" t="s">
        <v>1312</v>
      </c>
      <c r="D108" s="35" t="s">
        <v>1121</v>
      </c>
      <c r="E108" s="35"/>
      <c r="F108" s="35"/>
    </row>
    <row r="109" ht="15.75" customHeight="1">
      <c r="A109" s="35" t="s">
        <v>1288</v>
      </c>
      <c r="B109" s="35"/>
      <c r="C109" s="35" t="s">
        <v>1316</v>
      </c>
      <c r="D109" s="35" t="s">
        <v>1098</v>
      </c>
      <c r="E109" s="35"/>
      <c r="F109" s="35"/>
    </row>
    <row r="110" ht="15.75" customHeight="1">
      <c r="A110" s="35" t="s">
        <v>1288</v>
      </c>
      <c r="B110" s="35"/>
      <c r="C110" s="35" t="s">
        <v>1320</v>
      </c>
      <c r="D110" s="35" t="s">
        <v>3302</v>
      </c>
      <c r="E110" s="35"/>
      <c r="F110" s="35"/>
    </row>
    <row r="111" ht="15.75" customHeight="1">
      <c r="A111" s="35" t="s">
        <v>1288</v>
      </c>
      <c r="B111" s="35"/>
      <c r="C111" s="35" t="s">
        <v>1326</v>
      </c>
      <c r="D111" s="35" t="s">
        <v>1108</v>
      </c>
      <c r="E111" s="35"/>
      <c r="F111" s="35"/>
    </row>
    <row r="112" ht="15.75" customHeight="1">
      <c r="A112" s="35" t="s">
        <v>1288</v>
      </c>
      <c r="B112" s="35"/>
      <c r="C112" s="35" t="s">
        <v>1330</v>
      </c>
      <c r="D112" s="35" t="s">
        <v>1121</v>
      </c>
      <c r="E112" s="35"/>
      <c r="F112" s="35"/>
    </row>
    <row r="113" ht="15.75" customHeight="1">
      <c r="A113" s="35" t="s">
        <v>1288</v>
      </c>
      <c r="B113" s="35"/>
      <c r="C113" s="35" t="s">
        <v>3517</v>
      </c>
      <c r="D113" s="35" t="s">
        <v>1098</v>
      </c>
      <c r="E113" s="35"/>
      <c r="F113" s="35"/>
    </row>
    <row r="114" ht="15.75" customHeight="1">
      <c r="A114" s="35" t="s">
        <v>1288</v>
      </c>
      <c r="B114" s="35"/>
      <c r="C114" s="35" t="s">
        <v>3519</v>
      </c>
      <c r="D114" s="35" t="s">
        <v>1121</v>
      </c>
      <c r="E114" s="35"/>
      <c r="F114" s="35"/>
    </row>
    <row r="115" ht="15.75" customHeight="1">
      <c r="A115" s="35" t="s">
        <v>1288</v>
      </c>
      <c r="B115" s="35"/>
      <c r="C115" s="35" t="s">
        <v>3523</v>
      </c>
      <c r="D115" s="35" t="s">
        <v>3302</v>
      </c>
      <c r="E115" s="35"/>
      <c r="F115" s="35"/>
    </row>
    <row r="116" ht="15.75" customHeight="1">
      <c r="A116" s="35" t="s">
        <v>1288</v>
      </c>
      <c r="B116" s="35"/>
      <c r="C116" s="35" t="s">
        <v>3525</v>
      </c>
      <c r="D116" s="35" t="s">
        <v>1098</v>
      </c>
      <c r="E116" s="35"/>
      <c r="F116" s="35"/>
    </row>
    <row r="117" ht="15.75" customHeight="1">
      <c r="A117" s="35" t="s">
        <v>1288</v>
      </c>
      <c r="B117" s="35"/>
      <c r="C117" s="35" t="s">
        <v>3529</v>
      </c>
      <c r="D117" s="35" t="s">
        <v>1121</v>
      </c>
      <c r="E117" s="35"/>
      <c r="F117" s="35"/>
    </row>
    <row r="118" ht="15.75" customHeight="1">
      <c r="A118" s="35" t="s">
        <v>1288</v>
      </c>
      <c r="B118" s="35"/>
      <c r="C118" s="35" t="s">
        <v>3534</v>
      </c>
      <c r="D118" s="35" t="s">
        <v>1098</v>
      </c>
      <c r="E118" s="35"/>
      <c r="F118" s="35"/>
    </row>
    <row r="119" ht="15.75" customHeight="1">
      <c r="A119" s="35" t="s">
        <v>1288</v>
      </c>
      <c r="B119" s="35"/>
      <c r="C119" s="35" t="s">
        <v>3538</v>
      </c>
      <c r="D119" s="35" t="s">
        <v>3302</v>
      </c>
      <c r="E119" s="35"/>
      <c r="F119" s="35"/>
    </row>
    <row r="120" ht="15.75" customHeight="1">
      <c r="A120" s="35" t="s">
        <v>1288</v>
      </c>
      <c r="B120" s="35"/>
      <c r="C120" s="35" t="s">
        <v>3543</v>
      </c>
      <c r="D120" s="35" t="s">
        <v>1108</v>
      </c>
      <c r="E120" s="35"/>
      <c r="F120" s="35"/>
    </row>
    <row r="121" ht="15.75" customHeight="1">
      <c r="A121" s="35" t="s">
        <v>1288</v>
      </c>
      <c r="B121" s="35"/>
      <c r="C121" s="35" t="s">
        <v>3549</v>
      </c>
      <c r="D121" s="35" t="s">
        <v>1121</v>
      </c>
      <c r="E121" s="35"/>
      <c r="F121" s="35"/>
    </row>
    <row r="122" ht="15.75" customHeight="1">
      <c r="A122" s="35" t="s">
        <v>1288</v>
      </c>
      <c r="B122" s="35"/>
      <c r="C122" s="35" t="s">
        <v>3554</v>
      </c>
      <c r="D122" s="35" t="s">
        <v>3302</v>
      </c>
      <c r="E122" s="35"/>
      <c r="F122" s="35"/>
    </row>
    <row r="123" ht="15.75" customHeight="1">
      <c r="A123" s="35" t="s">
        <v>1358</v>
      </c>
      <c r="B123" s="35"/>
      <c r="C123" s="35" t="s">
        <v>1356</v>
      </c>
      <c r="D123" s="35" t="s">
        <v>3302</v>
      </c>
      <c r="E123" s="35"/>
      <c r="F123" s="35"/>
    </row>
    <row r="124" ht="15.75" customHeight="1">
      <c r="A124" s="35" t="s">
        <v>1358</v>
      </c>
      <c r="B124" s="35"/>
      <c r="C124" s="35" t="s">
        <v>1369</v>
      </c>
      <c r="D124" s="35" t="s">
        <v>1108</v>
      </c>
      <c r="E124" s="35"/>
      <c r="F124" s="35"/>
    </row>
    <row r="125" ht="15.75" customHeight="1">
      <c r="A125" s="35" t="s">
        <v>1358</v>
      </c>
      <c r="B125" s="35"/>
      <c r="C125" s="35" t="s">
        <v>1385</v>
      </c>
      <c r="D125" s="35" t="s">
        <v>1098</v>
      </c>
      <c r="E125" s="35"/>
      <c r="F125" s="35"/>
    </row>
    <row r="126" ht="15.75" customHeight="1">
      <c r="A126" s="35" t="s">
        <v>1358</v>
      </c>
      <c r="B126" s="35"/>
      <c r="C126" s="35" t="s">
        <v>1404</v>
      </c>
      <c r="D126" s="35" t="s">
        <v>1121</v>
      </c>
      <c r="E126" s="35"/>
      <c r="F126" s="35"/>
    </row>
    <row r="127" ht="15.75" customHeight="1">
      <c r="A127" s="35" t="s">
        <v>1358</v>
      </c>
      <c r="B127" s="35"/>
      <c r="C127" s="35" t="s">
        <v>3569</v>
      </c>
      <c r="D127" s="35" t="s">
        <v>3302</v>
      </c>
      <c r="E127" s="35"/>
      <c r="F127" s="35"/>
    </row>
    <row r="128" ht="15.75" customHeight="1">
      <c r="A128" s="35" t="s">
        <v>1358</v>
      </c>
      <c r="B128" s="35"/>
      <c r="C128" s="35" t="s">
        <v>1427</v>
      </c>
      <c r="D128" s="35" t="s">
        <v>1121</v>
      </c>
      <c r="E128" s="35"/>
      <c r="F128" s="35"/>
    </row>
    <row r="129" ht="15.75" customHeight="1">
      <c r="A129" s="35" t="s">
        <v>1358</v>
      </c>
      <c r="B129" s="35"/>
      <c r="C129" s="35" t="s">
        <v>1442</v>
      </c>
      <c r="D129" s="35" t="s">
        <v>1098</v>
      </c>
      <c r="E129" s="35"/>
      <c r="F129" s="35"/>
    </row>
    <row r="130" ht="15.75" customHeight="1">
      <c r="A130" s="35" t="s">
        <v>1358</v>
      </c>
      <c r="B130" s="35"/>
      <c r="C130" s="35" t="s">
        <v>1456</v>
      </c>
      <c r="D130" s="35" t="s">
        <v>3302</v>
      </c>
      <c r="E130" s="35"/>
      <c r="F130" s="35"/>
    </row>
    <row r="131" ht="15.75" customHeight="1">
      <c r="A131" s="35" t="s">
        <v>1358</v>
      </c>
      <c r="B131" s="35"/>
      <c r="C131" s="35" t="s">
        <v>1472</v>
      </c>
      <c r="D131" s="35" t="s">
        <v>1108</v>
      </c>
      <c r="E131" s="35"/>
      <c r="F131" s="35"/>
    </row>
    <row r="132" ht="15.75" customHeight="1">
      <c r="A132" s="35" t="s">
        <v>1358</v>
      </c>
      <c r="B132" s="35"/>
      <c r="C132" s="35" t="s">
        <v>1489</v>
      </c>
      <c r="D132" s="35" t="s">
        <v>1121</v>
      </c>
      <c r="E132" s="35"/>
      <c r="F132" s="35"/>
    </row>
    <row r="133" ht="15.75" customHeight="1">
      <c r="A133" s="35" t="s">
        <v>1358</v>
      </c>
      <c r="B133" s="35"/>
      <c r="C133" s="35" t="s">
        <v>3586</v>
      </c>
      <c r="D133" s="35" t="s">
        <v>3302</v>
      </c>
      <c r="E133" s="35"/>
      <c r="F133" s="35"/>
    </row>
    <row r="134" ht="15.75" customHeight="1">
      <c r="A134" s="35" t="s">
        <v>1358</v>
      </c>
      <c r="B134" s="35"/>
      <c r="C134" s="35" t="s">
        <v>3590</v>
      </c>
      <c r="D134" s="35" t="s">
        <v>1108</v>
      </c>
      <c r="E134" s="35"/>
      <c r="F134" s="35"/>
    </row>
    <row r="135" ht="15.75" customHeight="1">
      <c r="A135" s="35" t="s">
        <v>1358</v>
      </c>
      <c r="B135" s="35"/>
      <c r="C135" s="35" t="s">
        <v>3594</v>
      </c>
      <c r="D135" s="35" t="s">
        <v>1121</v>
      </c>
      <c r="E135" s="35"/>
      <c r="F135" s="35"/>
    </row>
    <row r="136" ht="15.75" customHeight="1">
      <c r="A136" s="35" t="s">
        <v>1358</v>
      </c>
      <c r="B136" s="35"/>
      <c r="C136" s="35" t="s">
        <v>3597</v>
      </c>
      <c r="D136" s="35" t="s">
        <v>3302</v>
      </c>
      <c r="E136" s="35"/>
      <c r="F136" s="35"/>
    </row>
    <row r="137" ht="15.75" customHeight="1">
      <c r="A137" s="35" t="s">
        <v>1358</v>
      </c>
      <c r="B137" s="35"/>
      <c r="C137" s="35" t="s">
        <v>3601</v>
      </c>
      <c r="D137" s="35" t="s">
        <v>1098</v>
      </c>
      <c r="E137" s="35"/>
      <c r="F137" s="35"/>
    </row>
    <row r="138" ht="15.75" customHeight="1">
      <c r="A138" s="35" t="s">
        <v>1358</v>
      </c>
      <c r="B138" s="35"/>
      <c r="C138" s="35" t="s">
        <v>3608</v>
      </c>
      <c r="D138" s="35" t="s">
        <v>1121</v>
      </c>
      <c r="E138" s="35"/>
      <c r="F138" s="35"/>
    </row>
    <row r="139" ht="15.75" customHeight="1">
      <c r="A139" s="35" t="s">
        <v>1358</v>
      </c>
      <c r="B139" s="35"/>
      <c r="C139" s="35" t="s">
        <v>3611</v>
      </c>
      <c r="D139" s="35" t="s">
        <v>1108</v>
      </c>
      <c r="E139" s="35"/>
      <c r="F139" s="35"/>
    </row>
    <row r="140" ht="15.75" customHeight="1">
      <c r="A140" s="35" t="s">
        <v>1358</v>
      </c>
      <c r="B140" s="35"/>
      <c r="C140" s="35" t="s">
        <v>3615</v>
      </c>
      <c r="D140" s="35" t="s">
        <v>3302</v>
      </c>
      <c r="E140" s="35"/>
      <c r="F140" s="35"/>
    </row>
    <row r="141" ht="15.75" customHeight="1">
      <c r="A141" s="35" t="s">
        <v>1358</v>
      </c>
      <c r="B141" s="35"/>
      <c r="C141" s="35" t="s">
        <v>3619</v>
      </c>
      <c r="D141" s="35" t="s">
        <v>1098</v>
      </c>
      <c r="E141" s="35"/>
      <c r="F141" s="35"/>
    </row>
    <row r="142" ht="15.75" customHeight="1">
      <c r="A142" s="35" t="s">
        <v>1358</v>
      </c>
      <c r="B142" s="35"/>
      <c r="C142" s="35" t="s">
        <v>3625</v>
      </c>
      <c r="D142" s="35" t="s">
        <v>1121</v>
      </c>
      <c r="E142" s="35"/>
      <c r="F142" s="35"/>
    </row>
    <row r="143" ht="15.75" customHeight="1">
      <c r="A143" s="35" t="s">
        <v>308</v>
      </c>
      <c r="B143" s="35"/>
      <c r="C143" s="35" t="s">
        <v>3627</v>
      </c>
      <c r="D143" s="35" t="s">
        <v>1098</v>
      </c>
      <c r="E143" s="35"/>
      <c r="F143" s="35"/>
    </row>
    <row r="144" ht="15.75" customHeight="1">
      <c r="A144" s="35" t="s">
        <v>308</v>
      </c>
      <c r="B144" s="35"/>
      <c r="C144" s="35" t="s">
        <v>3628</v>
      </c>
      <c r="D144" s="35" t="s">
        <v>1121</v>
      </c>
      <c r="E144" s="35"/>
      <c r="F144" s="35"/>
    </row>
    <row r="145" ht="15.75" customHeight="1">
      <c r="A145" s="35" t="s">
        <v>308</v>
      </c>
      <c r="B145" s="35"/>
      <c r="C145" s="35" t="s">
        <v>3633</v>
      </c>
      <c r="D145" s="35" t="s">
        <v>1108</v>
      </c>
      <c r="E145" s="35"/>
      <c r="F145" s="35"/>
    </row>
    <row r="146" ht="15.75" customHeight="1">
      <c r="A146" s="35" t="s">
        <v>308</v>
      </c>
      <c r="B146" s="35"/>
      <c r="C146" s="35" t="s">
        <v>3634</v>
      </c>
      <c r="D146" s="35" t="s">
        <v>3302</v>
      </c>
      <c r="E146" s="35"/>
      <c r="F146" s="35"/>
    </row>
    <row r="147" ht="15.75" customHeight="1">
      <c r="A147" s="35" t="s">
        <v>308</v>
      </c>
      <c r="B147" s="35"/>
      <c r="C147" s="35" t="s">
        <v>3638</v>
      </c>
      <c r="D147" s="35" t="s">
        <v>1098</v>
      </c>
      <c r="E147" s="35"/>
      <c r="F147" s="35"/>
    </row>
    <row r="148" ht="15.75" customHeight="1">
      <c r="A148" s="35" t="s">
        <v>308</v>
      </c>
      <c r="B148" s="35"/>
      <c r="C148" s="35" t="s">
        <v>3640</v>
      </c>
      <c r="D148" s="35" t="s">
        <v>1121</v>
      </c>
      <c r="E148" s="35"/>
      <c r="F148" s="35"/>
    </row>
    <row r="149" ht="15.75" customHeight="1">
      <c r="A149" s="35" t="s">
        <v>308</v>
      </c>
      <c r="B149" s="35"/>
      <c r="C149" s="35" t="s">
        <v>3645</v>
      </c>
      <c r="D149" s="35" t="s">
        <v>3302</v>
      </c>
      <c r="E149" s="35"/>
      <c r="F149" s="35"/>
    </row>
    <row r="150" ht="15.75" customHeight="1">
      <c r="A150" s="35" t="s">
        <v>308</v>
      </c>
      <c r="B150" s="35"/>
      <c r="C150" s="35" t="s">
        <v>3649</v>
      </c>
      <c r="D150" s="35" t="s">
        <v>1098</v>
      </c>
      <c r="E150" s="35"/>
      <c r="F150" s="35"/>
    </row>
    <row r="151" ht="15.75" customHeight="1">
      <c r="A151" s="35" t="s">
        <v>308</v>
      </c>
      <c r="B151" s="35"/>
      <c r="C151" s="35" t="s">
        <v>3654</v>
      </c>
      <c r="D151" s="35" t="s">
        <v>1121</v>
      </c>
      <c r="E151" s="35"/>
      <c r="F151" s="35"/>
    </row>
    <row r="152" ht="15.75" customHeight="1">
      <c r="A152" s="35" t="s">
        <v>308</v>
      </c>
      <c r="B152" s="35"/>
      <c r="C152" s="35" t="s">
        <v>3658</v>
      </c>
      <c r="D152" s="35" t="s">
        <v>1108</v>
      </c>
      <c r="E152" s="35"/>
      <c r="F152" s="35"/>
    </row>
    <row r="153" ht="15.75" customHeight="1">
      <c r="A153" s="35" t="s">
        <v>308</v>
      </c>
      <c r="B153" s="35"/>
      <c r="C153" s="35" t="s">
        <v>3661</v>
      </c>
      <c r="D153" s="35" t="s">
        <v>1121</v>
      </c>
      <c r="E153" s="35"/>
      <c r="F153" s="35"/>
    </row>
    <row r="154" ht="15.75" customHeight="1">
      <c r="A154" s="35" t="s">
        <v>308</v>
      </c>
      <c r="B154" s="35"/>
      <c r="C154" s="35" t="s">
        <v>3664</v>
      </c>
      <c r="D154" s="35" t="s">
        <v>3302</v>
      </c>
      <c r="E154" s="35"/>
      <c r="F154" s="35"/>
    </row>
    <row r="155" ht="15.75" customHeight="1">
      <c r="A155" s="35" t="s">
        <v>308</v>
      </c>
      <c r="B155" s="35"/>
      <c r="C155" s="35" t="s">
        <v>3668</v>
      </c>
      <c r="D155" s="35" t="s">
        <v>1121</v>
      </c>
      <c r="E155" s="35"/>
      <c r="F155" s="35"/>
    </row>
    <row r="156" ht="15.75" customHeight="1">
      <c r="A156" s="35" t="s">
        <v>308</v>
      </c>
      <c r="B156" s="35"/>
      <c r="C156" s="35" t="s">
        <v>3672</v>
      </c>
      <c r="D156" s="35" t="s">
        <v>1108</v>
      </c>
      <c r="E156" s="35"/>
      <c r="F156" s="35"/>
    </row>
    <row r="157" ht="15.75" customHeight="1">
      <c r="A157" s="35" t="s">
        <v>308</v>
      </c>
      <c r="B157" s="35"/>
      <c r="C157" s="35" t="s">
        <v>3674</v>
      </c>
      <c r="D157" s="35" t="s">
        <v>1098</v>
      </c>
      <c r="E157" s="35"/>
      <c r="F157" s="35"/>
    </row>
    <row r="158" ht="15.75" customHeight="1">
      <c r="A158" s="35" t="s">
        <v>308</v>
      </c>
      <c r="B158" s="35"/>
      <c r="C158" s="35" t="s">
        <v>3676</v>
      </c>
      <c r="D158" s="35" t="s">
        <v>3302</v>
      </c>
      <c r="E158" s="35"/>
      <c r="F158" s="35"/>
    </row>
    <row r="159" ht="15.75" customHeight="1">
      <c r="A159" s="35" t="s">
        <v>308</v>
      </c>
      <c r="B159" s="35"/>
      <c r="C159" s="35" t="s">
        <v>3679</v>
      </c>
      <c r="D159" s="35" t="s">
        <v>1121</v>
      </c>
      <c r="E159" s="35"/>
      <c r="F159" s="35"/>
    </row>
    <row r="160" ht="15.75" customHeight="1">
      <c r="A160" s="35" t="s">
        <v>308</v>
      </c>
      <c r="B160" s="35"/>
      <c r="C160" s="35" t="s">
        <v>3681</v>
      </c>
      <c r="D160" s="35" t="s">
        <v>1098</v>
      </c>
      <c r="E160" s="35"/>
      <c r="F160" s="35"/>
    </row>
    <row r="161" ht="15.75" customHeight="1">
      <c r="A161" s="35" t="s">
        <v>308</v>
      </c>
      <c r="B161" s="35"/>
      <c r="C161" s="35" t="s">
        <v>3685</v>
      </c>
      <c r="D161" s="35" t="s">
        <v>1108</v>
      </c>
      <c r="E161" s="35"/>
      <c r="F161" s="35"/>
    </row>
    <row r="162" ht="15.75" customHeight="1">
      <c r="A162" s="35" t="s">
        <v>308</v>
      </c>
      <c r="B162" s="35"/>
      <c r="C162" s="35" t="s">
        <v>3686</v>
      </c>
      <c r="D162" s="35" t="s">
        <v>1121</v>
      </c>
      <c r="E162" s="35"/>
      <c r="F162" s="35"/>
    </row>
    <row r="163" ht="15.75" customHeight="1">
      <c r="A163" s="35" t="s">
        <v>3271</v>
      </c>
      <c r="B163" s="35"/>
      <c r="C163" s="35" t="s">
        <v>3690</v>
      </c>
      <c r="D163" s="35" t="s">
        <v>1121</v>
      </c>
      <c r="E163" s="35"/>
      <c r="F163" s="35"/>
    </row>
    <row r="164" ht="15.75" customHeight="1">
      <c r="A164" s="35" t="s">
        <v>3271</v>
      </c>
      <c r="B164" s="35"/>
      <c r="C164" s="35" t="s">
        <v>3693</v>
      </c>
      <c r="D164" s="35" t="s">
        <v>1098</v>
      </c>
      <c r="E164" s="35"/>
      <c r="F164" s="35"/>
    </row>
    <row r="165" ht="15.75" customHeight="1">
      <c r="A165" s="35" t="s">
        <v>3271</v>
      </c>
      <c r="B165" s="35"/>
      <c r="C165" s="35" t="s">
        <v>3699</v>
      </c>
      <c r="D165" s="35" t="s">
        <v>3302</v>
      </c>
      <c r="E165" s="35"/>
      <c r="F165" s="35"/>
    </row>
    <row r="166" ht="15.75" customHeight="1">
      <c r="A166" s="35" t="s">
        <v>3271</v>
      </c>
      <c r="B166" s="35"/>
      <c r="C166" s="35" t="s">
        <v>3701</v>
      </c>
      <c r="D166" s="35" t="s">
        <v>1121</v>
      </c>
      <c r="E166" s="35"/>
      <c r="F166" s="35"/>
    </row>
    <row r="167" ht="15.75" customHeight="1">
      <c r="A167" s="35" t="s">
        <v>3271</v>
      </c>
      <c r="B167" s="35"/>
      <c r="C167" s="35" t="s">
        <v>3705</v>
      </c>
      <c r="D167" s="35" t="s">
        <v>1108</v>
      </c>
      <c r="E167" s="35"/>
      <c r="F167" s="35"/>
    </row>
    <row r="168" ht="15.75" customHeight="1">
      <c r="A168" s="35" t="s">
        <v>3271</v>
      </c>
      <c r="B168" s="35"/>
      <c r="C168" s="35" t="s">
        <v>3707</v>
      </c>
      <c r="D168" s="35" t="s">
        <v>1098</v>
      </c>
      <c r="E168" s="35"/>
      <c r="F168" s="35"/>
    </row>
    <row r="169" ht="15.75" customHeight="1">
      <c r="A169" s="35" t="s">
        <v>3271</v>
      </c>
      <c r="B169" s="35"/>
      <c r="C169" s="35" t="s">
        <v>3712</v>
      </c>
      <c r="D169" s="35" t="s">
        <v>1121</v>
      </c>
      <c r="E169" s="35"/>
      <c r="F169" s="35"/>
    </row>
    <row r="170" ht="15.75" customHeight="1">
      <c r="A170" s="35" t="s">
        <v>3271</v>
      </c>
      <c r="B170" s="35"/>
      <c r="C170" s="35" t="s">
        <v>3715</v>
      </c>
      <c r="D170" s="35" t="s">
        <v>3302</v>
      </c>
      <c r="E170" s="35"/>
      <c r="F170" s="35"/>
    </row>
    <row r="171" ht="15.75" customHeight="1">
      <c r="A171" s="35" t="s">
        <v>3271</v>
      </c>
      <c r="B171" s="35"/>
      <c r="C171" s="35" t="s">
        <v>3720</v>
      </c>
      <c r="D171" s="35" t="s">
        <v>1098</v>
      </c>
      <c r="E171" s="35"/>
      <c r="F171" s="35"/>
    </row>
    <row r="172" ht="15.75" customHeight="1">
      <c r="A172" s="35" t="s">
        <v>3271</v>
      </c>
      <c r="B172" s="35"/>
      <c r="C172" s="35" t="s">
        <v>3724</v>
      </c>
      <c r="D172" s="35" t="s">
        <v>1121</v>
      </c>
      <c r="E172" s="35"/>
      <c r="F172" s="35"/>
    </row>
    <row r="173" ht="15.75" customHeight="1">
      <c r="A173" s="35" t="s">
        <v>3271</v>
      </c>
      <c r="B173" s="35"/>
      <c r="C173" s="35" t="s">
        <v>3729</v>
      </c>
      <c r="D173" s="35" t="s">
        <v>3302</v>
      </c>
      <c r="E173" s="35"/>
      <c r="F173" s="35"/>
    </row>
    <row r="174" ht="15.75" customHeight="1">
      <c r="A174" s="35" t="s">
        <v>3271</v>
      </c>
      <c r="B174" s="35"/>
      <c r="C174" s="35" t="s">
        <v>3734</v>
      </c>
      <c r="D174" s="35" t="s">
        <v>1108</v>
      </c>
      <c r="E174" s="35"/>
      <c r="F174" s="35"/>
    </row>
    <row r="175" ht="15.75" customHeight="1">
      <c r="A175" s="35" t="s">
        <v>3273</v>
      </c>
      <c r="B175" s="35"/>
      <c r="C175" s="35" t="s">
        <v>3737</v>
      </c>
      <c r="D175" s="35" t="s">
        <v>1121</v>
      </c>
      <c r="E175" s="35"/>
      <c r="F175" s="35"/>
    </row>
    <row r="176" ht="15.75" customHeight="1">
      <c r="A176" s="35" t="s">
        <v>3273</v>
      </c>
      <c r="B176" s="35"/>
      <c r="C176" s="35" t="s">
        <v>3741</v>
      </c>
      <c r="D176" s="35" t="s">
        <v>1098</v>
      </c>
      <c r="E176" s="35"/>
      <c r="F176" s="35"/>
    </row>
    <row r="177" ht="15.75" customHeight="1">
      <c r="A177" s="35" t="s">
        <v>3273</v>
      </c>
      <c r="B177" s="35"/>
      <c r="C177" s="35" t="s">
        <v>3744</v>
      </c>
      <c r="D177" s="35" t="s">
        <v>3302</v>
      </c>
      <c r="E177" s="35"/>
      <c r="F177" s="35"/>
    </row>
    <row r="178" ht="15.75" customHeight="1">
      <c r="A178" s="35" t="s">
        <v>3273</v>
      </c>
      <c r="B178" s="35"/>
      <c r="C178" s="35" t="s">
        <v>3747</v>
      </c>
      <c r="D178" s="35" t="s">
        <v>1108</v>
      </c>
      <c r="E178" s="35"/>
      <c r="F178" s="35"/>
    </row>
    <row r="179" ht="15.75" customHeight="1">
      <c r="A179" s="35" t="s">
        <v>3273</v>
      </c>
      <c r="B179" s="35"/>
      <c r="C179" s="35" t="s">
        <v>3752</v>
      </c>
      <c r="D179" s="35" t="s">
        <v>1098</v>
      </c>
      <c r="E179" s="35"/>
      <c r="F179" s="35"/>
    </row>
    <row r="180" ht="15.75" customHeight="1">
      <c r="A180" s="35" t="s">
        <v>3273</v>
      </c>
      <c r="B180" s="35"/>
      <c r="C180" s="35" t="s">
        <v>3756</v>
      </c>
      <c r="D180" s="35" t="s">
        <v>1121</v>
      </c>
      <c r="E180" s="35"/>
      <c r="F180" s="35"/>
    </row>
    <row r="181" ht="15.75" customHeight="1">
      <c r="A181" s="35" t="s">
        <v>3273</v>
      </c>
      <c r="B181" s="35"/>
      <c r="C181" s="35" t="s">
        <v>3761</v>
      </c>
      <c r="D181" s="35" t="s">
        <v>3302</v>
      </c>
      <c r="E181" s="35"/>
      <c r="F181" s="35"/>
    </row>
    <row r="182" ht="15.75" customHeight="1">
      <c r="A182" s="35" t="s">
        <v>3273</v>
      </c>
      <c r="B182" s="35"/>
      <c r="C182" s="35" t="s">
        <v>3764</v>
      </c>
      <c r="D182" s="35" t="s">
        <v>1108</v>
      </c>
      <c r="E182" s="35"/>
      <c r="F182" s="35"/>
    </row>
    <row r="183" ht="15.75" customHeight="1">
      <c r="A183" s="35" t="s">
        <v>3273</v>
      </c>
      <c r="B183" s="35"/>
      <c r="C183" s="35" t="s">
        <v>3768</v>
      </c>
      <c r="D183" s="35" t="s">
        <v>1121</v>
      </c>
      <c r="E183" s="35"/>
      <c r="F183" s="35"/>
    </row>
    <row r="184" ht="15.75" customHeight="1">
      <c r="A184" s="35" t="s">
        <v>3273</v>
      </c>
      <c r="B184" s="35"/>
      <c r="C184" s="35" t="s">
        <v>3770</v>
      </c>
      <c r="D184" s="35" t="s">
        <v>1098</v>
      </c>
      <c r="E184" s="35"/>
      <c r="F184" s="35"/>
    </row>
    <row r="185" ht="15.75" customHeight="1">
      <c r="A185" s="35" t="s">
        <v>381</v>
      </c>
      <c r="B185" s="35"/>
      <c r="C185" s="35" t="s">
        <v>3773</v>
      </c>
      <c r="D185" s="35" t="s">
        <v>1121</v>
      </c>
      <c r="E185" s="35"/>
      <c r="F185" s="35"/>
    </row>
    <row r="186" ht="15.75" customHeight="1">
      <c r="A186" s="35" t="s">
        <v>381</v>
      </c>
      <c r="B186" s="35"/>
      <c r="C186" s="35" t="s">
        <v>3778</v>
      </c>
      <c r="D186" s="35" t="s">
        <v>3302</v>
      </c>
      <c r="E186" s="35"/>
      <c r="F186" s="35"/>
    </row>
    <row r="187" ht="15.75" customHeight="1">
      <c r="A187" s="35" t="s">
        <v>381</v>
      </c>
      <c r="B187" s="35"/>
      <c r="C187" s="35" t="s">
        <v>3781</v>
      </c>
      <c r="D187" s="35" t="s">
        <v>1098</v>
      </c>
      <c r="E187" s="35"/>
      <c r="F187" s="35"/>
    </row>
    <row r="188" ht="15.75" customHeight="1">
      <c r="A188" s="35" t="s">
        <v>381</v>
      </c>
      <c r="B188" s="35"/>
      <c r="C188" s="35" t="s">
        <v>3786</v>
      </c>
      <c r="D188" s="35" t="s">
        <v>1108</v>
      </c>
      <c r="E188" s="35"/>
      <c r="F188" s="35"/>
    </row>
    <row r="189" ht="15.75" customHeight="1">
      <c r="A189" s="35" t="s">
        <v>381</v>
      </c>
      <c r="B189" s="35"/>
      <c r="C189" s="35" t="s">
        <v>3792</v>
      </c>
      <c r="D189" s="35" t="s">
        <v>1121</v>
      </c>
      <c r="E189" s="35"/>
      <c r="F189" s="35"/>
    </row>
    <row r="190" ht="15.75" customHeight="1">
      <c r="A190" s="35" t="s">
        <v>381</v>
      </c>
      <c r="B190" s="35"/>
      <c r="C190" s="35" t="s">
        <v>3796</v>
      </c>
      <c r="D190" s="35" t="s">
        <v>3302</v>
      </c>
      <c r="E190" s="35"/>
      <c r="F190" s="35"/>
    </row>
    <row r="191" ht="15.75" customHeight="1">
      <c r="A191" s="35" t="s">
        <v>381</v>
      </c>
      <c r="B191" s="35"/>
      <c r="C191" s="35" t="s">
        <v>3798</v>
      </c>
      <c r="D191" s="35" t="s">
        <v>1098</v>
      </c>
      <c r="E191" s="35"/>
      <c r="F191" s="35"/>
    </row>
    <row r="192" ht="15.75" customHeight="1">
      <c r="A192" s="35" t="s">
        <v>381</v>
      </c>
      <c r="B192" s="35"/>
      <c r="C192" s="35" t="s">
        <v>3803</v>
      </c>
      <c r="D192" s="35" t="s">
        <v>1108</v>
      </c>
      <c r="E192" s="35"/>
      <c r="F192" s="35"/>
    </row>
    <row r="193" ht="15.75" customHeight="1">
      <c r="A193" s="35" t="s">
        <v>381</v>
      </c>
      <c r="B193" s="35"/>
      <c r="C193" s="35" t="s">
        <v>3807</v>
      </c>
      <c r="D193" s="35" t="s">
        <v>1121</v>
      </c>
      <c r="E193" s="35"/>
      <c r="F193" s="35"/>
    </row>
    <row r="194" ht="15.75" customHeight="1">
      <c r="A194" s="35" t="s">
        <v>381</v>
      </c>
      <c r="B194" s="35"/>
      <c r="C194" s="35" t="s">
        <v>3809</v>
      </c>
      <c r="D194" s="35" t="s">
        <v>3302</v>
      </c>
      <c r="E194" s="35"/>
      <c r="F194" s="35"/>
    </row>
    <row r="195" ht="15.75" customHeight="1">
      <c r="A195" s="35" t="s">
        <v>381</v>
      </c>
      <c r="B195" s="35"/>
      <c r="C195" s="35" t="s">
        <v>3813</v>
      </c>
      <c r="D195" s="35" t="s">
        <v>1098</v>
      </c>
      <c r="E195" s="35"/>
      <c r="F195" s="35"/>
    </row>
    <row r="196" ht="15.75" customHeight="1">
      <c r="A196" s="35" t="s">
        <v>381</v>
      </c>
      <c r="B196" s="35"/>
      <c r="C196" s="35" t="s">
        <v>3818</v>
      </c>
      <c r="D196" s="35" t="s">
        <v>1121</v>
      </c>
      <c r="E196" s="35"/>
      <c r="F196" s="35"/>
    </row>
    <row r="197" ht="15.75" customHeight="1">
      <c r="A197" s="35"/>
      <c r="B197" s="35"/>
      <c r="C197" s="35"/>
      <c r="D197" s="35"/>
      <c r="E197" s="35"/>
      <c r="F197" s="35"/>
    </row>
    <row r="198" ht="15.75" customHeight="1">
      <c r="A198" s="35"/>
      <c r="B198" s="35"/>
      <c r="C198" s="35"/>
      <c r="D198" s="35"/>
      <c r="E198" s="35"/>
      <c r="F198" s="35"/>
    </row>
    <row r="199" ht="15.75" customHeight="1">
      <c r="A199" s="35"/>
      <c r="B199" s="35"/>
      <c r="C199" s="35"/>
      <c r="D199" s="35"/>
      <c r="E199" s="35"/>
      <c r="F199" s="35"/>
    </row>
    <row r="200" ht="15.75" customHeight="1">
      <c r="A200" s="35"/>
      <c r="B200" s="35"/>
      <c r="C200" s="35"/>
      <c r="D200" s="35"/>
      <c r="E200" s="35"/>
      <c r="F200" s="35"/>
    </row>
    <row r="201" ht="15.75" customHeight="1">
      <c r="A201" s="35"/>
      <c r="B201" s="35"/>
      <c r="C201" s="35"/>
      <c r="D201" s="35"/>
      <c r="E201" s="35"/>
      <c r="F201" s="35"/>
    </row>
    <row r="202" ht="15.75" customHeight="1">
      <c r="A202" s="35" t="s">
        <v>3832</v>
      </c>
      <c r="B202" s="35"/>
      <c r="C202" s="35"/>
      <c r="D202" s="35"/>
      <c r="E202" s="35"/>
      <c r="F202" s="35"/>
    </row>
    <row r="203" ht="15.75" customHeight="1">
      <c r="A203" s="35" t="s">
        <v>3836</v>
      </c>
      <c r="B203" s="35" t="s">
        <v>3839</v>
      </c>
      <c r="C203" s="35"/>
      <c r="D203" s="35"/>
      <c r="E203" s="35"/>
      <c r="F203" s="35"/>
    </row>
    <row r="204" ht="15.75" customHeight="1">
      <c r="A204" s="35" t="s">
        <v>3841</v>
      </c>
      <c r="B204" s="35">
        <v>26.0</v>
      </c>
      <c r="C204" s="35" t="s">
        <v>3846</v>
      </c>
      <c r="D204" s="35"/>
      <c r="E204" s="35"/>
      <c r="F204" s="35"/>
    </row>
    <row r="205" ht="15.75" customHeight="1">
      <c r="A205" s="35" t="s">
        <v>3848</v>
      </c>
      <c r="B205" s="35">
        <v>26.0</v>
      </c>
      <c r="C205" s="35" t="s">
        <v>3851</v>
      </c>
      <c r="D205" s="35"/>
      <c r="E205" s="35"/>
      <c r="F205" s="35"/>
    </row>
    <row r="206" ht="15.75" customHeight="1">
      <c r="A206" s="35" t="s">
        <v>3853</v>
      </c>
      <c r="B206" s="35">
        <v>6.0</v>
      </c>
      <c r="C206" s="35" t="s">
        <v>3855</v>
      </c>
      <c r="D206" s="35"/>
      <c r="E206" s="35"/>
      <c r="F206" s="35"/>
    </row>
    <row r="207" ht="15.75" customHeight="1">
      <c r="A207" s="35" t="s">
        <v>3860</v>
      </c>
      <c r="B207" s="35">
        <v>3.0</v>
      </c>
      <c r="C207" s="35" t="s">
        <v>3862</v>
      </c>
      <c r="D207" s="35"/>
      <c r="E207" s="35"/>
      <c r="F207" s="35"/>
    </row>
    <row r="208" ht="15.75" customHeight="1">
      <c r="A208" s="35" t="s">
        <v>3866</v>
      </c>
      <c r="B208" s="35">
        <v>2.0</v>
      </c>
      <c r="C208" s="35" t="s">
        <v>3869</v>
      </c>
      <c r="D208" s="35"/>
      <c r="E208" s="35"/>
      <c r="F208" s="35"/>
    </row>
    <row r="209" ht="15.75" customHeight="1">
      <c r="A209" s="35" t="s">
        <v>3871</v>
      </c>
      <c r="B209" s="35">
        <v>8.0</v>
      </c>
      <c r="C209" s="35" t="s">
        <v>3874</v>
      </c>
      <c r="D209" s="35"/>
      <c r="E209" s="35"/>
      <c r="F209" s="35"/>
    </row>
    <row r="210" ht="15.75" customHeight="1">
      <c r="A210" s="35" t="s">
        <v>3877</v>
      </c>
      <c r="B210" s="35">
        <v>1.0</v>
      </c>
      <c r="C210" s="35" t="s">
        <v>3862</v>
      </c>
      <c r="D210" s="35"/>
      <c r="E210" s="35"/>
      <c r="F210" s="35"/>
    </row>
    <row r="211" ht="15.75" customHeight="1">
      <c r="A211" s="35" t="s">
        <v>3881</v>
      </c>
      <c r="B211" s="35">
        <v>2.0</v>
      </c>
      <c r="C211" s="35" t="s">
        <v>3846</v>
      </c>
      <c r="D211" s="35"/>
      <c r="E211" s="35"/>
      <c r="F211" s="35"/>
    </row>
    <row r="212" ht="15.75" customHeight="1">
      <c r="A212" s="35" t="s">
        <v>3885</v>
      </c>
      <c r="B212" s="35">
        <v>24.0</v>
      </c>
      <c r="C212" s="35" t="s">
        <v>3846</v>
      </c>
      <c r="D212" s="35"/>
      <c r="E212" s="35"/>
      <c r="F212" s="35"/>
    </row>
    <row r="213" ht="15.75" customHeight="1">
      <c r="A213" s="35" t="s">
        <v>3889</v>
      </c>
      <c r="B213" s="35"/>
      <c r="C213" s="35"/>
      <c r="D213" s="35"/>
      <c r="E213" s="35"/>
      <c r="F213" s="35"/>
    </row>
    <row r="214" ht="15.75" customHeight="1">
      <c r="A214" s="35">
        <v>0.0</v>
      </c>
      <c r="B214" s="35" t="s">
        <v>165</v>
      </c>
      <c r="C214" s="35" t="s">
        <v>210</v>
      </c>
      <c r="D214" s="35" t="s">
        <v>3893</v>
      </c>
      <c r="E214" s="35"/>
      <c r="F214" s="35"/>
    </row>
    <row r="215" ht="15.75" customHeight="1">
      <c r="A215" s="35" t="s">
        <v>2522</v>
      </c>
      <c r="B215" s="35">
        <v>2.0</v>
      </c>
      <c r="C215" s="35" t="s">
        <v>165</v>
      </c>
      <c r="D215" s="35" t="s">
        <v>210</v>
      </c>
      <c r="E215" s="35" t="s">
        <v>3846</v>
      </c>
      <c r="F215" s="35"/>
    </row>
    <row r="216" ht="15.75" customHeight="1">
      <c r="A216" s="35" t="s">
        <v>2518</v>
      </c>
      <c r="B216" s="35">
        <v>2.0</v>
      </c>
      <c r="C216" s="35" t="s">
        <v>165</v>
      </c>
      <c r="D216" s="35" t="s">
        <v>210</v>
      </c>
      <c r="E216" s="35" t="s">
        <v>3902</v>
      </c>
      <c r="F216" s="35"/>
    </row>
    <row r="217" ht="15.75" customHeight="1">
      <c r="A217" s="35" t="s">
        <v>2500</v>
      </c>
      <c r="B217" s="35">
        <v>2.0</v>
      </c>
      <c r="C217" s="35" t="s">
        <v>165</v>
      </c>
      <c r="D217" s="35" t="s">
        <v>210</v>
      </c>
      <c r="E217" s="35" t="s">
        <v>3907</v>
      </c>
      <c r="F217" s="35"/>
    </row>
    <row r="218" ht="15.75" customHeight="1">
      <c r="A218" s="35" t="s">
        <v>3910</v>
      </c>
      <c r="B218" s="35">
        <v>2.0</v>
      </c>
      <c r="C218" s="35" t="s">
        <v>165</v>
      </c>
      <c r="D218" s="35" t="s">
        <v>210</v>
      </c>
      <c r="E218" s="35" t="s">
        <v>3913</v>
      </c>
      <c r="F218" s="35"/>
    </row>
    <row r="219" ht="15.75" customHeight="1">
      <c r="A219" s="35" t="s">
        <v>2551</v>
      </c>
      <c r="B219" s="35">
        <v>3.0</v>
      </c>
      <c r="C219" s="35" t="s">
        <v>165</v>
      </c>
      <c r="D219" s="35" t="s">
        <v>210</v>
      </c>
      <c r="E219" s="35" t="s">
        <v>3913</v>
      </c>
      <c r="F219" s="35"/>
    </row>
    <row r="220" ht="15.75" customHeight="1">
      <c r="A220" s="35" t="s">
        <v>3918</v>
      </c>
      <c r="B220" s="35">
        <v>3.0</v>
      </c>
      <c r="C220" s="35" t="s">
        <v>165</v>
      </c>
      <c r="D220" s="35" t="s">
        <v>210</v>
      </c>
      <c r="E220" s="35" t="s">
        <v>3922</v>
      </c>
      <c r="F220" s="35"/>
    </row>
    <row r="221" ht="15.75" customHeight="1">
      <c r="A221" s="35" t="s">
        <v>2505</v>
      </c>
      <c r="B221" s="35">
        <v>3.0</v>
      </c>
      <c r="C221" s="35" t="s">
        <v>165</v>
      </c>
      <c r="D221" s="35" t="s">
        <v>210</v>
      </c>
      <c r="E221" s="35" t="s">
        <v>3927</v>
      </c>
      <c r="F221" s="35"/>
    </row>
    <row r="222" ht="15.75" customHeight="1">
      <c r="A222" s="35" t="s">
        <v>2539</v>
      </c>
      <c r="B222" s="35">
        <v>3.0</v>
      </c>
      <c r="C222" s="35" t="s">
        <v>165</v>
      </c>
      <c r="D222" s="35" t="s">
        <v>210</v>
      </c>
      <c r="E222" s="35" t="s">
        <v>3929</v>
      </c>
      <c r="F222" s="35"/>
    </row>
    <row r="223" ht="15.75" customHeight="1">
      <c r="A223" s="35" t="s">
        <v>2546</v>
      </c>
      <c r="B223" s="35">
        <v>2.0</v>
      </c>
      <c r="C223" s="35" t="s">
        <v>165</v>
      </c>
      <c r="D223" s="35" t="s">
        <v>210</v>
      </c>
      <c r="E223" s="35" t="s">
        <v>3933</v>
      </c>
      <c r="F223" s="35"/>
    </row>
    <row r="224" ht="15.75" customHeight="1">
      <c r="A224" s="35" t="s">
        <v>2494</v>
      </c>
      <c r="B224" s="35">
        <v>3.0</v>
      </c>
      <c r="C224" s="35" t="s">
        <v>165</v>
      </c>
      <c r="D224" s="35" t="s">
        <v>210</v>
      </c>
      <c r="E224" s="35" t="s">
        <v>3933</v>
      </c>
      <c r="F224" s="35"/>
    </row>
    <row r="225" ht="15.75" customHeight="1">
      <c r="A225" s="35" t="s">
        <v>2532</v>
      </c>
      <c r="B225" s="35">
        <v>2.0</v>
      </c>
      <c r="C225" s="35" t="s">
        <v>165</v>
      </c>
      <c r="D225" s="35" t="s">
        <v>210</v>
      </c>
      <c r="E225" s="35" t="s">
        <v>3933</v>
      </c>
      <c r="F225" s="35"/>
    </row>
    <row r="226" ht="15.75" customHeight="1">
      <c r="A226" s="35" t="s">
        <v>2525</v>
      </c>
      <c r="B226" s="35">
        <v>2.0</v>
      </c>
      <c r="C226" s="35" t="s">
        <v>165</v>
      </c>
      <c r="D226" s="35" t="s">
        <v>210</v>
      </c>
      <c r="E226" s="35" t="s">
        <v>3933</v>
      </c>
      <c r="F226" s="35"/>
    </row>
    <row r="227" ht="15.75" customHeight="1">
      <c r="A227" s="35" t="s">
        <v>2595</v>
      </c>
      <c r="B227" s="35">
        <v>3.0</v>
      </c>
      <c r="C227" s="35" t="s">
        <v>165</v>
      </c>
      <c r="D227" s="35" t="s">
        <v>210</v>
      </c>
      <c r="E227" s="35" t="s">
        <v>3940</v>
      </c>
      <c r="F227" s="35"/>
    </row>
    <row r="228" ht="15.75" customHeight="1">
      <c r="A228" s="35" t="s">
        <v>2583</v>
      </c>
      <c r="B228" s="35">
        <v>2.0</v>
      </c>
      <c r="C228" s="35" t="s">
        <v>165</v>
      </c>
      <c r="D228" s="35" t="s">
        <v>210</v>
      </c>
      <c r="E228" s="35" t="s">
        <v>3940</v>
      </c>
      <c r="F228" s="35"/>
    </row>
    <row r="229" ht="15.75" customHeight="1">
      <c r="A229" s="35" t="s">
        <v>2477</v>
      </c>
      <c r="B229" s="35">
        <v>2.0</v>
      </c>
      <c r="C229" s="35" t="s">
        <v>165</v>
      </c>
      <c r="D229" s="35" t="s">
        <v>210</v>
      </c>
      <c r="E229" s="35" t="s">
        <v>3940</v>
      </c>
      <c r="F229" s="35"/>
    </row>
    <row r="230" ht="15.75" customHeight="1">
      <c r="A230" s="35" t="s">
        <v>2608</v>
      </c>
      <c r="B230" s="35">
        <v>2.0</v>
      </c>
      <c r="C230" s="35" t="s">
        <v>165</v>
      </c>
      <c r="D230" s="35" t="s">
        <v>210</v>
      </c>
      <c r="E230" s="35" t="s">
        <v>3940</v>
      </c>
      <c r="F230" s="35"/>
    </row>
    <row r="231" ht="15.75" customHeight="1">
      <c r="A231" s="35" t="s">
        <v>2498</v>
      </c>
      <c r="B231" s="35">
        <v>2.0</v>
      </c>
      <c r="C231" s="35" t="s">
        <v>165</v>
      </c>
      <c r="D231" s="35" t="s">
        <v>210</v>
      </c>
      <c r="E231" s="35" t="s">
        <v>3940</v>
      </c>
      <c r="F231" s="35"/>
    </row>
    <row r="232" ht="15.75" customHeight="1">
      <c r="A232" s="35" t="s">
        <v>2614</v>
      </c>
      <c r="B232" s="35">
        <v>2.0</v>
      </c>
      <c r="C232" s="35" t="s">
        <v>165</v>
      </c>
      <c r="D232" s="35" t="s">
        <v>210</v>
      </c>
      <c r="E232" s="35" t="s">
        <v>3940</v>
      </c>
      <c r="F232" s="35"/>
    </row>
    <row r="233" ht="15.75" customHeight="1">
      <c r="A233" s="35" t="s">
        <v>2504</v>
      </c>
      <c r="B233" s="35">
        <v>3.0</v>
      </c>
      <c r="C233" s="35" t="s">
        <v>165</v>
      </c>
      <c r="D233" s="35" t="s">
        <v>210</v>
      </c>
      <c r="E233" s="35" t="s">
        <v>3950</v>
      </c>
      <c r="F233" s="35"/>
    </row>
    <row r="234" ht="15.75" customHeight="1">
      <c r="A234" s="35" t="s">
        <v>2624</v>
      </c>
      <c r="B234" s="35">
        <v>2.0</v>
      </c>
      <c r="C234" s="35" t="s">
        <v>165</v>
      </c>
      <c r="D234" s="35" t="s">
        <v>210</v>
      </c>
      <c r="E234" s="35" t="s">
        <v>3953</v>
      </c>
      <c r="F234" s="35"/>
    </row>
    <row r="235" ht="15.75" customHeight="1">
      <c r="A235" s="35" t="s">
        <v>2521</v>
      </c>
      <c r="B235" s="35">
        <v>1.0</v>
      </c>
      <c r="C235" s="35" t="s">
        <v>165</v>
      </c>
      <c r="D235" s="35" t="s">
        <v>210</v>
      </c>
      <c r="E235" s="35" t="s">
        <v>3954</v>
      </c>
      <c r="F235" s="35"/>
    </row>
    <row r="236" ht="15.75" customHeight="1">
      <c r="A236" s="35" t="s">
        <v>2488</v>
      </c>
      <c r="B236" s="35">
        <v>3.0</v>
      </c>
      <c r="C236" s="35" t="s">
        <v>165</v>
      </c>
      <c r="D236" s="35" t="s">
        <v>210</v>
      </c>
      <c r="E236" s="35" t="s">
        <v>3957</v>
      </c>
      <c r="F236" s="35"/>
    </row>
    <row r="237" ht="15.75" customHeight="1">
      <c r="A237" s="35" t="s">
        <v>2509</v>
      </c>
      <c r="B237" s="35">
        <v>2.0</v>
      </c>
      <c r="C237" s="35" t="s">
        <v>165</v>
      </c>
      <c r="D237" s="35" t="s">
        <v>210</v>
      </c>
      <c r="E237" s="35" t="s">
        <v>3959</v>
      </c>
      <c r="F237" s="35"/>
    </row>
    <row r="238" ht="15.75" customHeight="1">
      <c r="A238" s="35" t="s">
        <v>2619</v>
      </c>
      <c r="B238" s="35">
        <v>0.0</v>
      </c>
      <c r="C238" s="35" t="s">
        <v>165</v>
      </c>
      <c r="D238" s="35" t="s">
        <v>210</v>
      </c>
      <c r="E238" s="35" t="s">
        <v>3963</v>
      </c>
      <c r="F238" s="35"/>
    </row>
    <row r="239" ht="15.75" customHeight="1">
      <c r="A239" s="35" t="s">
        <v>2627</v>
      </c>
      <c r="B239" s="35"/>
      <c r="C239" s="35"/>
      <c r="D239" s="35"/>
      <c r="E239" s="35"/>
      <c r="F239" s="35"/>
    </row>
    <row r="240" ht="15.75" customHeight="1">
      <c r="A240" s="35">
        <v>34.0</v>
      </c>
      <c r="B240" s="35" t="s">
        <v>3966</v>
      </c>
      <c r="C240" s="35" t="s">
        <v>120</v>
      </c>
      <c r="D240" s="35" t="s">
        <v>3851</v>
      </c>
      <c r="E240" s="35"/>
      <c r="F240" s="35"/>
    </row>
    <row r="241" ht="15.75" customHeight="1">
      <c r="A241" s="35" t="s">
        <v>3968</v>
      </c>
      <c r="B241" s="35">
        <v>9.0</v>
      </c>
      <c r="C241" s="35" t="s">
        <v>165</v>
      </c>
      <c r="D241" s="35" t="s">
        <v>210</v>
      </c>
      <c r="E241" s="35" t="s">
        <v>3970</v>
      </c>
      <c r="F241" s="35"/>
    </row>
    <row r="242" ht="15.75" customHeight="1">
      <c r="A242" s="35" t="s">
        <v>2420</v>
      </c>
      <c r="B242" s="35">
        <v>1.0</v>
      </c>
      <c r="C242" s="35" t="s">
        <v>165</v>
      </c>
      <c r="D242" s="35" t="s">
        <v>210</v>
      </c>
      <c r="E242" s="35" t="s">
        <v>3973</v>
      </c>
      <c r="F242" s="35"/>
    </row>
    <row r="243" ht="15.75" customHeight="1">
      <c r="A243" s="35" t="s">
        <v>2814</v>
      </c>
      <c r="B243" s="35">
        <v>0.0</v>
      </c>
      <c r="C243" s="35" t="s">
        <v>165</v>
      </c>
      <c r="D243" s="35" t="s">
        <v>210</v>
      </c>
      <c r="E243" s="35" t="s">
        <v>3976</v>
      </c>
      <c r="F243" s="35"/>
    </row>
    <row r="244" ht="15.75" customHeight="1">
      <c r="A244" s="35" t="s">
        <v>2852</v>
      </c>
      <c r="B244" s="35">
        <v>0.0</v>
      </c>
      <c r="C244" s="35" t="s">
        <v>165</v>
      </c>
      <c r="D244" s="35" t="s">
        <v>210</v>
      </c>
      <c r="E244" s="35" t="s">
        <v>3979</v>
      </c>
      <c r="F244" s="35"/>
    </row>
    <row r="245" ht="15.75" customHeight="1">
      <c r="A245" s="35" t="s">
        <v>3981</v>
      </c>
      <c r="B245" s="35">
        <v>0.0</v>
      </c>
      <c r="C245" s="35" t="s">
        <v>165</v>
      </c>
      <c r="D245" s="35" t="s">
        <v>210</v>
      </c>
      <c r="E245" s="35" t="s">
        <v>3982</v>
      </c>
      <c r="F245" s="35"/>
    </row>
    <row r="246" ht="15.75" customHeight="1">
      <c r="A246" s="35" t="s">
        <v>3984</v>
      </c>
      <c r="B246" s="35">
        <v>0.0</v>
      </c>
      <c r="C246" s="35" t="s">
        <v>165</v>
      </c>
      <c r="D246" s="35" t="s">
        <v>210</v>
      </c>
      <c r="E246" s="35" t="s">
        <v>3985</v>
      </c>
      <c r="F246" s="35"/>
    </row>
    <row r="247" ht="15.75" customHeight="1">
      <c r="A247" s="35" t="s">
        <v>2810</v>
      </c>
      <c r="B247" s="35">
        <v>0.0</v>
      </c>
      <c r="C247" s="35" t="s">
        <v>165</v>
      </c>
      <c r="D247" s="35" t="s">
        <v>210</v>
      </c>
      <c r="E247" s="35" t="s">
        <v>3987</v>
      </c>
      <c r="F247" s="35"/>
    </row>
    <row r="248" ht="15.75" customHeight="1">
      <c r="A248" s="35" t="s">
        <v>1883</v>
      </c>
      <c r="B248" s="35">
        <v>0.0</v>
      </c>
      <c r="C248" s="35" t="s">
        <v>165</v>
      </c>
      <c r="D248" s="35" t="s">
        <v>210</v>
      </c>
      <c r="E248" s="35" t="s">
        <v>3990</v>
      </c>
      <c r="F248" s="35"/>
    </row>
    <row r="249" ht="15.75" customHeight="1">
      <c r="A249" s="35" t="s">
        <v>1886</v>
      </c>
      <c r="B249" s="35">
        <v>1.0</v>
      </c>
      <c r="C249" s="35" t="s">
        <v>165</v>
      </c>
      <c r="D249" s="35" t="s">
        <v>210</v>
      </c>
      <c r="E249" s="35" t="s">
        <v>3993</v>
      </c>
      <c r="F249" s="35"/>
    </row>
    <row r="250" ht="15.75" customHeight="1">
      <c r="A250" s="35" t="s">
        <v>2799</v>
      </c>
      <c r="B250" s="35">
        <v>0.0</v>
      </c>
      <c r="C250" s="35" t="s">
        <v>165</v>
      </c>
      <c r="D250" s="35" t="s">
        <v>210</v>
      </c>
      <c r="E250" s="35" t="s">
        <v>3995</v>
      </c>
      <c r="F250" s="35"/>
    </row>
    <row r="251" ht="15.75" customHeight="1">
      <c r="A251" s="35" t="s">
        <v>2830</v>
      </c>
      <c r="B251" s="35">
        <v>0.0</v>
      </c>
      <c r="C251" s="35" t="s">
        <v>165</v>
      </c>
      <c r="D251" s="35" t="s">
        <v>210</v>
      </c>
      <c r="E251" s="35" t="s">
        <v>3998</v>
      </c>
      <c r="F251" s="35"/>
    </row>
    <row r="252" ht="15.75" customHeight="1">
      <c r="A252" s="35" t="s">
        <v>2770</v>
      </c>
      <c r="B252" s="35">
        <v>0.0</v>
      </c>
      <c r="C252" s="35" t="s">
        <v>165</v>
      </c>
      <c r="D252" s="35" t="s">
        <v>210</v>
      </c>
      <c r="E252" s="35" t="s">
        <v>4000</v>
      </c>
      <c r="F252" s="35"/>
    </row>
    <row r="253" ht="15.75" customHeight="1">
      <c r="A253" s="35" t="s">
        <v>2790</v>
      </c>
      <c r="B253" s="35">
        <v>0.0</v>
      </c>
      <c r="C253" s="35" t="s">
        <v>165</v>
      </c>
      <c r="D253" s="35" t="s">
        <v>210</v>
      </c>
      <c r="E253" s="35" t="s">
        <v>4003</v>
      </c>
      <c r="F253" s="35"/>
    </row>
    <row r="254" ht="15.75" customHeight="1">
      <c r="A254" s="35" t="s">
        <v>2511</v>
      </c>
      <c r="B254" s="35">
        <v>0.0</v>
      </c>
      <c r="C254" s="35" t="s">
        <v>165</v>
      </c>
      <c r="D254" s="35" t="s">
        <v>210</v>
      </c>
      <c r="E254" s="35" t="s">
        <v>4007</v>
      </c>
      <c r="F254" s="35"/>
    </row>
    <row r="255" ht="15.75" customHeight="1">
      <c r="A255" s="35" t="s">
        <v>2847</v>
      </c>
      <c r="B255" s="35">
        <v>0.0</v>
      </c>
      <c r="C255" s="35" t="s">
        <v>165</v>
      </c>
      <c r="D255" s="35" t="s">
        <v>210</v>
      </c>
      <c r="E255" s="35" t="s">
        <v>4009</v>
      </c>
      <c r="F255" s="35"/>
    </row>
    <row r="256" ht="15.75" customHeight="1">
      <c r="A256" s="35" t="s">
        <v>2857</v>
      </c>
      <c r="B256" s="35">
        <v>0.0</v>
      </c>
      <c r="C256" s="35" t="s">
        <v>165</v>
      </c>
      <c r="D256" s="35" t="s">
        <v>210</v>
      </c>
      <c r="E256" s="35" t="s">
        <v>4011</v>
      </c>
      <c r="F256" s="35"/>
    </row>
    <row r="257" ht="15.75" customHeight="1">
      <c r="A257" s="35" t="s">
        <v>2793</v>
      </c>
      <c r="B257" s="35">
        <v>0.0</v>
      </c>
      <c r="C257" s="35" t="s">
        <v>165</v>
      </c>
      <c r="D257" s="35" t="s">
        <v>210</v>
      </c>
      <c r="E257" s="35" t="s">
        <v>4015</v>
      </c>
      <c r="F257" s="35"/>
    </row>
    <row r="258" ht="15.75" customHeight="1">
      <c r="A258" s="35" t="s">
        <v>2824</v>
      </c>
      <c r="B258" s="35">
        <v>0.0</v>
      </c>
      <c r="C258" s="35" t="s">
        <v>165</v>
      </c>
      <c r="D258" s="35" t="s">
        <v>210</v>
      </c>
      <c r="E258" s="35" t="s">
        <v>4017</v>
      </c>
      <c r="F258" s="35"/>
    </row>
    <row r="259" ht="15.75" customHeight="1">
      <c r="A259" s="35" t="s">
        <v>2774</v>
      </c>
      <c r="B259" s="35">
        <v>0.0</v>
      </c>
      <c r="C259" s="35" t="s">
        <v>165</v>
      </c>
      <c r="D259" s="35" t="s">
        <v>210</v>
      </c>
      <c r="E259" s="35" t="s">
        <v>4019</v>
      </c>
      <c r="F259" s="35"/>
    </row>
    <row r="260" ht="15.75" customHeight="1">
      <c r="A260" s="35" t="s">
        <v>2835</v>
      </c>
      <c r="B260" s="35">
        <v>0.0</v>
      </c>
      <c r="C260" s="35" t="s">
        <v>165</v>
      </c>
      <c r="D260" s="35" t="s">
        <v>210</v>
      </c>
      <c r="E260" s="35" t="s">
        <v>4023</v>
      </c>
      <c r="F260" s="35"/>
    </row>
    <row r="261" ht="15.75" customHeight="1">
      <c r="A261" s="35" t="s">
        <v>2431</v>
      </c>
      <c r="B261" s="35">
        <v>0.0</v>
      </c>
      <c r="C261" s="35" t="s">
        <v>165</v>
      </c>
      <c r="D261" s="35" t="s">
        <v>210</v>
      </c>
      <c r="E261" s="35" t="s">
        <v>4025</v>
      </c>
      <c r="F261" s="35"/>
    </row>
    <row r="262" ht="15.75" customHeight="1">
      <c r="A262" s="35" t="s">
        <v>2803</v>
      </c>
      <c r="B262" s="35">
        <v>0.0</v>
      </c>
      <c r="C262" s="35" t="s">
        <v>165</v>
      </c>
      <c r="D262" s="35" t="s">
        <v>210</v>
      </c>
      <c r="E262" s="35" t="s">
        <v>4028</v>
      </c>
      <c r="F262" s="35"/>
    </row>
    <row r="263" ht="15.75" customHeight="1">
      <c r="A263" s="35" t="s">
        <v>4029</v>
      </c>
      <c r="B263" s="35">
        <v>0.0</v>
      </c>
      <c r="C263" s="35" t="s">
        <v>165</v>
      </c>
      <c r="D263" s="35" t="s">
        <v>210</v>
      </c>
      <c r="E263" s="35" t="s">
        <v>4032</v>
      </c>
      <c r="F263" s="35"/>
    </row>
    <row r="264" ht="15.75" customHeight="1">
      <c r="A264" s="35" t="s">
        <v>4033</v>
      </c>
      <c r="B264" s="35">
        <v>0.0</v>
      </c>
      <c r="C264" s="35" t="s">
        <v>165</v>
      </c>
      <c r="D264" s="35" t="s">
        <v>210</v>
      </c>
      <c r="E264" s="35" t="s">
        <v>4034</v>
      </c>
      <c r="F264" s="35"/>
    </row>
    <row r="265" ht="15.75" customHeight="1">
      <c r="A265" s="35" t="s">
        <v>2531</v>
      </c>
      <c r="B265" s="35"/>
      <c r="C265" s="35"/>
      <c r="D265" s="35"/>
      <c r="E265" s="35"/>
      <c r="F265" s="35"/>
    </row>
    <row r="266" ht="15.75" customHeight="1">
      <c r="A266" s="35"/>
      <c r="B266" s="35"/>
      <c r="C266" s="35"/>
      <c r="D266" s="35"/>
      <c r="E266" s="35"/>
      <c r="F266" s="35"/>
    </row>
    <row r="267" ht="15.75" customHeight="1">
      <c r="A267" s="35" t="s">
        <v>1626</v>
      </c>
      <c r="B267" s="35" t="s">
        <v>4038</v>
      </c>
      <c r="C267" s="35" t="s">
        <v>20</v>
      </c>
      <c r="D267" s="35" t="s">
        <v>3839</v>
      </c>
      <c r="E267" s="35"/>
      <c r="F267" s="35"/>
    </row>
    <row r="268" ht="15.75" customHeight="1">
      <c r="A268" s="35" t="s">
        <v>4040</v>
      </c>
      <c r="B268" s="35">
        <v>0.0</v>
      </c>
      <c r="C268" s="35" t="s">
        <v>266</v>
      </c>
      <c r="D268" s="35" t="s">
        <v>3573</v>
      </c>
      <c r="E268" s="35" t="s">
        <v>4043</v>
      </c>
      <c r="F268" s="35"/>
    </row>
    <row r="269" ht="15.75" customHeight="1">
      <c r="A269" s="35" t="s">
        <v>2556</v>
      </c>
      <c r="B269" s="35">
        <v>0.0</v>
      </c>
      <c r="C269" s="35" t="s">
        <v>266</v>
      </c>
      <c r="D269" s="35" t="s">
        <v>3573</v>
      </c>
      <c r="E269" s="35" t="s">
        <v>4043</v>
      </c>
      <c r="F269" s="35"/>
    </row>
    <row r="270" ht="15.75" customHeight="1">
      <c r="A270" s="35" t="s">
        <v>2571</v>
      </c>
      <c r="B270" s="35">
        <v>0.0</v>
      </c>
      <c r="C270" s="35" t="s">
        <v>266</v>
      </c>
      <c r="D270" s="35" t="s">
        <v>3573</v>
      </c>
      <c r="E270" s="35" t="s">
        <v>4043</v>
      </c>
      <c r="F270" s="35"/>
    </row>
    <row r="271" ht="15.75" customHeight="1">
      <c r="A271" s="35" t="s">
        <v>4046</v>
      </c>
      <c r="B271" s="35">
        <v>0.0</v>
      </c>
      <c r="C271" s="35" t="s">
        <v>266</v>
      </c>
      <c r="D271" s="35" t="s">
        <v>3573</v>
      </c>
      <c r="E271" s="35" t="s">
        <v>4043</v>
      </c>
      <c r="F271" s="35"/>
    </row>
    <row r="272" ht="15.75" customHeight="1">
      <c r="A272" s="35" t="s">
        <v>4050</v>
      </c>
      <c r="B272" s="35">
        <v>0.0</v>
      </c>
      <c r="C272" s="35" t="s">
        <v>266</v>
      </c>
      <c r="D272" s="35" t="s">
        <v>3573</v>
      </c>
      <c r="E272" s="35" t="s">
        <v>4043</v>
      </c>
      <c r="F272" s="35"/>
    </row>
    <row r="273" ht="15.75" customHeight="1">
      <c r="A273" s="35" t="s">
        <v>4052</v>
      </c>
      <c r="B273" s="35">
        <v>0.0</v>
      </c>
      <c r="C273" s="35" t="s">
        <v>266</v>
      </c>
      <c r="D273" s="35" t="s">
        <v>3573</v>
      </c>
      <c r="E273" s="35" t="s">
        <v>4043</v>
      </c>
      <c r="F273" s="35"/>
    </row>
    <row r="274" ht="15.75" customHeight="1">
      <c r="A274" s="35" t="s">
        <v>2641</v>
      </c>
      <c r="B274" s="35">
        <v>0.0</v>
      </c>
      <c r="C274" s="35" t="s">
        <v>266</v>
      </c>
      <c r="D274" s="35" t="s">
        <v>3573</v>
      </c>
      <c r="E274" s="35" t="s">
        <v>4043</v>
      </c>
      <c r="F274" s="35"/>
    </row>
    <row r="275" ht="15.75" customHeight="1">
      <c r="A275" s="35" t="s">
        <v>2537</v>
      </c>
      <c r="B275" s="35">
        <v>0.0</v>
      </c>
      <c r="C275" s="35" t="s">
        <v>266</v>
      </c>
      <c r="D275" s="35" t="s">
        <v>3573</v>
      </c>
      <c r="E275" s="35" t="s">
        <v>4043</v>
      </c>
      <c r="F275" s="35"/>
    </row>
    <row r="276" ht="15.75" customHeight="1">
      <c r="A276" s="35" t="s">
        <v>2414</v>
      </c>
      <c r="B276" s="35">
        <v>0.0</v>
      </c>
      <c r="C276" s="35" t="s">
        <v>266</v>
      </c>
      <c r="D276" s="35" t="s">
        <v>3573</v>
      </c>
      <c r="E276" s="35" t="s">
        <v>4043</v>
      </c>
      <c r="F276" s="35"/>
    </row>
    <row r="277" ht="15.75" customHeight="1">
      <c r="A277" s="35" t="s">
        <v>2646</v>
      </c>
      <c r="B277" s="35">
        <v>0.0</v>
      </c>
      <c r="C277" s="35" t="s">
        <v>266</v>
      </c>
      <c r="D277" s="35" t="s">
        <v>3573</v>
      </c>
      <c r="E277" s="35" t="s">
        <v>4043</v>
      </c>
      <c r="F277" s="35"/>
    </row>
    <row r="278" ht="15.75" customHeight="1">
      <c r="A278" s="35" t="s">
        <v>4063</v>
      </c>
      <c r="B278" s="35">
        <v>0.0</v>
      </c>
      <c r="C278" s="35" t="s">
        <v>266</v>
      </c>
      <c r="D278" s="35" t="s">
        <v>3573</v>
      </c>
      <c r="E278" s="35" t="s">
        <v>4043</v>
      </c>
      <c r="F278" s="35"/>
    </row>
    <row r="279" ht="15.75" customHeight="1">
      <c r="A279" s="35" t="s">
        <v>4065</v>
      </c>
      <c r="B279" s="35">
        <v>0.0</v>
      </c>
      <c r="C279" s="35" t="s">
        <v>266</v>
      </c>
      <c r="D279" s="35" t="s">
        <v>3573</v>
      </c>
      <c r="E279" s="35" t="s">
        <v>4043</v>
      </c>
      <c r="F279" s="35"/>
    </row>
    <row r="280" ht="15.75" customHeight="1">
      <c r="A280" s="35" t="s">
        <v>4068</v>
      </c>
      <c r="B280" s="35">
        <v>0.0</v>
      </c>
      <c r="C280" s="35" t="s">
        <v>266</v>
      </c>
      <c r="D280" s="35" t="s">
        <v>3573</v>
      </c>
      <c r="E280" s="35" t="s">
        <v>4043</v>
      </c>
      <c r="F280" s="35"/>
    </row>
    <row r="281" ht="15.75" customHeight="1">
      <c r="A281" s="35" t="s">
        <v>4070</v>
      </c>
      <c r="B281" s="35">
        <v>0.0</v>
      </c>
      <c r="C281" s="35" t="s">
        <v>266</v>
      </c>
      <c r="D281" s="35" t="s">
        <v>3573</v>
      </c>
      <c r="E281" s="35" t="s">
        <v>4043</v>
      </c>
      <c r="F281" s="35"/>
    </row>
    <row r="282" ht="15.75" customHeight="1">
      <c r="A282" s="35" t="s">
        <v>4073</v>
      </c>
      <c r="B282" s="35">
        <v>0.0</v>
      </c>
      <c r="C282" s="35" t="s">
        <v>266</v>
      </c>
      <c r="D282" s="35" t="s">
        <v>3573</v>
      </c>
      <c r="E282" s="35" t="s">
        <v>4043</v>
      </c>
      <c r="F282" s="35"/>
    </row>
    <row r="283" ht="15.75" customHeight="1">
      <c r="A283" s="35" t="s">
        <v>4075</v>
      </c>
      <c r="B283" s="35">
        <v>0.0</v>
      </c>
      <c r="C283" s="35" t="s">
        <v>266</v>
      </c>
      <c r="D283" s="35" t="s">
        <v>3573</v>
      </c>
      <c r="E283" s="35" t="s">
        <v>4043</v>
      </c>
      <c r="F283" s="35"/>
    </row>
    <row r="284" ht="15.75" customHeight="1">
      <c r="A284" s="35" t="s">
        <v>4079</v>
      </c>
      <c r="B284" s="35">
        <v>0.0</v>
      </c>
      <c r="C284" s="35" t="s">
        <v>266</v>
      </c>
      <c r="D284" s="35" t="s">
        <v>3573</v>
      </c>
      <c r="E284" s="35" t="s">
        <v>4043</v>
      </c>
      <c r="F284" s="35"/>
    </row>
    <row r="285" ht="15.75" customHeight="1">
      <c r="A285" s="35" t="s">
        <v>4081</v>
      </c>
      <c r="B285" s="35">
        <v>0.0</v>
      </c>
      <c r="C285" s="35" t="s">
        <v>266</v>
      </c>
      <c r="D285" s="35" t="s">
        <v>3573</v>
      </c>
      <c r="E285" s="35" t="s">
        <v>4043</v>
      </c>
      <c r="F285" s="35"/>
    </row>
    <row r="286" ht="15.75" customHeight="1">
      <c r="A286" s="35" t="s">
        <v>2407</v>
      </c>
      <c r="B286" s="35">
        <v>0.0</v>
      </c>
      <c r="C286" s="35" t="s">
        <v>266</v>
      </c>
      <c r="D286" s="35" t="s">
        <v>3573</v>
      </c>
      <c r="E286" s="35" t="s">
        <v>4043</v>
      </c>
      <c r="F286" s="35"/>
    </row>
    <row r="287" ht="15.75" customHeight="1">
      <c r="A287" s="35" t="s">
        <v>4086</v>
      </c>
      <c r="B287" s="35">
        <v>0.0</v>
      </c>
      <c r="C287" s="35" t="s">
        <v>266</v>
      </c>
      <c r="D287" s="35" t="s">
        <v>3573</v>
      </c>
      <c r="E287" s="35" t="s">
        <v>4043</v>
      </c>
      <c r="F287" s="35"/>
    </row>
    <row r="288" ht="15.75" customHeight="1">
      <c r="A288" s="35" t="s">
        <v>2545</v>
      </c>
      <c r="B288" s="35">
        <v>0.0</v>
      </c>
      <c r="C288" s="35" t="s">
        <v>266</v>
      </c>
      <c r="D288" s="35" t="s">
        <v>3573</v>
      </c>
      <c r="E288" s="35" t="s">
        <v>4043</v>
      </c>
      <c r="F288" s="35"/>
    </row>
    <row r="289" ht="15.75" customHeight="1">
      <c r="A289" s="35" t="s">
        <v>4088</v>
      </c>
      <c r="B289" s="35">
        <v>0.0</v>
      </c>
      <c r="C289" s="35" t="s">
        <v>266</v>
      </c>
      <c r="D289" s="35" t="s">
        <v>3573</v>
      </c>
      <c r="E289" s="35" t="s">
        <v>4043</v>
      </c>
      <c r="F289" s="35"/>
    </row>
    <row r="290" ht="15.75" customHeight="1">
      <c r="A290" s="35" t="s">
        <v>4092</v>
      </c>
      <c r="B290" s="35">
        <v>0.0</v>
      </c>
      <c r="C290" s="35" t="s">
        <v>266</v>
      </c>
      <c r="D290" s="35" t="s">
        <v>3573</v>
      </c>
      <c r="E290" s="35" t="s">
        <v>4043</v>
      </c>
      <c r="F290" s="35"/>
    </row>
    <row r="291" ht="15.75" customHeight="1">
      <c r="A291" s="35" t="s">
        <v>4094</v>
      </c>
      <c r="B291" s="35"/>
      <c r="C291" s="35"/>
      <c r="D291" s="35"/>
      <c r="E291" s="35"/>
      <c r="F291" s="35"/>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2" width="48.0"/>
    <col customWidth="1" min="3" max="3" width="80.0"/>
    <col customWidth="1" min="4" max="4" width="38.86"/>
    <col customWidth="1" min="5" max="8" width="18.29"/>
    <col customWidth="1" min="9" max="26" width="9.86"/>
  </cols>
  <sheetData>
    <row r="1" ht="33.75" customHeight="1">
      <c r="A1" s="38" t="s">
        <v>3354</v>
      </c>
    </row>
    <row r="2" ht="27.75" customHeight="1">
      <c r="A2" s="39" t="s">
        <v>3365</v>
      </c>
    </row>
    <row r="3">
      <c r="A3" s="40"/>
      <c r="B3" s="40"/>
      <c r="C3" s="40"/>
      <c r="D3" s="40"/>
      <c r="E3" s="40"/>
      <c r="F3" s="40"/>
      <c r="G3" s="40"/>
      <c r="H3" s="40"/>
    </row>
    <row r="4" ht="24.0" customHeight="1">
      <c r="A4" s="41" t="s">
        <v>3376</v>
      </c>
    </row>
    <row r="5">
      <c r="A5" s="42" t="s">
        <v>3380</v>
      </c>
      <c r="B5" s="43" t="s">
        <v>3383</v>
      </c>
      <c r="C5" s="44" t="s">
        <v>3388</v>
      </c>
      <c r="D5" s="40"/>
      <c r="E5" s="40"/>
      <c r="F5" s="40"/>
      <c r="G5" s="40"/>
      <c r="H5" s="40"/>
    </row>
    <row r="6">
      <c r="A6" s="42" t="s">
        <v>3391</v>
      </c>
      <c r="B6" s="43" t="s">
        <v>3392</v>
      </c>
      <c r="C6" s="44" t="s">
        <v>3394</v>
      </c>
      <c r="D6" s="40"/>
      <c r="E6" s="40"/>
      <c r="F6" s="40"/>
      <c r="G6" s="40"/>
      <c r="H6" s="40"/>
    </row>
    <row r="7">
      <c r="A7" s="42" t="s">
        <v>3396</v>
      </c>
      <c r="B7" s="43" t="s">
        <v>3399</v>
      </c>
      <c r="C7" s="44" t="s">
        <v>3400</v>
      </c>
      <c r="D7" s="40"/>
      <c r="E7" s="40"/>
      <c r="F7" s="40"/>
      <c r="G7" s="40"/>
      <c r="H7" s="40"/>
    </row>
    <row r="8">
      <c r="A8" s="42" t="s">
        <v>3402</v>
      </c>
      <c r="B8" s="43" t="s">
        <v>3404</v>
      </c>
      <c r="C8" s="44" t="s">
        <v>3405</v>
      </c>
      <c r="D8" s="40"/>
      <c r="E8" s="40"/>
      <c r="F8" s="40"/>
      <c r="G8" s="40"/>
      <c r="H8" s="40"/>
    </row>
    <row r="9">
      <c r="A9" s="42" t="s">
        <v>3409</v>
      </c>
      <c r="B9" s="43" t="s">
        <v>3410</v>
      </c>
      <c r="C9" s="44" t="s">
        <v>3413</v>
      </c>
      <c r="D9" s="40"/>
      <c r="E9" s="40"/>
      <c r="F9" s="40"/>
      <c r="G9" s="40"/>
      <c r="H9" s="40"/>
    </row>
    <row r="10">
      <c r="A10" s="42" t="s">
        <v>3415</v>
      </c>
      <c r="B10" s="43" t="s">
        <v>3417</v>
      </c>
      <c r="C10" s="44" t="s">
        <v>3418</v>
      </c>
      <c r="D10" s="40"/>
      <c r="E10" s="40"/>
      <c r="F10" s="40"/>
      <c r="G10" s="40"/>
      <c r="H10" s="40"/>
    </row>
    <row r="11">
      <c r="A11" s="45" t="s">
        <v>3422</v>
      </c>
      <c r="B11" s="43" t="s">
        <v>3425</v>
      </c>
      <c r="C11" s="44" t="s">
        <v>3428</v>
      </c>
      <c r="D11" s="40"/>
      <c r="E11" s="40"/>
      <c r="F11" s="40"/>
      <c r="G11" s="40"/>
      <c r="H11" s="40"/>
    </row>
    <row r="12">
      <c r="A12" s="40"/>
      <c r="B12" s="40"/>
      <c r="C12" s="40"/>
      <c r="D12" s="40"/>
      <c r="E12" s="40"/>
      <c r="F12" s="40"/>
      <c r="G12" s="40"/>
      <c r="H12" s="40"/>
    </row>
    <row r="13" ht="24.0" customHeight="1">
      <c r="A13" s="41" t="s">
        <v>3433</v>
      </c>
    </row>
    <row r="14">
      <c r="A14" s="46" t="s">
        <v>3438</v>
      </c>
      <c r="B14" s="47" t="s">
        <v>3442</v>
      </c>
      <c r="C14" s="44" t="s">
        <v>3443</v>
      </c>
      <c r="D14" s="40"/>
      <c r="E14" s="40"/>
      <c r="F14" s="40"/>
      <c r="G14" s="40"/>
      <c r="H14" s="40"/>
    </row>
    <row r="15">
      <c r="A15" s="46" t="s">
        <v>1360</v>
      </c>
      <c r="B15" s="47" t="s">
        <v>3445</v>
      </c>
      <c r="C15" s="44" t="s">
        <v>3447</v>
      </c>
      <c r="D15" s="40"/>
      <c r="E15" s="40"/>
      <c r="F15" s="40"/>
      <c r="G15" s="40"/>
      <c r="H15" s="40"/>
    </row>
    <row r="16">
      <c r="A16" s="46" t="s">
        <v>3449</v>
      </c>
      <c r="B16" s="47" t="s">
        <v>3450</v>
      </c>
      <c r="C16" s="44" t="s">
        <v>3451</v>
      </c>
      <c r="D16" s="40"/>
      <c r="E16" s="40"/>
      <c r="F16" s="40"/>
      <c r="G16" s="40"/>
      <c r="H16" s="40"/>
    </row>
    <row r="17">
      <c r="A17" s="46" t="s">
        <v>3455</v>
      </c>
      <c r="B17" s="47" t="s">
        <v>3457</v>
      </c>
      <c r="C17" s="44" t="s">
        <v>3459</v>
      </c>
      <c r="D17" s="40"/>
      <c r="E17" s="40"/>
      <c r="F17" s="40"/>
      <c r="G17" s="40"/>
      <c r="H17" s="40"/>
    </row>
    <row r="18">
      <c r="A18" s="46" t="s">
        <v>3462</v>
      </c>
      <c r="B18" s="47" t="s">
        <v>3464</v>
      </c>
      <c r="C18" s="44" t="s">
        <v>3465</v>
      </c>
      <c r="D18" s="40"/>
      <c r="E18" s="40"/>
      <c r="F18" s="40"/>
      <c r="G18" s="40"/>
      <c r="H18" s="40"/>
    </row>
    <row r="19">
      <c r="A19" s="46" t="s">
        <v>1465</v>
      </c>
      <c r="B19" s="47" t="s">
        <v>3469</v>
      </c>
      <c r="C19" s="44" t="s">
        <v>3471</v>
      </c>
      <c r="D19" s="40"/>
      <c r="E19" s="40"/>
      <c r="F19" s="40"/>
      <c r="G19" s="40"/>
      <c r="H19" s="40"/>
    </row>
    <row r="20">
      <c r="A20" s="46" t="s">
        <v>1475</v>
      </c>
      <c r="B20" s="47" t="s">
        <v>3474</v>
      </c>
      <c r="C20" s="44" t="s">
        <v>3476</v>
      </c>
      <c r="D20" s="40"/>
      <c r="E20" s="40"/>
      <c r="F20" s="40"/>
      <c r="G20" s="40"/>
      <c r="H20" s="40"/>
    </row>
    <row r="21" ht="15.75" customHeight="1">
      <c r="A21" s="46" t="s">
        <v>1449</v>
      </c>
      <c r="B21" s="47" t="s">
        <v>3480</v>
      </c>
      <c r="C21" s="44" t="s">
        <v>3481</v>
      </c>
      <c r="D21" s="40"/>
      <c r="E21" s="40"/>
      <c r="F21" s="40"/>
      <c r="G21" s="40"/>
      <c r="H21" s="40"/>
    </row>
    <row r="22" ht="15.75" customHeight="1">
      <c r="A22" s="46" t="s">
        <v>1457</v>
      </c>
      <c r="B22" s="47" t="s">
        <v>3485</v>
      </c>
      <c r="C22" s="44" t="s">
        <v>3487</v>
      </c>
      <c r="D22" s="40"/>
      <c r="E22" s="40"/>
      <c r="F22" s="40"/>
      <c r="G22" s="40"/>
      <c r="H22" s="40"/>
    </row>
    <row r="23" ht="15.75" customHeight="1">
      <c r="A23" s="46" t="s">
        <v>3489</v>
      </c>
      <c r="B23" s="47" t="s">
        <v>3491</v>
      </c>
      <c r="C23" s="44" t="s">
        <v>3493</v>
      </c>
      <c r="D23" s="40"/>
      <c r="E23" s="40"/>
      <c r="F23" s="40"/>
      <c r="G23" s="40"/>
      <c r="H23" s="40"/>
    </row>
    <row r="24" ht="15.75" customHeight="1">
      <c r="A24" s="48" t="s">
        <v>3497</v>
      </c>
      <c r="B24" s="47" t="s">
        <v>3500</v>
      </c>
      <c r="C24" s="44" t="s">
        <v>3502</v>
      </c>
      <c r="D24" s="40"/>
      <c r="E24" s="40"/>
      <c r="F24" s="40"/>
      <c r="G24" s="40"/>
      <c r="H24" s="40"/>
    </row>
    <row r="25" ht="15.75" customHeight="1">
      <c r="A25" s="40"/>
      <c r="B25" s="40"/>
      <c r="C25" s="40"/>
      <c r="D25" s="40"/>
      <c r="E25" s="40"/>
      <c r="F25" s="40"/>
      <c r="G25" s="40"/>
      <c r="H25" s="40"/>
    </row>
    <row r="26" ht="24.0" customHeight="1">
      <c r="A26" s="41" t="s">
        <v>3505</v>
      </c>
    </row>
    <row r="27" ht="30.0" customHeight="1">
      <c r="A27" s="49" t="s">
        <v>3507</v>
      </c>
      <c r="B27" s="50" t="s">
        <v>3510</v>
      </c>
      <c r="C27" s="50" t="s">
        <v>3513</v>
      </c>
      <c r="D27" s="51" t="s">
        <v>3514</v>
      </c>
      <c r="E27" s="40"/>
      <c r="F27" s="40"/>
      <c r="G27" s="40"/>
      <c r="H27" s="40"/>
    </row>
    <row r="28" ht="15.75" customHeight="1">
      <c r="A28" s="23" t="s">
        <v>22</v>
      </c>
      <c r="B28" s="23" t="s">
        <v>65</v>
      </c>
      <c r="C28" s="23" t="s">
        <v>3521</v>
      </c>
      <c r="D28" s="23" t="s">
        <v>3522</v>
      </c>
      <c r="E28" s="40"/>
      <c r="F28" s="40"/>
      <c r="G28" s="40"/>
      <c r="H28" s="40"/>
    </row>
    <row r="29" ht="15.75" customHeight="1">
      <c r="A29" s="23" t="s">
        <v>22</v>
      </c>
      <c r="B29" s="23" t="s">
        <v>289</v>
      </c>
      <c r="C29" s="23" t="s">
        <v>3524</v>
      </c>
      <c r="D29" s="23" t="s">
        <v>3526</v>
      </c>
      <c r="E29" s="40"/>
      <c r="F29" s="40"/>
      <c r="G29" s="40"/>
      <c r="H29" s="40"/>
    </row>
    <row r="30" ht="15.75" customHeight="1">
      <c r="A30" s="23" t="s">
        <v>22</v>
      </c>
      <c r="B30" s="23" t="s">
        <v>112</v>
      </c>
      <c r="C30" s="23" t="s">
        <v>3530</v>
      </c>
      <c r="D30" s="23" t="s">
        <v>3532</v>
      </c>
      <c r="E30" s="40"/>
      <c r="F30" s="40"/>
      <c r="G30" s="40"/>
      <c r="H30" s="40"/>
    </row>
    <row r="31" ht="15.75" customHeight="1">
      <c r="A31" s="23" t="s">
        <v>22</v>
      </c>
      <c r="B31" s="23" t="s">
        <v>166</v>
      </c>
      <c r="C31" s="23" t="s">
        <v>3537</v>
      </c>
      <c r="D31" s="23" t="s">
        <v>3540</v>
      </c>
      <c r="E31" s="40"/>
      <c r="F31" s="40"/>
      <c r="G31" s="40"/>
      <c r="H31" s="40"/>
    </row>
    <row r="32" ht="15.75" customHeight="1">
      <c r="A32" s="23" t="s">
        <v>22</v>
      </c>
      <c r="B32" s="23" t="s">
        <v>3542</v>
      </c>
      <c r="C32" s="23" t="s">
        <v>3546</v>
      </c>
      <c r="D32" s="23" t="s">
        <v>3547</v>
      </c>
      <c r="E32" s="40"/>
      <c r="F32" s="40"/>
      <c r="G32" s="40"/>
      <c r="H32" s="40"/>
    </row>
    <row r="33" ht="15.75" customHeight="1">
      <c r="A33" s="23" t="s">
        <v>22</v>
      </c>
      <c r="B33" s="23" t="s">
        <v>3551</v>
      </c>
      <c r="C33" s="23" t="s">
        <v>3552</v>
      </c>
      <c r="D33" s="23" t="s">
        <v>3555</v>
      </c>
      <c r="E33" s="40"/>
      <c r="F33" s="40"/>
      <c r="G33" s="40"/>
      <c r="H33" s="40"/>
    </row>
    <row r="34" ht="15.75" customHeight="1">
      <c r="A34" s="23" t="s">
        <v>20</v>
      </c>
      <c r="B34" s="23" t="s">
        <v>59</v>
      </c>
      <c r="C34" s="23" t="s">
        <v>3559</v>
      </c>
      <c r="D34" s="23" t="s">
        <v>3560</v>
      </c>
      <c r="E34" s="40"/>
      <c r="F34" s="40"/>
      <c r="G34" s="40"/>
      <c r="H34" s="40"/>
    </row>
    <row r="35" ht="15.75" customHeight="1">
      <c r="A35" s="23" t="s">
        <v>20</v>
      </c>
      <c r="B35" s="23" t="s">
        <v>120</v>
      </c>
      <c r="C35" s="23" t="s">
        <v>3564</v>
      </c>
      <c r="D35" s="23" t="s">
        <v>3565</v>
      </c>
      <c r="E35" s="40"/>
      <c r="F35" s="40"/>
      <c r="G35" s="40"/>
      <c r="H35" s="40"/>
    </row>
    <row r="36" ht="15.75" customHeight="1">
      <c r="A36" s="23" t="s">
        <v>20</v>
      </c>
      <c r="B36" s="23" t="s">
        <v>210</v>
      </c>
      <c r="C36" s="23" t="s">
        <v>3568</v>
      </c>
      <c r="D36" s="23" t="s">
        <v>3570</v>
      </c>
      <c r="E36" s="40"/>
      <c r="F36" s="40"/>
      <c r="G36" s="40"/>
      <c r="H36" s="40"/>
    </row>
    <row r="37" ht="15.75" customHeight="1">
      <c r="A37" s="23" t="s">
        <v>20</v>
      </c>
      <c r="B37" s="23" t="s">
        <v>3573</v>
      </c>
      <c r="C37" s="23" t="s">
        <v>3575</v>
      </c>
      <c r="D37" s="23" t="s">
        <v>3576</v>
      </c>
      <c r="E37" s="40"/>
      <c r="F37" s="40"/>
      <c r="G37" s="40"/>
      <c r="H37" s="40"/>
    </row>
    <row r="38" ht="15.75" customHeight="1">
      <c r="A38" s="40"/>
      <c r="B38" s="40"/>
      <c r="C38" s="40"/>
      <c r="D38" s="40"/>
      <c r="E38" s="40"/>
      <c r="F38" s="40"/>
      <c r="G38" s="40"/>
      <c r="H38" s="40"/>
    </row>
    <row r="39" ht="24.0" customHeight="1">
      <c r="A39" s="41" t="s">
        <v>3580</v>
      </c>
    </row>
    <row r="40" ht="15.75" customHeight="1">
      <c r="A40" s="52" t="s">
        <v>3582</v>
      </c>
      <c r="B40" s="47" t="s">
        <v>3585</v>
      </c>
      <c r="C40" s="44" t="s">
        <v>3589</v>
      </c>
      <c r="D40" s="40"/>
      <c r="E40" s="40"/>
      <c r="F40" s="40"/>
      <c r="G40" s="40"/>
      <c r="H40" s="40"/>
    </row>
    <row r="41" ht="15.75" customHeight="1">
      <c r="A41" s="52" t="s">
        <v>3582</v>
      </c>
      <c r="B41" s="47" t="s">
        <v>3591</v>
      </c>
      <c r="C41" s="44" t="s">
        <v>3593</v>
      </c>
      <c r="D41" s="40"/>
      <c r="E41" s="40"/>
      <c r="F41" s="40"/>
      <c r="G41" s="40"/>
      <c r="H41" s="40"/>
    </row>
    <row r="42" ht="15.75" customHeight="1">
      <c r="A42" s="52" t="s">
        <v>3582</v>
      </c>
      <c r="B42" s="47" t="s">
        <v>3596</v>
      </c>
      <c r="C42" s="44" t="s">
        <v>3599</v>
      </c>
      <c r="D42" s="40"/>
      <c r="E42" s="40"/>
      <c r="F42" s="40"/>
      <c r="G42" s="40"/>
      <c r="H42" s="40"/>
    </row>
    <row r="43" ht="15.75" customHeight="1">
      <c r="A43" s="52" t="s">
        <v>3582</v>
      </c>
      <c r="B43" s="47" t="s">
        <v>3603</v>
      </c>
      <c r="C43" s="44" t="s">
        <v>3606</v>
      </c>
      <c r="D43" s="40"/>
      <c r="E43" s="40"/>
      <c r="F43" s="40"/>
      <c r="G43" s="40"/>
      <c r="H43" s="40"/>
    </row>
    <row r="44" ht="15.75" customHeight="1">
      <c r="A44" s="52" t="s">
        <v>3582</v>
      </c>
      <c r="B44" s="47" t="s">
        <v>3610</v>
      </c>
      <c r="C44" s="44" t="s">
        <v>3614</v>
      </c>
      <c r="D44" s="40"/>
      <c r="E44" s="40"/>
      <c r="F44" s="40"/>
      <c r="G44" s="40"/>
      <c r="H44" s="40"/>
    </row>
    <row r="45" ht="15.75" customHeight="1">
      <c r="A45" s="52" t="s">
        <v>3582</v>
      </c>
      <c r="B45" s="47" t="s">
        <v>3617</v>
      </c>
      <c r="C45" s="44" t="s">
        <v>3618</v>
      </c>
      <c r="D45" s="40"/>
      <c r="E45" s="40"/>
      <c r="F45" s="40"/>
      <c r="G45" s="40"/>
      <c r="H45" s="40"/>
    </row>
    <row r="46" ht="15.75" customHeight="1">
      <c r="A46" s="53" t="s">
        <v>3622</v>
      </c>
      <c r="B46" s="47" t="s">
        <v>3626</v>
      </c>
      <c r="C46" s="44" t="s">
        <v>3631</v>
      </c>
      <c r="D46" s="40"/>
      <c r="E46" s="40"/>
      <c r="F46" s="40"/>
      <c r="G46" s="40"/>
      <c r="H46" s="40"/>
    </row>
    <row r="47" ht="15.75" customHeight="1">
      <c r="A47" s="40"/>
      <c r="B47" s="40"/>
      <c r="C47" s="40"/>
      <c r="D47" s="40"/>
      <c r="E47" s="40"/>
      <c r="F47" s="40"/>
      <c r="G47" s="40"/>
      <c r="H47" s="40"/>
    </row>
    <row r="48" ht="24.0" customHeight="1">
      <c r="A48" s="41" t="s">
        <v>3636</v>
      </c>
    </row>
    <row r="49" ht="15.75" customHeight="1">
      <c r="A49" s="46" t="s">
        <v>3639</v>
      </c>
      <c r="B49" s="44" t="s">
        <v>3642</v>
      </c>
      <c r="C49" s="40"/>
      <c r="D49" s="40"/>
      <c r="E49" s="40"/>
      <c r="F49" s="40"/>
      <c r="G49" s="40"/>
      <c r="H49" s="40"/>
    </row>
    <row r="50" ht="15.75" customHeight="1">
      <c r="A50" s="46" t="s">
        <v>527</v>
      </c>
      <c r="B50" s="44" t="s">
        <v>3647</v>
      </c>
      <c r="C50" s="40"/>
      <c r="D50" s="40"/>
      <c r="E50" s="40"/>
      <c r="F50" s="40"/>
      <c r="G50" s="40"/>
      <c r="H50" s="40"/>
    </row>
    <row r="51" ht="15.75" customHeight="1">
      <c r="A51" s="46" t="s">
        <v>3650</v>
      </c>
      <c r="B51" s="44" t="s">
        <v>3652</v>
      </c>
      <c r="C51" s="40"/>
      <c r="D51" s="40"/>
      <c r="E51" s="40"/>
      <c r="F51" s="40"/>
      <c r="G51" s="40"/>
      <c r="H51" s="40"/>
    </row>
    <row r="52" ht="15.75" customHeight="1">
      <c r="A52" s="46" t="s">
        <v>3656</v>
      </c>
      <c r="B52" s="44" t="s">
        <v>3657</v>
      </c>
      <c r="C52" s="40"/>
      <c r="D52" s="40"/>
      <c r="E52" s="40"/>
      <c r="F52" s="40"/>
      <c r="G52" s="40"/>
      <c r="H52" s="40"/>
    </row>
    <row r="53" ht="15.75" customHeight="1">
      <c r="A53" s="46" t="s">
        <v>3662</v>
      </c>
      <c r="B53" s="44" t="s">
        <v>3663</v>
      </c>
      <c r="C53" s="40"/>
      <c r="D53" s="40"/>
      <c r="E53" s="40"/>
      <c r="F53" s="40"/>
      <c r="G53" s="40"/>
      <c r="H53" s="40"/>
    </row>
    <row r="54" ht="15.75" customHeight="1">
      <c r="A54" s="46" t="s">
        <v>536</v>
      </c>
      <c r="B54" s="44" t="s">
        <v>3666</v>
      </c>
      <c r="C54" s="40"/>
      <c r="D54" s="40"/>
      <c r="E54" s="40"/>
      <c r="F54" s="40"/>
      <c r="G54" s="40"/>
      <c r="H54" s="40"/>
    </row>
    <row r="55" ht="15.75" customHeight="1">
      <c r="A55" s="48" t="s">
        <v>3670</v>
      </c>
      <c r="B55" s="44" t="s">
        <v>3671</v>
      </c>
      <c r="C55" s="40"/>
      <c r="D55" s="40"/>
      <c r="E55" s="40"/>
      <c r="F55" s="40"/>
      <c r="G55" s="40"/>
      <c r="H55" s="40"/>
    </row>
    <row r="56" ht="15.75" customHeight="1">
      <c r="A56" s="40"/>
      <c r="B56" s="40"/>
      <c r="C56" s="40"/>
      <c r="D56" s="40"/>
      <c r="E56" s="40"/>
      <c r="F56" s="40"/>
      <c r="G56" s="40"/>
      <c r="H56" s="40"/>
    </row>
    <row r="57" ht="24.0" customHeight="1">
      <c r="A57" s="41" t="s">
        <v>3675</v>
      </c>
    </row>
    <row r="58" ht="15.75" customHeight="1">
      <c r="A58" s="52" t="s">
        <v>3677</v>
      </c>
      <c r="B58" s="44" t="s">
        <v>3678</v>
      </c>
      <c r="C58" s="40"/>
      <c r="D58" s="40"/>
      <c r="E58" s="40"/>
      <c r="F58" s="40"/>
      <c r="G58" s="40"/>
      <c r="H58" s="40"/>
    </row>
    <row r="59" ht="15.75" customHeight="1">
      <c r="A59" s="52" t="s">
        <v>3682</v>
      </c>
      <c r="B59" s="44" t="s">
        <v>3683</v>
      </c>
      <c r="C59" s="40"/>
      <c r="D59" s="40"/>
      <c r="E59" s="40"/>
      <c r="F59" s="40"/>
      <c r="G59" s="40"/>
      <c r="H59" s="40"/>
    </row>
    <row r="60" ht="15.75" customHeight="1">
      <c r="A60" s="52" t="s">
        <v>3687</v>
      </c>
      <c r="B60" s="44" t="s">
        <v>3689</v>
      </c>
      <c r="C60" s="40"/>
      <c r="D60" s="40"/>
      <c r="E60" s="40"/>
      <c r="F60" s="40"/>
      <c r="G60" s="40"/>
      <c r="H60" s="40"/>
    </row>
    <row r="61" ht="15.75" customHeight="1">
      <c r="A61" s="52" t="s">
        <v>3692</v>
      </c>
      <c r="B61" s="44" t="s">
        <v>3694</v>
      </c>
      <c r="C61" s="40"/>
      <c r="D61" s="40"/>
      <c r="E61" s="40"/>
      <c r="F61" s="40"/>
      <c r="G61" s="40"/>
      <c r="H61" s="40"/>
    </row>
    <row r="62" ht="15.75" customHeight="1">
      <c r="A62" s="53" t="s">
        <v>3697</v>
      </c>
      <c r="B62" s="44" t="s">
        <v>3700</v>
      </c>
      <c r="C62" s="40"/>
      <c r="D62" s="40"/>
      <c r="E62" s="40"/>
      <c r="F62" s="40"/>
      <c r="G62" s="40"/>
      <c r="H62" s="40"/>
    </row>
    <row r="63" ht="15.75" customHeight="1">
      <c r="A63" s="40"/>
      <c r="B63" s="40"/>
      <c r="C63" s="40"/>
      <c r="D63" s="40"/>
      <c r="E63" s="40"/>
      <c r="F63" s="40"/>
      <c r="G63" s="40"/>
      <c r="H63" s="40"/>
    </row>
    <row r="64" ht="24.0" customHeight="1">
      <c r="A64" s="41" t="s">
        <v>3704</v>
      </c>
    </row>
    <row r="65" ht="15.75" customHeight="1">
      <c r="A65" s="46" t="s">
        <v>3706</v>
      </c>
      <c r="B65" s="44" t="s">
        <v>3708</v>
      </c>
      <c r="C65" s="40"/>
      <c r="D65" s="40"/>
      <c r="E65" s="40"/>
      <c r="F65" s="40"/>
      <c r="G65" s="40"/>
      <c r="H65" s="40"/>
    </row>
    <row r="66" ht="15.75" customHeight="1">
      <c r="A66" s="46" t="s">
        <v>3711</v>
      </c>
      <c r="B66" s="44" t="s">
        <v>3713</v>
      </c>
      <c r="C66" s="40"/>
      <c r="D66" s="40"/>
      <c r="E66" s="40"/>
      <c r="F66" s="40"/>
      <c r="G66" s="40"/>
      <c r="H66" s="40"/>
    </row>
    <row r="67" ht="15.75" customHeight="1">
      <c r="A67" s="46" t="s">
        <v>3717</v>
      </c>
      <c r="B67" s="44" t="s">
        <v>3718</v>
      </c>
      <c r="C67" s="40"/>
      <c r="D67" s="40"/>
      <c r="E67" s="40"/>
      <c r="F67" s="40"/>
      <c r="G67" s="40"/>
      <c r="H67" s="40"/>
    </row>
    <row r="68" ht="15.75" customHeight="1">
      <c r="A68" s="46" t="s">
        <v>3721</v>
      </c>
      <c r="B68" s="44" t="s">
        <v>3722</v>
      </c>
      <c r="C68" s="40"/>
      <c r="D68" s="40"/>
      <c r="E68" s="40"/>
      <c r="F68" s="40"/>
      <c r="G68" s="40"/>
      <c r="H68" s="40"/>
    </row>
    <row r="69" ht="15.75" customHeight="1">
      <c r="A69" s="46" t="s">
        <v>3726</v>
      </c>
      <c r="B69" s="44" t="s">
        <v>3728</v>
      </c>
      <c r="C69" s="40"/>
      <c r="D69" s="40"/>
      <c r="E69" s="40"/>
      <c r="F69" s="40"/>
      <c r="G69" s="40"/>
      <c r="H69" s="40"/>
    </row>
    <row r="70" ht="15.75" customHeight="1">
      <c r="A70" s="48" t="s">
        <v>3731</v>
      </c>
      <c r="B70" s="44" t="s">
        <v>3733</v>
      </c>
      <c r="C70" s="40"/>
      <c r="D70" s="40"/>
      <c r="E70" s="40"/>
      <c r="F70" s="40"/>
      <c r="G70" s="40"/>
      <c r="H70" s="40"/>
    </row>
    <row r="71" ht="15.75" customHeight="1">
      <c r="A71" s="40"/>
      <c r="B71" s="40"/>
      <c r="C71" s="40"/>
      <c r="D71" s="40"/>
      <c r="E71" s="40"/>
      <c r="F71" s="40"/>
      <c r="G71" s="40"/>
      <c r="H71" s="40"/>
    </row>
    <row r="72" ht="24.0" customHeight="1">
      <c r="A72" s="41" t="s">
        <v>3738</v>
      </c>
    </row>
    <row r="73" ht="15.75" customHeight="1">
      <c r="A73" s="52" t="s">
        <v>3742</v>
      </c>
      <c r="B73" s="44" t="s">
        <v>3743</v>
      </c>
      <c r="C73" s="40"/>
      <c r="D73" s="40"/>
      <c r="E73" s="40"/>
      <c r="F73" s="40"/>
      <c r="G73" s="40"/>
      <c r="H73" s="40"/>
    </row>
    <row r="74" ht="15.75" customHeight="1">
      <c r="A74" s="52" t="s">
        <v>3746</v>
      </c>
      <c r="B74" s="44" t="s">
        <v>3749</v>
      </c>
      <c r="C74" s="40"/>
      <c r="D74" s="40"/>
      <c r="E74" s="40"/>
      <c r="F74" s="40"/>
      <c r="G74" s="40"/>
      <c r="H74" s="40"/>
    </row>
    <row r="75" ht="15.75" customHeight="1">
      <c r="A75" s="52" t="s">
        <v>3753</v>
      </c>
      <c r="B75" s="44" t="s">
        <v>3755</v>
      </c>
      <c r="C75" s="40"/>
      <c r="D75" s="40"/>
      <c r="E75" s="40"/>
      <c r="F75" s="40"/>
      <c r="G75" s="40"/>
      <c r="H75" s="40"/>
    </row>
    <row r="76" ht="15.75" customHeight="1">
      <c r="A76" s="52" t="s">
        <v>3758</v>
      </c>
      <c r="B76" s="44" t="s">
        <v>3759</v>
      </c>
      <c r="C76" s="40"/>
      <c r="D76" s="40"/>
      <c r="E76" s="40"/>
      <c r="F76" s="40"/>
      <c r="G76" s="40"/>
      <c r="H76" s="40"/>
    </row>
    <row r="77" ht="15.75" customHeight="1">
      <c r="A77" s="53" t="s">
        <v>3763</v>
      </c>
      <c r="B77" s="44" t="s">
        <v>3766</v>
      </c>
      <c r="C77" s="40"/>
      <c r="D77" s="40"/>
      <c r="E77" s="40"/>
      <c r="F77" s="40"/>
      <c r="G77" s="40"/>
      <c r="H77" s="40"/>
    </row>
    <row r="78" ht="15.75" customHeight="1">
      <c r="A78" s="40"/>
      <c r="B78" s="40"/>
      <c r="C78" s="40"/>
      <c r="D78" s="40"/>
      <c r="E78" s="40"/>
      <c r="F78" s="40"/>
      <c r="G78" s="40"/>
      <c r="H78" s="40"/>
    </row>
    <row r="79" ht="24.0" customHeight="1">
      <c r="A79" s="41" t="s">
        <v>3774</v>
      </c>
    </row>
    <row r="80" ht="15.75" customHeight="1">
      <c r="A80" s="46" t="s">
        <v>3777</v>
      </c>
      <c r="B80" s="44" t="s">
        <v>3779</v>
      </c>
      <c r="C80" s="40"/>
      <c r="D80" s="40"/>
      <c r="E80" s="40"/>
      <c r="F80" s="40"/>
      <c r="G80" s="40"/>
      <c r="H80" s="40"/>
    </row>
    <row r="81" ht="15.75" customHeight="1">
      <c r="A81" s="46" t="s">
        <v>3782</v>
      </c>
      <c r="B81" s="44" t="s">
        <v>3783</v>
      </c>
      <c r="C81" s="40"/>
      <c r="D81" s="40"/>
      <c r="E81" s="40"/>
      <c r="F81" s="40"/>
      <c r="G81" s="40"/>
      <c r="H81" s="40"/>
    </row>
    <row r="82" ht="15.75" customHeight="1">
      <c r="A82" s="46" t="s">
        <v>231</v>
      </c>
      <c r="B82" s="44" t="s">
        <v>3784</v>
      </c>
      <c r="C82" s="40"/>
      <c r="D82" s="40"/>
      <c r="E82" s="40"/>
      <c r="F82" s="40"/>
      <c r="G82" s="40"/>
      <c r="H82" s="40"/>
    </row>
    <row r="83" ht="15.75" customHeight="1">
      <c r="A83" s="46" t="s">
        <v>248</v>
      </c>
      <c r="B83" s="44" t="s">
        <v>3789</v>
      </c>
      <c r="C83" s="40"/>
      <c r="D83" s="40"/>
      <c r="E83" s="40"/>
      <c r="F83" s="40"/>
      <c r="G83" s="40"/>
      <c r="H83" s="40"/>
    </row>
    <row r="84" ht="15.75" customHeight="1">
      <c r="A84" s="46" t="s">
        <v>69</v>
      </c>
      <c r="B84" s="44" t="s">
        <v>3794</v>
      </c>
      <c r="C84" s="40"/>
      <c r="D84" s="40"/>
      <c r="E84" s="40"/>
      <c r="F84" s="40"/>
      <c r="G84" s="40"/>
      <c r="H84" s="40"/>
    </row>
    <row r="85" ht="15.75" customHeight="1">
      <c r="A85" s="46" t="s">
        <v>296</v>
      </c>
      <c r="B85" s="44" t="s">
        <v>3797</v>
      </c>
      <c r="C85" s="40"/>
      <c r="D85" s="40"/>
      <c r="E85" s="40"/>
      <c r="F85" s="40"/>
      <c r="G85" s="40"/>
      <c r="H85" s="40"/>
    </row>
    <row r="86" ht="15.75" customHeight="1">
      <c r="A86" s="46" t="s">
        <v>217</v>
      </c>
      <c r="B86" s="44" t="s">
        <v>3801</v>
      </c>
      <c r="C86" s="40"/>
      <c r="D86" s="40"/>
      <c r="E86" s="40"/>
      <c r="F86" s="40"/>
      <c r="G86" s="40"/>
      <c r="H86" s="40"/>
    </row>
    <row r="87" ht="15.75" customHeight="1">
      <c r="A87" s="48" t="s">
        <v>134</v>
      </c>
      <c r="B87" s="44" t="s">
        <v>3805</v>
      </c>
      <c r="C87" s="40"/>
      <c r="D87" s="40"/>
      <c r="E87" s="40"/>
      <c r="F87" s="40"/>
      <c r="G87" s="40"/>
      <c r="H87" s="40"/>
    </row>
    <row r="88" ht="15.75" customHeight="1">
      <c r="A88" s="40"/>
      <c r="B88" s="40"/>
      <c r="C88" s="40"/>
      <c r="D88" s="40"/>
      <c r="E88" s="40"/>
      <c r="F88" s="40"/>
      <c r="G88" s="40"/>
      <c r="H88" s="40"/>
    </row>
    <row r="89" ht="24.0" customHeight="1">
      <c r="A89" s="41" t="s">
        <v>3811</v>
      </c>
    </row>
    <row r="90" ht="15.75" customHeight="1">
      <c r="A90" s="52" t="s">
        <v>3815</v>
      </c>
      <c r="B90" s="54" t="s">
        <v>3817</v>
      </c>
      <c r="C90" s="44" t="s">
        <v>3820</v>
      </c>
      <c r="D90" s="40"/>
      <c r="E90" s="40"/>
      <c r="F90" s="40"/>
      <c r="G90" s="40"/>
      <c r="H90" s="40"/>
    </row>
    <row r="91" ht="15.75" customHeight="1">
      <c r="A91" s="52" t="s">
        <v>3822</v>
      </c>
      <c r="B91" s="54" t="s">
        <v>3824</v>
      </c>
      <c r="C91" s="44" t="s">
        <v>3825</v>
      </c>
      <c r="D91" s="40"/>
      <c r="E91" s="40"/>
      <c r="F91" s="40"/>
      <c r="G91" s="40"/>
      <c r="H91" s="40"/>
    </row>
    <row r="92" ht="15.75" customHeight="1">
      <c r="A92" s="52" t="s">
        <v>3828</v>
      </c>
      <c r="B92" s="54" t="s">
        <v>3830</v>
      </c>
      <c r="C92" s="44" t="s">
        <v>3831</v>
      </c>
      <c r="D92" s="40"/>
      <c r="E92" s="40"/>
      <c r="F92" s="40"/>
      <c r="G92" s="40"/>
      <c r="H92" s="40"/>
    </row>
    <row r="93" ht="15.75" customHeight="1">
      <c r="A93" s="52" t="s">
        <v>3833</v>
      </c>
      <c r="B93" s="54" t="s">
        <v>3835</v>
      </c>
      <c r="C93" s="44" t="s">
        <v>3838</v>
      </c>
      <c r="D93" s="40"/>
      <c r="E93" s="40"/>
      <c r="F93" s="40"/>
      <c r="G93" s="40"/>
      <c r="H93" s="40"/>
    </row>
    <row r="94" ht="15.75" customHeight="1">
      <c r="A94" s="52" t="s">
        <v>3843</v>
      </c>
      <c r="B94" s="54" t="s">
        <v>3844</v>
      </c>
      <c r="C94" s="44" t="s">
        <v>3847</v>
      </c>
      <c r="D94" s="40"/>
      <c r="E94" s="40"/>
      <c r="F94" s="40"/>
      <c r="G94" s="40"/>
      <c r="H94" s="40"/>
    </row>
    <row r="95" ht="15.75" customHeight="1">
      <c r="A95" s="52" t="s">
        <v>3849</v>
      </c>
      <c r="B95" s="54" t="s">
        <v>3850</v>
      </c>
      <c r="C95" s="44" t="s">
        <v>3852</v>
      </c>
      <c r="D95" s="40"/>
      <c r="E95" s="40"/>
      <c r="F95" s="40"/>
      <c r="G95" s="40"/>
      <c r="H95" s="40"/>
    </row>
    <row r="96" ht="15.75" customHeight="1">
      <c r="A96" s="52" t="s">
        <v>3857</v>
      </c>
      <c r="B96" s="54" t="s">
        <v>3859</v>
      </c>
      <c r="C96" s="44" t="s">
        <v>3861</v>
      </c>
      <c r="D96" s="40"/>
      <c r="E96" s="40"/>
      <c r="F96" s="40"/>
      <c r="G96" s="40"/>
      <c r="H96" s="40"/>
    </row>
    <row r="97" ht="15.75" customHeight="1">
      <c r="A97" s="52" t="s">
        <v>3864</v>
      </c>
      <c r="B97" s="54" t="s">
        <v>3867</v>
      </c>
      <c r="C97" s="44" t="s">
        <v>3868</v>
      </c>
      <c r="D97" s="40"/>
      <c r="E97" s="40"/>
      <c r="F97" s="40"/>
      <c r="G97" s="40"/>
      <c r="H97" s="40"/>
    </row>
    <row r="98" ht="15.75" customHeight="1">
      <c r="A98" s="52" t="s">
        <v>536</v>
      </c>
      <c r="B98" s="54" t="s">
        <v>3875</v>
      </c>
      <c r="C98" s="44" t="s">
        <v>3876</v>
      </c>
      <c r="D98" s="40"/>
      <c r="E98" s="40"/>
      <c r="F98" s="40"/>
      <c r="G98" s="40"/>
      <c r="H98" s="40"/>
    </row>
    <row r="99" ht="15.75" customHeight="1">
      <c r="A99" s="52" t="s">
        <v>3879</v>
      </c>
      <c r="B99" s="54" t="s">
        <v>3880</v>
      </c>
      <c r="C99" s="44" t="s">
        <v>3882</v>
      </c>
      <c r="D99" s="40"/>
      <c r="E99" s="40"/>
      <c r="F99" s="40"/>
      <c r="G99" s="40"/>
      <c r="H99" s="40"/>
    </row>
    <row r="100" ht="15.75" customHeight="1">
      <c r="A100" s="53" t="s">
        <v>3884</v>
      </c>
      <c r="B100" s="54" t="s">
        <v>3886</v>
      </c>
      <c r="C100" s="44" t="s">
        <v>3888</v>
      </c>
      <c r="D100" s="40"/>
      <c r="E100" s="40"/>
      <c r="F100" s="40"/>
      <c r="G100" s="40"/>
      <c r="H100" s="40"/>
    </row>
    <row r="101" ht="15.75" customHeight="1">
      <c r="A101" s="40"/>
      <c r="B101" s="40"/>
      <c r="C101" s="40"/>
      <c r="D101" s="40"/>
      <c r="E101" s="40"/>
      <c r="F101" s="40"/>
      <c r="G101" s="40"/>
      <c r="H101" s="40"/>
    </row>
    <row r="102" ht="24.0" customHeight="1">
      <c r="A102" s="41" t="s">
        <v>3892</v>
      </c>
    </row>
    <row r="103" ht="15.75" customHeight="1">
      <c r="A103" s="46" t="s">
        <v>3895</v>
      </c>
      <c r="B103" s="44" t="s">
        <v>3896</v>
      </c>
      <c r="C103" s="40"/>
      <c r="D103" s="40"/>
      <c r="E103" s="40"/>
      <c r="F103" s="40"/>
      <c r="G103" s="40"/>
      <c r="H103" s="40"/>
    </row>
    <row r="104" ht="15.75" customHeight="1">
      <c r="A104" s="46" t="s">
        <v>3899</v>
      </c>
      <c r="B104" s="44" t="s">
        <v>3901</v>
      </c>
      <c r="C104" s="40"/>
      <c r="D104" s="40"/>
      <c r="E104" s="40"/>
      <c r="F104" s="40"/>
      <c r="G104" s="40"/>
      <c r="H104" s="40"/>
    </row>
    <row r="105" ht="15.75" customHeight="1">
      <c r="A105" s="46" t="s">
        <v>3904</v>
      </c>
      <c r="B105" s="44" t="s">
        <v>3906</v>
      </c>
      <c r="C105" s="40"/>
      <c r="D105" s="40"/>
      <c r="E105" s="40"/>
      <c r="F105" s="40"/>
      <c r="G105" s="40"/>
      <c r="H105" s="40"/>
    </row>
    <row r="106" ht="15.75" customHeight="1">
      <c r="A106" s="46" t="s">
        <v>3908</v>
      </c>
      <c r="B106" s="44" t="s">
        <v>3912</v>
      </c>
      <c r="C106" s="40"/>
      <c r="D106" s="40"/>
      <c r="E106" s="40"/>
      <c r="F106" s="40"/>
      <c r="G106" s="40"/>
      <c r="H106" s="40"/>
    </row>
    <row r="107" ht="15.75" customHeight="1">
      <c r="A107" s="46" t="s">
        <v>3914</v>
      </c>
      <c r="B107" s="44" t="s">
        <v>3916</v>
      </c>
      <c r="C107" s="40"/>
      <c r="D107" s="40"/>
      <c r="E107" s="40"/>
      <c r="F107" s="40"/>
      <c r="G107" s="40"/>
      <c r="H107" s="40"/>
    </row>
    <row r="108" ht="15.75" customHeight="1">
      <c r="A108" s="46" t="s">
        <v>3917</v>
      </c>
      <c r="B108" s="44" t="s">
        <v>3919</v>
      </c>
      <c r="C108" s="40"/>
      <c r="D108" s="40"/>
      <c r="E108" s="40"/>
      <c r="F108" s="40"/>
      <c r="G108" s="40"/>
      <c r="H108" s="40"/>
    </row>
    <row r="109" ht="15.75" customHeight="1">
      <c r="A109" s="48" t="s">
        <v>3924</v>
      </c>
      <c r="B109" s="44" t="s">
        <v>3925</v>
      </c>
      <c r="C109" s="40"/>
      <c r="D109" s="40"/>
      <c r="E109" s="40"/>
      <c r="F109" s="40"/>
      <c r="G109" s="40"/>
      <c r="H109" s="40"/>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57:H57"/>
    <mergeCell ref="A64:H64"/>
    <mergeCell ref="A72:H72"/>
    <mergeCell ref="A79:H79"/>
    <mergeCell ref="A89:H89"/>
    <mergeCell ref="A102:H102"/>
    <mergeCell ref="A1:H1"/>
    <mergeCell ref="A2:H2"/>
    <mergeCell ref="A4:H4"/>
    <mergeCell ref="A13:H13"/>
    <mergeCell ref="A26:H26"/>
    <mergeCell ref="A39:H39"/>
    <mergeCell ref="A48:H48"/>
  </mergeCells>
  <printOptions/>
  <pageMargins bottom="0.75" footer="0.0" header="0.0" left="0.7" right="0.7" top="0.75"/>
  <pageSetup orientation="landscape"/>
  <drawing r:id="rId1"/>
</worksheet>
</file>